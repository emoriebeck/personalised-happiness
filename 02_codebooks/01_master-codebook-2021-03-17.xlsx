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edb5662/Box/network/other projects/swb networks/02_codebooks/"/>
    </mc:Choice>
  </mc:AlternateContent>
  <xr:revisionPtr revIDLastSave="0" documentId="13_ncr:1_{486D165D-E6CB-6F47-A775-59B8925143F9}" xr6:coauthVersionLast="47" xr6:coauthVersionMax="47" xr10:uidLastSave="{00000000-0000-0000-0000-000000000000}"/>
  <bookViews>
    <workbookView xWindow="12160" yWindow="460" windowWidth="23680" windowHeight="20380" activeTab="3" xr2:uid="{638C49C1-719A-C049-8864-F82F4E0A71CC}"/>
  </bookViews>
  <sheets>
    <sheet name="gsoep" sheetId="1" r:id="rId1"/>
    <sheet name="bhps" sheetId="2" r:id="rId2"/>
    <sheet name="shp" sheetId="3" r:id="rId3"/>
    <sheet name="liss" sheetId="5" r:id="rId4"/>
    <sheet name="hilda" sheetId="6" r:id="rId5"/>
    <sheet name="key" sheetId="4" r:id="rId6"/>
    <sheet name="correlate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91" i="6" l="1"/>
  <c r="H290" i="6"/>
  <c r="H289" i="6"/>
  <c r="H288" i="6"/>
  <c r="H287" i="6"/>
  <c r="H286" i="6"/>
  <c r="H285" i="6"/>
  <c r="H284" i="6"/>
  <c r="H283" i="6"/>
  <c r="H282" i="6"/>
  <c r="H281" i="6"/>
  <c r="H280" i="6"/>
  <c r="H279" i="6"/>
  <c r="H278" i="6"/>
  <c r="H277" i="6"/>
  <c r="H276" i="6"/>
  <c r="H275" i="6"/>
  <c r="F291" i="6"/>
  <c r="E291" i="6" s="1"/>
  <c r="F290" i="6"/>
  <c r="E290" i="6" s="1"/>
  <c r="F289" i="6"/>
  <c r="E289" i="6" s="1"/>
  <c r="F288" i="6"/>
  <c r="E288" i="6" s="1"/>
  <c r="F287" i="6"/>
  <c r="E287" i="6"/>
  <c r="F286" i="6"/>
  <c r="E286" i="6"/>
  <c r="F285" i="6"/>
  <c r="E285" i="6" s="1"/>
  <c r="F284" i="6"/>
  <c r="E284" i="6" s="1"/>
  <c r="F283" i="6"/>
  <c r="E283" i="6" s="1"/>
  <c r="F282" i="6"/>
  <c r="E282" i="6" s="1"/>
  <c r="F281" i="6"/>
  <c r="E281" i="6" s="1"/>
  <c r="F280" i="6"/>
  <c r="E280" i="6"/>
  <c r="F279" i="6"/>
  <c r="E279" i="6"/>
  <c r="F278" i="6"/>
  <c r="E278" i="6"/>
  <c r="F277" i="6"/>
  <c r="E277" i="6" s="1"/>
  <c r="F276" i="6"/>
  <c r="E276" i="6" s="1"/>
  <c r="F275" i="6"/>
  <c r="E275" i="6" s="1"/>
  <c r="F945" i="6" l="1"/>
  <c r="E945" i="6"/>
  <c r="F944" i="6"/>
  <c r="E944" i="6"/>
  <c r="F943" i="6"/>
  <c r="E943" i="6" s="1"/>
  <c r="F942" i="6"/>
  <c r="E942" i="6" s="1"/>
  <c r="F941" i="6"/>
  <c r="E941" i="6" s="1"/>
  <c r="F940" i="6"/>
  <c r="E940" i="6" s="1"/>
  <c r="F939" i="6"/>
  <c r="E939" i="6" s="1"/>
  <c r="F938" i="6"/>
  <c r="E938" i="6"/>
  <c r="F937" i="6"/>
  <c r="E937" i="6" s="1"/>
  <c r="F936" i="6"/>
  <c r="E936" i="6"/>
  <c r="F935" i="6"/>
  <c r="E935" i="6" s="1"/>
  <c r="F934" i="6"/>
  <c r="E934" i="6" s="1"/>
  <c r="F933" i="6"/>
  <c r="E933" i="6" s="1"/>
  <c r="F932" i="6"/>
  <c r="E932" i="6" s="1"/>
  <c r="F931" i="6"/>
  <c r="E931" i="6" s="1"/>
  <c r="F930" i="6"/>
  <c r="E930" i="6"/>
  <c r="F929" i="6"/>
  <c r="E929" i="6"/>
  <c r="F928" i="6"/>
  <c r="E928" i="6"/>
  <c r="F927" i="6"/>
  <c r="E927" i="6" s="1"/>
  <c r="F926" i="6"/>
  <c r="E926" i="6" s="1"/>
  <c r="F925" i="6"/>
  <c r="E925" i="6" s="1"/>
  <c r="F924" i="6"/>
  <c r="E924" i="6" s="1"/>
  <c r="F923" i="6"/>
  <c r="E923" i="6" s="1"/>
  <c r="F922" i="6"/>
  <c r="E922" i="6"/>
  <c r="F921" i="6"/>
  <c r="E921" i="6" s="1"/>
  <c r="F920" i="6"/>
  <c r="E920" i="6"/>
  <c r="F919" i="6"/>
  <c r="E919" i="6" s="1"/>
  <c r="F918" i="6"/>
  <c r="E918" i="6" s="1"/>
  <c r="F917" i="6"/>
  <c r="E917" i="6" s="1"/>
  <c r="F916" i="6"/>
  <c r="E916" i="6" s="1"/>
  <c r="F915" i="6"/>
  <c r="E915" i="6" s="1"/>
  <c r="F914" i="6"/>
  <c r="E914" i="6"/>
  <c r="F913" i="6"/>
  <c r="E913" i="6"/>
  <c r="F912" i="6"/>
  <c r="E912" i="6"/>
  <c r="F911" i="6"/>
  <c r="E911" i="6" s="1"/>
  <c r="F910" i="6"/>
  <c r="E910" i="6" s="1"/>
  <c r="F909" i="6"/>
  <c r="E909" i="6" s="1"/>
  <c r="F908" i="6"/>
  <c r="E908" i="6"/>
  <c r="F907" i="6"/>
  <c r="E907" i="6" s="1"/>
  <c r="F906" i="6"/>
  <c r="E906" i="6"/>
  <c r="F905" i="6"/>
  <c r="E905" i="6"/>
  <c r="F904" i="6"/>
  <c r="E904" i="6"/>
  <c r="F903" i="6"/>
  <c r="E903" i="6" s="1"/>
  <c r="F902" i="6"/>
  <c r="E902" i="6" s="1"/>
  <c r="F901" i="6"/>
  <c r="E901" i="6" s="1"/>
  <c r="F900" i="6"/>
  <c r="E900" i="6" s="1"/>
  <c r="F899" i="6"/>
  <c r="E899" i="6" s="1"/>
  <c r="F898" i="6"/>
  <c r="E898" i="6"/>
  <c r="F897" i="6"/>
  <c r="E897" i="6"/>
  <c r="F896" i="6"/>
  <c r="E896" i="6"/>
  <c r="F895" i="6"/>
  <c r="E895" i="6" s="1"/>
  <c r="F894" i="6"/>
  <c r="E894" i="6" s="1"/>
  <c r="F893" i="6"/>
  <c r="E893" i="6" s="1"/>
  <c r="F892" i="6"/>
  <c r="E892" i="6" s="1"/>
  <c r="F891" i="6"/>
  <c r="E891" i="6" s="1"/>
  <c r="F890" i="6"/>
  <c r="E890" i="6"/>
  <c r="F889" i="6"/>
  <c r="E889" i="6"/>
  <c r="F888" i="6"/>
  <c r="E888" i="6"/>
  <c r="F887" i="6"/>
  <c r="E887" i="6" s="1"/>
  <c r="F886" i="6"/>
  <c r="E886" i="6" s="1"/>
  <c r="F885" i="6"/>
  <c r="E885" i="6" s="1"/>
  <c r="F884" i="6"/>
  <c r="E884" i="6"/>
  <c r="F883" i="6"/>
  <c r="E883" i="6" s="1"/>
  <c r="F882" i="6"/>
  <c r="E882" i="6"/>
  <c r="F881" i="6"/>
  <c r="E881" i="6" s="1"/>
  <c r="F880" i="6"/>
  <c r="E880" i="6"/>
  <c r="F879" i="6"/>
  <c r="E879" i="6" s="1"/>
  <c r="F878" i="6"/>
  <c r="E878" i="6" s="1"/>
  <c r="F877" i="6"/>
  <c r="E877" i="6" s="1"/>
  <c r="F876" i="6"/>
  <c r="E876" i="6"/>
  <c r="F875" i="6"/>
  <c r="E875" i="6" s="1"/>
  <c r="F874" i="6"/>
  <c r="E874" i="6" s="1"/>
  <c r="F873" i="6"/>
  <c r="E873" i="6"/>
  <c r="F872" i="6"/>
  <c r="E872" i="6"/>
  <c r="F871" i="6"/>
  <c r="E871" i="6" s="1"/>
  <c r="F870" i="6"/>
  <c r="E870" i="6" s="1"/>
  <c r="F869" i="6"/>
  <c r="E869" i="6" s="1"/>
  <c r="F868" i="6"/>
  <c r="E868" i="6"/>
  <c r="F867" i="6"/>
  <c r="E867" i="6" s="1"/>
  <c r="F866" i="6"/>
  <c r="E866" i="6" s="1"/>
  <c r="F865" i="6"/>
  <c r="E865" i="6"/>
  <c r="F864" i="6"/>
  <c r="E864" i="6"/>
  <c r="F863" i="6"/>
  <c r="E863" i="6" s="1"/>
  <c r="F862" i="6"/>
  <c r="E862" i="6" s="1"/>
  <c r="F861" i="6"/>
  <c r="E861" i="6" s="1"/>
  <c r="F860" i="6"/>
  <c r="E860" i="6"/>
  <c r="F859" i="6"/>
  <c r="E859" i="6" s="1"/>
  <c r="F858" i="6"/>
  <c r="E858" i="6" s="1"/>
  <c r="F857" i="6"/>
  <c r="E857" i="6"/>
  <c r="F856" i="6"/>
  <c r="E856" i="6" s="1"/>
  <c r="F855" i="6"/>
  <c r="E855" i="6" s="1"/>
  <c r="F854" i="6"/>
  <c r="E854" i="6" s="1"/>
  <c r="F853" i="6"/>
  <c r="E853" i="6" s="1"/>
  <c r="F852" i="6"/>
  <c r="E852" i="6" s="1"/>
  <c r="F851" i="6"/>
  <c r="E851" i="6" s="1"/>
  <c r="F850" i="6"/>
  <c r="E850" i="6" s="1"/>
  <c r="F849" i="6"/>
  <c r="E849" i="6"/>
  <c r="F848" i="6"/>
  <c r="E848" i="6" s="1"/>
  <c r="F847" i="6"/>
  <c r="E847" i="6" s="1"/>
  <c r="F846" i="6"/>
  <c r="E846" i="6" s="1"/>
  <c r="F845" i="6"/>
  <c r="E845" i="6" s="1"/>
  <c r="F844" i="6"/>
  <c r="E844" i="6" s="1"/>
  <c r="F843" i="6"/>
  <c r="E843" i="6" s="1"/>
  <c r="F842" i="6"/>
  <c r="E842" i="6"/>
  <c r="F841" i="6"/>
  <c r="E841" i="6"/>
  <c r="F840" i="6"/>
  <c r="E840" i="6" s="1"/>
  <c r="F839" i="6"/>
  <c r="E839" i="6" s="1"/>
  <c r="F838" i="6"/>
  <c r="E838" i="6" s="1"/>
  <c r="F837" i="6"/>
  <c r="E837" i="6" s="1"/>
  <c r="F836" i="6"/>
  <c r="E836" i="6"/>
  <c r="F835" i="6"/>
  <c r="E835" i="6" s="1"/>
  <c r="F834" i="6"/>
  <c r="E834" i="6" s="1"/>
  <c r="F833" i="6"/>
  <c r="E833" i="6"/>
  <c r="F832" i="6"/>
  <c r="E832" i="6"/>
  <c r="F831" i="6"/>
  <c r="E831" i="6" s="1"/>
  <c r="F830" i="6"/>
  <c r="E830" i="6" s="1"/>
  <c r="F829" i="6"/>
  <c r="E829" i="6" s="1"/>
  <c r="F828" i="6"/>
  <c r="E828" i="6"/>
  <c r="F827" i="6"/>
  <c r="E827" i="6" s="1"/>
  <c r="F826" i="6"/>
  <c r="E826" i="6" s="1"/>
  <c r="F825" i="6"/>
  <c r="E825" i="6"/>
  <c r="F824" i="6"/>
  <c r="E824" i="6" s="1"/>
  <c r="F823" i="6"/>
  <c r="E823" i="6" s="1"/>
  <c r="F822" i="6"/>
  <c r="E822" i="6" s="1"/>
  <c r="F821" i="6"/>
  <c r="E821" i="6" s="1"/>
  <c r="F820" i="6"/>
  <c r="E820" i="6" s="1"/>
  <c r="F819" i="6"/>
  <c r="E819" i="6" s="1"/>
  <c r="F818" i="6"/>
  <c r="E818" i="6"/>
  <c r="F817" i="6"/>
  <c r="E817" i="6" s="1"/>
  <c r="F816" i="6"/>
  <c r="E816" i="6"/>
  <c r="F815" i="6"/>
  <c r="E815" i="6" s="1"/>
  <c r="F814" i="6"/>
  <c r="E814" i="6" s="1"/>
  <c r="F813" i="6"/>
  <c r="E813" i="6" s="1"/>
  <c r="F812" i="6"/>
  <c r="E812" i="6"/>
  <c r="F811" i="6"/>
  <c r="E811" i="6" s="1"/>
  <c r="F810" i="6"/>
  <c r="E810" i="6" s="1"/>
  <c r="F809" i="6"/>
  <c r="E809" i="6"/>
  <c r="F808" i="6"/>
  <c r="E808" i="6" s="1"/>
  <c r="F807" i="6"/>
  <c r="E807" i="6" s="1"/>
  <c r="F806" i="6"/>
  <c r="E806" i="6" s="1"/>
  <c r="F805" i="6"/>
  <c r="E805" i="6" s="1"/>
  <c r="F804" i="6"/>
  <c r="E804" i="6"/>
  <c r="F803" i="6"/>
  <c r="E803" i="6" s="1"/>
  <c r="F802" i="6"/>
  <c r="E802" i="6" s="1"/>
  <c r="F801" i="6"/>
  <c r="E801" i="6" s="1"/>
  <c r="F800" i="6"/>
  <c r="E800" i="6" s="1"/>
  <c r="F799" i="6"/>
  <c r="E799" i="6" s="1"/>
  <c r="F798" i="6"/>
  <c r="E798" i="6" s="1"/>
  <c r="F797" i="6"/>
  <c r="E797" i="6" s="1"/>
  <c r="F796" i="6"/>
  <c r="E796" i="6" s="1"/>
  <c r="F795" i="6"/>
  <c r="E795" i="6"/>
  <c r="F794" i="6"/>
  <c r="E794" i="6" s="1"/>
  <c r="F793" i="6"/>
  <c r="E793" i="6"/>
  <c r="F792" i="6"/>
  <c r="E792" i="6" s="1"/>
  <c r="F791" i="6"/>
  <c r="E791" i="6" s="1"/>
  <c r="F790" i="6"/>
  <c r="E790" i="6" s="1"/>
  <c r="F789" i="6"/>
  <c r="E789" i="6" s="1"/>
  <c r="F788" i="6"/>
  <c r="E788" i="6"/>
  <c r="F787" i="6"/>
  <c r="E787" i="6"/>
  <c r="F786" i="6"/>
  <c r="E786" i="6" s="1"/>
  <c r="F785" i="6"/>
  <c r="E785" i="6"/>
  <c r="F784" i="6"/>
  <c r="E784" i="6" s="1"/>
  <c r="F783" i="6"/>
  <c r="E783" i="6" s="1"/>
  <c r="F782" i="6"/>
  <c r="E782" i="6" s="1"/>
  <c r="F781" i="6"/>
  <c r="E781" i="6" s="1"/>
  <c r="F780" i="6"/>
  <c r="E780" i="6" s="1"/>
  <c r="F779" i="6"/>
  <c r="E779" i="6" s="1"/>
  <c r="F778" i="6"/>
  <c r="E778" i="6" s="1"/>
  <c r="F777" i="6"/>
  <c r="E777" i="6" s="1"/>
  <c r="F776" i="6"/>
  <c r="E776" i="6" s="1"/>
  <c r="F775" i="6"/>
  <c r="E775" i="6" s="1"/>
  <c r="F774" i="6"/>
  <c r="E774" i="6" s="1"/>
  <c r="F773" i="6"/>
  <c r="E773" i="6" s="1"/>
  <c r="F772" i="6"/>
  <c r="E772" i="6" s="1"/>
  <c r="F771" i="6"/>
  <c r="E771" i="6"/>
  <c r="F770" i="6"/>
  <c r="E770" i="6" s="1"/>
  <c r="F769" i="6"/>
  <c r="E769" i="6"/>
  <c r="F768" i="6"/>
  <c r="E768" i="6"/>
  <c r="F767" i="6"/>
  <c r="E767" i="6" s="1"/>
  <c r="F766" i="6"/>
  <c r="E766" i="6" s="1"/>
  <c r="F765" i="6"/>
  <c r="E765" i="6" s="1"/>
  <c r="F764" i="6"/>
  <c r="E764" i="6"/>
  <c r="F763" i="6"/>
  <c r="E763" i="6" s="1"/>
  <c r="F762" i="6"/>
  <c r="E762" i="6" s="1"/>
  <c r="F761" i="6"/>
  <c r="E761" i="6"/>
  <c r="F760" i="6"/>
  <c r="E760" i="6" s="1"/>
  <c r="F759" i="6"/>
  <c r="E759" i="6" s="1"/>
  <c r="F758" i="6"/>
  <c r="E758" i="6" s="1"/>
  <c r="F757" i="6"/>
  <c r="E757" i="6" s="1"/>
  <c r="F756" i="6"/>
  <c r="E756" i="6" s="1"/>
  <c r="F755" i="6"/>
  <c r="E755" i="6" s="1"/>
  <c r="F754" i="6"/>
  <c r="E754" i="6" s="1"/>
  <c r="F753" i="6"/>
  <c r="E753" i="6"/>
  <c r="F752" i="6"/>
  <c r="E752" i="6" s="1"/>
  <c r="F751" i="6"/>
  <c r="E751" i="6" s="1"/>
  <c r="F750" i="6"/>
  <c r="E750" i="6" s="1"/>
  <c r="F749" i="6"/>
  <c r="E749" i="6" s="1"/>
  <c r="F748" i="6"/>
  <c r="E748" i="6"/>
  <c r="F747" i="6"/>
  <c r="E747" i="6" s="1"/>
  <c r="F746" i="6"/>
  <c r="E746" i="6"/>
  <c r="F745" i="6"/>
  <c r="E745" i="6"/>
  <c r="F744" i="6"/>
  <c r="E744" i="6" s="1"/>
  <c r="F743" i="6"/>
  <c r="E743" i="6" s="1"/>
  <c r="F742" i="6"/>
  <c r="E742" i="6" s="1"/>
  <c r="F741" i="6"/>
  <c r="E741" i="6" s="1"/>
  <c r="F740" i="6"/>
  <c r="E740" i="6"/>
  <c r="F739" i="6"/>
  <c r="E739" i="6" s="1"/>
  <c r="F738" i="6"/>
  <c r="E738" i="6"/>
  <c r="F737" i="6"/>
  <c r="E737" i="6" s="1"/>
  <c r="F736" i="6"/>
  <c r="E736" i="6" s="1"/>
  <c r="F735" i="6"/>
  <c r="E735" i="6" s="1"/>
  <c r="F734" i="6"/>
  <c r="E734" i="6" s="1"/>
  <c r="F733" i="6"/>
  <c r="E733" i="6" s="1"/>
  <c r="F732" i="6"/>
  <c r="E732" i="6" s="1"/>
  <c r="F731" i="6"/>
  <c r="E731" i="6" s="1"/>
  <c r="F730" i="6"/>
  <c r="E730" i="6" s="1"/>
  <c r="F729" i="6"/>
  <c r="E729" i="6"/>
  <c r="F728" i="6"/>
  <c r="E728" i="6" s="1"/>
  <c r="F727" i="6"/>
  <c r="E727" i="6" s="1"/>
  <c r="F726" i="6"/>
  <c r="E726" i="6" s="1"/>
  <c r="F725" i="6"/>
  <c r="E725" i="6" s="1"/>
  <c r="F724" i="6"/>
  <c r="E724" i="6" s="1"/>
  <c r="F723" i="6"/>
  <c r="E723" i="6" s="1"/>
  <c r="F722" i="6"/>
  <c r="E722" i="6" s="1"/>
  <c r="F721" i="6"/>
  <c r="E721" i="6"/>
  <c r="F720" i="6"/>
  <c r="E720" i="6" s="1"/>
  <c r="F719" i="6"/>
  <c r="E719" i="6" s="1"/>
  <c r="F718" i="6"/>
  <c r="E718" i="6" s="1"/>
  <c r="F717" i="6"/>
  <c r="E717" i="6" s="1"/>
  <c r="F716" i="6"/>
  <c r="E716" i="6"/>
  <c r="F715" i="6"/>
  <c r="E715" i="6" s="1"/>
  <c r="F714" i="6"/>
  <c r="E714" i="6" s="1"/>
  <c r="F713" i="6"/>
  <c r="E713" i="6" s="1"/>
  <c r="F712" i="6"/>
  <c r="E712" i="6" s="1"/>
  <c r="F711" i="6"/>
  <c r="E711" i="6" s="1"/>
  <c r="F710" i="6"/>
  <c r="E710" i="6" s="1"/>
  <c r="F709" i="6"/>
  <c r="E709" i="6" s="1"/>
  <c r="F708" i="6"/>
  <c r="E708" i="6" s="1"/>
  <c r="F707" i="6"/>
  <c r="E707" i="6" s="1"/>
  <c r="F706" i="6"/>
  <c r="E706" i="6" s="1"/>
  <c r="F705" i="6"/>
  <c r="E705" i="6"/>
  <c r="F704" i="6"/>
  <c r="E704" i="6" s="1"/>
  <c r="F703" i="6"/>
  <c r="E703" i="6" s="1"/>
  <c r="F702" i="6"/>
  <c r="E702" i="6" s="1"/>
  <c r="F701" i="6"/>
  <c r="E701" i="6" s="1"/>
  <c r="F700" i="6"/>
  <c r="E700" i="6" s="1"/>
  <c r="F699" i="6"/>
  <c r="E699" i="6"/>
  <c r="F698" i="6"/>
  <c r="E698" i="6" s="1"/>
  <c r="F697" i="6"/>
  <c r="E697" i="6" s="1"/>
  <c r="F696" i="6"/>
  <c r="E696" i="6"/>
  <c r="F695" i="6"/>
  <c r="E695" i="6" s="1"/>
  <c r="F694" i="6"/>
  <c r="E694" i="6" s="1"/>
  <c r="F693" i="6"/>
  <c r="E693" i="6" s="1"/>
  <c r="F692" i="6"/>
  <c r="E692" i="6" s="1"/>
  <c r="F691" i="6"/>
  <c r="E691" i="6" s="1"/>
  <c r="F690" i="6"/>
  <c r="E690" i="6" s="1"/>
  <c r="F689" i="6"/>
  <c r="E689" i="6"/>
  <c r="F688" i="6"/>
  <c r="E688" i="6" s="1"/>
  <c r="F687" i="6"/>
  <c r="E687" i="6" s="1"/>
  <c r="F686" i="6"/>
  <c r="E686" i="6" s="1"/>
  <c r="F685" i="6"/>
  <c r="E685" i="6" s="1"/>
  <c r="F684" i="6"/>
  <c r="E684" i="6" s="1"/>
  <c r="F683" i="6"/>
  <c r="E683" i="6" s="1"/>
  <c r="F682" i="6"/>
  <c r="E682" i="6" s="1"/>
  <c r="F681" i="6"/>
  <c r="E681" i="6"/>
  <c r="F680" i="6"/>
  <c r="E680" i="6"/>
  <c r="F679" i="6"/>
  <c r="E679" i="6" s="1"/>
  <c r="F678" i="6"/>
  <c r="E678" i="6" s="1"/>
  <c r="F677" i="6"/>
  <c r="E677" i="6" s="1"/>
  <c r="F676" i="6"/>
  <c r="E676" i="6" s="1"/>
  <c r="F675" i="6"/>
  <c r="E675" i="6" s="1"/>
  <c r="F674" i="6"/>
  <c r="E674" i="6" s="1"/>
  <c r="F673" i="6"/>
  <c r="E673" i="6" s="1"/>
  <c r="F672" i="6"/>
  <c r="E672" i="6"/>
  <c r="F671" i="6"/>
  <c r="E671" i="6" s="1"/>
  <c r="F670" i="6"/>
  <c r="E670" i="6"/>
  <c r="F669" i="6"/>
  <c r="E669" i="6" s="1"/>
  <c r="F668" i="6"/>
  <c r="E668" i="6" s="1"/>
  <c r="F667" i="6"/>
  <c r="E667" i="6" s="1"/>
  <c r="F666" i="6"/>
  <c r="E666" i="6"/>
  <c r="F665" i="6"/>
  <c r="E665" i="6"/>
  <c r="F664" i="6"/>
  <c r="E664" i="6"/>
  <c r="F663" i="6"/>
  <c r="E663" i="6" s="1"/>
  <c r="F662" i="6"/>
  <c r="E662" i="6"/>
  <c r="F661" i="6"/>
  <c r="E661" i="6" s="1"/>
  <c r="F660" i="6"/>
  <c r="E660" i="6" s="1"/>
  <c r="F659" i="6"/>
  <c r="E659" i="6"/>
  <c r="F658" i="6"/>
  <c r="E658" i="6" s="1"/>
  <c r="F657" i="6"/>
  <c r="E657" i="6"/>
  <c r="F656" i="6"/>
  <c r="E656" i="6" s="1"/>
  <c r="F655" i="6"/>
  <c r="E655" i="6" s="1"/>
  <c r="F654" i="6"/>
  <c r="E654" i="6" s="1"/>
  <c r="F653" i="6"/>
  <c r="E653" i="6" s="1"/>
  <c r="F652" i="6"/>
  <c r="E652" i="6" s="1"/>
  <c r="F651" i="6"/>
  <c r="E651" i="6"/>
  <c r="F650" i="6"/>
  <c r="E650" i="6" s="1"/>
  <c r="F649" i="6"/>
  <c r="E649" i="6" s="1"/>
  <c r="F648" i="6"/>
  <c r="E648" i="6" s="1"/>
  <c r="F647" i="6"/>
  <c r="E647" i="6" s="1"/>
  <c r="F646" i="6"/>
  <c r="E646" i="6"/>
  <c r="F645" i="6"/>
  <c r="E645" i="6"/>
  <c r="F644" i="6"/>
  <c r="E644" i="6"/>
  <c r="F643" i="6"/>
  <c r="E643" i="6" s="1"/>
  <c r="F642" i="6"/>
  <c r="E642" i="6"/>
  <c r="F641" i="6"/>
  <c r="E641" i="6" s="1"/>
  <c r="F640" i="6"/>
  <c r="E640" i="6" s="1"/>
  <c r="F639" i="6"/>
  <c r="E639" i="6" s="1"/>
  <c r="F638" i="6"/>
  <c r="E638" i="6" s="1"/>
  <c r="F637" i="6"/>
  <c r="E637" i="6" s="1"/>
  <c r="F636" i="6"/>
  <c r="E636" i="6"/>
  <c r="F635" i="6"/>
  <c r="E635" i="6" s="1"/>
  <c r="F634" i="6"/>
  <c r="E634" i="6"/>
  <c r="F633" i="6"/>
  <c r="E633" i="6" s="1"/>
  <c r="F632" i="6"/>
  <c r="E632" i="6"/>
  <c r="F631" i="6"/>
  <c r="E631" i="6" s="1"/>
  <c r="F630" i="6"/>
  <c r="E630" i="6"/>
  <c r="F629" i="6"/>
  <c r="E629" i="6"/>
  <c r="F628" i="6"/>
  <c r="E628" i="6"/>
  <c r="F627" i="6"/>
  <c r="E627" i="6"/>
  <c r="F626" i="6"/>
  <c r="E626" i="6" s="1"/>
  <c r="F625" i="6"/>
  <c r="E625" i="6"/>
  <c r="F624" i="6"/>
  <c r="E624" i="6" s="1"/>
  <c r="F623" i="6"/>
  <c r="E623" i="6" s="1"/>
  <c r="F622" i="6"/>
  <c r="E622" i="6" s="1"/>
  <c r="F621" i="6"/>
  <c r="E621" i="6" s="1"/>
  <c r="F620" i="6"/>
  <c r="E620" i="6" s="1"/>
  <c r="F619" i="6"/>
  <c r="E619" i="6" s="1"/>
  <c r="F618" i="6"/>
  <c r="E618" i="6" s="1"/>
  <c r="F617" i="6"/>
  <c r="E617" i="6"/>
  <c r="F616" i="6"/>
  <c r="E616" i="6"/>
  <c r="F615" i="6"/>
  <c r="E615" i="6" s="1"/>
  <c r="F614" i="6"/>
  <c r="E614" i="6" s="1"/>
  <c r="F613" i="6"/>
  <c r="E613" i="6"/>
  <c r="F612" i="6"/>
  <c r="E612" i="6" s="1"/>
  <c r="F611" i="6"/>
  <c r="E611" i="6"/>
  <c r="F610" i="6"/>
  <c r="E610" i="6"/>
  <c r="F609" i="6"/>
  <c r="E609" i="6"/>
  <c r="F608" i="6"/>
  <c r="E608" i="6"/>
  <c r="F607" i="6"/>
  <c r="E607" i="6" s="1"/>
  <c r="F606" i="6"/>
  <c r="E606" i="6" s="1"/>
  <c r="F605" i="6"/>
  <c r="E605" i="6" s="1"/>
  <c r="F604" i="6"/>
  <c r="E604" i="6" s="1"/>
  <c r="F603" i="6"/>
  <c r="E603" i="6" s="1"/>
  <c r="F602" i="6"/>
  <c r="E602" i="6" s="1"/>
  <c r="F601" i="6"/>
  <c r="E601" i="6"/>
  <c r="F600" i="6"/>
  <c r="E600" i="6" s="1"/>
  <c r="F599" i="6"/>
  <c r="E599" i="6" s="1"/>
  <c r="F598" i="6"/>
  <c r="E598" i="6" s="1"/>
  <c r="F597" i="6"/>
  <c r="E597" i="6" s="1"/>
  <c r="F596" i="6"/>
  <c r="E596" i="6"/>
  <c r="F595" i="6"/>
  <c r="E595" i="6"/>
  <c r="F594" i="6"/>
  <c r="E594" i="6"/>
  <c r="F593" i="6"/>
  <c r="E593" i="6"/>
  <c r="F592" i="6"/>
  <c r="E592" i="6" s="1"/>
  <c r="F591" i="6"/>
  <c r="E591" i="6" s="1"/>
  <c r="F590" i="6"/>
  <c r="E590" i="6" s="1"/>
  <c r="F589" i="6"/>
  <c r="E589" i="6"/>
  <c r="F588" i="6"/>
  <c r="E588" i="6" s="1"/>
  <c r="F587" i="6"/>
  <c r="E587" i="6" s="1"/>
  <c r="F586" i="6"/>
  <c r="E586" i="6" s="1"/>
  <c r="F585" i="6"/>
  <c r="E585" i="6"/>
  <c r="F584" i="6"/>
  <c r="E584" i="6" s="1"/>
  <c r="F583" i="6"/>
  <c r="E583" i="6" s="1"/>
  <c r="F582" i="6"/>
  <c r="E582" i="6"/>
  <c r="F581" i="6"/>
  <c r="E581" i="6" s="1"/>
  <c r="F580" i="6"/>
  <c r="E580" i="6" s="1"/>
  <c r="F579" i="6"/>
  <c r="E579" i="6"/>
  <c r="F578" i="6"/>
  <c r="E578" i="6"/>
  <c r="F577" i="6"/>
  <c r="E577" i="6"/>
  <c r="F576" i="6"/>
  <c r="E576" i="6" s="1"/>
  <c r="F575" i="6"/>
  <c r="E575" i="6" s="1"/>
  <c r="F574" i="6"/>
  <c r="E574" i="6" s="1"/>
  <c r="F573" i="6"/>
  <c r="E573" i="6" s="1"/>
  <c r="F572" i="6"/>
  <c r="E572" i="6"/>
  <c r="F571" i="6"/>
  <c r="E571" i="6" s="1"/>
  <c r="F570" i="6"/>
  <c r="E570" i="6" s="1"/>
  <c r="F569" i="6"/>
  <c r="E569" i="6"/>
  <c r="F568" i="6"/>
  <c r="E568" i="6"/>
  <c r="F567" i="6"/>
  <c r="E567" i="6" s="1"/>
  <c r="F566" i="6"/>
  <c r="E566" i="6" s="1"/>
  <c r="F565" i="6"/>
  <c r="E565" i="6" s="1"/>
  <c r="F564" i="6"/>
  <c r="E564" i="6" s="1"/>
  <c r="F563" i="6"/>
  <c r="E563" i="6" s="1"/>
  <c r="F562" i="6"/>
  <c r="E562" i="6"/>
  <c r="F561" i="6"/>
  <c r="E561" i="6"/>
  <c r="F560" i="6"/>
  <c r="E560" i="6" s="1"/>
  <c r="F559" i="6"/>
  <c r="E559" i="6" s="1"/>
  <c r="F558" i="6"/>
  <c r="E558" i="6" s="1"/>
  <c r="F557" i="6"/>
  <c r="E557" i="6"/>
  <c r="F556" i="6"/>
  <c r="E556" i="6" s="1"/>
  <c r="F555" i="6"/>
  <c r="E555" i="6" s="1"/>
  <c r="F554" i="6"/>
  <c r="E554" i="6" s="1"/>
  <c r="F553" i="6"/>
  <c r="E553" i="6"/>
  <c r="F552" i="6"/>
  <c r="E552" i="6"/>
  <c r="F551" i="6"/>
  <c r="E551" i="6" s="1"/>
  <c r="F550" i="6"/>
  <c r="E550" i="6" s="1"/>
  <c r="F549" i="6"/>
  <c r="E549" i="6" s="1"/>
  <c r="F548" i="6"/>
  <c r="E548" i="6"/>
  <c r="F547" i="6"/>
  <c r="E547" i="6" s="1"/>
  <c r="F546" i="6"/>
  <c r="E546" i="6" s="1"/>
  <c r="F545" i="6"/>
  <c r="E545" i="6"/>
  <c r="F544" i="6"/>
  <c r="E544" i="6" s="1"/>
  <c r="F543" i="6"/>
  <c r="E543" i="6" s="1"/>
  <c r="F542" i="6"/>
  <c r="E542" i="6" s="1"/>
  <c r="F541" i="6"/>
  <c r="E541" i="6" s="1"/>
  <c r="F540" i="6"/>
  <c r="E540" i="6"/>
  <c r="F539" i="6"/>
  <c r="E539" i="6" s="1"/>
  <c r="F538" i="6"/>
  <c r="E538" i="6"/>
  <c r="F537" i="6"/>
  <c r="E537" i="6" s="1"/>
  <c r="F536" i="6"/>
  <c r="E536" i="6" s="1"/>
  <c r="F535" i="6"/>
  <c r="E535" i="6" s="1"/>
  <c r="F534" i="6"/>
  <c r="E534" i="6" s="1"/>
  <c r="F533" i="6"/>
  <c r="E533" i="6"/>
  <c r="F532" i="6"/>
  <c r="E532" i="6" s="1"/>
  <c r="F531" i="6"/>
  <c r="E531" i="6" s="1"/>
  <c r="F530" i="6"/>
  <c r="E530" i="6" s="1"/>
  <c r="F529" i="6"/>
  <c r="E529" i="6" s="1"/>
  <c r="F528" i="6"/>
  <c r="E528" i="6"/>
  <c r="F527" i="6"/>
  <c r="E527" i="6" s="1"/>
  <c r="F526" i="6"/>
  <c r="E526" i="6" s="1"/>
  <c r="F525" i="6"/>
  <c r="E525" i="6"/>
  <c r="F524" i="6"/>
  <c r="E524" i="6" s="1"/>
  <c r="F523" i="6"/>
  <c r="E523" i="6"/>
  <c r="F522" i="6"/>
  <c r="E522" i="6" s="1"/>
  <c r="F521" i="6"/>
  <c r="E521" i="6"/>
  <c r="F520" i="6"/>
  <c r="E520" i="6"/>
  <c r="F519" i="6"/>
  <c r="E519" i="6" s="1"/>
  <c r="F518" i="6"/>
  <c r="E518" i="6"/>
  <c r="F517" i="6"/>
  <c r="E517" i="6" s="1"/>
  <c r="F516" i="6"/>
  <c r="E516" i="6" s="1"/>
  <c r="F515" i="6"/>
  <c r="E515" i="6" s="1"/>
  <c r="F514" i="6"/>
  <c r="E514" i="6" s="1"/>
  <c r="F513" i="6"/>
  <c r="E513" i="6"/>
  <c r="F512" i="6"/>
  <c r="E512" i="6"/>
  <c r="F511" i="6"/>
  <c r="E511" i="6" s="1"/>
  <c r="F510" i="6"/>
  <c r="E510" i="6" s="1"/>
  <c r="F509" i="6"/>
  <c r="E509" i="6" s="1"/>
  <c r="F508" i="6"/>
  <c r="E508" i="6" s="1"/>
  <c r="F507" i="6"/>
  <c r="E507" i="6" s="1"/>
  <c r="F506" i="6"/>
  <c r="E506" i="6" s="1"/>
  <c r="F505" i="6"/>
  <c r="E505" i="6" s="1"/>
  <c r="F504" i="6"/>
  <c r="E504" i="6" s="1"/>
  <c r="F503" i="6"/>
  <c r="E503" i="6" s="1"/>
  <c r="F502" i="6"/>
  <c r="E502" i="6"/>
  <c r="F501" i="6"/>
  <c r="E501" i="6"/>
  <c r="F500" i="6"/>
  <c r="E500" i="6"/>
  <c r="F499" i="6"/>
  <c r="E499" i="6" s="1"/>
  <c r="F498" i="6"/>
  <c r="E498" i="6" s="1"/>
  <c r="F497" i="6"/>
  <c r="E497" i="6" s="1"/>
  <c r="F496" i="6"/>
  <c r="E496" i="6" s="1"/>
  <c r="F495" i="6"/>
  <c r="E495" i="6" s="1"/>
  <c r="F494" i="6"/>
  <c r="E494" i="6" s="1"/>
  <c r="F493" i="6"/>
  <c r="E493" i="6" s="1"/>
  <c r="F492" i="6"/>
  <c r="E492" i="6" s="1"/>
  <c r="F491" i="6"/>
  <c r="E491" i="6" s="1"/>
  <c r="F490" i="6"/>
  <c r="E490" i="6" s="1"/>
  <c r="F489" i="6"/>
  <c r="E489" i="6" s="1"/>
  <c r="F488" i="6"/>
  <c r="E488" i="6" s="1"/>
  <c r="F487" i="6"/>
  <c r="E487" i="6" s="1"/>
  <c r="F486" i="6"/>
  <c r="E486" i="6" s="1"/>
  <c r="F485" i="6"/>
  <c r="E485" i="6" s="1"/>
  <c r="F484" i="6"/>
  <c r="E484" i="6" s="1"/>
  <c r="F483" i="6"/>
  <c r="E483" i="6" s="1"/>
  <c r="F482" i="6"/>
  <c r="E482" i="6"/>
  <c r="F481" i="6"/>
  <c r="E481" i="6" s="1"/>
  <c r="F480" i="6"/>
  <c r="E480" i="6" s="1"/>
  <c r="F479" i="6"/>
  <c r="E479" i="6" s="1"/>
  <c r="F478" i="6"/>
  <c r="E478" i="6"/>
  <c r="F477" i="6"/>
  <c r="E477" i="6" s="1"/>
  <c r="F476" i="6"/>
  <c r="E476" i="6" s="1"/>
  <c r="F475" i="6"/>
  <c r="E475" i="6" s="1"/>
  <c r="F474" i="6"/>
  <c r="E474" i="6" s="1"/>
  <c r="F473" i="6"/>
  <c r="E473" i="6"/>
  <c r="F472" i="6"/>
  <c r="E472" i="6" s="1"/>
  <c r="F471" i="6"/>
  <c r="E471" i="6" s="1"/>
  <c r="F470" i="6"/>
  <c r="E470" i="6" s="1"/>
  <c r="F469" i="6"/>
  <c r="E469" i="6" s="1"/>
  <c r="F468" i="6"/>
  <c r="E468" i="6" s="1"/>
  <c r="F467" i="6"/>
  <c r="E467" i="6" s="1"/>
  <c r="F466" i="6"/>
  <c r="E466" i="6"/>
  <c r="F465" i="6"/>
  <c r="E465" i="6" s="1"/>
  <c r="F464" i="6"/>
  <c r="E464" i="6" s="1"/>
  <c r="F463" i="6"/>
  <c r="E463" i="6" s="1"/>
  <c r="F462" i="6"/>
  <c r="E462" i="6" s="1"/>
  <c r="F461" i="6"/>
  <c r="E461" i="6"/>
  <c r="F460" i="6"/>
  <c r="E460" i="6" s="1"/>
  <c r="F459" i="6"/>
  <c r="E459" i="6" s="1"/>
  <c r="F458" i="6"/>
  <c r="E458" i="6" s="1"/>
  <c r="F457" i="6"/>
  <c r="E457" i="6"/>
  <c r="F456" i="6"/>
  <c r="E456" i="6"/>
  <c r="F455" i="6"/>
  <c r="E455" i="6" s="1"/>
  <c r="F454" i="6"/>
  <c r="E454" i="6" s="1"/>
  <c r="F453" i="6"/>
  <c r="E453" i="6" s="1"/>
  <c r="F452" i="6"/>
  <c r="E452" i="6" s="1"/>
  <c r="F451" i="6"/>
  <c r="E451" i="6" s="1"/>
  <c r="F450" i="6"/>
  <c r="E450" i="6"/>
  <c r="F449" i="6"/>
  <c r="E449" i="6" s="1"/>
  <c r="F448" i="6"/>
  <c r="E448" i="6" s="1"/>
  <c r="F447" i="6"/>
  <c r="E447" i="6" s="1"/>
  <c r="F446" i="6"/>
  <c r="E446" i="6"/>
  <c r="F445" i="6"/>
  <c r="E445" i="6" s="1"/>
  <c r="F444" i="6"/>
  <c r="E444" i="6" s="1"/>
  <c r="F443" i="6"/>
  <c r="E443" i="6" s="1"/>
  <c r="F442" i="6"/>
  <c r="E442" i="6" s="1"/>
  <c r="F441" i="6"/>
  <c r="E441" i="6" s="1"/>
  <c r="F440" i="6"/>
  <c r="E440" i="6"/>
  <c r="F439" i="6"/>
  <c r="E439" i="6" s="1"/>
  <c r="F438" i="6"/>
  <c r="E438" i="6" s="1"/>
  <c r="F437" i="6"/>
  <c r="E437" i="6" s="1"/>
  <c r="F436" i="6"/>
  <c r="E436" i="6" s="1"/>
  <c r="F435" i="6"/>
  <c r="E435" i="6" s="1"/>
  <c r="F434" i="6"/>
  <c r="E434" i="6"/>
  <c r="F433" i="6"/>
  <c r="E433" i="6" s="1"/>
  <c r="F432" i="6"/>
  <c r="E432" i="6" s="1"/>
  <c r="F431" i="6"/>
  <c r="E431" i="6" s="1"/>
  <c r="F430" i="6"/>
  <c r="E430" i="6" s="1"/>
  <c r="F429" i="6"/>
  <c r="E429" i="6"/>
  <c r="F428" i="6"/>
  <c r="E428" i="6" s="1"/>
  <c r="F427" i="6"/>
  <c r="E427" i="6"/>
  <c r="F426" i="6"/>
  <c r="E426" i="6" s="1"/>
  <c r="F425" i="6"/>
  <c r="E425" i="6" s="1"/>
  <c r="F424" i="6"/>
  <c r="E424" i="6"/>
  <c r="F423" i="6"/>
  <c r="E423" i="6" s="1"/>
  <c r="F422" i="6"/>
  <c r="E422" i="6"/>
  <c r="F421" i="6"/>
  <c r="E421" i="6" s="1"/>
  <c r="F420" i="6"/>
  <c r="E420" i="6" s="1"/>
  <c r="F419" i="6"/>
  <c r="E419" i="6" s="1"/>
  <c r="F418" i="6"/>
  <c r="E418" i="6" s="1"/>
  <c r="F417" i="6"/>
  <c r="E417" i="6" s="1"/>
  <c r="F416" i="6"/>
  <c r="E416" i="6" s="1"/>
  <c r="F415" i="6"/>
  <c r="E415" i="6" s="1"/>
  <c r="F414" i="6"/>
  <c r="E414" i="6" s="1"/>
  <c r="F413" i="6"/>
  <c r="E413" i="6" s="1"/>
  <c r="F412" i="6"/>
  <c r="E412" i="6"/>
  <c r="F411" i="6"/>
  <c r="E411" i="6" s="1"/>
  <c r="F410" i="6"/>
  <c r="E410" i="6" s="1"/>
  <c r="F409" i="6"/>
  <c r="E409" i="6" s="1"/>
  <c r="F408" i="6"/>
  <c r="E408" i="6"/>
  <c r="F407" i="6"/>
  <c r="E407" i="6" s="1"/>
  <c r="F406" i="6"/>
  <c r="E406" i="6"/>
  <c r="F405" i="6"/>
  <c r="E405" i="6"/>
  <c r="F404" i="6"/>
  <c r="E404" i="6" s="1"/>
  <c r="F403" i="6"/>
  <c r="E403" i="6"/>
  <c r="F402" i="6"/>
  <c r="E402" i="6" s="1"/>
  <c r="F401" i="6"/>
  <c r="E401" i="6"/>
  <c r="F400" i="6"/>
  <c r="E400" i="6"/>
  <c r="F399" i="6"/>
  <c r="E399" i="6" s="1"/>
  <c r="F398" i="6"/>
  <c r="E398" i="6" s="1"/>
  <c r="F397" i="6"/>
  <c r="E397" i="6" s="1"/>
  <c r="F396" i="6"/>
  <c r="E396" i="6" s="1"/>
  <c r="F395" i="6"/>
  <c r="E395" i="6"/>
  <c r="F394" i="6"/>
  <c r="E394" i="6" s="1"/>
  <c r="F393" i="6"/>
  <c r="E393" i="6" s="1"/>
  <c r="F392" i="6"/>
  <c r="E392" i="6"/>
  <c r="F391" i="6"/>
  <c r="E391" i="6" s="1"/>
  <c r="F390" i="6"/>
  <c r="E390" i="6"/>
  <c r="F389" i="6"/>
  <c r="E389" i="6"/>
  <c r="F388" i="6"/>
  <c r="E388" i="6" s="1"/>
  <c r="F387" i="6"/>
  <c r="E387" i="6" s="1"/>
  <c r="F386" i="6"/>
  <c r="E386" i="6" s="1"/>
  <c r="F385" i="6"/>
  <c r="E385" i="6" s="1"/>
  <c r="F384" i="6"/>
  <c r="E384" i="6" s="1"/>
  <c r="F383" i="6"/>
  <c r="E383" i="6" s="1"/>
  <c r="F382" i="6"/>
  <c r="E382" i="6" s="1"/>
  <c r="F381" i="6"/>
  <c r="E381" i="6" s="1"/>
  <c r="F380" i="6"/>
  <c r="E380" i="6" s="1"/>
  <c r="F379" i="6"/>
  <c r="E379" i="6" s="1"/>
  <c r="F378" i="6"/>
  <c r="E378" i="6"/>
  <c r="F377" i="6"/>
  <c r="E377" i="6" s="1"/>
  <c r="F376" i="6"/>
  <c r="E376" i="6"/>
  <c r="F375" i="6"/>
  <c r="E375" i="6" s="1"/>
  <c r="F374" i="6"/>
  <c r="E374" i="6" s="1"/>
  <c r="F373" i="6"/>
  <c r="E373" i="6" s="1"/>
  <c r="F372" i="6"/>
  <c r="E372" i="6"/>
  <c r="F371" i="6"/>
  <c r="E371" i="6" s="1"/>
  <c r="F370" i="6"/>
  <c r="E370" i="6" s="1"/>
  <c r="F369" i="6"/>
  <c r="E369" i="6"/>
  <c r="F368" i="6"/>
  <c r="E368" i="6" s="1"/>
  <c r="F367" i="6"/>
  <c r="E367" i="6" s="1"/>
  <c r="F366" i="6"/>
  <c r="E366" i="6" s="1"/>
  <c r="F365" i="6"/>
  <c r="E365" i="6" s="1"/>
  <c r="F364" i="6"/>
  <c r="E364" i="6" s="1"/>
  <c r="F363" i="6"/>
  <c r="E363" i="6" s="1"/>
  <c r="F362" i="6"/>
  <c r="E362" i="6" s="1"/>
  <c r="F361" i="6"/>
  <c r="E361" i="6" s="1"/>
  <c r="F360" i="6"/>
  <c r="E360" i="6"/>
  <c r="F359" i="6"/>
  <c r="E359" i="6" s="1"/>
  <c r="F358" i="6"/>
  <c r="E358" i="6" s="1"/>
  <c r="F357" i="6"/>
  <c r="E357" i="6"/>
  <c r="F356" i="6"/>
  <c r="E356" i="6" s="1"/>
  <c r="F355" i="6"/>
  <c r="E355" i="6"/>
  <c r="F354" i="6"/>
  <c r="E354" i="6"/>
  <c r="F353" i="6"/>
  <c r="E353" i="6"/>
  <c r="F352" i="6"/>
  <c r="E352" i="6" s="1"/>
  <c r="F351" i="6"/>
  <c r="E351" i="6" s="1"/>
  <c r="F350" i="6"/>
  <c r="E350" i="6" s="1"/>
  <c r="F349" i="6"/>
  <c r="E349" i="6" s="1"/>
  <c r="F348" i="6"/>
  <c r="E348" i="6" s="1"/>
  <c r="F347" i="6"/>
  <c r="E347" i="6" s="1"/>
  <c r="F346" i="6"/>
  <c r="E346" i="6" s="1"/>
  <c r="F345" i="6"/>
  <c r="E345" i="6"/>
  <c r="F344" i="6"/>
  <c r="E344" i="6" s="1"/>
  <c r="F343" i="6"/>
  <c r="E343" i="6" s="1"/>
  <c r="F342" i="6"/>
  <c r="E342" i="6" s="1"/>
  <c r="F341" i="6"/>
  <c r="E341" i="6" s="1"/>
  <c r="F340" i="6"/>
  <c r="E340" i="6" s="1"/>
  <c r="F339" i="6"/>
  <c r="E339" i="6"/>
  <c r="F338" i="6"/>
  <c r="E338" i="6"/>
  <c r="F337" i="6"/>
  <c r="E337" i="6"/>
  <c r="F336" i="6"/>
  <c r="E336" i="6" s="1"/>
  <c r="F335" i="6"/>
  <c r="E335" i="6" s="1"/>
  <c r="F334" i="6"/>
  <c r="E334" i="6" s="1"/>
  <c r="F333" i="6"/>
  <c r="E333" i="6"/>
  <c r="F332" i="6"/>
  <c r="E332" i="6" s="1"/>
  <c r="F331" i="6"/>
  <c r="E331" i="6" s="1"/>
  <c r="F330" i="6"/>
  <c r="E330" i="6" s="1"/>
  <c r="F329" i="6"/>
  <c r="E329" i="6"/>
  <c r="F328" i="6"/>
  <c r="E328" i="6" s="1"/>
  <c r="F327" i="6"/>
  <c r="E327" i="6" s="1"/>
  <c r="F326" i="6"/>
  <c r="E326" i="6"/>
  <c r="F325" i="6"/>
  <c r="E325" i="6" s="1"/>
  <c r="F324" i="6"/>
  <c r="E324" i="6" s="1"/>
  <c r="F323" i="6"/>
  <c r="E323" i="6"/>
  <c r="F322" i="6"/>
  <c r="E322" i="6"/>
  <c r="F321" i="6"/>
  <c r="E321" i="6"/>
  <c r="F320" i="6"/>
  <c r="E320" i="6" s="1"/>
  <c r="F319" i="6"/>
  <c r="E319" i="6" s="1"/>
  <c r="F318" i="6"/>
  <c r="E318" i="6" s="1"/>
  <c r="F317" i="6"/>
  <c r="E317" i="6" s="1"/>
  <c r="F316" i="6"/>
  <c r="E316" i="6"/>
  <c r="F315" i="6"/>
  <c r="E315" i="6" s="1"/>
  <c r="F314" i="6"/>
  <c r="E314" i="6" s="1"/>
  <c r="F313" i="6"/>
  <c r="E313" i="6"/>
  <c r="F312" i="6"/>
  <c r="E312" i="6"/>
  <c r="F311" i="6"/>
  <c r="E311" i="6" s="1"/>
  <c r="F310" i="6"/>
  <c r="E310" i="6" s="1"/>
  <c r="F309" i="6"/>
  <c r="E309" i="6" s="1"/>
  <c r="F308" i="6"/>
  <c r="E308" i="6" s="1"/>
  <c r="F307" i="6"/>
  <c r="E307" i="6" s="1"/>
  <c r="F306" i="6"/>
  <c r="E306" i="6"/>
  <c r="F305" i="6"/>
  <c r="E305" i="6"/>
  <c r="F304" i="6"/>
  <c r="E304" i="6" s="1"/>
  <c r="F303" i="6"/>
  <c r="E303" i="6" s="1"/>
  <c r="F302" i="6"/>
  <c r="E302" i="6" s="1"/>
  <c r="F301" i="6"/>
  <c r="E301" i="6"/>
  <c r="F300" i="6"/>
  <c r="E300" i="6" s="1"/>
  <c r="F299" i="6"/>
  <c r="E299" i="6" s="1"/>
  <c r="F298" i="6"/>
  <c r="E298" i="6" s="1"/>
  <c r="F297" i="6"/>
  <c r="E297" i="6"/>
  <c r="F296" i="6"/>
  <c r="E296" i="6" s="1"/>
  <c r="F295" i="6"/>
  <c r="E295" i="6" s="1"/>
  <c r="F294" i="6"/>
  <c r="E294" i="6"/>
  <c r="F293" i="6"/>
  <c r="E293" i="6" s="1"/>
  <c r="F292" i="6"/>
  <c r="E292" i="6"/>
  <c r="F274" i="6"/>
  <c r="E274" i="6" s="1"/>
  <c r="F273" i="6"/>
  <c r="E273" i="6" s="1"/>
  <c r="F272" i="6"/>
  <c r="E272" i="6" s="1"/>
  <c r="F271" i="6"/>
  <c r="E271" i="6" s="1"/>
  <c r="F270" i="6"/>
  <c r="E270" i="6" s="1"/>
  <c r="F269" i="6"/>
  <c r="E269" i="6" s="1"/>
  <c r="F268" i="6"/>
  <c r="E268" i="6" s="1"/>
  <c r="F267" i="6"/>
  <c r="E267" i="6"/>
  <c r="F266" i="6"/>
  <c r="E266" i="6" s="1"/>
  <c r="F265" i="6"/>
  <c r="E265" i="6" s="1"/>
  <c r="F264" i="6"/>
  <c r="E264" i="6"/>
  <c r="F263" i="6"/>
  <c r="E263" i="6" s="1"/>
  <c r="F262" i="6"/>
  <c r="E262" i="6" s="1"/>
  <c r="F261" i="6"/>
  <c r="E261" i="6" s="1"/>
  <c r="F260" i="6"/>
  <c r="E260" i="6" s="1"/>
  <c r="F259" i="6"/>
  <c r="E259" i="6" s="1"/>
  <c r="F258" i="6"/>
  <c r="E258" i="6"/>
  <c r="F257" i="6"/>
  <c r="E257" i="6" s="1"/>
  <c r="F256" i="6"/>
  <c r="E256" i="6" s="1"/>
  <c r="F255" i="6"/>
  <c r="E255" i="6" s="1"/>
  <c r="F254" i="6"/>
  <c r="E254" i="6" s="1"/>
  <c r="F253" i="6"/>
  <c r="E253" i="6" s="1"/>
  <c r="F252" i="6"/>
  <c r="E252" i="6" s="1"/>
  <c r="F251" i="6"/>
  <c r="E251" i="6" s="1"/>
  <c r="F250" i="6"/>
  <c r="E250" i="6"/>
  <c r="F249" i="6"/>
  <c r="E249" i="6" s="1"/>
  <c r="F248" i="6"/>
  <c r="E248" i="6"/>
  <c r="F247" i="6"/>
  <c r="E247" i="6" s="1"/>
  <c r="F246" i="6"/>
  <c r="E246" i="6" s="1"/>
  <c r="F245" i="6"/>
  <c r="E245" i="6" s="1"/>
  <c r="F244" i="6"/>
  <c r="E244" i="6"/>
  <c r="F243" i="6"/>
  <c r="E243" i="6" s="1"/>
  <c r="F242" i="6"/>
  <c r="E242" i="6"/>
  <c r="F241" i="6"/>
  <c r="E241" i="6" s="1"/>
  <c r="F240" i="6"/>
  <c r="E240" i="6"/>
  <c r="F239" i="6"/>
  <c r="E239" i="6" s="1"/>
  <c r="F238" i="6"/>
  <c r="E238" i="6" s="1"/>
  <c r="F237" i="6"/>
  <c r="E237" i="6" s="1"/>
  <c r="F236" i="6"/>
  <c r="E236" i="6"/>
  <c r="F235" i="6"/>
  <c r="E235" i="6" s="1"/>
  <c r="F234" i="6"/>
  <c r="E234" i="6"/>
  <c r="F233" i="6"/>
  <c r="E233" i="6" s="1"/>
  <c r="F232" i="6"/>
  <c r="E232" i="6" s="1"/>
  <c r="F231" i="6"/>
  <c r="E231" i="6" s="1"/>
  <c r="F230" i="6"/>
  <c r="E230" i="6" s="1"/>
  <c r="F229" i="6"/>
  <c r="E229" i="6" s="1"/>
  <c r="F228" i="6"/>
  <c r="E228" i="6"/>
  <c r="F227" i="6"/>
  <c r="E227" i="6" s="1"/>
  <c r="F226" i="6"/>
  <c r="E226" i="6" s="1"/>
  <c r="F225" i="6"/>
  <c r="E225" i="6" s="1"/>
  <c r="F224" i="6"/>
  <c r="E224" i="6"/>
  <c r="F223" i="6"/>
  <c r="E223" i="6" s="1"/>
  <c r="F222" i="6"/>
  <c r="E222" i="6" s="1"/>
  <c r="F221" i="6"/>
  <c r="E221" i="6" s="1"/>
  <c r="F220" i="6"/>
  <c r="E220" i="6" s="1"/>
  <c r="F219" i="6"/>
  <c r="E219" i="6" s="1"/>
  <c r="F218" i="6"/>
  <c r="E218" i="6"/>
  <c r="F217" i="6"/>
  <c r="E217" i="6" s="1"/>
  <c r="F216" i="6"/>
  <c r="E216" i="6" s="1"/>
  <c r="F215" i="6"/>
  <c r="E215" i="6" s="1"/>
  <c r="F214" i="6"/>
  <c r="E214" i="6" s="1"/>
  <c r="F213" i="6"/>
  <c r="E213" i="6" s="1"/>
  <c r="F212" i="6"/>
  <c r="E212" i="6"/>
  <c r="F211" i="6"/>
  <c r="E211" i="6" s="1"/>
  <c r="F210" i="6"/>
  <c r="E210" i="6" s="1"/>
  <c r="F209" i="6"/>
  <c r="E209" i="6" s="1"/>
  <c r="F208" i="6"/>
  <c r="E208" i="6"/>
  <c r="F207" i="6"/>
  <c r="E207" i="6" s="1"/>
  <c r="F206" i="6"/>
  <c r="E206" i="6" s="1"/>
  <c r="F205" i="6"/>
  <c r="E205" i="6" s="1"/>
  <c r="F204" i="6"/>
  <c r="E204" i="6" s="1"/>
  <c r="F203" i="6"/>
  <c r="E203" i="6" s="1"/>
  <c r="F202" i="6"/>
  <c r="E202" i="6"/>
  <c r="F201" i="6"/>
  <c r="E201" i="6" s="1"/>
  <c r="F200" i="6"/>
  <c r="E200" i="6" s="1"/>
  <c r="F199" i="6"/>
  <c r="E199" i="6" s="1"/>
  <c r="F198" i="6"/>
  <c r="E198" i="6" s="1"/>
  <c r="F197" i="6"/>
  <c r="E197" i="6" s="1"/>
  <c r="F196" i="6"/>
  <c r="E196" i="6"/>
  <c r="F195" i="6"/>
  <c r="E195" i="6" s="1"/>
  <c r="F194" i="6"/>
  <c r="E194" i="6" s="1"/>
  <c r="F193" i="6"/>
  <c r="E193" i="6" s="1"/>
  <c r="F192" i="6"/>
  <c r="E192" i="6"/>
  <c r="F191" i="6"/>
  <c r="E191" i="6" s="1"/>
  <c r="F190" i="6"/>
  <c r="E190" i="6" s="1"/>
  <c r="F189" i="6"/>
  <c r="E189" i="6" s="1"/>
  <c r="F188" i="6"/>
  <c r="E188" i="6" s="1"/>
  <c r="F187" i="6"/>
  <c r="E187" i="6" s="1"/>
  <c r="F186" i="6"/>
  <c r="E186" i="6"/>
  <c r="F185" i="6"/>
  <c r="E185" i="6" s="1"/>
  <c r="F184" i="6"/>
  <c r="E184" i="6"/>
  <c r="F183" i="6"/>
  <c r="E183" i="6" s="1"/>
  <c r="F182" i="6"/>
  <c r="E182" i="6" s="1"/>
  <c r="F181" i="6"/>
  <c r="E181" i="6" s="1"/>
  <c r="F180" i="6"/>
  <c r="E180" i="6"/>
  <c r="F179" i="6"/>
  <c r="E179" i="6" s="1"/>
  <c r="F178" i="6"/>
  <c r="E178" i="6"/>
  <c r="F177" i="6"/>
  <c r="E177" i="6" s="1"/>
  <c r="F176" i="6"/>
  <c r="E176" i="6"/>
  <c r="F175" i="6"/>
  <c r="E175" i="6" s="1"/>
  <c r="F174" i="6"/>
  <c r="E174" i="6" s="1"/>
  <c r="F173" i="6"/>
  <c r="E173" i="6" s="1"/>
  <c r="F172" i="6"/>
  <c r="E172" i="6"/>
  <c r="F171" i="6"/>
  <c r="E171" i="6" s="1"/>
  <c r="F170" i="6"/>
  <c r="E170" i="6"/>
  <c r="F169" i="6"/>
  <c r="E169" i="6" s="1"/>
  <c r="F168" i="6"/>
  <c r="E168" i="6" s="1"/>
  <c r="F167" i="6"/>
  <c r="E167" i="6" s="1"/>
  <c r="F166" i="6"/>
  <c r="E166" i="6" s="1"/>
  <c r="F165" i="6"/>
  <c r="E165" i="6" s="1"/>
  <c r="F164" i="6"/>
  <c r="E164" i="6"/>
  <c r="F163" i="6"/>
  <c r="E163" i="6" s="1"/>
  <c r="F162" i="6"/>
  <c r="E162" i="6" s="1"/>
  <c r="F161" i="6"/>
  <c r="E161" i="6" s="1"/>
  <c r="F160" i="6"/>
  <c r="E160" i="6"/>
  <c r="F159" i="6"/>
  <c r="E159" i="6" s="1"/>
  <c r="F158" i="6"/>
  <c r="E158" i="6" s="1"/>
  <c r="F157" i="6"/>
  <c r="E157" i="6" s="1"/>
  <c r="F156" i="6"/>
  <c r="E156" i="6" s="1"/>
  <c r="F155" i="6"/>
  <c r="E155" i="6" s="1"/>
  <c r="F154" i="6"/>
  <c r="E154" i="6"/>
  <c r="F153" i="6"/>
  <c r="E153" i="6" s="1"/>
  <c r="F152" i="6"/>
  <c r="E152" i="6" s="1"/>
  <c r="F151" i="6"/>
  <c r="E151" i="6" s="1"/>
  <c r="F150" i="6"/>
  <c r="E150" i="6" s="1"/>
  <c r="F149" i="6"/>
  <c r="E149" i="6" s="1"/>
  <c r="F148" i="6"/>
  <c r="E148" i="6"/>
  <c r="F147" i="6"/>
  <c r="E147" i="6" s="1"/>
  <c r="F146" i="6"/>
  <c r="E146" i="6" s="1"/>
  <c r="F145" i="6"/>
  <c r="E145" i="6" s="1"/>
  <c r="F144" i="6"/>
  <c r="E144" i="6"/>
  <c r="F143" i="6"/>
  <c r="E143" i="6" s="1"/>
  <c r="F142" i="6"/>
  <c r="E142" i="6" s="1"/>
  <c r="F141" i="6"/>
  <c r="E141" i="6" s="1"/>
  <c r="F140" i="6"/>
  <c r="E140" i="6" s="1"/>
  <c r="F139" i="6"/>
  <c r="E139" i="6" s="1"/>
  <c r="F138" i="6"/>
  <c r="E138" i="6" s="1"/>
  <c r="F137" i="6"/>
  <c r="E137" i="6" s="1"/>
  <c r="F136" i="6"/>
  <c r="E136" i="6" s="1"/>
  <c r="F135" i="6"/>
  <c r="E135" i="6" s="1"/>
  <c r="F134" i="6"/>
  <c r="E134" i="6" s="1"/>
  <c r="F133" i="6"/>
  <c r="E133" i="6" s="1"/>
  <c r="F132" i="6"/>
  <c r="E132" i="6"/>
  <c r="F131" i="6"/>
  <c r="E131" i="6" s="1"/>
  <c r="F130" i="6"/>
  <c r="E130" i="6" s="1"/>
  <c r="F129" i="6"/>
  <c r="E129" i="6" s="1"/>
  <c r="F128" i="6"/>
  <c r="E128" i="6"/>
  <c r="F127" i="6"/>
  <c r="E127" i="6" s="1"/>
  <c r="F126" i="6"/>
  <c r="E126" i="6" s="1"/>
  <c r="F125" i="6"/>
  <c r="E125" i="6" s="1"/>
  <c r="F124" i="6"/>
  <c r="E124" i="6" s="1"/>
  <c r="F123" i="6"/>
  <c r="E123" i="6" s="1"/>
  <c r="F122" i="6"/>
  <c r="E122" i="6" s="1"/>
  <c r="F121" i="6"/>
  <c r="E121" i="6" s="1"/>
  <c r="F120" i="6"/>
  <c r="E120" i="6"/>
  <c r="F119" i="6"/>
  <c r="E119" i="6" s="1"/>
  <c r="F118" i="6"/>
  <c r="E118" i="6" s="1"/>
  <c r="F117" i="6"/>
  <c r="E117" i="6" s="1"/>
  <c r="F116" i="6"/>
  <c r="E116" i="6"/>
  <c r="F115" i="6"/>
  <c r="E115" i="6" s="1"/>
  <c r="F114" i="6"/>
  <c r="E114" i="6"/>
  <c r="F113" i="6"/>
  <c r="E113" i="6" s="1"/>
  <c r="F112" i="6"/>
  <c r="E112" i="6"/>
  <c r="F111" i="6"/>
  <c r="E111" i="6" s="1"/>
  <c r="F110" i="6"/>
  <c r="E110" i="6" s="1"/>
  <c r="F109" i="6"/>
  <c r="E109" i="6" s="1"/>
  <c r="F108" i="6"/>
  <c r="E108" i="6"/>
  <c r="F107" i="6"/>
  <c r="E107" i="6" s="1"/>
  <c r="F106" i="6"/>
  <c r="E106" i="6"/>
  <c r="F105" i="6"/>
  <c r="E105" i="6" s="1"/>
  <c r="F104" i="6"/>
  <c r="E104" i="6" s="1"/>
  <c r="F103" i="6"/>
  <c r="E103" i="6" s="1"/>
  <c r="F102" i="6"/>
  <c r="E102" i="6" s="1"/>
  <c r="F101" i="6"/>
  <c r="E101" i="6" s="1"/>
  <c r="F100" i="6"/>
  <c r="E100" i="6"/>
  <c r="F99" i="6"/>
  <c r="E99" i="6" s="1"/>
  <c r="F98" i="6"/>
  <c r="E98" i="6" s="1"/>
  <c r="F97" i="6"/>
  <c r="E97" i="6" s="1"/>
  <c r="F96" i="6"/>
  <c r="E96" i="6"/>
  <c r="F95" i="6"/>
  <c r="E95" i="6" s="1"/>
  <c r="F94" i="6"/>
  <c r="E94" i="6" s="1"/>
  <c r="F93" i="6"/>
  <c r="E93" i="6" s="1"/>
  <c r="F92" i="6"/>
  <c r="E92" i="6" s="1"/>
  <c r="F91" i="6"/>
  <c r="E91" i="6" s="1"/>
  <c r="F90" i="6"/>
  <c r="E90" i="6"/>
  <c r="F89" i="6"/>
  <c r="E89" i="6" s="1"/>
  <c r="F88" i="6"/>
  <c r="E88" i="6"/>
  <c r="F87" i="6"/>
  <c r="E87" i="6" s="1"/>
  <c r="F86" i="6"/>
  <c r="E86" i="6" s="1"/>
  <c r="F85" i="6"/>
  <c r="E85" i="6" s="1"/>
  <c r="F84" i="6"/>
  <c r="E84" i="6"/>
  <c r="F83" i="6"/>
  <c r="E83" i="6" s="1"/>
  <c r="F82" i="6"/>
  <c r="E82" i="6" s="1"/>
  <c r="F81" i="6"/>
  <c r="E81" i="6" s="1"/>
  <c r="F80" i="6"/>
  <c r="E80" i="6"/>
  <c r="F79" i="6"/>
  <c r="E79" i="6" s="1"/>
  <c r="F78" i="6"/>
  <c r="E78" i="6" s="1"/>
  <c r="F77" i="6"/>
  <c r="E77" i="6" s="1"/>
  <c r="F76" i="6"/>
  <c r="E76" i="6"/>
  <c r="F75" i="6"/>
  <c r="E75" i="6" s="1"/>
  <c r="F74" i="6"/>
  <c r="E74" i="6" s="1"/>
  <c r="F73" i="6"/>
  <c r="E73" i="6" s="1"/>
  <c r="F72" i="6"/>
  <c r="E72" i="6" s="1"/>
  <c r="F71" i="6"/>
  <c r="E71" i="6" s="1"/>
  <c r="F70" i="6"/>
  <c r="E70" i="6" s="1"/>
  <c r="F69" i="6"/>
  <c r="E69" i="6" s="1"/>
  <c r="F68" i="6"/>
  <c r="E68" i="6"/>
  <c r="F67" i="6"/>
  <c r="E67" i="6" s="1"/>
  <c r="F66" i="6"/>
  <c r="E66" i="6" s="1"/>
  <c r="F65" i="6"/>
  <c r="E65" i="6" s="1"/>
  <c r="F64" i="6"/>
  <c r="E64" i="6" s="1"/>
  <c r="F63" i="6"/>
  <c r="E63" i="6" s="1"/>
  <c r="F62" i="6"/>
  <c r="E62" i="6" s="1"/>
  <c r="F61" i="6"/>
  <c r="E61" i="6" s="1"/>
  <c r="F60" i="6"/>
  <c r="E60" i="6" s="1"/>
  <c r="F59" i="6"/>
  <c r="E59" i="6" s="1"/>
  <c r="F58" i="6"/>
  <c r="E58" i="6"/>
  <c r="F57" i="6"/>
  <c r="E57" i="6" s="1"/>
  <c r="F56" i="6"/>
  <c r="E56" i="6"/>
  <c r="F55" i="6"/>
  <c r="E55" i="6" s="1"/>
  <c r="F54" i="6"/>
  <c r="E54" i="6" s="1"/>
  <c r="F53" i="6"/>
  <c r="E53" i="6" s="1"/>
  <c r="F52" i="6"/>
  <c r="E52" i="6" s="1"/>
  <c r="F51" i="6"/>
  <c r="E51" i="6" s="1"/>
  <c r="F50" i="6"/>
  <c r="E50" i="6"/>
  <c r="F49" i="6"/>
  <c r="E49" i="6" s="1"/>
  <c r="F48" i="6"/>
  <c r="E48" i="6"/>
  <c r="F47" i="6"/>
  <c r="E47" i="6" s="1"/>
  <c r="F46" i="6"/>
  <c r="E46" i="6" s="1"/>
  <c r="F45" i="6"/>
  <c r="E45" i="6" s="1"/>
  <c r="F44" i="6"/>
  <c r="E44" i="6"/>
  <c r="F43" i="6"/>
  <c r="E43" i="6" s="1"/>
  <c r="F42" i="6"/>
  <c r="E42" i="6"/>
  <c r="F41" i="6"/>
  <c r="E41" i="6" s="1"/>
  <c r="F40" i="6"/>
  <c r="E40" i="6" s="1"/>
  <c r="F39" i="6"/>
  <c r="E39" i="6" s="1"/>
  <c r="F38" i="6"/>
  <c r="E38" i="6" s="1"/>
  <c r="F37" i="6"/>
  <c r="E37" i="6" s="1"/>
  <c r="F36" i="6"/>
  <c r="E36" i="6"/>
  <c r="F35" i="6"/>
  <c r="E35" i="6" s="1"/>
  <c r="F34" i="6"/>
  <c r="E34" i="6"/>
  <c r="F33" i="6"/>
  <c r="E33" i="6" s="1"/>
  <c r="F32" i="6"/>
  <c r="E32" i="6"/>
  <c r="F31" i="6"/>
  <c r="E31" i="6" s="1"/>
  <c r="F30" i="6"/>
  <c r="E30" i="6" s="1"/>
  <c r="F29" i="6"/>
  <c r="E29" i="6" s="1"/>
  <c r="F28" i="6"/>
  <c r="E28" i="6" s="1"/>
  <c r="F27" i="6"/>
  <c r="E27" i="6" s="1"/>
  <c r="F26" i="6"/>
  <c r="E26" i="6"/>
  <c r="F25" i="6"/>
  <c r="E25" i="6" s="1"/>
  <c r="F24" i="6"/>
  <c r="E24" i="6" s="1"/>
  <c r="F23" i="6"/>
  <c r="E23" i="6" s="1"/>
  <c r="F22" i="6"/>
  <c r="E22" i="6" s="1"/>
  <c r="F21" i="6"/>
  <c r="E21" i="6" s="1"/>
  <c r="F20" i="6"/>
  <c r="E20" i="6"/>
  <c r="F19" i="6"/>
  <c r="E19" i="6" s="1"/>
  <c r="F18" i="6"/>
  <c r="E18" i="6"/>
  <c r="F17" i="6"/>
  <c r="E17" i="6" s="1"/>
  <c r="F16" i="6"/>
  <c r="E16" i="6"/>
  <c r="F15" i="6"/>
  <c r="E15" i="6" s="1"/>
  <c r="F14" i="6"/>
  <c r="E14" i="6" s="1"/>
  <c r="F13" i="6"/>
  <c r="E13" i="6" s="1"/>
  <c r="F12" i="6"/>
  <c r="E12" i="6" s="1"/>
  <c r="F11" i="6"/>
  <c r="E11" i="6" s="1"/>
  <c r="F10" i="6"/>
  <c r="E10" i="6"/>
  <c r="F9" i="6"/>
  <c r="E9" i="6" s="1"/>
  <c r="F8" i="6"/>
  <c r="E8" i="6" s="1"/>
  <c r="F7" i="6"/>
  <c r="E7" i="6" s="1"/>
  <c r="F6" i="6"/>
  <c r="E6" i="6" s="1"/>
  <c r="F5" i="6"/>
  <c r="E5" i="6" s="1"/>
  <c r="F4" i="6"/>
  <c r="E4" i="6"/>
  <c r="F3" i="6"/>
  <c r="E3" i="6" s="1"/>
  <c r="F1261" i="1"/>
  <c r="G1261" i="1" s="1"/>
  <c r="B1261" i="1" s="1"/>
  <c r="F1260" i="1"/>
  <c r="G1260" i="1" s="1"/>
  <c r="B1260" i="1" s="1"/>
  <c r="F1259" i="1"/>
  <c r="G1259" i="1" s="1"/>
  <c r="B1259" i="1" s="1"/>
  <c r="F1258" i="1"/>
  <c r="G1258" i="1" s="1"/>
  <c r="B1258" i="1" s="1"/>
  <c r="F1257" i="1"/>
  <c r="G1257" i="1" s="1"/>
  <c r="B1257" i="1" s="1"/>
  <c r="F1256" i="1"/>
  <c r="G1256" i="1" s="1"/>
  <c r="B1256" i="1" s="1"/>
  <c r="F1255" i="1"/>
  <c r="G1255" i="1" s="1"/>
  <c r="B1255" i="1" s="1"/>
  <c r="F1254" i="1"/>
  <c r="G1254" i="1" s="1"/>
  <c r="B1254" i="1" s="1"/>
  <c r="F1253" i="1"/>
  <c r="G1253" i="1" s="1"/>
  <c r="B1253" i="1" s="1"/>
  <c r="F1252" i="1"/>
  <c r="G1252" i="1" s="1"/>
  <c r="B1252" i="1" s="1"/>
  <c r="G529" i="5" l="1"/>
  <c r="B529" i="5" s="1"/>
  <c r="G528" i="5"/>
  <c r="B528" i="5" s="1"/>
  <c r="G527" i="5"/>
  <c r="B527" i="5" s="1"/>
  <c r="G526" i="5"/>
  <c r="B526" i="5" s="1"/>
  <c r="G525" i="5"/>
  <c r="I525" i="5" s="1"/>
  <c r="G524" i="5"/>
  <c r="I524" i="5" s="1"/>
  <c r="G523" i="5"/>
  <c r="I523" i="5" s="1"/>
  <c r="G522" i="5"/>
  <c r="I522" i="5" s="1"/>
  <c r="G521" i="5"/>
  <c r="B521" i="5" s="1"/>
  <c r="G520" i="5"/>
  <c r="B520" i="5" s="1"/>
  <c r="G519" i="5"/>
  <c r="I519" i="5" s="1"/>
  <c r="G518" i="5"/>
  <c r="I518" i="5" s="1"/>
  <c r="G517" i="5"/>
  <c r="B517" i="5" s="1"/>
  <c r="B444" i="5"/>
  <c r="B438" i="5"/>
  <c r="G445" i="5"/>
  <c r="I445" i="5" s="1"/>
  <c r="G444" i="5"/>
  <c r="I444" i="5" s="1"/>
  <c r="G443" i="5"/>
  <c r="I443" i="5" s="1"/>
  <c r="G442" i="5"/>
  <c r="I442" i="5" s="1"/>
  <c r="G441" i="5"/>
  <c r="I441" i="5" s="1"/>
  <c r="G440" i="5"/>
  <c r="I440" i="5" s="1"/>
  <c r="G439" i="5"/>
  <c r="I439" i="5" s="1"/>
  <c r="G438" i="5"/>
  <c r="I438" i="5" s="1"/>
  <c r="G437" i="5"/>
  <c r="I437" i="5" s="1"/>
  <c r="G436" i="5"/>
  <c r="I436" i="5" s="1"/>
  <c r="G435" i="5"/>
  <c r="I435" i="5" s="1"/>
  <c r="G434" i="5"/>
  <c r="I434" i="5" s="1"/>
  <c r="G433" i="5"/>
  <c r="I433" i="5" s="1"/>
  <c r="G57" i="5"/>
  <c r="B57" i="5" s="1"/>
  <c r="I57" i="5" s="1"/>
  <c r="G56" i="5"/>
  <c r="B56" i="5" s="1"/>
  <c r="I56" i="5" s="1"/>
  <c r="G55" i="5"/>
  <c r="B55" i="5" s="1"/>
  <c r="I55" i="5" s="1"/>
  <c r="G54" i="5"/>
  <c r="B54" i="5" s="1"/>
  <c r="I54" i="5" s="1"/>
  <c r="G53" i="5"/>
  <c r="B53" i="5" s="1"/>
  <c r="I53" i="5" s="1"/>
  <c r="G52" i="5"/>
  <c r="B52" i="5" s="1"/>
  <c r="I52" i="5" s="1"/>
  <c r="G51" i="5"/>
  <c r="B51" i="5" s="1"/>
  <c r="I51" i="5" s="1"/>
  <c r="G50" i="5"/>
  <c r="B50" i="5" s="1"/>
  <c r="I50" i="5" s="1"/>
  <c r="G49" i="5"/>
  <c r="B49" i="5" s="1"/>
  <c r="I49" i="5" s="1"/>
  <c r="G48" i="5"/>
  <c r="B48" i="5" s="1"/>
  <c r="I48" i="5" s="1"/>
  <c r="G47" i="5"/>
  <c r="B47" i="5" s="1"/>
  <c r="I47" i="5" s="1"/>
  <c r="G46" i="5"/>
  <c r="B46" i="5" s="1"/>
  <c r="I46" i="5" s="1"/>
  <c r="G45" i="5"/>
  <c r="B45" i="5" s="1"/>
  <c r="I45" i="5" s="1"/>
  <c r="G44" i="5"/>
  <c r="B44" i="5" s="1"/>
  <c r="I44" i="5" s="1"/>
  <c r="G43" i="5"/>
  <c r="B43" i="5" s="1"/>
  <c r="I43" i="5" s="1"/>
  <c r="G42" i="5"/>
  <c r="B42" i="5" s="1"/>
  <c r="I42" i="5" s="1"/>
  <c r="G41" i="5"/>
  <c r="B41" i="5" s="1"/>
  <c r="I41" i="5" s="1"/>
  <c r="G40" i="5"/>
  <c r="B40" i="5" s="1"/>
  <c r="I40" i="5" s="1"/>
  <c r="G39" i="5"/>
  <c r="B39" i="5" s="1"/>
  <c r="I39" i="5" s="1"/>
  <c r="G38" i="5"/>
  <c r="B38" i="5" s="1"/>
  <c r="I38" i="5" s="1"/>
  <c r="G37" i="5"/>
  <c r="B37" i="5" s="1"/>
  <c r="I37" i="5" s="1"/>
  <c r="G36" i="5"/>
  <c r="B36" i="5" s="1"/>
  <c r="I36" i="5" s="1"/>
  <c r="G35" i="5"/>
  <c r="B35" i="5" s="1"/>
  <c r="I35" i="5" s="1"/>
  <c r="G34" i="5"/>
  <c r="B34" i="5" s="1"/>
  <c r="I34" i="5" s="1"/>
  <c r="G33" i="5"/>
  <c r="B33" i="5" s="1"/>
  <c r="I33" i="5" s="1"/>
  <c r="G32" i="5"/>
  <c r="B32" i="5" s="1"/>
  <c r="I32" i="5" s="1"/>
  <c r="G31" i="5"/>
  <c r="B31" i="5" s="1"/>
  <c r="I31" i="5" s="1"/>
  <c r="G30" i="5"/>
  <c r="B30" i="5" s="1"/>
  <c r="I30" i="5" s="1"/>
  <c r="G29" i="5"/>
  <c r="B29" i="5" s="1"/>
  <c r="I29" i="5" s="1"/>
  <c r="G28" i="5"/>
  <c r="B28" i="5" s="1"/>
  <c r="I28" i="5" s="1"/>
  <c r="G27" i="5"/>
  <c r="B27" i="5" s="1"/>
  <c r="I27" i="5" s="1"/>
  <c r="G26" i="5"/>
  <c r="B26" i="5" s="1"/>
  <c r="I26" i="5" s="1"/>
  <c r="G25" i="5"/>
  <c r="B25" i="5" s="1"/>
  <c r="I25" i="5" s="1"/>
  <c r="G24" i="5"/>
  <c r="B24" i="5" s="1"/>
  <c r="I24" i="5" s="1"/>
  <c r="G23" i="5"/>
  <c r="B23" i="5" s="1"/>
  <c r="I23" i="5" s="1"/>
  <c r="G22" i="5"/>
  <c r="B22" i="5" s="1"/>
  <c r="I22" i="5" s="1"/>
  <c r="G21" i="5"/>
  <c r="B21" i="5" s="1"/>
  <c r="I21" i="5" s="1"/>
  <c r="G20" i="5"/>
  <c r="B20" i="5" s="1"/>
  <c r="I20" i="5" s="1"/>
  <c r="G19" i="5"/>
  <c r="B19" i="5" s="1"/>
  <c r="I19" i="5" s="1"/>
  <c r="G18" i="5"/>
  <c r="B18" i="5" s="1"/>
  <c r="I18" i="5" s="1"/>
  <c r="G17" i="5"/>
  <c r="B17" i="5" s="1"/>
  <c r="I17" i="5" s="1"/>
  <c r="G16" i="5"/>
  <c r="B16" i="5" s="1"/>
  <c r="I16" i="5" s="1"/>
  <c r="G15" i="5"/>
  <c r="B15" i="5" s="1"/>
  <c r="I15" i="5" s="1"/>
  <c r="G14" i="5"/>
  <c r="B14" i="5" s="1"/>
  <c r="I14" i="5" s="1"/>
  <c r="G13" i="5"/>
  <c r="B13" i="5" s="1"/>
  <c r="I13" i="5" s="1"/>
  <c r="G12" i="5"/>
  <c r="B12" i="5" s="1"/>
  <c r="I12" i="5" s="1"/>
  <c r="G11" i="5"/>
  <c r="B11" i="5" s="1"/>
  <c r="I11" i="5" s="1"/>
  <c r="G10" i="5"/>
  <c r="B10" i="5" s="1"/>
  <c r="I10" i="5" s="1"/>
  <c r="G9" i="5"/>
  <c r="B9" i="5" s="1"/>
  <c r="I9" i="5" s="1"/>
  <c r="G8" i="5"/>
  <c r="B8" i="5" s="1"/>
  <c r="I8" i="5" s="1"/>
  <c r="G7" i="5"/>
  <c r="B7" i="5" s="1"/>
  <c r="I7" i="5" s="1"/>
  <c r="G6" i="5"/>
  <c r="B6" i="5" s="1"/>
  <c r="I6" i="5" s="1"/>
  <c r="G5" i="5"/>
  <c r="B5" i="5" s="1"/>
  <c r="I5" i="5" s="1"/>
  <c r="G4" i="5"/>
  <c r="B4" i="5" s="1"/>
  <c r="I4" i="5" s="1"/>
  <c r="G3" i="5"/>
  <c r="B3" i="5" s="1"/>
  <c r="I3" i="5" s="1"/>
  <c r="G2" i="5"/>
  <c r="B2" i="5" s="1"/>
  <c r="I2" i="5" s="1"/>
  <c r="H1072" i="5"/>
  <c r="G1072" i="5"/>
  <c r="H1071" i="5"/>
  <c r="G1071" i="5"/>
  <c r="H1070" i="5"/>
  <c r="G1070" i="5"/>
  <c r="H1069" i="5"/>
  <c r="G1069" i="5"/>
  <c r="H1068" i="5"/>
  <c r="G1068" i="5"/>
  <c r="H1067" i="5"/>
  <c r="G1067" i="5"/>
  <c r="H1066" i="5"/>
  <c r="G1066" i="5"/>
  <c r="H1065" i="5"/>
  <c r="G1065" i="5"/>
  <c r="H1064" i="5"/>
  <c r="G1064" i="5"/>
  <c r="H1063" i="5"/>
  <c r="G1063" i="5"/>
  <c r="H1062" i="5"/>
  <c r="G1062" i="5"/>
  <c r="H1061" i="5"/>
  <c r="G1061" i="5"/>
  <c r="H1060" i="5"/>
  <c r="G1060" i="5"/>
  <c r="H1059" i="5"/>
  <c r="G1059" i="5"/>
  <c r="H1058" i="5"/>
  <c r="G1058" i="5"/>
  <c r="H1057" i="5"/>
  <c r="G1057" i="5"/>
  <c r="H1056" i="5"/>
  <c r="G1056" i="5"/>
  <c r="H1055" i="5"/>
  <c r="G1055" i="5"/>
  <c r="H1054" i="5"/>
  <c r="G1054" i="5"/>
  <c r="H1053" i="5"/>
  <c r="G1053" i="5"/>
  <c r="H1052" i="5"/>
  <c r="G1052" i="5"/>
  <c r="H1051" i="5"/>
  <c r="G1051" i="5"/>
  <c r="H1050" i="5"/>
  <c r="G1050" i="5"/>
  <c r="H1049" i="5"/>
  <c r="G1049" i="5"/>
  <c r="H1048" i="5"/>
  <c r="G1048" i="5"/>
  <c r="H1047" i="5"/>
  <c r="G1047" i="5"/>
  <c r="H1046" i="5"/>
  <c r="G1046" i="5"/>
  <c r="H1045" i="5"/>
  <c r="G1045" i="5"/>
  <c r="H1044" i="5"/>
  <c r="G1044" i="5"/>
  <c r="H1043" i="5"/>
  <c r="G1043" i="5"/>
  <c r="H1042" i="5"/>
  <c r="G1042" i="5"/>
  <c r="H1041" i="5"/>
  <c r="G1041" i="5"/>
  <c r="H1040" i="5"/>
  <c r="G1040" i="5"/>
  <c r="H1039" i="5"/>
  <c r="G1039" i="5"/>
  <c r="H1038" i="5"/>
  <c r="G1038" i="5"/>
  <c r="H1037" i="5"/>
  <c r="G1037" i="5"/>
  <c r="H1036" i="5"/>
  <c r="G1036" i="5"/>
  <c r="H1035" i="5"/>
  <c r="G1035" i="5"/>
  <c r="H1034" i="5"/>
  <c r="G1034" i="5"/>
  <c r="H1033" i="5"/>
  <c r="G1033" i="5"/>
  <c r="H1032" i="5"/>
  <c r="G1032" i="5"/>
  <c r="H1031" i="5"/>
  <c r="G1031" i="5"/>
  <c r="H1030" i="5"/>
  <c r="G1030" i="5"/>
  <c r="H1029" i="5"/>
  <c r="G1029" i="5"/>
  <c r="H1028" i="5"/>
  <c r="G1028" i="5"/>
  <c r="H1027" i="5"/>
  <c r="G1027" i="5"/>
  <c r="H1026" i="5"/>
  <c r="G1026" i="5"/>
  <c r="H1025" i="5"/>
  <c r="G1025" i="5"/>
  <c r="H1024" i="5"/>
  <c r="G1024" i="5"/>
  <c r="H1023" i="5"/>
  <c r="G1023" i="5"/>
  <c r="H1022" i="5"/>
  <c r="G1022" i="5"/>
  <c r="H1021" i="5"/>
  <c r="G1021" i="5"/>
  <c r="H1020" i="5"/>
  <c r="G1020" i="5"/>
  <c r="H1019" i="5"/>
  <c r="G1019" i="5"/>
  <c r="H1018" i="5"/>
  <c r="G1018" i="5"/>
  <c r="H1017" i="5"/>
  <c r="G1017" i="5"/>
  <c r="H1016" i="5"/>
  <c r="G1016" i="5"/>
  <c r="H1015" i="5"/>
  <c r="G1015" i="5"/>
  <c r="H1014" i="5"/>
  <c r="G1014" i="5"/>
  <c r="H1013" i="5"/>
  <c r="G1013" i="5"/>
  <c r="H1012" i="5"/>
  <c r="G1012" i="5"/>
  <c r="H1011" i="5"/>
  <c r="G1011" i="5"/>
  <c r="H1010" i="5"/>
  <c r="G1010" i="5"/>
  <c r="H1009" i="5"/>
  <c r="G1009" i="5"/>
  <c r="H1008" i="5"/>
  <c r="G1008" i="5"/>
  <c r="H1007" i="5"/>
  <c r="G1007" i="5"/>
  <c r="H1006" i="5"/>
  <c r="G1006" i="5"/>
  <c r="H1005" i="5"/>
  <c r="G1005" i="5"/>
  <c r="H1004" i="5"/>
  <c r="G1004" i="5"/>
  <c r="H1003" i="5"/>
  <c r="G1003" i="5"/>
  <c r="H1002" i="5"/>
  <c r="G1002" i="5"/>
  <c r="H1001" i="5"/>
  <c r="G1001" i="5"/>
  <c r="H1000" i="5"/>
  <c r="G1000" i="5"/>
  <c r="H999" i="5"/>
  <c r="G999" i="5"/>
  <c r="H998" i="5"/>
  <c r="G998" i="5"/>
  <c r="H997" i="5"/>
  <c r="G997" i="5"/>
  <c r="H996" i="5"/>
  <c r="G996" i="5"/>
  <c r="H995" i="5"/>
  <c r="G995" i="5"/>
  <c r="H994" i="5"/>
  <c r="G994" i="5"/>
  <c r="H993" i="5"/>
  <c r="G993" i="5"/>
  <c r="H992" i="5"/>
  <c r="G992" i="5"/>
  <c r="H991" i="5"/>
  <c r="G991" i="5"/>
  <c r="H990" i="5"/>
  <c r="G990" i="5"/>
  <c r="H989" i="5"/>
  <c r="G989" i="5"/>
  <c r="H988" i="5"/>
  <c r="G988" i="5"/>
  <c r="H987" i="5"/>
  <c r="G987" i="5"/>
  <c r="H986" i="5"/>
  <c r="G986" i="5"/>
  <c r="H985" i="5"/>
  <c r="G985" i="5"/>
  <c r="H984" i="5"/>
  <c r="G984" i="5"/>
  <c r="H983" i="5"/>
  <c r="G983" i="5"/>
  <c r="H982" i="5"/>
  <c r="G982" i="5"/>
  <c r="H981" i="5"/>
  <c r="G981" i="5"/>
  <c r="H980" i="5"/>
  <c r="G980" i="5"/>
  <c r="H979" i="5"/>
  <c r="G979" i="5"/>
  <c r="H978" i="5"/>
  <c r="G978" i="5"/>
  <c r="H977" i="5"/>
  <c r="G977" i="5"/>
  <c r="H976" i="5"/>
  <c r="G976" i="5"/>
  <c r="H975" i="5"/>
  <c r="G975" i="5"/>
  <c r="H974" i="5"/>
  <c r="G974" i="5"/>
  <c r="H973" i="5"/>
  <c r="G973" i="5"/>
  <c r="H972" i="5"/>
  <c r="G972" i="5"/>
  <c r="H971" i="5"/>
  <c r="G971" i="5"/>
  <c r="H970" i="5"/>
  <c r="G970" i="5"/>
  <c r="H969" i="5"/>
  <c r="G969" i="5"/>
  <c r="H968" i="5"/>
  <c r="G968" i="5"/>
  <c r="H967" i="5"/>
  <c r="G967" i="5"/>
  <c r="H966" i="5"/>
  <c r="G966" i="5"/>
  <c r="H965" i="5"/>
  <c r="G965" i="5"/>
  <c r="H964" i="5"/>
  <c r="G964" i="5"/>
  <c r="H963" i="5"/>
  <c r="G963" i="5"/>
  <c r="H962" i="5"/>
  <c r="G962" i="5"/>
  <c r="H961" i="5"/>
  <c r="G961" i="5"/>
  <c r="H960" i="5"/>
  <c r="G960" i="5"/>
  <c r="H959" i="5"/>
  <c r="G959" i="5"/>
  <c r="H958" i="5"/>
  <c r="G958" i="5"/>
  <c r="H957" i="5"/>
  <c r="G957" i="5"/>
  <c r="H956" i="5"/>
  <c r="G956" i="5"/>
  <c r="H955" i="5"/>
  <c r="G955" i="5"/>
  <c r="H954" i="5"/>
  <c r="G954" i="5"/>
  <c r="H953" i="5"/>
  <c r="G953" i="5"/>
  <c r="G799" i="5"/>
  <c r="B799" i="5" s="1"/>
  <c r="G798" i="5"/>
  <c r="B798" i="5" s="1"/>
  <c r="G797" i="5"/>
  <c r="B797" i="5" s="1"/>
  <c r="G796" i="5"/>
  <c r="B796" i="5" s="1"/>
  <c r="G795" i="5"/>
  <c r="B795" i="5" s="1"/>
  <c r="G794" i="5"/>
  <c r="B794" i="5" s="1"/>
  <c r="G793" i="5"/>
  <c r="B793" i="5" s="1"/>
  <c r="G792" i="5"/>
  <c r="B792" i="5" s="1"/>
  <c r="G791" i="5"/>
  <c r="B791" i="5" s="1"/>
  <c r="G790" i="5"/>
  <c r="B790" i="5" s="1"/>
  <c r="G789" i="5"/>
  <c r="B789" i="5" s="1"/>
  <c r="G788" i="5"/>
  <c r="B788" i="5" s="1"/>
  <c r="G787" i="5"/>
  <c r="B787" i="5" s="1"/>
  <c r="G786" i="5"/>
  <c r="B786" i="5" s="1"/>
  <c r="G785" i="5"/>
  <c r="B785" i="5" s="1"/>
  <c r="G784" i="5"/>
  <c r="B784" i="5" s="1"/>
  <c r="G783" i="5"/>
  <c r="B783" i="5" s="1"/>
  <c r="G782" i="5"/>
  <c r="B782" i="5" s="1"/>
  <c r="G781" i="5"/>
  <c r="B781" i="5" s="1"/>
  <c r="G780" i="5"/>
  <c r="B780" i="5" s="1"/>
  <c r="G779" i="5"/>
  <c r="B779" i="5" s="1"/>
  <c r="G778" i="5"/>
  <c r="B778" i="5" s="1"/>
  <c r="G777" i="5"/>
  <c r="B777" i="5" s="1"/>
  <c r="G776" i="5"/>
  <c r="B776" i="5" s="1"/>
  <c r="G775" i="5"/>
  <c r="B775" i="5" s="1"/>
  <c r="G774" i="5"/>
  <c r="B774" i="5" s="1"/>
  <c r="G773" i="5"/>
  <c r="B773" i="5" s="1"/>
  <c r="G772" i="5"/>
  <c r="B772" i="5" s="1"/>
  <c r="G771" i="5"/>
  <c r="B771" i="5" s="1"/>
  <c r="G770" i="5"/>
  <c r="B770" i="5" s="1"/>
  <c r="G769" i="5"/>
  <c r="B769" i="5" s="1"/>
  <c r="G768" i="5"/>
  <c r="B768" i="5" s="1"/>
  <c r="G767" i="5"/>
  <c r="B767" i="5" s="1"/>
  <c r="G766" i="5"/>
  <c r="B766" i="5" s="1"/>
  <c r="G765" i="5"/>
  <c r="B765" i="5" s="1"/>
  <c r="G764" i="5"/>
  <c r="B764" i="5" s="1"/>
  <c r="G763" i="5"/>
  <c r="B763" i="5" s="1"/>
  <c r="G762" i="5"/>
  <c r="B762" i="5" s="1"/>
  <c r="G761" i="5"/>
  <c r="B761" i="5" s="1"/>
  <c r="G760" i="5"/>
  <c r="B760" i="5" s="1"/>
  <c r="G759" i="5"/>
  <c r="B759" i="5" s="1"/>
  <c r="G758" i="5"/>
  <c r="B758" i="5" s="1"/>
  <c r="G757" i="5"/>
  <c r="B757" i="5" s="1"/>
  <c r="G756" i="5"/>
  <c r="B756" i="5" s="1"/>
  <c r="G755" i="5"/>
  <c r="B755" i="5" s="1"/>
  <c r="G754" i="5"/>
  <c r="B754" i="5" s="1"/>
  <c r="G753" i="5"/>
  <c r="B753" i="5" s="1"/>
  <c r="G752" i="5"/>
  <c r="B752" i="5" s="1"/>
  <c r="G751" i="5"/>
  <c r="B751" i="5" s="1"/>
  <c r="G750" i="5"/>
  <c r="B750" i="5" s="1"/>
  <c r="G749" i="5"/>
  <c r="B749" i="5" s="1"/>
  <c r="G748" i="5"/>
  <c r="B748" i="5" s="1"/>
  <c r="G747" i="5"/>
  <c r="B747" i="5" s="1"/>
  <c r="G746" i="5"/>
  <c r="B746" i="5" s="1"/>
  <c r="G745" i="5"/>
  <c r="B745" i="5" s="1"/>
  <c r="G744" i="5"/>
  <c r="B744" i="5" s="1"/>
  <c r="G743" i="5"/>
  <c r="B743" i="5" s="1"/>
  <c r="G742" i="5"/>
  <c r="B742" i="5" s="1"/>
  <c r="G741" i="5"/>
  <c r="B741" i="5" s="1"/>
  <c r="G740" i="5"/>
  <c r="B740" i="5" s="1"/>
  <c r="G739" i="5"/>
  <c r="B739" i="5" s="1"/>
  <c r="G738" i="5"/>
  <c r="B738" i="5" s="1"/>
  <c r="G737" i="5"/>
  <c r="B737" i="5" s="1"/>
  <c r="G736" i="5"/>
  <c r="B736" i="5" s="1"/>
  <c r="G735" i="5"/>
  <c r="B735" i="5" s="1"/>
  <c r="G734" i="5"/>
  <c r="B734" i="5" s="1"/>
  <c r="G733" i="5"/>
  <c r="B733" i="5" s="1"/>
  <c r="G732" i="5"/>
  <c r="B732" i="5" s="1"/>
  <c r="G731" i="5"/>
  <c r="B731" i="5" s="1"/>
  <c r="G730" i="5"/>
  <c r="B730" i="5" s="1"/>
  <c r="G729" i="5"/>
  <c r="B729" i="5" s="1"/>
  <c r="G728" i="5"/>
  <c r="B728" i="5" s="1"/>
  <c r="G727" i="5"/>
  <c r="B727" i="5" s="1"/>
  <c r="G726" i="5"/>
  <c r="B726" i="5" s="1"/>
  <c r="G725" i="5"/>
  <c r="B725" i="5" s="1"/>
  <c r="G724" i="5"/>
  <c r="B724" i="5" s="1"/>
  <c r="G723" i="5"/>
  <c r="B723" i="5" s="1"/>
  <c r="G722" i="5"/>
  <c r="B722" i="5" s="1"/>
  <c r="G721" i="5"/>
  <c r="B721" i="5" s="1"/>
  <c r="G720" i="5"/>
  <c r="B720" i="5" s="1"/>
  <c r="G719" i="5"/>
  <c r="B719" i="5" s="1"/>
  <c r="G718" i="5"/>
  <c r="B718" i="5" s="1"/>
  <c r="G717" i="5"/>
  <c r="B717" i="5" s="1"/>
  <c r="G716" i="5"/>
  <c r="B716" i="5" s="1"/>
  <c r="G715" i="5"/>
  <c r="B715" i="5" s="1"/>
  <c r="G714" i="5"/>
  <c r="B714" i="5" s="1"/>
  <c r="G713" i="5"/>
  <c r="B713" i="5" s="1"/>
  <c r="G712" i="5"/>
  <c r="B712" i="5" s="1"/>
  <c r="G711" i="5"/>
  <c r="B711" i="5" s="1"/>
  <c r="G710" i="5"/>
  <c r="B710" i="5" s="1"/>
  <c r="G709" i="5"/>
  <c r="B709" i="5" s="1"/>
  <c r="G708" i="5"/>
  <c r="B708" i="5" s="1"/>
  <c r="G707" i="5"/>
  <c r="B707" i="5" s="1"/>
  <c r="G706" i="5"/>
  <c r="B706" i="5" s="1"/>
  <c r="G705" i="5"/>
  <c r="B705" i="5" s="1"/>
  <c r="G704" i="5"/>
  <c r="B704" i="5" s="1"/>
  <c r="G703" i="5"/>
  <c r="B703" i="5" s="1"/>
  <c r="G702" i="5"/>
  <c r="B702" i="5" s="1"/>
  <c r="G701" i="5"/>
  <c r="B701" i="5" s="1"/>
  <c r="G700" i="5"/>
  <c r="B700" i="5" s="1"/>
  <c r="G699" i="5"/>
  <c r="B699" i="5" s="1"/>
  <c r="G698" i="5"/>
  <c r="B698" i="5" s="1"/>
  <c r="G697" i="5"/>
  <c r="B697" i="5" s="1"/>
  <c r="G696" i="5"/>
  <c r="B696" i="5" s="1"/>
  <c r="G695" i="5"/>
  <c r="B695" i="5" s="1"/>
  <c r="G694" i="5"/>
  <c r="B694" i="5" s="1"/>
  <c r="G693" i="5"/>
  <c r="B693" i="5" s="1"/>
  <c r="G692" i="5"/>
  <c r="B692" i="5" s="1"/>
  <c r="G691" i="5"/>
  <c r="B691" i="5" s="1"/>
  <c r="G690" i="5"/>
  <c r="B690" i="5" s="1"/>
  <c r="G689" i="5"/>
  <c r="B689" i="5" s="1"/>
  <c r="G688" i="5"/>
  <c r="B688" i="5" s="1"/>
  <c r="G687" i="5"/>
  <c r="B687" i="5" s="1"/>
  <c r="G686" i="5"/>
  <c r="B686" i="5" s="1"/>
  <c r="G685" i="5"/>
  <c r="B685" i="5" s="1"/>
  <c r="G684" i="5"/>
  <c r="B684" i="5" s="1"/>
  <c r="G683" i="5"/>
  <c r="B683" i="5" s="1"/>
  <c r="G682" i="5"/>
  <c r="B682" i="5" s="1"/>
  <c r="G681" i="5"/>
  <c r="B681" i="5" s="1"/>
  <c r="G680" i="5"/>
  <c r="B680" i="5" s="1"/>
  <c r="G679" i="5"/>
  <c r="B679" i="5" s="1"/>
  <c r="G678" i="5"/>
  <c r="B678" i="5" s="1"/>
  <c r="G677" i="5"/>
  <c r="B677" i="5" s="1"/>
  <c r="G676" i="5"/>
  <c r="B676" i="5" s="1"/>
  <c r="G675" i="5"/>
  <c r="B675" i="5" s="1"/>
  <c r="G674" i="5"/>
  <c r="B674" i="5" s="1"/>
  <c r="G673" i="5"/>
  <c r="B673" i="5" s="1"/>
  <c r="G672" i="5"/>
  <c r="B672" i="5" s="1"/>
  <c r="G671" i="5"/>
  <c r="B671" i="5" s="1"/>
  <c r="G670" i="5"/>
  <c r="B670" i="5" s="1"/>
  <c r="G669" i="5"/>
  <c r="B669" i="5" s="1"/>
  <c r="G668" i="5"/>
  <c r="B668" i="5" s="1"/>
  <c r="G667" i="5"/>
  <c r="B667" i="5" s="1"/>
  <c r="G666" i="5"/>
  <c r="B666" i="5" s="1"/>
  <c r="G665" i="5"/>
  <c r="B665" i="5" s="1"/>
  <c r="G664" i="5"/>
  <c r="B664" i="5" s="1"/>
  <c r="G663" i="5"/>
  <c r="B663" i="5" s="1"/>
  <c r="G662" i="5"/>
  <c r="B662" i="5" s="1"/>
  <c r="G661" i="5"/>
  <c r="B661" i="5" s="1"/>
  <c r="G660" i="5"/>
  <c r="B660" i="5" s="1"/>
  <c r="G659" i="5"/>
  <c r="B659" i="5" s="1"/>
  <c r="G658" i="5"/>
  <c r="B658" i="5" s="1"/>
  <c r="G657" i="5"/>
  <c r="B657" i="5" s="1"/>
  <c r="G656" i="5"/>
  <c r="B656" i="5" s="1"/>
  <c r="G655" i="5"/>
  <c r="B655" i="5" s="1"/>
  <c r="G654" i="5"/>
  <c r="B654" i="5" s="1"/>
  <c r="G653" i="5"/>
  <c r="B653" i="5" s="1"/>
  <c r="G652" i="5"/>
  <c r="B652" i="5" s="1"/>
  <c r="G651" i="5"/>
  <c r="B651" i="5" s="1"/>
  <c r="G650" i="5"/>
  <c r="B650" i="5" s="1"/>
  <c r="G649" i="5"/>
  <c r="B649" i="5" s="1"/>
  <c r="G648" i="5"/>
  <c r="B648" i="5" s="1"/>
  <c r="G647" i="5"/>
  <c r="B647" i="5" s="1"/>
  <c r="G646" i="5"/>
  <c r="B646" i="5" s="1"/>
  <c r="G645" i="5"/>
  <c r="B645" i="5" s="1"/>
  <c r="G644" i="5"/>
  <c r="B644" i="5" s="1"/>
  <c r="G643" i="5"/>
  <c r="B643" i="5" s="1"/>
  <c r="G642" i="5"/>
  <c r="B642" i="5" s="1"/>
  <c r="G641" i="5"/>
  <c r="B641" i="5" s="1"/>
  <c r="G640" i="5"/>
  <c r="B640" i="5" s="1"/>
  <c r="G639" i="5"/>
  <c r="B639" i="5" s="1"/>
  <c r="G638" i="5"/>
  <c r="B638" i="5" s="1"/>
  <c r="G637" i="5"/>
  <c r="B637" i="5" s="1"/>
  <c r="G636" i="5"/>
  <c r="B636" i="5" s="1"/>
  <c r="G635" i="5"/>
  <c r="B635" i="5" s="1"/>
  <c r="G634" i="5"/>
  <c r="B634" i="5" s="1"/>
  <c r="G633" i="5"/>
  <c r="B633" i="5" s="1"/>
  <c r="G632" i="5"/>
  <c r="B632" i="5" s="1"/>
  <c r="G631" i="5"/>
  <c r="B631" i="5" s="1"/>
  <c r="G630" i="5"/>
  <c r="B630" i="5" s="1"/>
  <c r="G629" i="5"/>
  <c r="B629" i="5" s="1"/>
  <c r="G628" i="5"/>
  <c r="B628" i="5" s="1"/>
  <c r="G627" i="5"/>
  <c r="B627" i="5" s="1"/>
  <c r="G626" i="5"/>
  <c r="B626" i="5" s="1"/>
  <c r="G625" i="5"/>
  <c r="B625" i="5" s="1"/>
  <c r="G624" i="5"/>
  <c r="B624" i="5" s="1"/>
  <c r="G623" i="5"/>
  <c r="B623" i="5" s="1"/>
  <c r="G622" i="5"/>
  <c r="B622" i="5" s="1"/>
  <c r="G621" i="5"/>
  <c r="B621" i="5" s="1"/>
  <c r="G620" i="5"/>
  <c r="B620" i="5" s="1"/>
  <c r="G619" i="5"/>
  <c r="B619" i="5" s="1"/>
  <c r="G618" i="5"/>
  <c r="B618" i="5" s="1"/>
  <c r="G617" i="5"/>
  <c r="B617" i="5" s="1"/>
  <c r="G616" i="5"/>
  <c r="B616" i="5" s="1"/>
  <c r="G615" i="5"/>
  <c r="B615" i="5" s="1"/>
  <c r="G614" i="5"/>
  <c r="B614" i="5" s="1"/>
  <c r="G613" i="5"/>
  <c r="B613" i="5" s="1"/>
  <c r="G612" i="5"/>
  <c r="B612" i="5" s="1"/>
  <c r="G611" i="5"/>
  <c r="B611" i="5" s="1"/>
  <c r="G610" i="5"/>
  <c r="B610" i="5" s="1"/>
  <c r="G609" i="5"/>
  <c r="B609" i="5" s="1"/>
  <c r="G608" i="5"/>
  <c r="B608" i="5" s="1"/>
  <c r="G607" i="5"/>
  <c r="B607" i="5" s="1"/>
  <c r="G606" i="5"/>
  <c r="B606" i="5" s="1"/>
  <c r="G605" i="5"/>
  <c r="B605" i="5" s="1"/>
  <c r="G604" i="5"/>
  <c r="B604" i="5" s="1"/>
  <c r="G603" i="5"/>
  <c r="B603" i="5" s="1"/>
  <c r="G602" i="5"/>
  <c r="B602" i="5" s="1"/>
  <c r="G601" i="5"/>
  <c r="B601" i="5" s="1"/>
  <c r="G600" i="5"/>
  <c r="B600" i="5" s="1"/>
  <c r="G599" i="5"/>
  <c r="B599" i="5" s="1"/>
  <c r="G598" i="5"/>
  <c r="B598" i="5" s="1"/>
  <c r="G597" i="5"/>
  <c r="B597" i="5" s="1"/>
  <c r="G596" i="5"/>
  <c r="B596" i="5" s="1"/>
  <c r="G595" i="5"/>
  <c r="B595" i="5" s="1"/>
  <c r="G594" i="5"/>
  <c r="B594" i="5" s="1"/>
  <c r="G593" i="5"/>
  <c r="B593" i="5" s="1"/>
  <c r="G592" i="5"/>
  <c r="B592" i="5" s="1"/>
  <c r="G591" i="5"/>
  <c r="B591" i="5" s="1"/>
  <c r="G590" i="5"/>
  <c r="B590" i="5" s="1"/>
  <c r="G589" i="5"/>
  <c r="B589" i="5" s="1"/>
  <c r="G588" i="5"/>
  <c r="B588" i="5" s="1"/>
  <c r="G587" i="5"/>
  <c r="B587" i="5" s="1"/>
  <c r="G586" i="5"/>
  <c r="B586" i="5" s="1"/>
  <c r="G585" i="5"/>
  <c r="B585" i="5" s="1"/>
  <c r="G584" i="5"/>
  <c r="B584" i="5" s="1"/>
  <c r="G583" i="5"/>
  <c r="B583" i="5" s="1"/>
  <c r="G582" i="5"/>
  <c r="B582" i="5" s="1"/>
  <c r="G581" i="5"/>
  <c r="B581" i="5" s="1"/>
  <c r="G580" i="5"/>
  <c r="B580" i="5" s="1"/>
  <c r="G579" i="5"/>
  <c r="B579" i="5" s="1"/>
  <c r="G578" i="5"/>
  <c r="B578" i="5" s="1"/>
  <c r="G577" i="5"/>
  <c r="B577" i="5" s="1"/>
  <c r="G576" i="5"/>
  <c r="B576" i="5" s="1"/>
  <c r="G575" i="5"/>
  <c r="B575" i="5" s="1"/>
  <c r="G574" i="5"/>
  <c r="B574" i="5" s="1"/>
  <c r="G573" i="5"/>
  <c r="B573" i="5" s="1"/>
  <c r="G572" i="5"/>
  <c r="B572" i="5" s="1"/>
  <c r="G571" i="5"/>
  <c r="B571" i="5" s="1"/>
  <c r="G570" i="5"/>
  <c r="B570" i="5" s="1"/>
  <c r="G569" i="5"/>
  <c r="B569" i="5" s="1"/>
  <c r="G568" i="5"/>
  <c r="B568" i="5" s="1"/>
  <c r="G567" i="5"/>
  <c r="B567" i="5" s="1"/>
  <c r="G566" i="5"/>
  <c r="B566" i="5" s="1"/>
  <c r="G565" i="5"/>
  <c r="B565" i="5" s="1"/>
  <c r="G564" i="5"/>
  <c r="B564" i="5" s="1"/>
  <c r="G563" i="5"/>
  <c r="B563" i="5" s="1"/>
  <c r="G562" i="5"/>
  <c r="B562" i="5" s="1"/>
  <c r="G561" i="5"/>
  <c r="B561" i="5" s="1"/>
  <c r="G560" i="5"/>
  <c r="B560" i="5" s="1"/>
  <c r="G559" i="5"/>
  <c r="B559" i="5" s="1"/>
  <c r="G558" i="5"/>
  <c r="B558" i="5" s="1"/>
  <c r="G557" i="5"/>
  <c r="B557" i="5" s="1"/>
  <c r="G556" i="5"/>
  <c r="B556" i="5" s="1"/>
  <c r="G555" i="5"/>
  <c r="B555" i="5" s="1"/>
  <c r="G554" i="5"/>
  <c r="B554" i="5" s="1"/>
  <c r="G553" i="5"/>
  <c r="B553" i="5" s="1"/>
  <c r="G552" i="5"/>
  <c r="B552" i="5" s="1"/>
  <c r="G551" i="5"/>
  <c r="B551" i="5" s="1"/>
  <c r="G550" i="5"/>
  <c r="B550" i="5" s="1"/>
  <c r="G549" i="5"/>
  <c r="B549" i="5" s="1"/>
  <c r="G548" i="5"/>
  <c r="B548" i="5" s="1"/>
  <c r="G547" i="5"/>
  <c r="B547" i="5" s="1"/>
  <c r="H123" i="5"/>
  <c r="G123" i="5"/>
  <c r="H122" i="5"/>
  <c r="G122" i="5"/>
  <c r="H121" i="5"/>
  <c r="G121" i="5"/>
  <c r="H120" i="5"/>
  <c r="G120" i="5"/>
  <c r="H119" i="5"/>
  <c r="G119" i="5"/>
  <c r="H118" i="5"/>
  <c r="G118" i="5"/>
  <c r="H117" i="5"/>
  <c r="G117" i="5"/>
  <c r="H116" i="5"/>
  <c r="G116" i="5"/>
  <c r="H113" i="5"/>
  <c r="G113" i="5"/>
  <c r="H114" i="5"/>
  <c r="G114" i="5"/>
  <c r="H115" i="5"/>
  <c r="G115" i="5"/>
  <c r="H112" i="5"/>
  <c r="G112" i="5"/>
  <c r="H111" i="5"/>
  <c r="G111" i="5"/>
  <c r="H110" i="5"/>
  <c r="G110" i="5"/>
  <c r="H109" i="5"/>
  <c r="G109" i="5"/>
  <c r="H108" i="5"/>
  <c r="G108" i="5"/>
  <c r="H107" i="5"/>
  <c r="G107" i="5"/>
  <c r="H106" i="5"/>
  <c r="G106" i="5"/>
  <c r="H105" i="5"/>
  <c r="G105" i="5"/>
  <c r="H102" i="5"/>
  <c r="G102" i="5"/>
  <c r="H103" i="5"/>
  <c r="G103" i="5"/>
  <c r="H104" i="5"/>
  <c r="G104" i="5"/>
  <c r="H101" i="5"/>
  <c r="G101" i="5"/>
  <c r="H100" i="5"/>
  <c r="G100" i="5"/>
  <c r="H99" i="5"/>
  <c r="G99" i="5"/>
  <c r="H98" i="5"/>
  <c r="G98" i="5"/>
  <c r="H97" i="5"/>
  <c r="G97" i="5"/>
  <c r="H96" i="5"/>
  <c r="G96" i="5"/>
  <c r="H95" i="5"/>
  <c r="G95" i="5"/>
  <c r="H94" i="5"/>
  <c r="G94" i="5"/>
  <c r="H91" i="5"/>
  <c r="G91" i="5"/>
  <c r="H92" i="5"/>
  <c r="G92" i="5"/>
  <c r="H93" i="5"/>
  <c r="G93" i="5"/>
  <c r="H90" i="5"/>
  <c r="G90" i="5"/>
  <c r="H89" i="5"/>
  <c r="G89" i="5"/>
  <c r="H88" i="5"/>
  <c r="G88" i="5"/>
  <c r="H87" i="5"/>
  <c r="G87" i="5"/>
  <c r="H86" i="5"/>
  <c r="G86" i="5"/>
  <c r="H85" i="5"/>
  <c r="G85" i="5"/>
  <c r="H84" i="5"/>
  <c r="G84" i="5"/>
  <c r="H83" i="5"/>
  <c r="G83" i="5"/>
  <c r="H80" i="5"/>
  <c r="G80" i="5"/>
  <c r="H81" i="5"/>
  <c r="G81" i="5"/>
  <c r="H82" i="5"/>
  <c r="G82" i="5"/>
  <c r="H79" i="5"/>
  <c r="G79" i="5"/>
  <c r="H78" i="5"/>
  <c r="G78" i="5"/>
  <c r="H77" i="5"/>
  <c r="G77" i="5"/>
  <c r="H76" i="5"/>
  <c r="G76" i="5"/>
  <c r="H75" i="5"/>
  <c r="G75" i="5"/>
  <c r="H74" i="5"/>
  <c r="G74" i="5"/>
  <c r="H73" i="5"/>
  <c r="G73" i="5"/>
  <c r="H72" i="5"/>
  <c r="G72" i="5"/>
  <c r="H69" i="5"/>
  <c r="G69" i="5"/>
  <c r="H70" i="5"/>
  <c r="G70" i="5"/>
  <c r="H71" i="5"/>
  <c r="G71" i="5"/>
  <c r="G288" i="5"/>
  <c r="B288" i="5" s="1"/>
  <c r="I288" i="5" s="1"/>
  <c r="G287" i="5"/>
  <c r="B287" i="5" s="1"/>
  <c r="I287" i="5" s="1"/>
  <c r="G286" i="5"/>
  <c r="B286" i="5" s="1"/>
  <c r="I286" i="5" s="1"/>
  <c r="G285" i="5"/>
  <c r="B285" i="5" s="1"/>
  <c r="I285" i="5" s="1"/>
  <c r="G284" i="5"/>
  <c r="B284" i="5" s="1"/>
  <c r="I284" i="5" s="1"/>
  <c r="G283" i="5"/>
  <c r="B283" i="5" s="1"/>
  <c r="I283" i="5" s="1"/>
  <c r="G282" i="5"/>
  <c r="B282" i="5" s="1"/>
  <c r="I282" i="5" s="1"/>
  <c r="G281" i="5"/>
  <c r="B281" i="5" s="1"/>
  <c r="I281" i="5" s="1"/>
  <c r="G280" i="5"/>
  <c r="B280" i="5" s="1"/>
  <c r="I280" i="5" s="1"/>
  <c r="G279" i="5"/>
  <c r="B279" i="5" s="1"/>
  <c r="I279" i="5" s="1"/>
  <c r="G278" i="5"/>
  <c r="B278" i="5" s="1"/>
  <c r="I278" i="5" s="1"/>
  <c r="G277" i="5"/>
  <c r="B277" i="5" s="1"/>
  <c r="I277" i="5" s="1"/>
  <c r="G276" i="5"/>
  <c r="B276" i="5" s="1"/>
  <c r="I276" i="5" s="1"/>
  <c r="G275" i="5"/>
  <c r="B275" i="5" s="1"/>
  <c r="I275" i="5" s="1"/>
  <c r="G274" i="5"/>
  <c r="B274" i="5" s="1"/>
  <c r="I274" i="5" s="1"/>
  <c r="G273" i="5"/>
  <c r="B273" i="5" s="1"/>
  <c r="I273" i="5" s="1"/>
  <c r="G272" i="5"/>
  <c r="B272" i="5" s="1"/>
  <c r="I272" i="5" s="1"/>
  <c r="G271" i="5"/>
  <c r="B271" i="5" s="1"/>
  <c r="I271" i="5" s="1"/>
  <c r="G270" i="5"/>
  <c r="B270" i="5" s="1"/>
  <c r="I270" i="5" s="1"/>
  <c r="G269" i="5"/>
  <c r="B269" i="5" s="1"/>
  <c r="I269" i="5" s="1"/>
  <c r="G268" i="5"/>
  <c r="B268" i="5" s="1"/>
  <c r="I268" i="5" s="1"/>
  <c r="G267" i="5"/>
  <c r="B267" i="5" s="1"/>
  <c r="I267" i="5" s="1"/>
  <c r="G432" i="5"/>
  <c r="G431" i="5"/>
  <c r="G430" i="5"/>
  <c r="G429" i="5"/>
  <c r="G428" i="5"/>
  <c r="G427" i="5"/>
  <c r="G426" i="5"/>
  <c r="G425" i="5"/>
  <c r="G424" i="5"/>
  <c r="G423" i="5"/>
  <c r="G422" i="5"/>
  <c r="G421" i="5"/>
  <c r="F1007" i="6"/>
  <c r="E1007" i="6" s="1"/>
  <c r="H1007" i="6" s="1"/>
  <c r="F1006" i="6"/>
  <c r="E1006" i="6" s="1"/>
  <c r="H1006" i="6" s="1"/>
  <c r="F1005" i="6"/>
  <c r="E1005" i="6" s="1"/>
  <c r="H1005" i="6" s="1"/>
  <c r="F1004" i="6"/>
  <c r="E1004" i="6" s="1"/>
  <c r="H1004" i="6" s="1"/>
  <c r="F1003" i="6"/>
  <c r="E1003" i="6" s="1"/>
  <c r="H1003" i="6" s="1"/>
  <c r="F1002" i="6"/>
  <c r="E1002" i="6" s="1"/>
  <c r="H1002" i="6" s="1"/>
  <c r="F1001" i="6"/>
  <c r="E1001" i="6" s="1"/>
  <c r="H1001" i="6" s="1"/>
  <c r="F1000" i="6"/>
  <c r="E1000" i="6" s="1"/>
  <c r="H1000" i="6" s="1"/>
  <c r="F999" i="6"/>
  <c r="E999" i="6" s="1"/>
  <c r="H999" i="6" s="1"/>
  <c r="F998" i="6"/>
  <c r="E998" i="6" s="1"/>
  <c r="H998" i="6" s="1"/>
  <c r="F997" i="6"/>
  <c r="E997" i="6" s="1"/>
  <c r="H997" i="6" s="1"/>
  <c r="F996" i="6"/>
  <c r="E996" i="6" s="1"/>
  <c r="H996" i="6" s="1"/>
  <c r="F995" i="6"/>
  <c r="E995" i="6" s="1"/>
  <c r="H995" i="6" s="1"/>
  <c r="F994" i="6"/>
  <c r="E994" i="6" s="1"/>
  <c r="H994" i="6" s="1"/>
  <c r="F993" i="6"/>
  <c r="E993" i="6" s="1"/>
  <c r="H993" i="6" s="1"/>
  <c r="F992" i="6"/>
  <c r="E992" i="6" s="1"/>
  <c r="H992" i="6" s="1"/>
  <c r="F991" i="6"/>
  <c r="E991" i="6" s="1"/>
  <c r="H991" i="6" s="1"/>
  <c r="F990" i="6"/>
  <c r="E990" i="6" s="1"/>
  <c r="E984" i="6"/>
  <c r="H984" i="6" s="1"/>
  <c r="F989" i="6"/>
  <c r="E989" i="6" s="1"/>
  <c r="H989" i="6" s="1"/>
  <c r="F988" i="6"/>
  <c r="E988" i="6" s="1"/>
  <c r="H988" i="6" s="1"/>
  <c r="F987" i="6"/>
  <c r="E987" i="6" s="1"/>
  <c r="H987" i="6" s="1"/>
  <c r="F986" i="6"/>
  <c r="E986" i="6" s="1"/>
  <c r="H986" i="6" s="1"/>
  <c r="F985" i="6"/>
  <c r="E985" i="6" s="1"/>
  <c r="H985" i="6" s="1"/>
  <c r="F984" i="6"/>
  <c r="F983" i="6"/>
  <c r="E983" i="6" s="1"/>
  <c r="H983" i="6" s="1"/>
  <c r="F982" i="6"/>
  <c r="E982" i="6" s="1"/>
  <c r="H982" i="6" s="1"/>
  <c r="F981" i="6"/>
  <c r="E981" i="6" s="1"/>
  <c r="H981" i="6" s="1"/>
  <c r="F980" i="6"/>
  <c r="E980" i="6" s="1"/>
  <c r="H980" i="6" s="1"/>
  <c r="F979" i="6"/>
  <c r="E979" i="6" s="1"/>
  <c r="H979" i="6" s="1"/>
  <c r="F978" i="6"/>
  <c r="E978" i="6" s="1"/>
  <c r="H978" i="6" s="1"/>
  <c r="F977" i="6"/>
  <c r="E977" i="6" s="1"/>
  <c r="H977" i="6" s="1"/>
  <c r="F976" i="6"/>
  <c r="E976" i="6" s="1"/>
  <c r="H976" i="6" s="1"/>
  <c r="F975" i="6"/>
  <c r="E975" i="6" s="1"/>
  <c r="H975" i="6" s="1"/>
  <c r="F974" i="6"/>
  <c r="E974" i="6" s="1"/>
  <c r="H974" i="6" s="1"/>
  <c r="F973" i="6"/>
  <c r="E973" i="6" s="1"/>
  <c r="H973" i="6" s="1"/>
  <c r="F972" i="6"/>
  <c r="E972" i="6" s="1"/>
  <c r="H972" i="6" s="1"/>
  <c r="F953" i="6"/>
  <c r="E953" i="6"/>
  <c r="H953" i="6" s="1"/>
  <c r="H935" i="6"/>
  <c r="H917" i="6"/>
  <c r="H899" i="6"/>
  <c r="H881" i="6"/>
  <c r="H863" i="6"/>
  <c r="H845" i="6"/>
  <c r="H827" i="6"/>
  <c r="F971" i="6"/>
  <c r="E971" i="6" s="1"/>
  <c r="H971" i="6" s="1"/>
  <c r="F970" i="6"/>
  <c r="E970" i="6" s="1"/>
  <c r="H970" i="6" s="1"/>
  <c r="F969" i="6"/>
  <c r="E969" i="6" s="1"/>
  <c r="H969" i="6" s="1"/>
  <c r="F968" i="6"/>
  <c r="F967" i="6"/>
  <c r="E967" i="6" s="1"/>
  <c r="H967" i="6" s="1"/>
  <c r="F966" i="6"/>
  <c r="E966" i="6" s="1"/>
  <c r="H966" i="6" s="1"/>
  <c r="F965" i="6"/>
  <c r="E965" i="6" s="1"/>
  <c r="H965" i="6" s="1"/>
  <c r="F964" i="6"/>
  <c r="E964" i="6" s="1"/>
  <c r="H964" i="6" s="1"/>
  <c r="F963" i="6"/>
  <c r="E963" i="6" s="1"/>
  <c r="H963" i="6" s="1"/>
  <c r="F962" i="6"/>
  <c r="E962" i="6" s="1"/>
  <c r="H962" i="6" s="1"/>
  <c r="F961" i="6"/>
  <c r="E961" i="6" s="1"/>
  <c r="H961" i="6" s="1"/>
  <c r="F960" i="6"/>
  <c r="E960" i="6" s="1"/>
  <c r="H960" i="6" s="1"/>
  <c r="F959" i="6"/>
  <c r="E959" i="6" s="1"/>
  <c r="H959" i="6" s="1"/>
  <c r="F958" i="6"/>
  <c r="E958" i="6" s="1"/>
  <c r="H958" i="6" s="1"/>
  <c r="F957" i="6"/>
  <c r="E957" i="6" s="1"/>
  <c r="H957" i="6" s="1"/>
  <c r="F956" i="6"/>
  <c r="E956" i="6" s="1"/>
  <c r="H956" i="6" s="1"/>
  <c r="F955" i="6"/>
  <c r="E955" i="6" s="1"/>
  <c r="H955" i="6" s="1"/>
  <c r="F954" i="6"/>
  <c r="E954" i="6" s="1"/>
  <c r="H954" i="6" s="1"/>
  <c r="F952" i="6"/>
  <c r="F951" i="6"/>
  <c r="F950" i="6"/>
  <c r="E950" i="6" s="1"/>
  <c r="H950" i="6" s="1"/>
  <c r="F949" i="6"/>
  <c r="E949" i="6" s="1"/>
  <c r="H949" i="6" s="1"/>
  <c r="F948" i="6"/>
  <c r="E948" i="6" s="1"/>
  <c r="H948" i="6" s="1"/>
  <c r="F947" i="6"/>
  <c r="F946" i="6"/>
  <c r="E946" i="6" s="1"/>
  <c r="H946" i="6" s="1"/>
  <c r="H945" i="6"/>
  <c r="H944" i="6"/>
  <c r="H943" i="6"/>
  <c r="H942" i="6"/>
  <c r="H941" i="6"/>
  <c r="H940" i="6"/>
  <c r="H939" i="6"/>
  <c r="H938" i="6"/>
  <c r="H937" i="6"/>
  <c r="H936" i="6"/>
  <c r="H934" i="6"/>
  <c r="H933" i="6"/>
  <c r="H932" i="6"/>
  <c r="H929" i="6"/>
  <c r="H928" i="6"/>
  <c r="H927" i="6"/>
  <c r="H926" i="6"/>
  <c r="H925" i="6"/>
  <c r="H924" i="6"/>
  <c r="H923" i="6"/>
  <c r="H922" i="6"/>
  <c r="H921" i="6"/>
  <c r="H920" i="6"/>
  <c r="H919" i="6"/>
  <c r="H918" i="6"/>
  <c r="H916" i="6"/>
  <c r="H915" i="6"/>
  <c r="H912" i="6"/>
  <c r="H911" i="6"/>
  <c r="H910" i="6"/>
  <c r="H909" i="6"/>
  <c r="H908" i="6"/>
  <c r="H907" i="6"/>
  <c r="H906" i="6"/>
  <c r="H905" i="6"/>
  <c r="H902" i="6"/>
  <c r="H900" i="6"/>
  <c r="H898" i="6"/>
  <c r="H897" i="6"/>
  <c r="H896" i="6"/>
  <c r="H895" i="6"/>
  <c r="H894" i="6"/>
  <c r="H893" i="6"/>
  <c r="H892" i="6"/>
  <c r="H890" i="6"/>
  <c r="H888" i="6"/>
  <c r="H887" i="6"/>
  <c r="H886" i="6"/>
  <c r="H885" i="6"/>
  <c r="H884" i="6"/>
  <c r="H883" i="6"/>
  <c r="H882" i="6"/>
  <c r="H879" i="6"/>
  <c r="H878" i="6"/>
  <c r="H877" i="6"/>
  <c r="H876" i="6"/>
  <c r="H875" i="6"/>
  <c r="H873" i="6"/>
  <c r="H872" i="6"/>
  <c r="H871" i="6"/>
  <c r="H870" i="6"/>
  <c r="H869" i="6"/>
  <c r="H868" i="6"/>
  <c r="H867" i="6"/>
  <c r="H866" i="6"/>
  <c r="H865" i="6"/>
  <c r="H864" i="6"/>
  <c r="H862" i="6"/>
  <c r="H861" i="6"/>
  <c r="H860" i="6"/>
  <c r="H859" i="6"/>
  <c r="H858" i="6"/>
  <c r="H857" i="6"/>
  <c r="H856" i="6"/>
  <c r="H855" i="6"/>
  <c r="H854" i="6"/>
  <c r="H849" i="6"/>
  <c r="H847" i="6"/>
  <c r="H846" i="6"/>
  <c r="H844" i="6"/>
  <c r="H843" i="6"/>
  <c r="H842" i="6"/>
  <c r="H839" i="6"/>
  <c r="H838" i="6"/>
  <c r="H837" i="6"/>
  <c r="H836" i="6"/>
  <c r="H835" i="6"/>
  <c r="H834" i="6"/>
  <c r="H832" i="6"/>
  <c r="H831" i="6"/>
  <c r="H830" i="6"/>
  <c r="H829" i="6"/>
  <c r="H828" i="6"/>
  <c r="H826" i="6"/>
  <c r="H825" i="6"/>
  <c r="H824" i="6"/>
  <c r="H823" i="6"/>
  <c r="H822" i="6"/>
  <c r="H821" i="6"/>
  <c r="H820" i="6"/>
  <c r="H819" i="6"/>
  <c r="H818" i="6"/>
  <c r="H817" i="6"/>
  <c r="H816" i="6"/>
  <c r="H815" i="6"/>
  <c r="H814" i="6"/>
  <c r="H813" i="6"/>
  <c r="H812" i="6"/>
  <c r="H811" i="6"/>
  <c r="H810" i="6"/>
  <c r="H809" i="6"/>
  <c r="H808" i="6"/>
  <c r="H807" i="6"/>
  <c r="H806" i="6"/>
  <c r="H805" i="6"/>
  <c r="H804" i="6"/>
  <c r="H802" i="6"/>
  <c r="H800" i="6"/>
  <c r="H799" i="6"/>
  <c r="H798" i="6"/>
  <c r="H797" i="6"/>
  <c r="H795" i="6"/>
  <c r="H794" i="6"/>
  <c r="H793" i="6"/>
  <c r="E968" i="6"/>
  <c r="H968" i="6" s="1"/>
  <c r="E952" i="6"/>
  <c r="H952" i="6" s="1"/>
  <c r="E951" i="6"/>
  <c r="H951" i="6" s="1"/>
  <c r="E947" i="6"/>
  <c r="H947" i="6" s="1"/>
  <c r="H931" i="6"/>
  <c r="H930" i="6"/>
  <c r="H914" i="6"/>
  <c r="H913" i="6"/>
  <c r="H904" i="6"/>
  <c r="H903" i="6"/>
  <c r="H901" i="6"/>
  <c r="H891" i="6"/>
  <c r="H889" i="6"/>
  <c r="H880" i="6"/>
  <c r="H874" i="6"/>
  <c r="H853" i="6"/>
  <c r="H852" i="6"/>
  <c r="H851" i="6"/>
  <c r="H850" i="6"/>
  <c r="H848" i="6"/>
  <c r="H841" i="6"/>
  <c r="H840" i="6"/>
  <c r="H833" i="6"/>
  <c r="H803" i="6"/>
  <c r="H801" i="6"/>
  <c r="H796" i="6"/>
  <c r="H576" i="6"/>
  <c r="H557" i="6"/>
  <c r="H575" i="6"/>
  <c r="H574" i="6"/>
  <c r="H573" i="6"/>
  <c r="H572" i="6"/>
  <c r="H571" i="6"/>
  <c r="H570" i="6"/>
  <c r="H569" i="6"/>
  <c r="H568" i="6"/>
  <c r="H567" i="6"/>
  <c r="H566" i="6"/>
  <c r="H565" i="6"/>
  <c r="H564" i="6"/>
  <c r="H563" i="6"/>
  <c r="H562" i="6"/>
  <c r="H561" i="6"/>
  <c r="H560" i="6"/>
  <c r="H559" i="6"/>
  <c r="H558" i="6"/>
  <c r="H556" i="6"/>
  <c r="H555" i="6"/>
  <c r="H554" i="6"/>
  <c r="H553" i="6"/>
  <c r="H552" i="6"/>
  <c r="H551" i="6"/>
  <c r="H550" i="6"/>
  <c r="H549" i="6"/>
  <c r="H548" i="6"/>
  <c r="H547" i="6"/>
  <c r="H546" i="6"/>
  <c r="H545" i="6"/>
  <c r="H544" i="6"/>
  <c r="H543" i="6"/>
  <c r="H542" i="6"/>
  <c r="H541" i="6"/>
  <c r="H540" i="6"/>
  <c r="H539" i="6"/>
  <c r="H538" i="6"/>
  <c r="H537" i="6"/>
  <c r="H536" i="6"/>
  <c r="H535" i="6"/>
  <c r="H534" i="6"/>
  <c r="H533" i="6"/>
  <c r="H532" i="6"/>
  <c r="H531" i="6"/>
  <c r="H530" i="6"/>
  <c r="H529" i="6"/>
  <c r="H528" i="6"/>
  <c r="H527" i="6"/>
  <c r="H526" i="6"/>
  <c r="H525" i="6"/>
  <c r="H524" i="6"/>
  <c r="H523" i="6"/>
  <c r="H522" i="6"/>
  <c r="H521" i="6"/>
  <c r="H520" i="6"/>
  <c r="H519" i="6"/>
  <c r="H518" i="6"/>
  <c r="H517" i="6"/>
  <c r="H516" i="6"/>
  <c r="H515" i="6"/>
  <c r="H514" i="6"/>
  <c r="H513" i="6"/>
  <c r="H512" i="6"/>
  <c r="H511" i="6"/>
  <c r="H510" i="6"/>
  <c r="H509" i="6"/>
  <c r="H508" i="6"/>
  <c r="H507" i="6"/>
  <c r="H506" i="6"/>
  <c r="H505" i="6"/>
  <c r="H504" i="6"/>
  <c r="H503" i="6"/>
  <c r="H502" i="6"/>
  <c r="H501" i="6"/>
  <c r="H500" i="6"/>
  <c r="H499" i="6"/>
  <c r="H498" i="6"/>
  <c r="H497" i="6"/>
  <c r="H496" i="6"/>
  <c r="H495" i="6"/>
  <c r="H494" i="6"/>
  <c r="H493" i="6"/>
  <c r="H492" i="6"/>
  <c r="H478" i="6"/>
  <c r="H477" i="6"/>
  <c r="H476" i="6"/>
  <c r="H475" i="6"/>
  <c r="H474" i="6"/>
  <c r="H473" i="6"/>
  <c r="H472" i="6"/>
  <c r="H471" i="6"/>
  <c r="H470" i="6"/>
  <c r="H469" i="6"/>
  <c r="H468" i="6"/>
  <c r="H467" i="6"/>
  <c r="H466" i="6"/>
  <c r="H465" i="6"/>
  <c r="H464" i="6"/>
  <c r="H463" i="6"/>
  <c r="H462" i="6"/>
  <c r="H461" i="6"/>
  <c r="H460" i="6"/>
  <c r="H459" i="6"/>
  <c r="H458" i="6"/>
  <c r="H457" i="6"/>
  <c r="H456" i="6"/>
  <c r="H455" i="6"/>
  <c r="H454" i="6"/>
  <c r="H453" i="6"/>
  <c r="H452" i="6"/>
  <c r="H451" i="6"/>
  <c r="H450" i="6"/>
  <c r="B433" i="5" l="1"/>
  <c r="I517" i="5"/>
  <c r="B440" i="5"/>
  <c r="I520" i="5"/>
  <c r="I521" i="5"/>
  <c r="I526" i="5"/>
  <c r="I527" i="5"/>
  <c r="B437" i="5"/>
  <c r="B439" i="5"/>
  <c r="I528" i="5"/>
  <c r="I529" i="5"/>
  <c r="B441" i="5"/>
  <c r="B518" i="5"/>
  <c r="B442" i="5"/>
  <c r="B519" i="5"/>
  <c r="B443" i="5"/>
  <c r="B445" i="5"/>
  <c r="B522" i="5"/>
  <c r="B523" i="5"/>
  <c r="B524" i="5"/>
  <c r="B525" i="5"/>
  <c r="B434" i="5"/>
  <c r="B435" i="5"/>
  <c r="B436" i="5"/>
  <c r="H449" i="6"/>
  <c r="H448" i="6"/>
  <c r="H447" i="6"/>
  <c r="H446" i="6"/>
  <c r="H445" i="6"/>
  <c r="H444" i="6"/>
  <c r="H443" i="6"/>
  <c r="H442" i="6"/>
  <c r="H441" i="6"/>
  <c r="H440" i="6"/>
  <c r="H439" i="6"/>
  <c r="H438" i="6"/>
  <c r="H437" i="6"/>
  <c r="H436" i="6"/>
  <c r="H435" i="6"/>
  <c r="H434" i="6"/>
  <c r="H433" i="6"/>
  <c r="H432" i="6"/>
  <c r="H397" i="6"/>
  <c r="H379" i="6"/>
  <c r="H361" i="6"/>
  <c r="H398" i="6"/>
  <c r="H396" i="6"/>
  <c r="H395" i="6"/>
  <c r="H394" i="6"/>
  <c r="H393" i="6"/>
  <c r="H392" i="6"/>
  <c r="H391" i="6"/>
  <c r="H390" i="6"/>
  <c r="H389" i="6"/>
  <c r="H388" i="6"/>
  <c r="H387" i="6"/>
  <c r="H386" i="6"/>
  <c r="H385" i="6"/>
  <c r="H384" i="6"/>
  <c r="H383" i="6"/>
  <c r="H382" i="6"/>
  <c r="H381" i="6"/>
  <c r="H380" i="6"/>
  <c r="H378" i="6"/>
  <c r="H377" i="6"/>
  <c r="H376" i="6"/>
  <c r="H375" i="6"/>
  <c r="H374" i="6"/>
  <c r="H373" i="6"/>
  <c r="H372" i="6"/>
  <c r="H371" i="6"/>
  <c r="H370" i="6"/>
  <c r="H369" i="6"/>
  <c r="H368" i="6"/>
  <c r="H367" i="6"/>
  <c r="H366" i="6"/>
  <c r="H365" i="6"/>
  <c r="H364" i="6"/>
  <c r="H363" i="6"/>
  <c r="H362" i="6"/>
  <c r="H360" i="6"/>
  <c r="H359" i="6"/>
  <c r="H358" i="6"/>
  <c r="H357" i="6"/>
  <c r="H356" i="6"/>
  <c r="H355" i="6"/>
  <c r="H354" i="6"/>
  <c r="H353" i="6"/>
  <c r="H352" i="6"/>
  <c r="H351" i="6"/>
  <c r="H350" i="6"/>
  <c r="H349" i="6"/>
  <c r="H348" i="6"/>
  <c r="H347" i="6"/>
  <c r="H346" i="6"/>
  <c r="H345" i="6"/>
  <c r="H326" i="6"/>
  <c r="H325" i="6"/>
  <c r="H324" i="6"/>
  <c r="H323" i="6"/>
  <c r="H322" i="6"/>
  <c r="H321" i="6"/>
  <c r="H320" i="6"/>
  <c r="H319" i="6"/>
  <c r="H318" i="6"/>
  <c r="H317" i="6"/>
  <c r="H316" i="6"/>
  <c r="H315" i="6"/>
  <c r="H314" i="6"/>
  <c r="H313" i="6"/>
  <c r="H312" i="6"/>
  <c r="H311" i="6"/>
  <c r="H310" i="6"/>
  <c r="H309" i="6"/>
  <c r="H1068" i="3"/>
  <c r="B1068" i="3" s="1"/>
  <c r="H1087" i="3"/>
  <c r="B1087" i="3" s="1"/>
  <c r="H1086" i="3"/>
  <c r="B1086" i="3" s="1"/>
  <c r="H1085" i="3"/>
  <c r="B1085" i="3" s="1"/>
  <c r="H1084" i="3"/>
  <c r="B1084" i="3" s="1"/>
  <c r="H1083" i="3"/>
  <c r="B1083" i="3" s="1"/>
  <c r="H1082" i="3"/>
  <c r="B1082" i="3" s="1"/>
  <c r="H1081" i="3"/>
  <c r="B1081" i="3" s="1"/>
  <c r="H1080" i="3"/>
  <c r="B1080" i="3" s="1"/>
  <c r="H1079" i="3"/>
  <c r="B1079" i="3" s="1"/>
  <c r="H1078" i="3"/>
  <c r="B1078" i="3" s="1"/>
  <c r="H1077" i="3"/>
  <c r="B1077" i="3" s="1"/>
  <c r="H1076" i="3"/>
  <c r="B1076" i="3" s="1"/>
  <c r="H1075" i="3"/>
  <c r="B1075" i="3" s="1"/>
  <c r="H1074" i="3"/>
  <c r="B1074" i="3" s="1"/>
  <c r="H1073" i="3"/>
  <c r="B1073" i="3" s="1"/>
  <c r="H1072" i="3"/>
  <c r="B1072" i="3" s="1"/>
  <c r="H1071" i="3"/>
  <c r="B1071" i="3" s="1"/>
  <c r="H1070" i="3"/>
  <c r="B1070" i="3" s="1"/>
  <c r="H1069" i="3"/>
  <c r="B1069" i="3" s="1"/>
  <c r="H1067" i="3"/>
  <c r="B1067" i="3" s="1"/>
  <c r="H1066" i="3"/>
  <c r="B1066" i="3" s="1"/>
  <c r="H1065" i="3"/>
  <c r="B1065" i="3" s="1"/>
  <c r="H1064" i="3"/>
  <c r="B1064" i="3" s="1"/>
  <c r="H1063" i="3"/>
  <c r="B1063" i="3" s="1"/>
  <c r="H1062" i="3"/>
  <c r="B1062" i="3" s="1"/>
  <c r="H1061" i="3"/>
  <c r="B1061" i="3" s="1"/>
  <c r="H1060" i="3"/>
  <c r="B1060" i="3" s="1"/>
  <c r="H1059" i="3"/>
  <c r="B1059" i="3" s="1"/>
  <c r="H1058" i="3"/>
  <c r="B1058" i="3" s="1"/>
  <c r="H1057" i="3"/>
  <c r="B1057" i="3" s="1"/>
  <c r="H1056" i="3"/>
  <c r="B1056" i="3" s="1"/>
  <c r="H1055" i="3"/>
  <c r="B1055" i="3" s="1"/>
  <c r="H1054" i="3"/>
  <c r="B1054" i="3" s="1"/>
  <c r="H1053" i="3"/>
  <c r="B1053" i="3" s="1"/>
  <c r="H1052" i="3"/>
  <c r="B1052" i="3" s="1"/>
  <c r="H1051" i="3"/>
  <c r="B1051" i="3" s="1"/>
  <c r="H1050" i="3"/>
  <c r="B1050" i="3" s="1"/>
  <c r="H1049" i="3"/>
  <c r="B1049" i="3" s="1"/>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H716" i="3"/>
  <c r="H715" i="3"/>
  <c r="H714" i="3"/>
  <c r="H713" i="3"/>
  <c r="H712" i="3"/>
  <c r="H711" i="3"/>
  <c r="H710" i="3"/>
  <c r="H709" i="3"/>
  <c r="H708" i="3"/>
  <c r="H486" i="3"/>
  <c r="H485" i="3"/>
  <c r="H484" i="3"/>
  <c r="H483" i="3"/>
  <c r="H482" i="3"/>
  <c r="H481" i="3"/>
  <c r="H480" i="3"/>
  <c r="H479" i="3"/>
  <c r="H478" i="3"/>
  <c r="H477" i="3"/>
  <c r="H476" i="3"/>
  <c r="H475" i="3"/>
  <c r="H474" i="3"/>
  <c r="H473" i="3"/>
  <c r="H472" i="3"/>
  <c r="H471" i="3"/>
  <c r="H470" i="3"/>
  <c r="H469" i="3"/>
  <c r="H468" i="3"/>
  <c r="H467" i="3"/>
  <c r="H466" i="3"/>
  <c r="I866" i="2"/>
  <c r="B866" i="2"/>
  <c r="I865" i="2"/>
  <c r="B865" i="2"/>
  <c r="I864" i="2"/>
  <c r="B864" i="2"/>
  <c r="I863" i="2"/>
  <c r="B863" i="2"/>
  <c r="I862" i="2"/>
  <c r="B862" i="2"/>
  <c r="I861" i="2"/>
  <c r="B861" i="2"/>
  <c r="I860" i="2"/>
  <c r="B860" i="2"/>
  <c r="I859" i="2"/>
  <c r="B859" i="2"/>
  <c r="I858" i="2"/>
  <c r="B858" i="2"/>
  <c r="I857" i="2"/>
  <c r="B857" i="2"/>
  <c r="I856" i="2"/>
  <c r="B856" i="2"/>
  <c r="I855" i="2"/>
  <c r="B855" i="2"/>
  <c r="I854" i="2"/>
  <c r="B854" i="2"/>
  <c r="I853" i="2"/>
  <c r="B853" i="2"/>
  <c r="I852" i="2"/>
  <c r="B852" i="2"/>
  <c r="I851" i="2"/>
  <c r="B851" i="2"/>
  <c r="I850" i="2"/>
  <c r="B850" i="2"/>
  <c r="B849" i="2"/>
  <c r="B848" i="2"/>
  <c r="B847" i="2"/>
  <c r="B846" i="2"/>
  <c r="B845" i="2"/>
  <c r="B844" i="2"/>
  <c r="B843" i="2"/>
  <c r="B842" i="2"/>
  <c r="B841" i="2"/>
  <c r="B840" i="2"/>
  <c r="B839" i="2"/>
  <c r="B838" i="2"/>
  <c r="B837" i="2"/>
  <c r="B836" i="2"/>
  <c r="B835" i="2"/>
  <c r="B834" i="2"/>
  <c r="B833" i="2"/>
  <c r="I849" i="2"/>
  <c r="I848" i="2"/>
  <c r="I847" i="2"/>
  <c r="I846" i="2"/>
  <c r="I845" i="2"/>
  <c r="I844" i="2"/>
  <c r="I843" i="2"/>
  <c r="I842" i="2"/>
  <c r="I841" i="2"/>
  <c r="I840" i="2"/>
  <c r="I839" i="2"/>
  <c r="I838" i="2"/>
  <c r="I837" i="2"/>
  <c r="I836" i="2"/>
  <c r="I835" i="2"/>
  <c r="I834" i="2"/>
  <c r="I833" i="2"/>
  <c r="B832" i="2"/>
  <c r="B831" i="2"/>
  <c r="B830" i="2"/>
  <c r="B829" i="2"/>
  <c r="B828" i="2"/>
  <c r="B827" i="2"/>
  <c r="B826" i="2"/>
  <c r="B825" i="2"/>
  <c r="B824" i="2"/>
  <c r="B823" i="2"/>
  <c r="B822" i="2"/>
  <c r="B821" i="2"/>
  <c r="B820" i="2"/>
  <c r="B819" i="2"/>
  <c r="B818" i="2"/>
  <c r="B817" i="2"/>
  <c r="B816" i="2"/>
  <c r="B815"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481" i="2"/>
  <c r="I480" i="2"/>
  <c r="I479" i="2"/>
  <c r="I478" i="2"/>
  <c r="I477" i="2"/>
  <c r="I476" i="2"/>
  <c r="I475" i="2"/>
  <c r="I474" i="2"/>
  <c r="I473" i="2"/>
  <c r="I472" i="2"/>
  <c r="I471" i="2"/>
  <c r="I470" i="2"/>
  <c r="I469" i="2"/>
  <c r="I468" i="2"/>
  <c r="I467" i="2"/>
  <c r="I466" i="2"/>
  <c r="I465" i="2"/>
  <c r="B465" i="2"/>
  <c r="I464" i="2"/>
  <c r="I463" i="2"/>
  <c r="I462" i="2"/>
  <c r="I461" i="2"/>
  <c r="I460" i="2"/>
  <c r="I459" i="2"/>
  <c r="I458" i="2"/>
  <c r="I457" i="2"/>
  <c r="I456" i="2"/>
  <c r="I455" i="2"/>
  <c r="I454"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195" i="2"/>
  <c r="I194" i="2"/>
  <c r="I193" i="2"/>
  <c r="I192" i="2"/>
  <c r="I191" i="2"/>
  <c r="I190" i="2"/>
  <c r="I189" i="2"/>
  <c r="I188" i="2"/>
  <c r="I187" i="2"/>
  <c r="I186" i="2"/>
  <c r="I185" i="2"/>
  <c r="I184" i="2"/>
  <c r="I183" i="2"/>
  <c r="I182" i="2"/>
  <c r="I181" i="2"/>
  <c r="I180" i="2"/>
  <c r="I179" i="2"/>
  <c r="I178" i="2"/>
  <c r="H177" i="2"/>
  <c r="G177" i="2"/>
  <c r="I177" i="2" s="1"/>
  <c r="H176" i="2"/>
  <c r="G176" i="2"/>
  <c r="I176" i="2" s="1"/>
  <c r="H175" i="2"/>
  <c r="G175" i="2"/>
  <c r="I175" i="2" s="1"/>
  <c r="H174" i="2"/>
  <c r="G174" i="2"/>
  <c r="I174" i="2" s="1"/>
  <c r="H173" i="2"/>
  <c r="G173" i="2"/>
  <c r="I173" i="2" s="1"/>
  <c r="H172" i="2"/>
  <c r="G172" i="2"/>
  <c r="I172" i="2" s="1"/>
  <c r="H171" i="2"/>
  <c r="G171" i="2"/>
  <c r="B171" i="2" s="1"/>
  <c r="H170" i="2"/>
  <c r="G170" i="2"/>
  <c r="I170" i="2" s="1"/>
  <c r="H169" i="2"/>
  <c r="G169" i="2"/>
  <c r="B169" i="2" s="1"/>
  <c r="H168" i="2"/>
  <c r="G168" i="2"/>
  <c r="B168" i="2" s="1"/>
  <c r="H167" i="2"/>
  <c r="G167" i="2"/>
  <c r="I167" i="2" s="1"/>
  <c r="H166" i="2"/>
  <c r="G166" i="2"/>
  <c r="I166" i="2" s="1"/>
  <c r="H165" i="2"/>
  <c r="G165" i="2"/>
  <c r="I165" i="2" s="1"/>
  <c r="H164" i="2"/>
  <c r="G164" i="2"/>
  <c r="I164" i="2" s="1"/>
  <c r="H163" i="2"/>
  <c r="G163" i="2"/>
  <c r="I163" i="2" s="1"/>
  <c r="H162" i="2"/>
  <c r="G162" i="2"/>
  <c r="I162" i="2" s="1"/>
  <c r="H161" i="2"/>
  <c r="G161" i="2"/>
  <c r="I161" i="2" s="1"/>
  <c r="H160" i="2"/>
  <c r="G160" i="2"/>
  <c r="I160" i="2" s="1"/>
  <c r="H159" i="2"/>
  <c r="G159" i="2"/>
  <c r="B159" i="2" s="1"/>
  <c r="H158" i="2"/>
  <c r="G158" i="2"/>
  <c r="B158" i="2" s="1"/>
  <c r="H157" i="2"/>
  <c r="G157" i="2"/>
  <c r="B157" i="2" s="1"/>
  <c r="H156" i="2"/>
  <c r="G156" i="2"/>
  <c r="I156" i="2" s="1"/>
  <c r="H155" i="2"/>
  <c r="G155" i="2"/>
  <c r="I155" i="2" s="1"/>
  <c r="H154" i="2"/>
  <c r="G154" i="2"/>
  <c r="I154" i="2" s="1"/>
  <c r="B136" i="2"/>
  <c r="B135" i="2"/>
  <c r="F1320" i="1"/>
  <c r="G1320" i="1" s="1"/>
  <c r="F1319" i="1"/>
  <c r="G1319" i="1" s="1"/>
  <c r="F1318" i="1"/>
  <c r="G1318" i="1" s="1"/>
  <c r="F1317" i="1"/>
  <c r="G1317" i="1" s="1"/>
  <c r="F1316" i="1"/>
  <c r="G1316" i="1" s="1"/>
  <c r="F1315" i="1"/>
  <c r="G1315" i="1" s="1"/>
  <c r="F1314" i="1"/>
  <c r="G1314" i="1" s="1"/>
  <c r="F1313" i="1"/>
  <c r="G1313" i="1" s="1"/>
  <c r="F1312" i="1"/>
  <c r="G1312" i="1" s="1"/>
  <c r="F1311" i="1"/>
  <c r="G1311" i="1" s="1"/>
  <c r="F1310" i="1"/>
  <c r="G1310" i="1" s="1"/>
  <c r="F1309" i="1"/>
  <c r="G1309" i="1" s="1"/>
  <c r="F1308" i="1"/>
  <c r="G1308" i="1" s="1"/>
  <c r="F1307" i="1"/>
  <c r="G1307" i="1" s="1"/>
  <c r="F1306" i="1"/>
  <c r="G1306" i="1" s="1"/>
  <c r="F1305" i="1"/>
  <c r="G1305" i="1" s="1"/>
  <c r="F1304" i="1"/>
  <c r="G1304" i="1" s="1"/>
  <c r="F1303" i="1"/>
  <c r="G1303" i="1" s="1"/>
  <c r="F1302" i="1"/>
  <c r="G1302" i="1" s="1"/>
  <c r="F1301" i="1"/>
  <c r="G1301" i="1" s="1"/>
  <c r="F1300" i="1"/>
  <c r="G1300" i="1" s="1"/>
  <c r="F1299" i="1"/>
  <c r="G1299" i="1" s="1"/>
  <c r="F1298" i="1"/>
  <c r="G1298" i="1" s="1"/>
  <c r="F1297" i="1"/>
  <c r="G1297" i="1" s="1"/>
  <c r="F1296" i="1"/>
  <c r="G1296" i="1" s="1"/>
  <c r="F1295" i="1"/>
  <c r="G1295" i="1" s="1"/>
  <c r="F1294" i="1"/>
  <c r="G1294" i="1" s="1"/>
  <c r="F1293" i="1"/>
  <c r="G1293" i="1" s="1"/>
  <c r="F1292" i="1"/>
  <c r="G1292" i="1" s="1"/>
  <c r="F1291" i="1"/>
  <c r="G1291" i="1" s="1"/>
  <c r="F1290" i="1"/>
  <c r="G1290" i="1" s="1"/>
  <c r="F1289" i="1"/>
  <c r="G1289" i="1" s="1"/>
  <c r="F1288" i="1"/>
  <c r="G1288" i="1" s="1"/>
  <c r="F1287" i="1"/>
  <c r="G1287" i="1" s="1"/>
  <c r="B1287" i="1" s="1"/>
  <c r="F1286" i="1"/>
  <c r="G1286" i="1" s="1"/>
  <c r="B1286" i="1" s="1"/>
  <c r="F1285" i="1"/>
  <c r="G1285" i="1" s="1"/>
  <c r="B1285" i="1" s="1"/>
  <c r="F1284" i="1"/>
  <c r="G1284" i="1" s="1"/>
  <c r="B1284" i="1" s="1"/>
  <c r="F1283" i="1"/>
  <c r="G1283" i="1" s="1"/>
  <c r="B1283" i="1" s="1"/>
  <c r="F1282" i="1"/>
  <c r="G1282" i="1" s="1"/>
  <c r="B1282" i="1" s="1"/>
  <c r="F1281" i="1"/>
  <c r="G1281" i="1" s="1"/>
  <c r="B1281" i="1" s="1"/>
  <c r="F1280" i="1"/>
  <c r="G1280" i="1" s="1"/>
  <c r="B1280" i="1" s="1"/>
  <c r="F1279" i="1"/>
  <c r="G1279" i="1" s="1"/>
  <c r="B1279" i="1" s="1"/>
  <c r="F1278" i="1"/>
  <c r="G1278" i="1" s="1"/>
  <c r="B1278" i="1" s="1"/>
  <c r="F1277" i="1"/>
  <c r="G1277" i="1" s="1"/>
  <c r="B1277" i="1" s="1"/>
  <c r="F1276" i="1"/>
  <c r="G1276" i="1" s="1"/>
  <c r="B1276" i="1" s="1"/>
  <c r="F1275" i="1"/>
  <c r="G1275" i="1" s="1"/>
  <c r="B1275" i="1" s="1"/>
  <c r="F1274" i="1"/>
  <c r="G1274" i="1" s="1"/>
  <c r="B1274" i="1" s="1"/>
  <c r="F1273" i="1"/>
  <c r="G1273" i="1" s="1"/>
  <c r="B1273" i="1" s="1"/>
  <c r="F1272" i="1"/>
  <c r="G1272" i="1" s="1"/>
  <c r="B1272" i="1" s="1"/>
  <c r="F1271" i="1"/>
  <c r="G1271" i="1" s="1"/>
  <c r="B1271" i="1" s="1"/>
  <c r="F1270" i="1"/>
  <c r="G1270" i="1" s="1"/>
  <c r="B1270" i="1" s="1"/>
  <c r="F1269" i="1"/>
  <c r="G1269" i="1" s="1"/>
  <c r="B1269" i="1" s="1"/>
  <c r="F1268" i="1"/>
  <c r="G1268" i="1" s="1"/>
  <c r="B1268" i="1" s="1"/>
  <c r="F1267" i="1"/>
  <c r="G1267" i="1" s="1"/>
  <c r="B1267" i="1" s="1"/>
  <c r="F1266" i="1"/>
  <c r="G1266" i="1" s="1"/>
  <c r="B1266" i="1" s="1"/>
  <c r="F1265" i="1"/>
  <c r="G1265" i="1" s="1"/>
  <c r="B1265" i="1" s="1"/>
  <c r="F1264" i="1"/>
  <c r="G1264" i="1" s="1"/>
  <c r="B1264" i="1" s="1"/>
  <c r="F1263" i="1"/>
  <c r="G1263" i="1" s="1"/>
  <c r="B1263" i="1" s="1"/>
  <c r="F1262" i="1"/>
  <c r="G1262" i="1" s="1"/>
  <c r="B1262" i="1" s="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B163" i="2" l="1"/>
  <c r="B161" i="2"/>
  <c r="B167" i="2"/>
  <c r="B160" i="2"/>
  <c r="I157" i="2"/>
  <c r="B172" i="2"/>
  <c r="I158" i="2"/>
  <c r="B166" i="2"/>
  <c r="B155" i="2"/>
  <c r="B162" i="2"/>
  <c r="I171" i="2"/>
  <c r="B173" i="2"/>
  <c r="B170" i="2"/>
  <c r="B165" i="2"/>
  <c r="B177" i="2"/>
  <c r="B154" i="2"/>
  <c r="I168" i="2"/>
  <c r="B156" i="2"/>
  <c r="I169" i="2"/>
  <c r="B174" i="2"/>
  <c r="B175" i="2"/>
  <c r="I159" i="2"/>
  <c r="B176" i="2"/>
  <c r="B164" i="2"/>
  <c r="G1204" i="5" l="1"/>
  <c r="B1204" i="5"/>
  <c r="G1203" i="5"/>
  <c r="B1203" i="5"/>
  <c r="G1202" i="5"/>
  <c r="B1202" i="5"/>
  <c r="G1201" i="5"/>
  <c r="B1201" i="5"/>
  <c r="G1200" i="5"/>
  <c r="B1200" i="5"/>
  <c r="G1199" i="5"/>
  <c r="B1199" i="5"/>
  <c r="G1198" i="5"/>
  <c r="B1198" i="5"/>
  <c r="G1197" i="5"/>
  <c r="B1197" i="5"/>
  <c r="G1196" i="5"/>
  <c r="B1196" i="5"/>
  <c r="G1195" i="5"/>
  <c r="B1195" i="5"/>
  <c r="G1194" i="5"/>
  <c r="B1194" i="5"/>
  <c r="G1193" i="5"/>
  <c r="B1193" i="5"/>
  <c r="G1192" i="5"/>
  <c r="B1192" i="5"/>
  <c r="G1191" i="5"/>
  <c r="B1191" i="5"/>
  <c r="G1190" i="5"/>
  <c r="B1190" i="5"/>
  <c r="G1189" i="5"/>
  <c r="B1189" i="5"/>
  <c r="G1188" i="5"/>
  <c r="B1188" i="5"/>
  <c r="G1187" i="5"/>
  <c r="B1187" i="5"/>
  <c r="G1186" i="5"/>
  <c r="B1186" i="5"/>
  <c r="G1185" i="5"/>
  <c r="B1185" i="5"/>
  <c r="G1184" i="5"/>
  <c r="B1184" i="5"/>
  <c r="G1183" i="5"/>
  <c r="B1183" i="5"/>
  <c r="G1182" i="5"/>
  <c r="B1182" i="5"/>
  <c r="G1181" i="5"/>
  <c r="B1181" i="5"/>
  <c r="G1180" i="5"/>
  <c r="B1180" i="5"/>
  <c r="G1179" i="5"/>
  <c r="B1179" i="5"/>
  <c r="G1178" i="5"/>
  <c r="B1178" i="5"/>
  <c r="G1177" i="5"/>
  <c r="B1177" i="5"/>
  <c r="G1176" i="5"/>
  <c r="B1176" i="5"/>
  <c r="G1175" i="5"/>
  <c r="B1175" i="5"/>
  <c r="G1174" i="5"/>
  <c r="B1174" i="5"/>
  <c r="G1173" i="5"/>
  <c r="B1173" i="5"/>
  <c r="G1172" i="5"/>
  <c r="B1172" i="5"/>
  <c r="G1171" i="5"/>
  <c r="B1171" i="5"/>
  <c r="G1170" i="5"/>
  <c r="B1170" i="5"/>
  <c r="G1169" i="5"/>
  <c r="B1169" i="5"/>
  <c r="G1168" i="5"/>
  <c r="B1168" i="5"/>
  <c r="G1167" i="5"/>
  <c r="B1167" i="5"/>
  <c r="G1166" i="5"/>
  <c r="B1166" i="5"/>
  <c r="G1165" i="5"/>
  <c r="B1165" i="5"/>
  <c r="G1164" i="5"/>
  <c r="B1164" i="5"/>
  <c r="G1163" i="5"/>
  <c r="B1163" i="5"/>
  <c r="G1162" i="5"/>
  <c r="B1162" i="5"/>
  <c r="G1161" i="5"/>
  <c r="B1161" i="5"/>
  <c r="G1160" i="5"/>
  <c r="B1160" i="5"/>
  <c r="G1159" i="5"/>
  <c r="B1159" i="5"/>
  <c r="G1158" i="5"/>
  <c r="B1158" i="5"/>
  <c r="G1157" i="5"/>
  <c r="B1157" i="5"/>
  <c r="G1156" i="5"/>
  <c r="B1156" i="5"/>
  <c r="G1155" i="5"/>
  <c r="B1155" i="5"/>
  <c r="G1154" i="5"/>
  <c r="B1154" i="5"/>
  <c r="G1153" i="5"/>
  <c r="B1153" i="5"/>
  <c r="G1152" i="5"/>
  <c r="B1152" i="5"/>
  <c r="G1151" i="5"/>
  <c r="B1151" i="5"/>
  <c r="G1150" i="5"/>
  <c r="B1150" i="5"/>
  <c r="G1149" i="5"/>
  <c r="B1149" i="5"/>
  <c r="G1148" i="5"/>
  <c r="B1148" i="5"/>
  <c r="G1147" i="5"/>
  <c r="B1147" i="5"/>
  <c r="G1146" i="5"/>
  <c r="B1146" i="5"/>
  <c r="G1145" i="5"/>
  <c r="B1145" i="5"/>
  <c r="G1144" i="5"/>
  <c r="B1144" i="5"/>
  <c r="G1143" i="5"/>
  <c r="B1143" i="5"/>
  <c r="G1142" i="5"/>
  <c r="B1142" i="5"/>
  <c r="G1141" i="5"/>
  <c r="B1141" i="5"/>
  <c r="G1140" i="5"/>
  <c r="B1140" i="5"/>
  <c r="G1139" i="5"/>
  <c r="B1139" i="5"/>
  <c r="G1138" i="5"/>
  <c r="B1138" i="5"/>
  <c r="G1137" i="5"/>
  <c r="B1137" i="5"/>
  <c r="G1136" i="5"/>
  <c r="B1136" i="5"/>
  <c r="G1135" i="5"/>
  <c r="B1135" i="5"/>
  <c r="G1134" i="5"/>
  <c r="B1134" i="5"/>
  <c r="G1133" i="5"/>
  <c r="B1133" i="5"/>
  <c r="G1132" i="5"/>
  <c r="B1132" i="5"/>
  <c r="G1131" i="5"/>
  <c r="B1131" i="5"/>
  <c r="G1130" i="5"/>
  <c r="B1130" i="5"/>
  <c r="G1129" i="5"/>
  <c r="B1129" i="5"/>
  <c r="G1128" i="5"/>
  <c r="B1128" i="5"/>
  <c r="G1127" i="5"/>
  <c r="B1127" i="5"/>
  <c r="G1126" i="5"/>
  <c r="B1126" i="5"/>
  <c r="G1125" i="5"/>
  <c r="B1125" i="5"/>
  <c r="G1124" i="5"/>
  <c r="B1124" i="5"/>
  <c r="G1123" i="5"/>
  <c r="B1123" i="5"/>
  <c r="G1122" i="5"/>
  <c r="B1122" i="5"/>
  <c r="G1121" i="5"/>
  <c r="B1121" i="5"/>
  <c r="G1120" i="5"/>
  <c r="B1120" i="5"/>
  <c r="G1119" i="5"/>
  <c r="B1119" i="5"/>
  <c r="G1118" i="5"/>
  <c r="B1118" i="5"/>
  <c r="G1117" i="5"/>
  <c r="B1117" i="5"/>
  <c r="G1116" i="5"/>
  <c r="B1116" i="5"/>
  <c r="G1115" i="5"/>
  <c r="B1115" i="5"/>
  <c r="G1114" i="5"/>
  <c r="B1114" i="5"/>
  <c r="G1113" i="5"/>
  <c r="B1113" i="5"/>
  <c r="G1112" i="5"/>
  <c r="B1112" i="5"/>
  <c r="G1111" i="5"/>
  <c r="B1111" i="5"/>
  <c r="G1110" i="5"/>
  <c r="B1110" i="5"/>
  <c r="G1109" i="5"/>
  <c r="B1109" i="5"/>
  <c r="G1108" i="5"/>
  <c r="B1108" i="5"/>
  <c r="G1107" i="5"/>
  <c r="B1107" i="5"/>
  <c r="G1106" i="5"/>
  <c r="B1106" i="5"/>
  <c r="G1105" i="5"/>
  <c r="B1105" i="5"/>
  <c r="G1104" i="5"/>
  <c r="B1104" i="5"/>
  <c r="G1103" i="5"/>
  <c r="B1103" i="5"/>
  <c r="G1102" i="5"/>
  <c r="B1102" i="5"/>
  <c r="G1101" i="5"/>
  <c r="B1101" i="5"/>
  <c r="G1100" i="5"/>
  <c r="B1100" i="5"/>
  <c r="G1099" i="5"/>
  <c r="B1099" i="5"/>
  <c r="G1098" i="5"/>
  <c r="B1098" i="5"/>
  <c r="G1097" i="5"/>
  <c r="B1097" i="5"/>
  <c r="G1096" i="5"/>
  <c r="B1096" i="5"/>
  <c r="G1095" i="5"/>
  <c r="B1095" i="5"/>
  <c r="G1094" i="5"/>
  <c r="B1094" i="5"/>
  <c r="G1093" i="5"/>
  <c r="B1093" i="5"/>
  <c r="G1092" i="5"/>
  <c r="B1092" i="5"/>
  <c r="G1091" i="5"/>
  <c r="B1091" i="5"/>
  <c r="G1090" i="5"/>
  <c r="B1090" i="5"/>
  <c r="G1089" i="5"/>
  <c r="B1089" i="5"/>
  <c r="G1088" i="5"/>
  <c r="B1088" i="5"/>
  <c r="G1087" i="5"/>
  <c r="B1087" i="5"/>
  <c r="G1086" i="5"/>
  <c r="B1086" i="5"/>
  <c r="G1085" i="5"/>
  <c r="B1085" i="5"/>
  <c r="G1084" i="5"/>
  <c r="B1084" i="5"/>
  <c r="G1083" i="5"/>
  <c r="B1083" i="5"/>
  <c r="G1082" i="5"/>
  <c r="B1082" i="5"/>
  <c r="G1081" i="5"/>
  <c r="B1081" i="5"/>
  <c r="G1080" i="5"/>
  <c r="B1080" i="5"/>
  <c r="G1079" i="5"/>
  <c r="B1079" i="5"/>
  <c r="G1078" i="5"/>
  <c r="B1078" i="5"/>
  <c r="G1077" i="5"/>
  <c r="B1077" i="5"/>
  <c r="G1076" i="5"/>
  <c r="B1076" i="5"/>
  <c r="G1075" i="5"/>
  <c r="B1075" i="5"/>
  <c r="G1074" i="5"/>
  <c r="B1074" i="5"/>
  <c r="G1073" i="5"/>
  <c r="B1073" i="5"/>
  <c r="G942" i="5"/>
  <c r="B942" i="5" s="1"/>
  <c r="I942" i="5" s="1"/>
  <c r="G941" i="5"/>
  <c r="B941" i="5" s="1"/>
  <c r="I941" i="5" s="1"/>
  <c r="G940" i="5"/>
  <c r="B940" i="5" s="1"/>
  <c r="I940" i="5" s="1"/>
  <c r="G939" i="5"/>
  <c r="B939" i="5" s="1"/>
  <c r="I939" i="5" s="1"/>
  <c r="G938" i="5"/>
  <c r="B938" i="5" s="1"/>
  <c r="I938" i="5" s="1"/>
  <c r="G937" i="5"/>
  <c r="B937" i="5" s="1"/>
  <c r="I937" i="5" s="1"/>
  <c r="G936" i="5"/>
  <c r="B936" i="5" s="1"/>
  <c r="I936" i="5" s="1"/>
  <c r="G935" i="5"/>
  <c r="B935" i="5" s="1"/>
  <c r="I935" i="5" s="1"/>
  <c r="G934" i="5"/>
  <c r="B934" i="5" s="1"/>
  <c r="I934" i="5" s="1"/>
  <c r="G933" i="5"/>
  <c r="B933" i="5" s="1"/>
  <c r="I933" i="5" s="1"/>
  <c r="G932" i="5"/>
  <c r="B932" i="5" s="1"/>
  <c r="I932" i="5" s="1"/>
  <c r="G931" i="5"/>
  <c r="B931" i="5" s="1"/>
  <c r="I931" i="5" s="1"/>
  <c r="G930" i="5"/>
  <c r="B930" i="5" s="1"/>
  <c r="I930" i="5" s="1"/>
  <c r="G929" i="5"/>
  <c r="B929" i="5" s="1"/>
  <c r="I929" i="5" s="1"/>
  <c r="G928" i="5"/>
  <c r="B928" i="5" s="1"/>
  <c r="I928" i="5" s="1"/>
  <c r="G927" i="5"/>
  <c r="B927" i="5" s="1"/>
  <c r="I927" i="5" s="1"/>
  <c r="G926" i="5"/>
  <c r="B926" i="5" s="1"/>
  <c r="I926" i="5" s="1"/>
  <c r="G925" i="5"/>
  <c r="B925" i="5" s="1"/>
  <c r="I925" i="5" s="1"/>
  <c r="G924" i="5"/>
  <c r="B924" i="5" s="1"/>
  <c r="I924" i="5" s="1"/>
  <c r="G923" i="5"/>
  <c r="B923" i="5" s="1"/>
  <c r="I923" i="5" s="1"/>
  <c r="G922" i="5"/>
  <c r="B922" i="5" s="1"/>
  <c r="I922" i="5" s="1"/>
  <c r="G921" i="5"/>
  <c r="B921" i="5" s="1"/>
  <c r="I921" i="5" s="1"/>
  <c r="G920" i="5"/>
  <c r="B920" i="5" s="1"/>
  <c r="I920" i="5" s="1"/>
  <c r="G919" i="5"/>
  <c r="B919" i="5" s="1"/>
  <c r="I919" i="5" s="1"/>
  <c r="G918" i="5"/>
  <c r="B918" i="5" s="1"/>
  <c r="I918" i="5" s="1"/>
  <c r="G917" i="5"/>
  <c r="B917" i="5" s="1"/>
  <c r="I917" i="5" s="1"/>
  <c r="G916" i="5"/>
  <c r="B916" i="5" s="1"/>
  <c r="I916" i="5" s="1"/>
  <c r="G915" i="5"/>
  <c r="B915" i="5" s="1"/>
  <c r="I915" i="5" s="1"/>
  <c r="G914" i="5"/>
  <c r="B914" i="5" s="1"/>
  <c r="I914" i="5" s="1"/>
  <c r="G913" i="5"/>
  <c r="B913" i="5" s="1"/>
  <c r="I913" i="5" s="1"/>
  <c r="G912" i="5"/>
  <c r="B912" i="5" s="1"/>
  <c r="I912" i="5" s="1"/>
  <c r="G911" i="5"/>
  <c r="B911" i="5" s="1"/>
  <c r="I911" i="5" s="1"/>
  <c r="G910" i="5"/>
  <c r="B910" i="5" s="1"/>
  <c r="I910" i="5" s="1"/>
  <c r="G909" i="5"/>
  <c r="B909" i="5" s="1"/>
  <c r="I909" i="5" s="1"/>
  <c r="G908" i="5"/>
  <c r="B908" i="5" s="1"/>
  <c r="I908" i="5" s="1"/>
  <c r="G907" i="5"/>
  <c r="B907" i="5" s="1"/>
  <c r="I907" i="5" s="1"/>
  <c r="G906" i="5"/>
  <c r="B906" i="5" s="1"/>
  <c r="I906" i="5" s="1"/>
  <c r="G905" i="5"/>
  <c r="B905" i="5" s="1"/>
  <c r="I905" i="5" s="1"/>
  <c r="G904" i="5"/>
  <c r="B904" i="5" s="1"/>
  <c r="I904" i="5" s="1"/>
  <c r="G903" i="5"/>
  <c r="B903" i="5" s="1"/>
  <c r="I903" i="5" s="1"/>
  <c r="G902" i="5"/>
  <c r="B902" i="5" s="1"/>
  <c r="I902" i="5" s="1"/>
  <c r="G901" i="5"/>
  <c r="B901" i="5" s="1"/>
  <c r="I901" i="5" s="1"/>
  <c r="G900" i="5"/>
  <c r="B900" i="5" s="1"/>
  <c r="I900" i="5" s="1"/>
  <c r="G899" i="5"/>
  <c r="B899" i="5" s="1"/>
  <c r="I899" i="5" s="1"/>
  <c r="G898" i="5"/>
  <c r="B898" i="5" s="1"/>
  <c r="I898" i="5" s="1"/>
  <c r="G897" i="5"/>
  <c r="B897" i="5" s="1"/>
  <c r="I897" i="5" s="1"/>
  <c r="G896" i="5"/>
  <c r="B896" i="5" s="1"/>
  <c r="I896" i="5" s="1"/>
  <c r="G895" i="5"/>
  <c r="B895" i="5" s="1"/>
  <c r="I895" i="5" s="1"/>
  <c r="G894" i="5"/>
  <c r="B894" i="5" s="1"/>
  <c r="I894" i="5" s="1"/>
  <c r="G893" i="5"/>
  <c r="B893" i="5" s="1"/>
  <c r="I893" i="5" s="1"/>
  <c r="G892" i="5"/>
  <c r="B892" i="5" s="1"/>
  <c r="I892" i="5" s="1"/>
  <c r="G891" i="5"/>
  <c r="B891" i="5" s="1"/>
  <c r="I891" i="5" s="1"/>
  <c r="G890" i="5"/>
  <c r="B890" i="5" s="1"/>
  <c r="I890" i="5" s="1"/>
  <c r="G889" i="5"/>
  <c r="B889" i="5" s="1"/>
  <c r="I889" i="5" s="1"/>
  <c r="G888" i="5"/>
  <c r="B888" i="5" s="1"/>
  <c r="I888" i="5" s="1"/>
  <c r="G887" i="5"/>
  <c r="B887" i="5" s="1"/>
  <c r="I887" i="5" s="1"/>
  <c r="G886" i="5"/>
  <c r="B886" i="5" s="1"/>
  <c r="I886" i="5" s="1"/>
  <c r="G885" i="5"/>
  <c r="B885" i="5" s="1"/>
  <c r="I885" i="5" s="1"/>
  <c r="G884" i="5"/>
  <c r="B884" i="5" s="1"/>
  <c r="I884" i="5" s="1"/>
  <c r="G883" i="5"/>
  <c r="B883" i="5" s="1"/>
  <c r="I883" i="5" s="1"/>
  <c r="G882" i="5"/>
  <c r="B882" i="5" s="1"/>
  <c r="I882" i="5" s="1"/>
  <c r="G881" i="5"/>
  <c r="B881" i="5" s="1"/>
  <c r="I881" i="5" s="1"/>
  <c r="G880" i="5"/>
  <c r="B880" i="5" s="1"/>
  <c r="I880" i="5" s="1"/>
  <c r="G879" i="5"/>
  <c r="B879" i="5" s="1"/>
  <c r="I879" i="5" s="1"/>
  <c r="G878" i="5"/>
  <c r="B878" i="5" s="1"/>
  <c r="I878" i="5" s="1"/>
  <c r="G877" i="5"/>
  <c r="B877" i="5" s="1"/>
  <c r="I877" i="5" s="1"/>
  <c r="G876" i="5"/>
  <c r="B876" i="5" s="1"/>
  <c r="I876" i="5" s="1"/>
  <c r="G875" i="5"/>
  <c r="B875" i="5" s="1"/>
  <c r="I875" i="5" s="1"/>
  <c r="G874" i="5"/>
  <c r="B874" i="5" s="1"/>
  <c r="I874" i="5" s="1"/>
  <c r="G873" i="5"/>
  <c r="B873" i="5" s="1"/>
  <c r="I873" i="5" s="1"/>
  <c r="G872" i="5"/>
  <c r="B872" i="5" s="1"/>
  <c r="I872" i="5" s="1"/>
  <c r="G871" i="5"/>
  <c r="B871" i="5" s="1"/>
  <c r="I871" i="5" s="1"/>
  <c r="G870" i="5"/>
  <c r="B870" i="5" s="1"/>
  <c r="I870" i="5" s="1"/>
  <c r="G869" i="5"/>
  <c r="B869" i="5" s="1"/>
  <c r="I869" i="5" s="1"/>
  <c r="G868" i="5"/>
  <c r="B868" i="5" s="1"/>
  <c r="I868" i="5" s="1"/>
  <c r="G867" i="5"/>
  <c r="B867" i="5" s="1"/>
  <c r="I867" i="5" s="1"/>
  <c r="G866" i="5"/>
  <c r="B866" i="5" s="1"/>
  <c r="I866" i="5" s="1"/>
  <c r="G865" i="5"/>
  <c r="B865" i="5" s="1"/>
  <c r="I865" i="5" s="1"/>
  <c r="G864" i="5"/>
  <c r="B864" i="5" s="1"/>
  <c r="I864" i="5" s="1"/>
  <c r="G863" i="5"/>
  <c r="B863" i="5" s="1"/>
  <c r="I863" i="5" s="1"/>
  <c r="G862" i="5"/>
  <c r="B862" i="5" s="1"/>
  <c r="I862" i="5" s="1"/>
  <c r="G861" i="5"/>
  <c r="B861" i="5" s="1"/>
  <c r="I861" i="5" s="1"/>
  <c r="G860" i="5"/>
  <c r="B860" i="5" s="1"/>
  <c r="I860" i="5" s="1"/>
  <c r="G859" i="5"/>
  <c r="B859" i="5" s="1"/>
  <c r="I859" i="5" s="1"/>
  <c r="G858" i="5"/>
  <c r="B858" i="5" s="1"/>
  <c r="I858" i="5" s="1"/>
  <c r="G857" i="5"/>
  <c r="B857" i="5" s="1"/>
  <c r="I857" i="5" s="1"/>
  <c r="G856" i="5"/>
  <c r="B856" i="5" s="1"/>
  <c r="I856" i="5" s="1"/>
  <c r="G855" i="5"/>
  <c r="B855" i="5" s="1"/>
  <c r="I855" i="5" s="1"/>
  <c r="G854" i="5"/>
  <c r="B854" i="5" s="1"/>
  <c r="I854" i="5" s="1"/>
  <c r="G853" i="5"/>
  <c r="B853" i="5" s="1"/>
  <c r="I853" i="5" s="1"/>
  <c r="G852" i="5"/>
  <c r="B852" i="5" s="1"/>
  <c r="I852" i="5" s="1"/>
  <c r="G851" i="5"/>
  <c r="B851" i="5" s="1"/>
  <c r="I851" i="5" s="1"/>
  <c r="G850" i="5"/>
  <c r="B850" i="5" s="1"/>
  <c r="I850" i="5" s="1"/>
  <c r="G849" i="5"/>
  <c r="B849" i="5" s="1"/>
  <c r="I849" i="5" s="1"/>
  <c r="G848" i="5"/>
  <c r="B848" i="5" s="1"/>
  <c r="I848" i="5" s="1"/>
  <c r="G847" i="5"/>
  <c r="B847" i="5" s="1"/>
  <c r="I847" i="5" s="1"/>
  <c r="G846" i="5"/>
  <c r="B846" i="5" s="1"/>
  <c r="I846" i="5" s="1"/>
  <c r="G845" i="5"/>
  <c r="B845" i="5" s="1"/>
  <c r="I845" i="5" s="1"/>
  <c r="G844" i="5"/>
  <c r="B844" i="5" s="1"/>
  <c r="I844" i="5" s="1"/>
  <c r="G843" i="5"/>
  <c r="B843" i="5" s="1"/>
  <c r="I843" i="5" s="1"/>
  <c r="G842" i="5"/>
  <c r="B842" i="5" s="1"/>
  <c r="I842" i="5" s="1"/>
  <c r="G841" i="5"/>
  <c r="B841" i="5" s="1"/>
  <c r="I841" i="5" s="1"/>
  <c r="G840" i="5"/>
  <c r="B840" i="5" s="1"/>
  <c r="I840" i="5" s="1"/>
  <c r="G839" i="5"/>
  <c r="B839" i="5" s="1"/>
  <c r="I839" i="5" s="1"/>
  <c r="G838" i="5"/>
  <c r="B838" i="5" s="1"/>
  <c r="I838" i="5" s="1"/>
  <c r="G837" i="5"/>
  <c r="B837" i="5" s="1"/>
  <c r="I837" i="5" s="1"/>
  <c r="G836" i="5"/>
  <c r="B836" i="5" s="1"/>
  <c r="I836" i="5" s="1"/>
  <c r="G835" i="5"/>
  <c r="B835" i="5" s="1"/>
  <c r="I835" i="5" s="1"/>
  <c r="G834" i="5"/>
  <c r="B834" i="5" s="1"/>
  <c r="I834" i="5" s="1"/>
  <c r="G833" i="5"/>
  <c r="B833" i="5" s="1"/>
  <c r="I833" i="5" s="1"/>
  <c r="G832" i="5"/>
  <c r="B832" i="5" s="1"/>
  <c r="I832" i="5" s="1"/>
  <c r="G831" i="5"/>
  <c r="B831" i="5" s="1"/>
  <c r="I831" i="5" s="1"/>
  <c r="G830" i="5"/>
  <c r="B830" i="5" s="1"/>
  <c r="I830" i="5" s="1"/>
  <c r="G829" i="5"/>
  <c r="B829" i="5" s="1"/>
  <c r="I829" i="5" s="1"/>
  <c r="G828" i="5"/>
  <c r="B828" i="5" s="1"/>
  <c r="I828" i="5" s="1"/>
  <c r="G827" i="5"/>
  <c r="B827" i="5" s="1"/>
  <c r="I827" i="5" s="1"/>
  <c r="G826" i="5"/>
  <c r="B826" i="5" s="1"/>
  <c r="I826" i="5" s="1"/>
  <c r="G825" i="5"/>
  <c r="B825" i="5" s="1"/>
  <c r="I825" i="5" s="1"/>
  <c r="G824" i="5"/>
  <c r="B824" i="5" s="1"/>
  <c r="I824" i="5" s="1"/>
  <c r="G823" i="5"/>
  <c r="B823" i="5" s="1"/>
  <c r="I823" i="5" s="1"/>
  <c r="G822" i="5"/>
  <c r="B822" i="5" s="1"/>
  <c r="I822" i="5" s="1"/>
  <c r="G821" i="5"/>
  <c r="B821" i="5" s="1"/>
  <c r="I821" i="5" s="1"/>
  <c r="G820" i="5"/>
  <c r="B820" i="5" s="1"/>
  <c r="I820" i="5" s="1"/>
  <c r="G819" i="5"/>
  <c r="B819" i="5" s="1"/>
  <c r="I819" i="5" s="1"/>
  <c r="G818" i="5"/>
  <c r="B818" i="5" s="1"/>
  <c r="I818" i="5" s="1"/>
  <c r="G817" i="5"/>
  <c r="B817" i="5" s="1"/>
  <c r="I817" i="5" s="1"/>
  <c r="G816" i="5"/>
  <c r="B816" i="5" s="1"/>
  <c r="I816" i="5" s="1"/>
  <c r="G815" i="5"/>
  <c r="B815" i="5" s="1"/>
  <c r="I815" i="5" s="1"/>
  <c r="G814" i="5"/>
  <c r="B814" i="5" s="1"/>
  <c r="I814" i="5" s="1"/>
  <c r="G813" i="5"/>
  <c r="B813" i="5" s="1"/>
  <c r="I813" i="5" s="1"/>
  <c r="G812" i="5"/>
  <c r="B812" i="5" s="1"/>
  <c r="I812" i="5" s="1"/>
  <c r="G811" i="5"/>
  <c r="B811" i="5" s="1"/>
  <c r="I811" i="5" s="1"/>
  <c r="G810" i="5"/>
  <c r="B810" i="5" s="1"/>
  <c r="I810" i="5" s="1"/>
  <c r="G809" i="5"/>
  <c r="B809" i="5" s="1"/>
  <c r="I809" i="5" s="1"/>
  <c r="G808" i="5"/>
  <c r="B808" i="5" s="1"/>
  <c r="I808" i="5" s="1"/>
  <c r="G807" i="5"/>
  <c r="B807" i="5" s="1"/>
  <c r="I807" i="5" s="1"/>
  <c r="G806" i="5"/>
  <c r="B806" i="5" s="1"/>
  <c r="I806" i="5" s="1"/>
  <c r="G805" i="5"/>
  <c r="B805" i="5" s="1"/>
  <c r="I805" i="5" s="1"/>
  <c r="G804" i="5"/>
  <c r="B804" i="5" s="1"/>
  <c r="I804" i="5" s="1"/>
  <c r="G803" i="5"/>
  <c r="B803" i="5" s="1"/>
  <c r="I803" i="5" s="1"/>
  <c r="G802" i="5"/>
  <c r="B802" i="5" s="1"/>
  <c r="I802" i="5" s="1"/>
  <c r="G801" i="5"/>
  <c r="B801" i="5" s="1"/>
  <c r="I801" i="5" s="1"/>
  <c r="G800" i="5"/>
  <c r="B800" i="5" s="1"/>
  <c r="I800" i="5" s="1"/>
  <c r="G516" i="5"/>
  <c r="B516" i="5" s="1"/>
  <c r="I516" i="5" s="1"/>
  <c r="G515" i="5"/>
  <c r="B515" i="5" s="1"/>
  <c r="I515" i="5" s="1"/>
  <c r="G514" i="5"/>
  <c r="B514" i="5" s="1"/>
  <c r="I514" i="5" s="1"/>
  <c r="G513" i="5"/>
  <c r="B513" i="5" s="1"/>
  <c r="I513" i="5" s="1"/>
  <c r="G512" i="5"/>
  <c r="B512" i="5" s="1"/>
  <c r="I512" i="5" s="1"/>
  <c r="G511" i="5"/>
  <c r="B511" i="5" s="1"/>
  <c r="I511" i="5" s="1"/>
  <c r="G510" i="5"/>
  <c r="B510" i="5" s="1"/>
  <c r="I510" i="5" s="1"/>
  <c r="G509" i="5"/>
  <c r="B509" i="5" s="1"/>
  <c r="I509" i="5" s="1"/>
  <c r="G508" i="5"/>
  <c r="B508" i="5" s="1"/>
  <c r="I508" i="5" s="1"/>
  <c r="G507" i="5"/>
  <c r="B507" i="5" s="1"/>
  <c r="I507" i="5" s="1"/>
  <c r="G506" i="5"/>
  <c r="B506" i="5" s="1"/>
  <c r="I506" i="5" s="1"/>
  <c r="G266" i="5"/>
  <c r="I266" i="5" s="1"/>
  <c r="B266" i="5" s="1"/>
  <c r="G265" i="5"/>
  <c r="I265" i="5" s="1"/>
  <c r="B265" i="5" s="1"/>
  <c r="G264" i="5"/>
  <c r="I264" i="5" s="1"/>
  <c r="B264" i="5" s="1"/>
  <c r="G263" i="5"/>
  <c r="I263" i="5" s="1"/>
  <c r="B263" i="5" s="1"/>
  <c r="G262" i="5"/>
  <c r="I262" i="5" s="1"/>
  <c r="B262" i="5" s="1"/>
  <c r="G261" i="5"/>
  <c r="I261" i="5" s="1"/>
  <c r="B261" i="5" s="1"/>
  <c r="G260" i="5"/>
  <c r="I260" i="5" s="1"/>
  <c r="B260" i="5" s="1"/>
  <c r="G259" i="5"/>
  <c r="I259" i="5" s="1"/>
  <c r="B259" i="5" s="1"/>
  <c r="G258" i="5"/>
  <c r="I258" i="5" s="1"/>
  <c r="B258" i="5" s="1"/>
  <c r="G257" i="5"/>
  <c r="I257" i="5" s="1"/>
  <c r="B257" i="5" s="1"/>
  <c r="G256" i="5"/>
  <c r="I256" i="5" s="1"/>
  <c r="B256" i="5" s="1"/>
  <c r="G68" i="5"/>
  <c r="B68" i="5" s="1"/>
  <c r="I68" i="5" s="1"/>
  <c r="G67" i="5"/>
  <c r="B67" i="5" s="1"/>
  <c r="I67" i="5" s="1"/>
  <c r="G66" i="5"/>
  <c r="B66" i="5" s="1"/>
  <c r="I66" i="5" s="1"/>
  <c r="G65" i="5"/>
  <c r="B65" i="5" s="1"/>
  <c r="I65" i="5" s="1"/>
  <c r="G64" i="5"/>
  <c r="B64" i="5" s="1"/>
  <c r="I64" i="5" s="1"/>
  <c r="G63" i="5"/>
  <c r="B63" i="5" s="1"/>
  <c r="I63" i="5" s="1"/>
  <c r="G62" i="5"/>
  <c r="B62" i="5" s="1"/>
  <c r="I62" i="5" s="1"/>
  <c r="G61" i="5"/>
  <c r="B61" i="5" s="1"/>
  <c r="I61" i="5" s="1"/>
  <c r="G60" i="5"/>
  <c r="B60" i="5" s="1"/>
  <c r="I60" i="5" s="1"/>
  <c r="G59" i="5"/>
  <c r="B59" i="5" s="1"/>
  <c r="I59" i="5" s="1"/>
  <c r="G58" i="5"/>
  <c r="B58" i="5" s="1"/>
  <c r="I58" i="5" s="1"/>
  <c r="G544" i="5"/>
  <c r="B544" i="5" s="1"/>
  <c r="I544" i="5" s="1"/>
  <c r="G543" i="5"/>
  <c r="B543" i="5" s="1"/>
  <c r="I543" i="5" s="1"/>
  <c r="G546" i="5"/>
  <c r="B546" i="5" s="1"/>
  <c r="I546" i="5" s="1"/>
  <c r="G545" i="5"/>
  <c r="B545" i="5" s="1"/>
  <c r="I545" i="5" s="1"/>
  <c r="I763" i="1" l="1"/>
  <c r="G763" i="1"/>
  <c r="I762" i="1"/>
  <c r="G762" i="1"/>
  <c r="I761" i="1"/>
  <c r="G761" i="1"/>
  <c r="I760" i="1"/>
  <c r="G760" i="1"/>
  <c r="I759" i="1"/>
  <c r="G759" i="1"/>
  <c r="I758" i="1"/>
  <c r="G758" i="1"/>
  <c r="I757" i="1"/>
  <c r="G757" i="1"/>
  <c r="I756" i="1"/>
  <c r="G756" i="1"/>
  <c r="I755" i="1"/>
  <c r="G755" i="1"/>
  <c r="I754" i="1"/>
  <c r="G754" i="1"/>
  <c r="I753" i="1"/>
  <c r="G753" i="1"/>
  <c r="I752" i="1"/>
  <c r="G752" i="1"/>
  <c r="I751" i="1"/>
  <c r="G751" i="1"/>
  <c r="I750" i="1"/>
  <c r="G750" i="1"/>
  <c r="I749" i="1"/>
  <c r="G749" i="1"/>
  <c r="I748" i="1"/>
  <c r="G748" i="1"/>
  <c r="I747" i="1"/>
  <c r="G747" i="1"/>
  <c r="I746" i="1"/>
  <c r="G746" i="1"/>
  <c r="I745" i="1"/>
  <c r="G745" i="1"/>
  <c r="I744" i="1"/>
  <c r="G744" i="1"/>
  <c r="I743" i="1"/>
  <c r="G743" i="1"/>
  <c r="I742" i="1"/>
  <c r="G742" i="1"/>
  <c r="I741" i="1"/>
  <c r="G741" i="1"/>
  <c r="I740" i="1"/>
  <c r="G740" i="1"/>
  <c r="I739" i="1"/>
  <c r="G739" i="1"/>
  <c r="I738" i="1"/>
  <c r="G738" i="1"/>
  <c r="I737" i="1"/>
  <c r="G737" i="1"/>
  <c r="I736" i="1"/>
  <c r="G736" i="1"/>
  <c r="I735" i="1"/>
  <c r="G735" i="1"/>
  <c r="I734" i="1"/>
  <c r="G734" i="1"/>
  <c r="I733" i="1"/>
  <c r="G733" i="1"/>
  <c r="I732" i="1"/>
  <c r="G732" i="1"/>
  <c r="I731" i="1"/>
  <c r="G731" i="1"/>
  <c r="G730" i="1"/>
  <c r="H145" i="6" l="1"/>
  <c r="H163" i="6"/>
  <c r="H181" i="6"/>
  <c r="H199" i="6"/>
  <c r="H217" i="6"/>
  <c r="H231" i="6"/>
  <c r="H250" i="6"/>
  <c r="H249" i="6"/>
  <c r="H248" i="6"/>
  <c r="H247" i="6"/>
  <c r="H246" i="6"/>
  <c r="H245" i="6"/>
  <c r="H244" i="6"/>
  <c r="H243" i="6"/>
  <c r="H242" i="6"/>
  <c r="H241" i="6"/>
  <c r="H240" i="6"/>
  <c r="H239" i="6"/>
  <c r="H238" i="6"/>
  <c r="H237" i="6"/>
  <c r="H236" i="6"/>
  <c r="H235" i="6"/>
  <c r="H234" i="6"/>
  <c r="H233" i="6"/>
  <c r="H232" i="6"/>
  <c r="H230" i="6"/>
  <c r="H229" i="6"/>
  <c r="H228" i="6"/>
  <c r="H227" i="6"/>
  <c r="H226" i="6"/>
  <c r="H225" i="6"/>
  <c r="H224" i="6"/>
  <c r="H223" i="6"/>
  <c r="H222" i="6"/>
  <c r="H221" i="6"/>
  <c r="H220" i="6"/>
  <c r="H219" i="6"/>
  <c r="H218" i="6"/>
  <c r="H216" i="6"/>
  <c r="H215" i="6"/>
  <c r="H214" i="6"/>
  <c r="H213" i="6"/>
  <c r="H212" i="6"/>
  <c r="H211" i="6"/>
  <c r="H210" i="6"/>
  <c r="H209" i="6"/>
  <c r="H208" i="6"/>
  <c r="H207" i="6"/>
  <c r="H206" i="6"/>
  <c r="H205" i="6"/>
  <c r="H204" i="6"/>
  <c r="H203" i="6"/>
  <c r="H202" i="6"/>
  <c r="H201" i="6"/>
  <c r="H200" i="6"/>
  <c r="H198" i="6"/>
  <c r="H197" i="6"/>
  <c r="H196" i="6"/>
  <c r="H195" i="6"/>
  <c r="H194" i="6"/>
  <c r="H193" i="6"/>
  <c r="H192" i="6"/>
  <c r="H191" i="6"/>
  <c r="H190" i="6"/>
  <c r="H189" i="6"/>
  <c r="H188" i="6"/>
  <c r="H187" i="6"/>
  <c r="H186" i="6"/>
  <c r="H185" i="6"/>
  <c r="H184" i="6"/>
  <c r="H183" i="6"/>
  <c r="H182" i="6"/>
  <c r="H180" i="6"/>
  <c r="H179" i="6"/>
  <c r="H178" i="6"/>
  <c r="H177" i="6"/>
  <c r="H176" i="6"/>
  <c r="H175" i="6"/>
  <c r="H174" i="6"/>
  <c r="H173" i="6"/>
  <c r="H172" i="6"/>
  <c r="H171" i="6"/>
  <c r="H170" i="6"/>
  <c r="H169" i="6"/>
  <c r="H168" i="6"/>
  <c r="H167" i="6"/>
  <c r="H166" i="6"/>
  <c r="H165" i="6"/>
  <c r="H164" i="6"/>
  <c r="H162" i="6"/>
  <c r="H161" i="6"/>
  <c r="H160" i="6"/>
  <c r="H159" i="6"/>
  <c r="H158" i="6"/>
  <c r="H157" i="6"/>
  <c r="H156" i="6"/>
  <c r="H155" i="6"/>
  <c r="H154" i="6"/>
  <c r="H153" i="6"/>
  <c r="H152" i="6"/>
  <c r="H151" i="6"/>
  <c r="H150" i="6"/>
  <c r="H149" i="6"/>
  <c r="H148" i="6"/>
  <c r="H147" i="6"/>
  <c r="H146" i="6"/>
  <c r="H144" i="6"/>
  <c r="H143" i="6"/>
  <c r="H142" i="6"/>
  <c r="H141" i="6"/>
  <c r="H140" i="6"/>
  <c r="H139" i="6"/>
  <c r="H138" i="6"/>
  <c r="H137" i="6"/>
  <c r="H136" i="6"/>
  <c r="H135" i="6"/>
  <c r="H134" i="6"/>
  <c r="H133" i="6"/>
  <c r="H132" i="6"/>
  <c r="H131" i="6"/>
  <c r="H130" i="6"/>
  <c r="H129" i="6"/>
  <c r="G1336" i="5"/>
  <c r="B1336" i="5"/>
  <c r="G1335" i="5"/>
  <c r="B1335" i="5"/>
  <c r="G1334" i="5"/>
  <c r="B1334" i="5"/>
  <c r="G1333" i="5"/>
  <c r="B1333" i="5"/>
  <c r="G1332" i="5"/>
  <c r="B1332" i="5"/>
  <c r="G1331" i="5"/>
  <c r="B1331" i="5"/>
  <c r="G1330" i="5"/>
  <c r="B1330" i="5"/>
  <c r="G1329" i="5"/>
  <c r="B1329" i="5"/>
  <c r="G1328" i="5"/>
  <c r="B1328" i="5"/>
  <c r="G1327" i="5"/>
  <c r="B1327" i="5"/>
  <c r="G1326" i="5"/>
  <c r="B1326" i="5"/>
  <c r="G1325" i="5"/>
  <c r="B1325" i="5"/>
  <c r="G1324" i="5"/>
  <c r="B1324" i="5"/>
  <c r="G1323" i="5"/>
  <c r="B1323" i="5"/>
  <c r="G1322" i="5"/>
  <c r="B1322" i="5"/>
  <c r="G1321" i="5"/>
  <c r="B1321" i="5"/>
  <c r="G1320" i="5"/>
  <c r="B1320" i="5"/>
  <c r="G1319" i="5"/>
  <c r="B1319" i="5"/>
  <c r="G1318" i="5"/>
  <c r="B1318" i="5"/>
  <c r="G1317" i="5"/>
  <c r="B1317" i="5"/>
  <c r="G1316" i="5"/>
  <c r="B1316" i="5"/>
  <c r="G1315" i="5"/>
  <c r="B1315" i="5"/>
  <c r="G1314" i="5"/>
  <c r="B1314" i="5"/>
  <c r="G1313" i="5"/>
  <c r="B1313" i="5"/>
  <c r="G1312" i="5"/>
  <c r="B1312" i="5"/>
  <c r="G1311" i="5"/>
  <c r="B1311" i="5"/>
  <c r="G1310" i="5"/>
  <c r="B1310" i="5"/>
  <c r="G1309" i="5"/>
  <c r="B1309" i="5"/>
  <c r="G1308" i="5"/>
  <c r="B1308" i="5"/>
  <c r="G1307" i="5"/>
  <c r="B1307" i="5"/>
  <c r="G1306" i="5"/>
  <c r="B1306" i="5"/>
  <c r="G1305" i="5"/>
  <c r="B1305" i="5"/>
  <c r="G1304" i="5"/>
  <c r="B1304" i="5"/>
  <c r="G1303" i="5"/>
  <c r="B1303" i="5"/>
  <c r="G1302" i="5"/>
  <c r="B1302" i="5"/>
  <c r="G1301" i="5"/>
  <c r="B1301" i="5"/>
  <c r="G1300" i="5"/>
  <c r="B1300" i="5"/>
  <c r="G1299" i="5"/>
  <c r="B1299" i="5"/>
  <c r="G1298" i="5"/>
  <c r="B1298" i="5"/>
  <c r="G1297" i="5"/>
  <c r="B1297" i="5"/>
  <c r="G1296" i="5"/>
  <c r="B1296" i="5"/>
  <c r="G1295" i="5"/>
  <c r="B1295" i="5"/>
  <c r="G1294" i="5"/>
  <c r="B1294" i="5"/>
  <c r="G1293" i="5"/>
  <c r="B1293" i="5"/>
  <c r="G1292" i="5"/>
  <c r="B1292" i="5"/>
  <c r="G1291" i="5"/>
  <c r="B1291" i="5"/>
  <c r="G1290" i="5"/>
  <c r="B1290" i="5"/>
  <c r="G1289" i="5"/>
  <c r="B1289" i="5"/>
  <c r="G1288" i="5"/>
  <c r="B1288" i="5"/>
  <c r="G1287" i="5"/>
  <c r="B1287" i="5"/>
  <c r="G1286" i="5"/>
  <c r="B1286" i="5"/>
  <c r="G1285" i="5"/>
  <c r="B1285" i="5"/>
  <c r="G1284" i="5"/>
  <c r="B1284" i="5"/>
  <c r="G1283" i="5"/>
  <c r="B1283" i="5"/>
  <c r="G1282" i="5"/>
  <c r="B1282" i="5"/>
  <c r="G1281" i="5"/>
  <c r="B1281" i="5"/>
  <c r="G1280" i="5"/>
  <c r="B1280" i="5"/>
  <c r="G1279" i="5"/>
  <c r="B1279" i="5"/>
  <c r="G1278" i="5"/>
  <c r="B1278" i="5"/>
  <c r="G1277" i="5"/>
  <c r="B1277" i="5"/>
  <c r="G1276" i="5"/>
  <c r="B1276" i="5"/>
  <c r="G1275" i="5"/>
  <c r="B1275" i="5"/>
  <c r="G1274" i="5"/>
  <c r="B1274" i="5"/>
  <c r="G1273" i="5"/>
  <c r="B1273" i="5"/>
  <c r="G1272" i="5"/>
  <c r="B1272" i="5"/>
  <c r="G1271" i="5"/>
  <c r="B1271" i="5"/>
  <c r="G1270" i="5"/>
  <c r="B1270" i="5"/>
  <c r="G1269" i="5"/>
  <c r="B1269" i="5"/>
  <c r="G1268" i="5"/>
  <c r="B1268" i="5"/>
  <c r="G1267" i="5"/>
  <c r="B1267" i="5"/>
  <c r="G1266" i="5"/>
  <c r="B1266" i="5"/>
  <c r="G1265" i="5"/>
  <c r="B1265" i="5"/>
  <c r="G1264" i="5"/>
  <c r="B1264" i="5"/>
  <c r="G1263" i="5"/>
  <c r="B1263" i="5"/>
  <c r="G1262" i="5"/>
  <c r="B1262" i="5"/>
  <c r="G1261" i="5"/>
  <c r="B1261" i="5"/>
  <c r="G1260" i="5"/>
  <c r="B1260" i="5"/>
  <c r="G1259" i="5"/>
  <c r="B1259" i="5"/>
  <c r="G1258" i="5"/>
  <c r="B1258" i="5"/>
  <c r="G1257" i="5"/>
  <c r="B1257" i="5"/>
  <c r="G1256" i="5"/>
  <c r="B1256" i="5"/>
  <c r="G1255" i="5"/>
  <c r="B1255" i="5"/>
  <c r="G1254" i="5"/>
  <c r="B1254" i="5"/>
  <c r="G1253" i="5"/>
  <c r="B1253" i="5"/>
  <c r="G1252" i="5"/>
  <c r="B1252" i="5"/>
  <c r="G1251" i="5"/>
  <c r="B1251" i="5"/>
  <c r="G1250" i="5"/>
  <c r="B1250" i="5"/>
  <c r="G1249" i="5"/>
  <c r="B1249" i="5"/>
  <c r="G1248" i="5"/>
  <c r="B1248" i="5"/>
  <c r="G1247" i="5"/>
  <c r="B1247" i="5"/>
  <c r="G1246" i="5"/>
  <c r="B1246" i="5"/>
  <c r="G1245" i="5"/>
  <c r="B1245" i="5"/>
  <c r="G1244" i="5"/>
  <c r="B1244" i="5"/>
  <c r="G1243" i="5"/>
  <c r="B1243" i="5"/>
  <c r="G1242" i="5"/>
  <c r="B1242" i="5"/>
  <c r="G1241" i="5"/>
  <c r="B1241" i="5"/>
  <c r="G1240" i="5"/>
  <c r="B1240" i="5"/>
  <c r="G1239" i="5"/>
  <c r="B1239" i="5"/>
  <c r="G1238" i="5"/>
  <c r="B1238" i="5"/>
  <c r="G1237" i="5"/>
  <c r="B1237" i="5"/>
  <c r="G1236" i="5"/>
  <c r="B1236" i="5"/>
  <c r="G1235" i="5"/>
  <c r="B1235" i="5"/>
  <c r="G1234" i="5"/>
  <c r="B1234" i="5"/>
  <c r="G1233" i="5"/>
  <c r="B1233" i="5"/>
  <c r="G1232" i="5"/>
  <c r="B1232" i="5"/>
  <c r="G1231" i="5"/>
  <c r="B1231" i="5"/>
  <c r="G1230" i="5"/>
  <c r="B1230" i="5"/>
  <c r="G1229" i="5"/>
  <c r="B1229" i="5"/>
  <c r="G1228" i="5"/>
  <c r="B1228" i="5"/>
  <c r="G1227" i="5"/>
  <c r="B1227" i="5"/>
  <c r="G1226" i="5"/>
  <c r="B1226" i="5"/>
  <c r="G1225" i="5"/>
  <c r="B1225" i="5"/>
  <c r="G1224" i="5"/>
  <c r="B1224" i="5"/>
  <c r="G1223" i="5"/>
  <c r="B1223" i="5"/>
  <c r="G1222" i="5"/>
  <c r="B1222" i="5"/>
  <c r="G1221" i="5"/>
  <c r="B1221" i="5"/>
  <c r="G1220" i="5"/>
  <c r="B1220" i="5"/>
  <c r="G1219" i="5"/>
  <c r="B1219" i="5"/>
  <c r="G1218" i="5"/>
  <c r="B1218" i="5"/>
  <c r="G1217" i="5"/>
  <c r="B1217" i="5"/>
  <c r="G1216" i="5"/>
  <c r="B1216" i="5"/>
  <c r="G1215" i="5"/>
  <c r="B1215" i="5"/>
  <c r="G1214" i="5"/>
  <c r="B1214" i="5"/>
  <c r="G1213" i="5"/>
  <c r="B1213" i="5"/>
  <c r="G1212" i="5"/>
  <c r="B1212" i="5"/>
  <c r="G1211" i="5"/>
  <c r="B1211" i="5"/>
  <c r="G1210" i="5"/>
  <c r="B1210" i="5"/>
  <c r="G1209" i="5"/>
  <c r="B1209" i="5"/>
  <c r="G1208" i="5"/>
  <c r="B1208" i="5"/>
  <c r="G1207" i="5"/>
  <c r="B1207" i="5"/>
  <c r="G1206" i="5"/>
  <c r="B1206" i="5"/>
  <c r="G1205" i="5"/>
  <c r="B1205" i="5"/>
  <c r="G420" i="5"/>
  <c r="B420" i="5"/>
  <c r="G419" i="5"/>
  <c r="B419" i="5"/>
  <c r="G418" i="5"/>
  <c r="B418" i="5"/>
  <c r="G417" i="5"/>
  <c r="B417" i="5"/>
  <c r="G416" i="5"/>
  <c r="B416" i="5"/>
  <c r="G415" i="5"/>
  <c r="B415" i="5"/>
  <c r="G414" i="5"/>
  <c r="B414" i="5"/>
  <c r="G413" i="5"/>
  <c r="B413" i="5"/>
  <c r="G412" i="5"/>
  <c r="B412" i="5"/>
  <c r="G411" i="5"/>
  <c r="B411" i="5"/>
  <c r="G410" i="5"/>
  <c r="B410" i="5"/>
  <c r="G409" i="5"/>
  <c r="B409" i="5"/>
  <c r="G408" i="5"/>
  <c r="B408" i="5"/>
  <c r="G407" i="5"/>
  <c r="B407" i="5"/>
  <c r="G406" i="5"/>
  <c r="B406" i="5"/>
  <c r="G405" i="5"/>
  <c r="B405" i="5"/>
  <c r="G404" i="5"/>
  <c r="B404" i="5"/>
  <c r="G403" i="5"/>
  <c r="B403" i="5"/>
  <c r="G402" i="5"/>
  <c r="B402" i="5"/>
  <c r="G401" i="5"/>
  <c r="B401" i="5"/>
  <c r="G400" i="5"/>
  <c r="B400" i="5"/>
  <c r="G399" i="5"/>
  <c r="B399" i="5"/>
  <c r="G398" i="5"/>
  <c r="B398" i="5"/>
  <c r="G397" i="5"/>
  <c r="B397" i="5"/>
  <c r="G396" i="5"/>
  <c r="B396" i="5"/>
  <c r="G395" i="5"/>
  <c r="B395" i="5"/>
  <c r="G394" i="5"/>
  <c r="B394" i="5"/>
  <c r="G393" i="5"/>
  <c r="B393" i="5"/>
  <c r="G392" i="5"/>
  <c r="B392" i="5"/>
  <c r="G391" i="5"/>
  <c r="B391" i="5"/>
  <c r="G390" i="5"/>
  <c r="B390" i="5"/>
  <c r="G389" i="5"/>
  <c r="B389" i="5"/>
  <c r="G388" i="5"/>
  <c r="B388" i="5"/>
  <c r="G387" i="5"/>
  <c r="B387" i="5"/>
  <c r="G386" i="5"/>
  <c r="B386" i="5"/>
  <c r="G385" i="5"/>
  <c r="B385" i="5"/>
  <c r="G384" i="5"/>
  <c r="B384" i="5"/>
  <c r="G383" i="5"/>
  <c r="B383" i="5"/>
  <c r="G382" i="5"/>
  <c r="B382" i="5"/>
  <c r="G381" i="5"/>
  <c r="B381" i="5"/>
  <c r="G380" i="5"/>
  <c r="B380" i="5"/>
  <c r="G379" i="5"/>
  <c r="B379" i="5"/>
  <c r="G378" i="5"/>
  <c r="B378" i="5"/>
  <c r="G377" i="5"/>
  <c r="B377" i="5"/>
  <c r="G376" i="5"/>
  <c r="B376" i="5"/>
  <c r="G375" i="5"/>
  <c r="B375" i="5"/>
  <c r="G374" i="5"/>
  <c r="B374" i="5"/>
  <c r="G373" i="5"/>
  <c r="B373" i="5"/>
  <c r="G372" i="5"/>
  <c r="B372" i="5"/>
  <c r="G371" i="5"/>
  <c r="B371" i="5"/>
  <c r="G370" i="5"/>
  <c r="B370" i="5"/>
  <c r="G369" i="5"/>
  <c r="B369" i="5"/>
  <c r="G368" i="5"/>
  <c r="B368" i="5"/>
  <c r="G367" i="5"/>
  <c r="B367" i="5"/>
  <c r="G366" i="5"/>
  <c r="B366" i="5"/>
  <c r="G365" i="5"/>
  <c r="B365" i="5"/>
  <c r="G364" i="5"/>
  <c r="B364" i="5"/>
  <c r="G363" i="5"/>
  <c r="B363" i="5"/>
  <c r="G362" i="5"/>
  <c r="B362" i="5"/>
  <c r="G361" i="5"/>
  <c r="B361" i="5"/>
  <c r="G360" i="5"/>
  <c r="B360" i="5"/>
  <c r="G359" i="5"/>
  <c r="B359" i="5"/>
  <c r="G358" i="5"/>
  <c r="B358" i="5"/>
  <c r="G357" i="5"/>
  <c r="B357" i="5"/>
  <c r="G356" i="5"/>
  <c r="B356" i="5"/>
  <c r="G355" i="5"/>
  <c r="B355" i="5"/>
  <c r="G354" i="5"/>
  <c r="B354" i="5"/>
  <c r="G353" i="5"/>
  <c r="B353" i="5"/>
  <c r="G352" i="5"/>
  <c r="B352" i="5"/>
  <c r="G351" i="5"/>
  <c r="B351" i="5"/>
  <c r="G350" i="5"/>
  <c r="B350" i="5"/>
  <c r="G349" i="5"/>
  <c r="B349" i="5"/>
  <c r="G348" i="5"/>
  <c r="B348" i="5"/>
  <c r="G347" i="5"/>
  <c r="B347" i="5"/>
  <c r="G346" i="5"/>
  <c r="B346" i="5"/>
  <c r="G345" i="5"/>
  <c r="B345" i="5"/>
  <c r="G344" i="5"/>
  <c r="B344" i="5"/>
  <c r="G343" i="5"/>
  <c r="B343" i="5"/>
  <c r="G342" i="5"/>
  <c r="B342" i="5"/>
  <c r="G341" i="5"/>
  <c r="B341" i="5"/>
  <c r="G340" i="5"/>
  <c r="B340" i="5"/>
  <c r="G339" i="5"/>
  <c r="B339" i="5"/>
  <c r="G338" i="5"/>
  <c r="B338" i="5"/>
  <c r="G337" i="5"/>
  <c r="B337" i="5"/>
  <c r="G336" i="5"/>
  <c r="B336" i="5"/>
  <c r="G335" i="5"/>
  <c r="B335" i="5"/>
  <c r="G334" i="5"/>
  <c r="B334" i="5"/>
  <c r="G333" i="5"/>
  <c r="B333" i="5"/>
  <c r="G332" i="5"/>
  <c r="B332" i="5"/>
  <c r="G331" i="5"/>
  <c r="B331" i="5"/>
  <c r="G330" i="5"/>
  <c r="B330" i="5"/>
  <c r="G329" i="5"/>
  <c r="B329" i="5"/>
  <c r="G328" i="5"/>
  <c r="B328" i="5"/>
  <c r="G327" i="5"/>
  <c r="B327" i="5"/>
  <c r="G326" i="5"/>
  <c r="B326" i="5"/>
  <c r="G325" i="5"/>
  <c r="B325" i="5"/>
  <c r="G324" i="5"/>
  <c r="B324" i="5"/>
  <c r="G323" i="5"/>
  <c r="B323" i="5"/>
  <c r="G322" i="5"/>
  <c r="B322" i="5"/>
  <c r="G321" i="5"/>
  <c r="B321" i="5"/>
  <c r="G320" i="5"/>
  <c r="B320" i="5"/>
  <c r="G319" i="5"/>
  <c r="B319" i="5"/>
  <c r="G318" i="5"/>
  <c r="B318" i="5"/>
  <c r="G317" i="5"/>
  <c r="B317" i="5"/>
  <c r="G316" i="5"/>
  <c r="B316" i="5"/>
  <c r="G315" i="5"/>
  <c r="B315" i="5"/>
  <c r="G314" i="5"/>
  <c r="B314" i="5"/>
  <c r="G313" i="5"/>
  <c r="B313" i="5"/>
  <c r="G312" i="5"/>
  <c r="B312" i="5"/>
  <c r="G311" i="5"/>
  <c r="B311" i="5"/>
  <c r="G310" i="5"/>
  <c r="B310" i="5"/>
  <c r="G309" i="5"/>
  <c r="B309" i="5"/>
  <c r="G308" i="5"/>
  <c r="B308" i="5"/>
  <c r="G307" i="5"/>
  <c r="B307" i="5"/>
  <c r="G306" i="5"/>
  <c r="B306" i="5"/>
  <c r="G305" i="5"/>
  <c r="B305" i="5"/>
  <c r="G304" i="5"/>
  <c r="B304" i="5"/>
  <c r="G303" i="5"/>
  <c r="B303" i="5"/>
  <c r="G302" i="5"/>
  <c r="B302" i="5"/>
  <c r="G301" i="5"/>
  <c r="B301" i="5"/>
  <c r="G300" i="5"/>
  <c r="B300" i="5"/>
  <c r="G299" i="5"/>
  <c r="B299" i="5"/>
  <c r="G298" i="5"/>
  <c r="B298" i="5"/>
  <c r="G297" i="5"/>
  <c r="B297" i="5"/>
  <c r="G296" i="5"/>
  <c r="B296" i="5"/>
  <c r="G295" i="5"/>
  <c r="B295" i="5"/>
  <c r="G294" i="5"/>
  <c r="B294" i="5"/>
  <c r="G293" i="5"/>
  <c r="B293" i="5"/>
  <c r="G292" i="5"/>
  <c r="B292" i="5"/>
  <c r="G291" i="5"/>
  <c r="B291" i="5"/>
  <c r="G290" i="5"/>
  <c r="B290" i="5"/>
  <c r="G289" i="5"/>
  <c r="B289" i="5"/>
  <c r="G1407" i="5"/>
  <c r="G1395" i="5"/>
  <c r="G1383" i="5"/>
  <c r="H1346" i="5"/>
  <c r="G1346" i="5"/>
  <c r="H1345" i="5"/>
  <c r="G1345" i="5"/>
  <c r="G1430" i="5"/>
  <c r="B1430" i="5" s="1"/>
  <c r="G1429" i="5"/>
  <c r="B1429" i="5" s="1"/>
  <c r="G1359" i="5"/>
  <c r="B1359" i="5" s="1"/>
  <c r="G1358" i="5"/>
  <c r="B1358" i="5" s="1"/>
  <c r="G1371" i="5"/>
  <c r="G1454" i="5"/>
  <c r="G1444" i="5"/>
  <c r="I1444" i="5" s="1"/>
  <c r="G1420" i="5"/>
  <c r="B1420" i="5" s="1"/>
  <c r="G1419" i="5"/>
  <c r="I1419" i="5" s="1"/>
  <c r="G1418" i="5"/>
  <c r="I1418" i="5" s="1"/>
  <c r="G1417" i="5"/>
  <c r="B1417" i="5" s="1"/>
  <c r="G1416" i="5"/>
  <c r="B1416" i="5" s="1"/>
  <c r="G1415" i="5"/>
  <c r="B1415" i="5" s="1"/>
  <c r="G1414" i="5"/>
  <c r="I1414" i="5" s="1"/>
  <c r="G1413" i="5"/>
  <c r="I1413" i="5" s="1"/>
  <c r="G1412" i="5"/>
  <c r="I1412" i="5" s="1"/>
  <c r="G1411" i="5"/>
  <c r="I1411" i="5" s="1"/>
  <c r="G1410" i="5"/>
  <c r="B1410" i="5" s="1"/>
  <c r="G1409" i="5"/>
  <c r="I1409" i="5" s="1"/>
  <c r="G1443" i="5"/>
  <c r="B1443" i="5" s="1"/>
  <c r="G1442" i="5"/>
  <c r="I1442" i="5" s="1"/>
  <c r="G1441" i="5"/>
  <c r="I1441" i="5" s="1"/>
  <c r="G1440" i="5"/>
  <c r="I1440" i="5" s="1"/>
  <c r="G1439" i="5"/>
  <c r="B1439" i="5" s="1"/>
  <c r="G1438" i="5"/>
  <c r="B1438" i="5" s="1"/>
  <c r="G1437" i="5"/>
  <c r="B1437" i="5" s="1"/>
  <c r="G1436" i="5"/>
  <c r="B1436" i="5" s="1"/>
  <c r="G1435" i="5"/>
  <c r="I1435" i="5" s="1"/>
  <c r="G1434" i="5"/>
  <c r="B1434" i="5" s="1"/>
  <c r="G1433" i="5"/>
  <c r="B1433" i="5" s="1"/>
  <c r="G1455" i="5"/>
  <c r="G1453" i="5"/>
  <c r="G1452" i="5"/>
  <c r="G1451" i="5"/>
  <c r="G1450" i="5"/>
  <c r="G1449" i="5"/>
  <c r="G1448" i="5"/>
  <c r="G1447" i="5"/>
  <c r="G1446" i="5"/>
  <c r="G1445" i="5"/>
  <c r="G1372" i="5"/>
  <c r="G1370" i="5"/>
  <c r="G1369" i="5"/>
  <c r="G1368" i="5"/>
  <c r="G1367" i="5"/>
  <c r="G1366" i="5"/>
  <c r="G1365" i="5"/>
  <c r="G1364" i="5"/>
  <c r="G1363" i="5"/>
  <c r="G1362" i="5"/>
  <c r="G1361" i="5"/>
  <c r="G1360" i="5"/>
  <c r="B1360" i="5" s="1"/>
  <c r="G1357" i="5"/>
  <c r="B1357" i="5" s="1"/>
  <c r="G1356" i="5"/>
  <c r="B1356" i="5" s="1"/>
  <c r="G1355" i="5"/>
  <c r="B1355" i="5" s="1"/>
  <c r="G1354" i="5"/>
  <c r="B1354" i="5" s="1"/>
  <c r="G1353" i="5"/>
  <c r="B1353" i="5" s="1"/>
  <c r="G1352" i="5"/>
  <c r="B1352" i="5" s="1"/>
  <c r="G1351" i="5"/>
  <c r="B1351" i="5" s="1"/>
  <c r="G1350" i="5"/>
  <c r="B1350" i="5" s="1"/>
  <c r="G1349" i="5"/>
  <c r="B1349" i="5" s="1"/>
  <c r="G1396" i="5"/>
  <c r="G1394" i="5"/>
  <c r="G1393" i="5"/>
  <c r="G1392" i="5"/>
  <c r="G1391" i="5"/>
  <c r="G1390" i="5"/>
  <c r="G1389" i="5"/>
  <c r="G1388" i="5"/>
  <c r="G1387" i="5"/>
  <c r="G1386" i="5"/>
  <c r="G1385" i="5"/>
  <c r="G1408" i="5"/>
  <c r="G1406" i="5"/>
  <c r="G1405" i="5"/>
  <c r="G1404" i="5"/>
  <c r="G1403" i="5"/>
  <c r="G1402" i="5"/>
  <c r="G1401" i="5"/>
  <c r="G1400" i="5"/>
  <c r="G1399" i="5"/>
  <c r="G1398" i="5"/>
  <c r="G1397" i="5"/>
  <c r="G1432" i="5"/>
  <c r="B1432" i="5" s="1"/>
  <c r="G1431" i="5"/>
  <c r="B1431" i="5" s="1"/>
  <c r="G1428" i="5"/>
  <c r="B1428" i="5" s="1"/>
  <c r="G1427" i="5"/>
  <c r="B1427" i="5" s="1"/>
  <c r="G1426" i="5"/>
  <c r="B1426" i="5" s="1"/>
  <c r="G1425" i="5"/>
  <c r="B1425" i="5" s="1"/>
  <c r="G1424" i="5"/>
  <c r="B1424" i="5" s="1"/>
  <c r="G1423" i="5"/>
  <c r="B1423" i="5" s="1"/>
  <c r="G1422" i="5"/>
  <c r="B1422" i="5" s="1"/>
  <c r="G1421" i="5"/>
  <c r="B1421" i="5" s="1"/>
  <c r="H1348" i="5"/>
  <c r="G1348" i="5"/>
  <c r="H1347" i="5"/>
  <c r="G1347" i="5"/>
  <c r="H1344" i="5"/>
  <c r="G1344" i="5"/>
  <c r="H1343" i="5"/>
  <c r="G1343" i="5"/>
  <c r="H1342" i="5"/>
  <c r="G1342" i="5"/>
  <c r="H1341" i="5"/>
  <c r="G1341" i="5"/>
  <c r="H1340" i="5"/>
  <c r="G1340" i="5"/>
  <c r="H1339" i="5"/>
  <c r="G1339" i="5"/>
  <c r="H1338" i="5"/>
  <c r="G1338" i="5"/>
  <c r="H1337" i="5"/>
  <c r="G1337" i="5"/>
  <c r="G1384" i="5"/>
  <c r="G1382" i="5"/>
  <c r="G1381" i="5"/>
  <c r="G1380" i="5"/>
  <c r="G1379" i="5"/>
  <c r="G1378" i="5"/>
  <c r="G1377" i="5"/>
  <c r="G1376" i="5"/>
  <c r="G1375" i="5"/>
  <c r="G1374" i="5"/>
  <c r="G1373" i="5"/>
  <c r="H45" i="3"/>
  <c r="H44" i="3"/>
  <c r="H43" i="3"/>
  <c r="H42" i="3"/>
  <c r="H41" i="3"/>
  <c r="H40" i="3"/>
  <c r="H39" i="3"/>
  <c r="H38" i="3"/>
  <c r="H37" i="3"/>
  <c r="H36" i="3"/>
  <c r="H35" i="3"/>
  <c r="H34" i="3"/>
  <c r="H33" i="3"/>
  <c r="H32" i="3"/>
  <c r="H31" i="3"/>
  <c r="H30" i="3"/>
  <c r="H29" i="3"/>
  <c r="H28" i="3"/>
  <c r="H27" i="3"/>
  <c r="H26" i="3"/>
  <c r="H25"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86" i="3"/>
  <c r="H85" i="3"/>
  <c r="H84" i="3"/>
  <c r="H83" i="3"/>
  <c r="H82" i="3"/>
  <c r="H81" i="3"/>
  <c r="H80" i="3"/>
  <c r="H79" i="3"/>
  <c r="H78" i="3"/>
  <c r="H77" i="3"/>
  <c r="H76" i="3"/>
  <c r="H75" i="3"/>
  <c r="H74" i="3"/>
  <c r="H73" i="3"/>
  <c r="H72" i="3"/>
  <c r="H71" i="3"/>
  <c r="H70" i="3"/>
  <c r="H69" i="3"/>
  <c r="H68" i="3"/>
  <c r="H67" i="3"/>
  <c r="H66" i="3"/>
  <c r="I134" i="2"/>
  <c r="I133" i="2"/>
  <c r="I132" i="2"/>
  <c r="I131" i="2"/>
  <c r="I130" i="2"/>
  <c r="I129" i="2"/>
  <c r="I128" i="2"/>
  <c r="I127" i="2"/>
  <c r="I126" i="2"/>
  <c r="I125" i="2"/>
  <c r="I124" i="2"/>
  <c r="I123" i="2"/>
  <c r="B134" i="2"/>
  <c r="B133" i="2"/>
  <c r="B132" i="2"/>
  <c r="B131" i="2"/>
  <c r="B130" i="2"/>
  <c r="B129" i="2"/>
  <c r="B128" i="2"/>
  <c r="B127" i="2"/>
  <c r="B126" i="2"/>
  <c r="B125" i="2"/>
  <c r="B124" i="2"/>
  <c r="B123" i="2"/>
  <c r="I74" i="2"/>
  <c r="I73" i="2"/>
  <c r="I72" i="2"/>
  <c r="I71" i="2"/>
  <c r="I70" i="2"/>
  <c r="I69" i="2"/>
  <c r="I68" i="2"/>
  <c r="I67" i="2"/>
  <c r="I66" i="2"/>
  <c r="I65" i="2"/>
  <c r="I64" i="2"/>
  <c r="I63" i="2"/>
  <c r="I122" i="2"/>
  <c r="I121" i="2"/>
  <c r="I120" i="2"/>
  <c r="I119" i="2"/>
  <c r="I118" i="2"/>
  <c r="I117" i="2"/>
  <c r="I116" i="2"/>
  <c r="I115" i="2"/>
  <c r="I114" i="2"/>
  <c r="I113" i="2"/>
  <c r="I112" i="2"/>
  <c r="I111" i="2"/>
  <c r="B122" i="2"/>
  <c r="B121" i="2"/>
  <c r="B120" i="2"/>
  <c r="B119" i="2"/>
  <c r="B118" i="2"/>
  <c r="B117" i="2"/>
  <c r="B116" i="2"/>
  <c r="B115" i="2"/>
  <c r="B114" i="2"/>
  <c r="B113" i="2"/>
  <c r="B112" i="2"/>
  <c r="B111" i="2"/>
  <c r="I110" i="2"/>
  <c r="I109" i="2"/>
  <c r="I108" i="2"/>
  <c r="I107" i="2"/>
  <c r="I106" i="2"/>
  <c r="I105" i="2"/>
  <c r="I104" i="2"/>
  <c r="I103" i="2"/>
  <c r="I102" i="2"/>
  <c r="I101" i="2"/>
  <c r="I100" i="2"/>
  <c r="I99" i="2"/>
  <c r="B110" i="2"/>
  <c r="B109" i="2"/>
  <c r="B108" i="2"/>
  <c r="B107" i="2"/>
  <c r="B106" i="2"/>
  <c r="B105" i="2"/>
  <c r="B104" i="2"/>
  <c r="B103" i="2"/>
  <c r="B102" i="2"/>
  <c r="B101" i="2"/>
  <c r="B100" i="2"/>
  <c r="B99" i="2"/>
  <c r="I98" i="2"/>
  <c r="I97" i="2"/>
  <c r="I96" i="2"/>
  <c r="I95" i="2"/>
  <c r="I94" i="2"/>
  <c r="I93" i="2"/>
  <c r="I92" i="2"/>
  <c r="I91" i="2"/>
  <c r="I90" i="2"/>
  <c r="I89" i="2"/>
  <c r="I88" i="2"/>
  <c r="I87" i="2"/>
  <c r="B98" i="2"/>
  <c r="B97" i="2"/>
  <c r="B96" i="2"/>
  <c r="B95" i="2"/>
  <c r="B94" i="2"/>
  <c r="B93" i="2"/>
  <c r="B92" i="2"/>
  <c r="B91" i="2"/>
  <c r="B90" i="2"/>
  <c r="B89" i="2"/>
  <c r="B88" i="2"/>
  <c r="B87" i="2"/>
  <c r="I86" i="2"/>
  <c r="I85" i="2"/>
  <c r="I84" i="2"/>
  <c r="I83" i="2"/>
  <c r="I82" i="2"/>
  <c r="I81" i="2"/>
  <c r="I80" i="2"/>
  <c r="I79" i="2"/>
  <c r="I78" i="2"/>
  <c r="I77" i="2"/>
  <c r="I76" i="2"/>
  <c r="I75"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318" i="1"/>
  <c r="B317" i="1"/>
  <c r="B316" i="1"/>
  <c r="B315" i="1"/>
  <c r="B314" i="1"/>
  <c r="B283" i="1"/>
  <c r="B282" i="1"/>
  <c r="B281" i="1"/>
  <c r="B136" i="1"/>
  <c r="B135" i="1"/>
  <c r="B134" i="1"/>
  <c r="B149" i="1"/>
  <c r="B148" i="1"/>
  <c r="B147" i="1"/>
  <c r="B182" i="1"/>
  <c r="B181" i="1"/>
  <c r="B217" i="1"/>
  <c r="B216" i="1"/>
  <c r="B215" i="1"/>
  <c r="B250" i="1"/>
  <c r="B249" i="1"/>
  <c r="B248" i="1"/>
  <c r="B1409" i="5" l="1"/>
  <c r="B1411" i="5"/>
  <c r="I1434" i="5"/>
  <c r="I1436" i="5"/>
  <c r="I1437" i="5"/>
  <c r="I1438" i="5"/>
  <c r="I1439" i="5"/>
  <c r="I1443" i="5"/>
  <c r="B1412" i="5"/>
  <c r="B1435" i="5"/>
  <c r="B1413" i="5"/>
  <c r="B1414" i="5"/>
  <c r="I1433" i="5"/>
  <c r="B1444" i="5"/>
  <c r="B1418" i="5"/>
  <c r="B1419" i="5"/>
  <c r="I1410" i="5"/>
  <c r="B1440" i="5"/>
  <c r="I1415" i="5"/>
  <c r="B1441" i="5"/>
  <c r="I1416" i="5"/>
  <c r="B1442" i="5"/>
  <c r="I1417" i="5"/>
  <c r="I1420" i="5"/>
</calcChain>
</file>

<file path=xl/sharedStrings.xml><?xml version="1.0" encoding="utf-8"?>
<sst xmlns="http://schemas.openxmlformats.org/spreadsheetml/2006/main" count="61662" uniqueCount="4196">
  <si>
    <t>gsoep</t>
  </si>
  <si>
    <t>spequiv</t>
  </si>
  <si>
    <t>SWL</t>
  </si>
  <si>
    <t>overall</t>
  </si>
  <si>
    <t>s</t>
  </si>
  <si>
    <t>p1110102</t>
  </si>
  <si>
    <t>Overall life satisfaction</t>
  </si>
  <si>
    <t>[-6] Version of questionnaire with modified filtering
[-5] Not included in this version of the questionnaire
[-4] Inadmissible multiple response
[-3] Answer improbable
[-2] Does not apply
[-1] No Answer
[0] 0 Satisfied: On Scale 0-Low to 10-High
[1] 1 Satisfied: On Scale 0-Low to 10-High
[2] 2 Satisfied: On Scale 0-Low to 10-High
[3] 3 Satisfied: On Scale 0-Low to 10-High
[4] 4 Satisfied: On Scale 0-Low to 10-High
[5] 5 Satisfied: On Scale 0-Low to 10-High
[6] 6 Satisfied: On Scale 0-Low to 10-High
[7] 7 Satisfied: On Scale 0-Low to 10-High
[8] 8 Satisfied: On Scale 0-Low to 10-High
[9] 9 Satisfied: On Scale 0-Low to 10-High
[10] 10 Satisfied: On Scale 0-Low to 10-High</t>
  </si>
  <si>
    <t>ifelse(is.na(x) | x &lt; 0, NA, x)</t>
  </si>
  <si>
    <t>hpequiv</t>
  </si>
  <si>
    <t>h</t>
  </si>
  <si>
    <t>p1110191</t>
  </si>
  <si>
    <t>epequiv</t>
  </si>
  <si>
    <t>e</t>
  </si>
  <si>
    <t>p1110188</t>
  </si>
  <si>
    <t>zpequiv</t>
  </si>
  <si>
    <t>z</t>
  </si>
  <si>
    <t>p1110109</t>
  </si>
  <si>
    <t>opequiv</t>
  </si>
  <si>
    <t>o</t>
  </si>
  <si>
    <t>p1110198</t>
  </si>
  <si>
    <t>bepequiv</t>
  </si>
  <si>
    <t>be</t>
  </si>
  <si>
    <t>p1110114</t>
  </si>
  <si>
    <t>ppequiv</t>
  </si>
  <si>
    <t>p</t>
  </si>
  <si>
    <t>p11101</t>
  </si>
  <si>
    <t>bfpequiv</t>
  </si>
  <si>
    <t>bf</t>
  </si>
  <si>
    <t>p1110115</t>
  </si>
  <si>
    <t>dpequiv</t>
  </si>
  <si>
    <t>d</t>
  </si>
  <si>
    <t>p1110187</t>
  </si>
  <si>
    <t>bapequiv</t>
  </si>
  <si>
    <t>ba</t>
  </si>
  <si>
    <t>p1110110</t>
  </si>
  <si>
    <t>bpequiv</t>
  </si>
  <si>
    <t>b</t>
  </si>
  <si>
    <t>p1110185</t>
  </si>
  <si>
    <t>apequiv</t>
  </si>
  <si>
    <t>a</t>
  </si>
  <si>
    <t>p1110184</t>
  </si>
  <si>
    <t>npequiv</t>
  </si>
  <si>
    <t>n</t>
  </si>
  <si>
    <t>p1110197</t>
  </si>
  <si>
    <t>bbpequiv</t>
  </si>
  <si>
    <t>bb</t>
  </si>
  <si>
    <t>p1110111</t>
  </si>
  <si>
    <t>fpequiv</t>
  </si>
  <si>
    <t>f</t>
  </si>
  <si>
    <t>p1110189</t>
  </si>
  <si>
    <t>wpequiv</t>
  </si>
  <si>
    <t>w</t>
  </si>
  <si>
    <t>p1110106</t>
  </si>
  <si>
    <t>ipequiv</t>
  </si>
  <si>
    <t>i</t>
  </si>
  <si>
    <t>p1110192</t>
  </si>
  <si>
    <t>rpequiv</t>
  </si>
  <si>
    <t>r</t>
  </si>
  <si>
    <t>p1110101</t>
  </si>
  <si>
    <t>bcpequiv</t>
  </si>
  <si>
    <t>bc</t>
  </si>
  <si>
    <t>p1110112</t>
  </si>
  <si>
    <t>upequiv</t>
  </si>
  <si>
    <t>u</t>
  </si>
  <si>
    <t>p1110104</t>
  </si>
  <si>
    <t>bhpequiv</t>
  </si>
  <si>
    <t>bh</t>
  </si>
  <si>
    <t>p1110117</t>
  </si>
  <si>
    <t>ypequiv</t>
  </si>
  <si>
    <t>y</t>
  </si>
  <si>
    <t>p1110108</t>
  </si>
  <si>
    <t>qpequiv</t>
  </si>
  <si>
    <t>q</t>
  </si>
  <si>
    <t>p1110100</t>
  </si>
  <si>
    <t>bgpequiv</t>
  </si>
  <si>
    <t>bg</t>
  </si>
  <si>
    <t>p1110116</t>
  </si>
  <si>
    <t>p1110199</t>
  </si>
  <si>
    <t>cpequiv</t>
  </si>
  <si>
    <t>c</t>
  </si>
  <si>
    <t>p1110186</t>
  </si>
  <si>
    <t>tpequiv</t>
  </si>
  <si>
    <t>t</t>
  </si>
  <si>
    <t>p1110103</t>
  </si>
  <si>
    <t>bdpequiv</t>
  </si>
  <si>
    <t>bd</t>
  </si>
  <si>
    <t>p1110113</t>
  </si>
  <si>
    <t>lpequiv</t>
  </si>
  <si>
    <t>l</t>
  </si>
  <si>
    <t>p1110195</t>
  </si>
  <si>
    <t>vpequiv</t>
  </si>
  <si>
    <t>v</t>
  </si>
  <si>
    <t>p1110105</t>
  </si>
  <si>
    <t>xpequiv</t>
  </si>
  <si>
    <t>x</t>
  </si>
  <si>
    <t>p1110107</t>
  </si>
  <si>
    <t>jpequiv</t>
  </si>
  <si>
    <t>j</t>
  </si>
  <si>
    <t>p1110193</t>
  </si>
  <si>
    <t>gpequiv</t>
  </si>
  <si>
    <t>g</t>
  </si>
  <si>
    <t>p1110190</t>
  </si>
  <si>
    <t>kpequiv</t>
  </si>
  <si>
    <t>k</t>
  </si>
  <si>
    <t>p1110194</t>
  </si>
  <si>
    <t>mpequiv</t>
  </si>
  <si>
    <t>m</t>
  </si>
  <si>
    <t>p1110196</t>
  </si>
  <si>
    <t>study</t>
  </si>
  <si>
    <t>dataset</t>
  </si>
  <si>
    <t>category</t>
  </si>
  <si>
    <t>name</t>
  </si>
  <si>
    <t>itemname</t>
  </si>
  <si>
    <t>wave</t>
  </si>
  <si>
    <t>waveletter</t>
  </si>
  <si>
    <t>year</t>
  </si>
  <si>
    <t>orig_itemname</t>
  </si>
  <si>
    <t>description</t>
  </si>
  <si>
    <t>scale</t>
  </si>
  <si>
    <t>reverse_code</t>
  </si>
  <si>
    <t>recode</t>
  </si>
  <si>
    <t>mini</t>
  </si>
  <si>
    <t>maxi</t>
  </si>
  <si>
    <t>ap</t>
  </si>
  <si>
    <t>satIncome</t>
  </si>
  <si>
    <t>ap0302</t>
  </si>
  <si>
    <t>Satisfaction With Household Income</t>
  </si>
  <si>
    <t>-1[-1] No Answer[-1] keine Angabe0[0] 0 Satisfied: On Scale 0-Low to 10-High[0] 0 Zufrieden: Skala 0-Niedrig bis 10-Hoch1[1] 1 Satisfied: On Scale 0-Low to 10-High[1] 1 Zufrieden: Skala 0-Niedrig bis 10-Hoch2[2] 2 Satisfied: On Scale 0-Low to 10-High[2] 2 Zufrieden: Skala 0-Niedrig bis 10-Hoch3[3] 3 Satisfied: On Scale 0-Low to 10-High[3] 3 Zufrieden: Skala 0-Niedrig bis 10-Hoch4[4] 4 Satisfied: On Scale 0-Low to 10-High[4] 4 Zufrieden: Skala 0-Niedrig bis 10-Hoch5[5] 5 Satisfied: On Scale 0-Low to 10-High[5] 5 Zufrieden: Skala 0-Niedrig bis 10-Hoch6[6] 6 Satisfied: On Scale 0-Low to 10-High[6] 6 Zufrieden: Skala 0-Niedrig bis 10-Hoch7[7] 7 Satisfied: On Scale 0-Low to 10-High[7] 7 Zufrieden: Skala 0-Niedrig bis 10-Hoch8[8] 8 Satisfied: On Scale 0-Low to 10-High[8] 8 Zufrieden: Skala 0-Niedrig bis 10-Hoch9[9] 9 Satisfied: On Scale 0-Low to 10-High[9] 9 Zufrieden: Skala 0-Niedrig bis 10-Hoch10[10] 10 Satisfied: On Scale 0-Low to 10-High[10] 10 Zufrieden: Skala 0-Niedrig bis 10-Hoc</t>
  </si>
  <si>
    <t>bp</t>
  </si>
  <si>
    <t>bp0102</t>
  </si>
  <si>
    <t>cp</t>
  </si>
  <si>
    <t>cp0102</t>
  </si>
  <si>
    <t>dp</t>
  </si>
  <si>
    <t>dp0102</t>
  </si>
  <si>
    <t>ep</t>
  </si>
  <si>
    <t>ep0102</t>
  </si>
  <si>
    <t>fp</t>
  </si>
  <si>
    <t>fp0102</t>
  </si>
  <si>
    <t>gp</t>
  </si>
  <si>
    <t>gp0102</t>
  </si>
  <si>
    <t>hp</t>
  </si>
  <si>
    <t>hp1004</t>
  </si>
  <si>
    <t>ip</t>
  </si>
  <si>
    <t>ip9804</t>
  </si>
  <si>
    <t>jp</t>
  </si>
  <si>
    <t>jp0104</t>
  </si>
  <si>
    <t>kp</t>
  </si>
  <si>
    <t>kp0104</t>
  </si>
  <si>
    <t>lp</t>
  </si>
  <si>
    <t>lp0104</t>
  </si>
  <si>
    <t>mp</t>
  </si>
  <si>
    <t>mp0104</t>
  </si>
  <si>
    <t>np</t>
  </si>
  <si>
    <t>np0104</t>
  </si>
  <si>
    <t>op</t>
  </si>
  <si>
    <t>op0104</t>
  </si>
  <si>
    <t>pp</t>
  </si>
  <si>
    <t>pp0104</t>
  </si>
  <si>
    <t>qp</t>
  </si>
  <si>
    <t>qp0104</t>
  </si>
  <si>
    <t>rp</t>
  </si>
  <si>
    <t>rp0104</t>
  </si>
  <si>
    <t>sp</t>
  </si>
  <si>
    <t>sp0104</t>
  </si>
  <si>
    <t>tp</t>
  </si>
  <si>
    <t>tp0104</t>
  </si>
  <si>
    <t>up</t>
  </si>
  <si>
    <t>up0104</t>
  </si>
  <si>
    <t>vp</t>
  </si>
  <si>
    <t>vp0104</t>
  </si>
  <si>
    <t>wp</t>
  </si>
  <si>
    <t>wp0104</t>
  </si>
  <si>
    <t>xp</t>
  </si>
  <si>
    <t>xp0104</t>
  </si>
  <si>
    <t>yp</t>
  </si>
  <si>
    <t>yp0105</t>
  </si>
  <si>
    <t>zp</t>
  </si>
  <si>
    <t>zp0105</t>
  </si>
  <si>
    <t>bap</t>
  </si>
  <si>
    <t>bap0105</t>
  </si>
  <si>
    <t>bbp</t>
  </si>
  <si>
    <t>bbp0105</t>
  </si>
  <si>
    <t>bcp</t>
  </si>
  <si>
    <t>bcp0105</t>
  </si>
  <si>
    <t>bdp</t>
  </si>
  <si>
    <t>bdp0105</t>
  </si>
  <si>
    <t>bep</t>
  </si>
  <si>
    <t>bep0105</t>
  </si>
  <si>
    <t>bfp</t>
  </si>
  <si>
    <t>bfp0105</t>
  </si>
  <si>
    <t>satFam</t>
  </si>
  <si>
    <t>wp0109</t>
  </si>
  <si>
    <t>Satisfaction With Family Life</t>
  </si>
  <si>
    <t>-2[-2] Does not apply[-2] trifft nicht zu-1[-1] No Answer[-1] keine Angabe0[0] 0 Satisfied: On Scale 0-Low to 10-High[0] 0 Zufrieden: Skala 0-Niedrig bis 10-Hoch1[1] 1 Satisfied: On Scale 0-Low to 10-High[1] 1 Zufrieden: Skala 0-Niedrig bis 10-Hoch2[2] 2 Satisfied: On Scale 0-Low to 10-High[2] 2 Zufrieden: Skala 0-Niedrig bis 10-Hoch3[3] 3 Satisfied: On Scale 0-Low to 10-High[3] 3 Zufrieden: Skala 0-Niedrig bis 10-Hoch4[4] 4 Satisfied: On Scale 0-Low to 10-High[4] 4 Zufrieden: Skala 0-Niedrig bis 10-Hoch5[5] 5 Satisfied: On Scale 0-Low to 10-High[5] 5 Zufrieden: Skala 0-Niedrig bis 10-Hoch6[6] 6 Satisfied: On Scale 0-Low to 10-High[6] 6 Zufrieden: Skala 0-Niedrig bis 10-Hoch7[7] 7 Satisfied: On Scale 0-Low to 10-High[7] 7 Zufrieden: Skala 0-Niedrig bis 10-Hoch8[8] 8 Satisfied: On Scale 0-Low to 10-High[8] 8 Zufrieden: Skala 0-Niedrig bis 10-Hoch9[9] 9 Satisfied: On Scale 0-Low to 10-High[9] 9 Zufrieden: Skala 0-Niedrig bis 10-Hoch10[10] 10 Satisfied: On Scale 0-Low to 10-High[10] 10 Zufrieden: Skala 0-Niedrig bis 10-Hoc</t>
  </si>
  <si>
    <t>xp0109</t>
  </si>
  <si>
    <t>yp0110</t>
  </si>
  <si>
    <t>zp0109</t>
  </si>
  <si>
    <t>bap0109</t>
  </si>
  <si>
    <t>bbp0110</t>
  </si>
  <si>
    <t>bcp0110</t>
  </si>
  <si>
    <t>bdp0110</t>
  </si>
  <si>
    <t>bep0110</t>
  </si>
  <si>
    <t>bfp0110</t>
  </si>
  <si>
    <t>satHealth</t>
  </si>
  <si>
    <t>m1112585</t>
  </si>
  <si>
    <t>Satisfaction with Health</t>
  </si>
  <si>
    <t>0-10, 0 being "completely dissatisfied" and 10 being "completely satisfied"</t>
  </si>
  <si>
    <t>m1112586</t>
  </si>
  <si>
    <t>m1112587</t>
  </si>
  <si>
    <t>m1112588</t>
  </si>
  <si>
    <t>m1112589</t>
  </si>
  <si>
    <t>m1112590</t>
  </si>
  <si>
    <t>m1112591</t>
  </si>
  <si>
    <t>m1112592</t>
  </si>
  <si>
    <t>m1112593</t>
  </si>
  <si>
    <t>m1112594</t>
  </si>
  <si>
    <t>m1112595</t>
  </si>
  <si>
    <t>m1112596</t>
  </si>
  <si>
    <t>m1112597</t>
  </si>
  <si>
    <t>m1112598</t>
  </si>
  <si>
    <t>m1112599</t>
  </si>
  <si>
    <t>m1112500</t>
  </si>
  <si>
    <t>m1112501</t>
  </si>
  <si>
    <t>m1112502</t>
  </si>
  <si>
    <t>m1112503</t>
  </si>
  <si>
    <t>m1112504</t>
  </si>
  <si>
    <t>m1112505</t>
  </si>
  <si>
    <t>m1112506</t>
  </si>
  <si>
    <t>m1112507</t>
  </si>
  <si>
    <t>m1112508</t>
  </si>
  <si>
    <t>m1112509</t>
  </si>
  <si>
    <t>m1112510</t>
  </si>
  <si>
    <t>m1112511</t>
  </si>
  <si>
    <t>m1112512</t>
  </si>
  <si>
    <t>m1112513</t>
  </si>
  <si>
    <t>m1112514</t>
  </si>
  <si>
    <t>m1112515</t>
  </si>
  <si>
    <t>income</t>
  </si>
  <si>
    <t>family</t>
  </si>
  <si>
    <t>health</t>
  </si>
  <si>
    <t>ap0303</t>
  </si>
  <si>
    <t>bp0103</t>
  </si>
  <si>
    <t>cp0103</t>
  </si>
  <si>
    <t>dp0104</t>
  </si>
  <si>
    <t>ep0103</t>
  </si>
  <si>
    <t>fp0104</t>
  </si>
  <si>
    <t>gp0103</t>
  </si>
  <si>
    <t>hp1006</t>
  </si>
  <si>
    <t>ip9806</t>
  </si>
  <si>
    <t>jp0106</t>
  </si>
  <si>
    <t>kp0106</t>
  </si>
  <si>
    <t>lp0105</t>
  </si>
  <si>
    <t>mp0105</t>
  </si>
  <si>
    <t>np0105</t>
  </si>
  <si>
    <t>op0105</t>
  </si>
  <si>
    <t>pp0105</t>
  </si>
  <si>
    <t>qp0105</t>
  </si>
  <si>
    <t>rp0105</t>
  </si>
  <si>
    <t>sp0105</t>
  </si>
  <si>
    <t>tp0105</t>
  </si>
  <si>
    <t>up0107</t>
  </si>
  <si>
    <t>vp0106</t>
  </si>
  <si>
    <t>wp0106</t>
  </si>
  <si>
    <t>xp0106</t>
  </si>
  <si>
    <t>yp0108</t>
  </si>
  <si>
    <t>zp0107</t>
  </si>
  <si>
    <t>bap0107</t>
  </si>
  <si>
    <t>bbp0107</t>
  </si>
  <si>
    <t>bcp0107</t>
  </si>
  <si>
    <t>bdp0107</t>
  </si>
  <si>
    <t>bep0107</t>
  </si>
  <si>
    <t>bfp0107</t>
  </si>
  <si>
    <t>satDwelling</t>
  </si>
  <si>
    <t>domain</t>
  </si>
  <si>
    <t>Satisfaction With Dwelling</t>
  </si>
  <si>
    <t>[0] 0 Satisfied: On Scale 0-Low to 10-High
[1] 1 Satisfied: On Scale 0-Low to 10-High
[2] 2 Satisfied: On Scale 0-Low to 10-High
[3] 3 Satisfied: On Scale 0-Low to 10-High
[4] 4 Satisfied: On Scale 0-Low to 10-High
[5] 5 Satisfied: On Scale 0-Low to 10-High
[6] 6 Satisfied: On Scale 0-Low to 10-High
[7] 7 Satisfied: On Scale 0-Low to 10-High
[8] 8 Satisfied: On Scale 0-Low to 10-High
[9] 9 Satisfied: On Scale 0-Low to 10-High
[10] 10 Satisfied: On Scale 0-Low to 10-High
[-1] No Answer
[-2] Does not apply
[-3] Answer improbable
[-4] Inadmissible multiple response
[-5] Not included in this version of the questionnaire
[-6] Version of questionnaire with modified filtering</t>
  </si>
  <si>
    <t>ap0306</t>
  </si>
  <si>
    <t>Satisfaction with amount of leisure</t>
  </si>
  <si>
    <t>bp0106</t>
  </si>
  <si>
    <t>cp0106</t>
  </si>
  <si>
    <t>dp0107</t>
  </si>
  <si>
    <t>ep0106</t>
  </si>
  <si>
    <t>fp0107</t>
  </si>
  <si>
    <t>hp1005</t>
  </si>
  <si>
    <t>ip9805</t>
  </si>
  <si>
    <t>jp0105</t>
  </si>
  <si>
    <t>kp0105</t>
  </si>
  <si>
    <t>mp0106</t>
  </si>
  <si>
    <t>np0106</t>
  </si>
  <si>
    <t>op0106</t>
  </si>
  <si>
    <t>pp0106</t>
  </si>
  <si>
    <t>qp0106</t>
  </si>
  <si>
    <t>rp0106</t>
  </si>
  <si>
    <t>sp0106</t>
  </si>
  <si>
    <t>tp0106</t>
  </si>
  <si>
    <t>up0108</t>
  </si>
  <si>
    <t>vp0107</t>
  </si>
  <si>
    <t>wp0107</t>
  </si>
  <si>
    <t>xp0107</t>
  </si>
  <si>
    <t>yp0109</t>
  </si>
  <si>
    <t>zp0108</t>
  </si>
  <si>
    <t>bap0108</t>
  </si>
  <si>
    <t>bbp0108</t>
  </si>
  <si>
    <t>bcp0108</t>
  </si>
  <si>
    <t>bdp0108</t>
  </si>
  <si>
    <t>bep0108</t>
  </si>
  <si>
    <t>bfp0108</t>
  </si>
  <si>
    <t>satLeisure</t>
  </si>
  <si>
    <t>bgp0108</t>
  </si>
  <si>
    <t>bhp_01_08</t>
  </si>
  <si>
    <t>bip_01_08</t>
  </si>
  <si>
    <t>bi</t>
  </si>
  <si>
    <t>bgp0107</t>
  </si>
  <si>
    <t>bhp_01_07</t>
  </si>
  <si>
    <t>bip_01_07</t>
  </si>
  <si>
    <t>m1112516</t>
  </si>
  <si>
    <t>m1112517</t>
  </si>
  <si>
    <t>bgp0110</t>
  </si>
  <si>
    <t>bhp_01_10</t>
  </si>
  <si>
    <t>bip_01_10</t>
  </si>
  <si>
    <t>bgp0105</t>
  </si>
  <si>
    <t>bhp_01_05</t>
  </si>
  <si>
    <t>bip_01_05</t>
  </si>
  <si>
    <t>ap0305</t>
  </si>
  <si>
    <t>Satisfaction with housework</t>
  </si>
  <si>
    <t>housework</t>
  </si>
  <si>
    <t>bp0105</t>
  </si>
  <si>
    <t>cp0105</t>
  </si>
  <si>
    <t>dp0106</t>
  </si>
  <si>
    <t>ep0105</t>
  </si>
  <si>
    <t>fp0106</t>
  </si>
  <si>
    <t>gp0105</t>
  </si>
  <si>
    <t>jp0103</t>
  </si>
  <si>
    <t>kp0103</t>
  </si>
  <si>
    <t>lp0103</t>
  </si>
  <si>
    <t>mp0103</t>
  </si>
  <si>
    <t>np0103</t>
  </si>
  <si>
    <t>op0103</t>
  </si>
  <si>
    <t>pp0103</t>
  </si>
  <si>
    <t>qp0103</t>
  </si>
  <si>
    <t>rp0103</t>
  </si>
  <si>
    <t>sp0103</t>
  </si>
  <si>
    <t>tp0103</t>
  </si>
  <si>
    <t>up0103</t>
  </si>
  <si>
    <t>vp0103</t>
  </si>
  <si>
    <t>wp0103</t>
  </si>
  <si>
    <t>xp0103</t>
  </si>
  <si>
    <t>yp0104</t>
  </si>
  <si>
    <t>zp0104</t>
  </si>
  <si>
    <t>bap0104</t>
  </si>
  <si>
    <t>bbp0104</t>
  </si>
  <si>
    <t>bcp0104</t>
  </si>
  <si>
    <t>bdp0104</t>
  </si>
  <si>
    <t>bep0104</t>
  </si>
  <si>
    <t>bfp0104</t>
  </si>
  <si>
    <t>satHousework</t>
  </si>
  <si>
    <t>bgp0104</t>
  </si>
  <si>
    <t>bhp_01_04</t>
  </si>
  <si>
    <t>bip_01_04</t>
  </si>
  <si>
    <t>ap0304</t>
  </si>
  <si>
    <t>Satisfaction with Work</t>
  </si>
  <si>
    <t>work</t>
  </si>
  <si>
    <t>bp0104</t>
  </si>
  <si>
    <t>cp0104</t>
  </si>
  <si>
    <t>dp0105</t>
  </si>
  <si>
    <t>ep0104</t>
  </si>
  <si>
    <t>fp0105</t>
  </si>
  <si>
    <t>gp0104</t>
  </si>
  <si>
    <t>hp1002</t>
  </si>
  <si>
    <t>ip9802</t>
  </si>
  <si>
    <t>jp0102</t>
  </si>
  <si>
    <t>kp0102</t>
  </si>
  <si>
    <t>lp0102</t>
  </si>
  <si>
    <t>mp0102</t>
  </si>
  <si>
    <t>np0102</t>
  </si>
  <si>
    <t>op0102</t>
  </si>
  <si>
    <t>pp0102</t>
  </si>
  <si>
    <t>qp0102</t>
  </si>
  <si>
    <t>rp0102</t>
  </si>
  <si>
    <t>sp0102</t>
  </si>
  <si>
    <t>tp0102</t>
  </si>
  <si>
    <t>up0102</t>
  </si>
  <si>
    <t>vp0102</t>
  </si>
  <si>
    <t>wp0102</t>
  </si>
  <si>
    <t>xp0102</t>
  </si>
  <si>
    <t>yp0103</t>
  </si>
  <si>
    <t>zp0103</t>
  </si>
  <si>
    <t>bap0103</t>
  </si>
  <si>
    <t>bbp0103</t>
  </si>
  <si>
    <t>bcp0103</t>
  </si>
  <si>
    <t>bdp0103</t>
  </si>
  <si>
    <t>bep0103</t>
  </si>
  <si>
    <t>bfp0103</t>
  </si>
  <si>
    <t>satWork</t>
  </si>
  <si>
    <t>bgp0103</t>
  </si>
  <si>
    <t>bhp_01_03</t>
  </si>
  <si>
    <t>bip_01_03</t>
  </si>
  <si>
    <t>no</t>
  </si>
  <si>
    <t>bhps</t>
  </si>
  <si>
    <t>flfsato</t>
  </si>
  <si>
    <t>Satisfaction with life overall</t>
  </si>
  <si>
    <t>Likert (1=not satisfied at all, 7=completely satisfied)</t>
  </si>
  <si>
    <t>ifelse(is.na(x) | x &lt; 0,NA, x)</t>
  </si>
  <si>
    <t>glfsato</t>
  </si>
  <si>
    <t>hlfsato</t>
  </si>
  <si>
    <t>ilfsato</t>
  </si>
  <si>
    <t>jlfsato</t>
  </si>
  <si>
    <t>llfsato</t>
  </si>
  <si>
    <t>mlfsato</t>
  </si>
  <si>
    <t>nlfsato</t>
  </si>
  <si>
    <t>olfsato</t>
  </si>
  <si>
    <t>plfsato</t>
  </si>
  <si>
    <t>qlfsato</t>
  </si>
  <si>
    <t>rlfsato</t>
  </si>
  <si>
    <t>satSpouse</t>
  </si>
  <si>
    <t>flfsat4</t>
  </si>
  <si>
    <t>Satisfaction with spouse/partner</t>
  </si>
  <si>
    <t>Likert (0=does not apply, 1=not satisfied at all, 7=completely satisfied)</t>
  </si>
  <si>
    <t>glfsat4</t>
  </si>
  <si>
    <t>hlfsat4</t>
  </si>
  <si>
    <t>ilfsat4</t>
  </si>
  <si>
    <t>jlfsat4</t>
  </si>
  <si>
    <t>llfsat4</t>
  </si>
  <si>
    <t>mlfsat4</t>
  </si>
  <si>
    <t>nlfsat4</t>
  </si>
  <si>
    <t>olfsat4</t>
  </si>
  <si>
    <t>plfsat4</t>
  </si>
  <si>
    <t>qlfsat4</t>
  </si>
  <si>
    <t>rlfsat4</t>
  </si>
  <si>
    <t>satHHincome</t>
  </si>
  <si>
    <t>flfsat2</t>
  </si>
  <si>
    <t>Satisfaction with income of household</t>
  </si>
  <si>
    <t>glfsat2</t>
  </si>
  <si>
    <t>hlfsat2</t>
  </si>
  <si>
    <t>ilfsat2</t>
  </si>
  <si>
    <t>jlfsat2</t>
  </si>
  <si>
    <t>llfsat2</t>
  </si>
  <si>
    <t>mlfsat2</t>
  </si>
  <si>
    <t>nlfsat2</t>
  </si>
  <si>
    <t>olfsat2</t>
  </si>
  <si>
    <t>plfsat2</t>
  </si>
  <si>
    <t>qlfsat2</t>
  </si>
  <si>
    <t>rlfsat2</t>
  </si>
  <si>
    <t>spouse</t>
  </si>
  <si>
    <t>satJob</t>
  </si>
  <si>
    <t>Job satisfaction: overall</t>
  </si>
  <si>
    <t>amtleis</t>
  </si>
  <si>
    <t>satAmtLeis</t>
  </si>
  <si>
    <t>Satisfaction with: amount of leisure time</t>
  </si>
  <si>
    <t>useleis</t>
  </si>
  <si>
    <t>satUseLeis</t>
  </si>
  <si>
    <t>Satisfaction with: use of leisure time</t>
  </si>
  <si>
    <t>Satisfaction with: health</t>
  </si>
  <si>
    <t>house</t>
  </si>
  <si>
    <t>Satisfaction with: house/flat</t>
  </si>
  <si>
    <t>satHouse</t>
  </si>
  <si>
    <t>social</t>
  </si>
  <si>
    <t>satSocial</t>
  </si>
  <si>
    <t>Satisfaction with: social life</t>
  </si>
  <si>
    <t>shp</t>
  </si>
  <si>
    <t>P</t>
  </si>
  <si>
    <t>genlifesat</t>
  </si>
  <si>
    <t>P00C44</t>
  </si>
  <si>
    <t>C44</t>
  </si>
  <si>
    <t>Satisfaction with life in general</t>
  </si>
  <si>
    <t>-8 other error
-7 filter error
-3 inapplicable
-2 no answer
-1 does not know
0 not at all satisfied
1  
2  
3  
4  
5  
6  
7  
8  
9  
10 completely satisfied</t>
  </si>
  <si>
    <t>P01C44</t>
  </si>
  <si>
    <t>P02C44</t>
  </si>
  <si>
    <t>P03C44</t>
  </si>
  <si>
    <t>P04C44</t>
  </si>
  <si>
    <t>P05C44</t>
  </si>
  <si>
    <t>P06C44</t>
  </si>
  <si>
    <t>P07C44</t>
  </si>
  <si>
    <t>P08C44</t>
  </si>
  <si>
    <t>P09C44</t>
  </si>
  <si>
    <t>P10C44</t>
  </si>
  <si>
    <t>P11C44</t>
  </si>
  <si>
    <t>P12C44</t>
  </si>
  <si>
    <t>P13C44</t>
  </si>
  <si>
    <t>P14C44</t>
  </si>
  <si>
    <t>P15C44</t>
  </si>
  <si>
    <t>P16C44</t>
  </si>
  <si>
    <t>P17C44</t>
  </si>
  <si>
    <t>P18C44</t>
  </si>
  <si>
    <t>P19C44</t>
  </si>
  <si>
    <t>stem</t>
  </si>
  <si>
    <t>Hhincomesat</t>
  </si>
  <si>
    <t>I01</t>
  </si>
  <si>
    <t>Satisfaction with financial situation of HH</t>
  </si>
  <si>
    <t>-8	other error
-7	filter error
-3	inapplicable
-2	no answer
-1	does not know
0 not at all satisfied
1  
2  
3  
4  
5  
6  
7  
8  
9  
10 completely satisfied</t>
  </si>
  <si>
    <t>healthsat</t>
  </si>
  <si>
    <t>P99C02</t>
  </si>
  <si>
    <t>C02</t>
  </si>
  <si>
    <t>Satisfaction with health status</t>
  </si>
  <si>
    <t>-8	other error
-7	filter error
-3	inapplicable
-2	no answer
-1	does not know
0	not at all satisfied
1	 
2	 
3	 
4	 
5	 
6	 
7	 
8	 
9	 
10	completely satisfied</t>
  </si>
  <si>
    <t>P00C02</t>
  </si>
  <si>
    <t>P01C02</t>
  </si>
  <si>
    <t>P02C02</t>
  </si>
  <si>
    <t>P03C02</t>
  </si>
  <si>
    <t>P04C02</t>
  </si>
  <si>
    <t>P05C02</t>
  </si>
  <si>
    <t>P06C02</t>
  </si>
  <si>
    <t>P07C02</t>
  </si>
  <si>
    <t>P08C02</t>
  </si>
  <si>
    <t>P09C02</t>
  </si>
  <si>
    <t>P10C02</t>
  </si>
  <si>
    <t>P11C02</t>
  </si>
  <si>
    <t>P12C02</t>
  </si>
  <si>
    <t>P13C02</t>
  </si>
  <si>
    <t>P14C02</t>
  </si>
  <si>
    <t>P15C02</t>
  </si>
  <si>
    <t>P16C02</t>
  </si>
  <si>
    <t>P17C02</t>
  </si>
  <si>
    <t>P18C02</t>
  </si>
  <si>
    <t>P19C02</t>
  </si>
  <si>
    <t>H</t>
  </si>
  <si>
    <t>satwithstudies</t>
  </si>
  <si>
    <t>P01YTH01</t>
  </si>
  <si>
    <t>YTH01</t>
  </si>
  <si>
    <t>Satisfaction with current studies</t>
  </si>
  <si>
    <t>P02YTH01</t>
  </si>
  <si>
    <t>P03YTH01</t>
  </si>
  <si>
    <t>P04YTH01</t>
  </si>
  <si>
    <t>P05YTH01</t>
  </si>
  <si>
    <t>P06YTH01</t>
  </si>
  <si>
    <t>P07YTH01</t>
  </si>
  <si>
    <t>P08YTH01</t>
  </si>
  <si>
    <t>P09YTH01</t>
  </si>
  <si>
    <t>P10YTH01</t>
  </si>
  <si>
    <t>P11YTH01</t>
  </si>
  <si>
    <t>P12YTH01</t>
  </si>
  <si>
    <t>P13YTH01</t>
  </si>
  <si>
    <t>P14YTH01</t>
  </si>
  <si>
    <t>P15YTH01</t>
  </si>
  <si>
    <t>P16YTH01</t>
  </si>
  <si>
    <t>P17YTH01</t>
  </si>
  <si>
    <t>P18YTH01</t>
  </si>
  <si>
    <t>P19YTH01</t>
  </si>
  <si>
    <t>YTH05</t>
  </si>
  <si>
    <t>Satisfaction with Learning</t>
  </si>
  <si>
    <t>school_learn</t>
  </si>
  <si>
    <t>satSclLearn</t>
  </si>
  <si>
    <t>YTH06</t>
  </si>
  <si>
    <t>school_teachers</t>
  </si>
  <si>
    <t>satSclTeachers</t>
  </si>
  <si>
    <t>YTH07</t>
  </si>
  <si>
    <t>school_atmos</t>
  </si>
  <si>
    <t>satSclAtmos</t>
  </si>
  <si>
    <t>YTH08</t>
  </si>
  <si>
    <t>school_parent</t>
  </si>
  <si>
    <t>satSclPar</t>
  </si>
  <si>
    <t>W92</t>
  </si>
  <si>
    <t>finances</t>
  </si>
  <si>
    <t>school_sat</t>
  </si>
  <si>
    <t>W93</t>
  </si>
  <si>
    <t>work_cond</t>
  </si>
  <si>
    <t>satWorkCond</t>
  </si>
  <si>
    <t>W94</t>
  </si>
  <si>
    <t>work_atmos</t>
  </si>
  <si>
    <t>satWorkAtmos</t>
  </si>
  <si>
    <t>W229</t>
  </si>
  <si>
    <t>work_interest</t>
  </si>
  <si>
    <t>work_amount</t>
  </si>
  <si>
    <t>W230</t>
  </si>
  <si>
    <t>W228</t>
  </si>
  <si>
    <t>F01</t>
  </si>
  <si>
    <t>F02</t>
  </si>
  <si>
    <t>F04</t>
  </si>
  <si>
    <t>QL04</t>
  </si>
  <si>
    <t>A05</t>
  </si>
  <si>
    <t>A06</t>
  </si>
  <si>
    <t>partner_tog</t>
  </si>
  <si>
    <t>satWorkInt</t>
  </si>
  <si>
    <t>satWorkAmt</t>
  </si>
  <si>
    <t>satWorkGen</t>
  </si>
  <si>
    <t>satPrtnrAln</t>
  </si>
  <si>
    <t>satPrtnrTog</t>
  </si>
  <si>
    <t>satPrtnrHw</t>
  </si>
  <si>
    <t>Satisfaction with way housework is shared</t>
  </si>
  <si>
    <t>satAccomodation</t>
  </si>
  <si>
    <t>H12</t>
  </si>
  <si>
    <t>Satisfaction with relationship with the teaching staff</t>
  </si>
  <si>
    <t>Satisfaction with the atmosphere with your fellow pupils/students</t>
  </si>
  <si>
    <t>Satisfaction with the support from your parents</t>
  </si>
  <si>
    <t>CMJ: Satisfaction: Income</t>
  </si>
  <si>
    <t>CMJ: Satisfaction: Work conditions</t>
  </si>
  <si>
    <t>CMJ: Satisfaction: Work atmosphere</t>
  </si>
  <si>
    <t>CMJ: Satisfaction: interest in tasks</t>
  </si>
  <si>
    <t>CMJ: Satisfaction: amount of work</t>
  </si>
  <si>
    <t>CMJ: Satisfaction: Job in general</t>
  </si>
  <si>
    <t>Satisfaction with living alone</t>
  </si>
  <si>
    <t>liveAlone</t>
  </si>
  <si>
    <t>Satisfaction with living together</t>
  </si>
  <si>
    <t>Satisfaction with personal relationships</t>
  </si>
  <si>
    <t>Satisfaction with free time</t>
  </si>
  <si>
    <t>Satisfaction with leisure activities</t>
  </si>
  <si>
    <t>Satisfaction with accommodation</t>
  </si>
  <si>
    <t>proc</t>
  </si>
  <si>
    <t>sid</t>
  </si>
  <si>
    <t>PERSNR</t>
  </si>
  <si>
    <t>Never Changing Person ID</t>
  </si>
  <si>
    <t>gender</t>
  </si>
  <si>
    <t>ap57</t>
  </si>
  <si>
    <t>Sex</t>
  </si>
  <si>
    <t>[1] Male[1] Maennlich2[2] Female[2] Weiblich</t>
  </si>
  <si>
    <t>ifelse(is.na(x) | x &lt; 0, NA, x-1)</t>
  </si>
  <si>
    <t>bp85</t>
  </si>
  <si>
    <t>cp8801</t>
  </si>
  <si>
    <t>dp9001</t>
  </si>
  <si>
    <t>ep8101</t>
  </si>
  <si>
    <t>fp10001</t>
  </si>
  <si>
    <t>gp10001</t>
  </si>
  <si>
    <t>hp10001</t>
  </si>
  <si>
    <t>ip10001</t>
  </si>
  <si>
    <t>jp10001</t>
  </si>
  <si>
    <t>kp10001</t>
  </si>
  <si>
    <t>lp10001</t>
  </si>
  <si>
    <t>mp10501</t>
  </si>
  <si>
    <t>np11201</t>
  </si>
  <si>
    <t>op11801</t>
  </si>
  <si>
    <t>pp13001</t>
  </si>
  <si>
    <t>qp13901</t>
  </si>
  <si>
    <t>rp13001</t>
  </si>
  <si>
    <t>sp13001</t>
  </si>
  <si>
    <t>tp13601</t>
  </si>
  <si>
    <t>up13901</t>
  </si>
  <si>
    <t>vp14701</t>
  </si>
  <si>
    <t>wp12401</t>
  </si>
  <si>
    <t>xp13101</t>
  </si>
  <si>
    <t>YP14801</t>
  </si>
  <si>
    <t>ZP12901</t>
  </si>
  <si>
    <t>BAP15001</t>
  </si>
  <si>
    <t>BBP13201</t>
  </si>
  <si>
    <t>BCP12801</t>
  </si>
  <si>
    <t>BDP13401</t>
  </si>
  <si>
    <t>bep12601</t>
  </si>
  <si>
    <t>bfpsex</t>
  </si>
  <si>
    <t>yearBrth</t>
  </si>
  <si>
    <t>dob</t>
  </si>
  <si>
    <t>ap62z</t>
  </si>
  <si>
    <t>Year Of Birth</t>
  </si>
  <si>
    <t>numeric</t>
  </si>
  <si>
    <t>bp81</t>
  </si>
  <si>
    <t>cp8802</t>
  </si>
  <si>
    <t>dp9002</t>
  </si>
  <si>
    <t>ep8102</t>
  </si>
  <si>
    <t>fp10002</t>
  </si>
  <si>
    <t>gp10002</t>
  </si>
  <si>
    <t>hp10002</t>
  </si>
  <si>
    <t>ip10002</t>
  </si>
  <si>
    <t>jp10002</t>
  </si>
  <si>
    <t>kp10002</t>
  </si>
  <si>
    <t>lp10002</t>
  </si>
  <si>
    <t>mp10502</t>
  </si>
  <si>
    <t>np11202</t>
  </si>
  <si>
    <t>op11802</t>
  </si>
  <si>
    <t>pp13002</t>
  </si>
  <si>
    <t>qp13902</t>
  </si>
  <si>
    <t>rp13002</t>
  </si>
  <si>
    <t>sp13002</t>
  </si>
  <si>
    <t>tp13602</t>
  </si>
  <si>
    <t>up13902</t>
  </si>
  <si>
    <t>vp14702</t>
  </si>
  <si>
    <t>Year of Birth</t>
  </si>
  <si>
    <t>wp12402</t>
  </si>
  <si>
    <t>xp13102</t>
  </si>
  <si>
    <t>YP14802</t>
  </si>
  <si>
    <t>ZP12902</t>
  </si>
  <si>
    <t>BAP15002</t>
  </si>
  <si>
    <t>BBP13202</t>
  </si>
  <si>
    <t>BCP12803</t>
  </si>
  <si>
    <t>BDP13403</t>
  </si>
  <si>
    <t>bep12603</t>
  </si>
  <si>
    <t>bfpbirthy</t>
  </si>
  <si>
    <t>lifesat</t>
  </si>
  <si>
    <t>1=male, 2=female</t>
  </si>
  <si>
    <t>ifelse(is.na(x) | x &lt; 0, NA, x -1)</t>
  </si>
  <si>
    <t>findresp</t>
  </si>
  <si>
    <t>fsex</t>
  </si>
  <si>
    <t>gindresp</t>
  </si>
  <si>
    <t>gsex</t>
  </si>
  <si>
    <t>hindresp</t>
  </si>
  <si>
    <t>hsex</t>
  </si>
  <si>
    <t>iindresp</t>
  </si>
  <si>
    <t>isex</t>
  </si>
  <si>
    <t>jindresp</t>
  </si>
  <si>
    <t>jsex</t>
  </si>
  <si>
    <t>lindresp</t>
  </si>
  <si>
    <t>lsex</t>
  </si>
  <si>
    <t>mindresp</t>
  </si>
  <si>
    <t>msex</t>
  </si>
  <si>
    <t>nindresp</t>
  </si>
  <si>
    <t>nsex</t>
  </si>
  <si>
    <t>oindresp</t>
  </si>
  <si>
    <t>osex</t>
  </si>
  <si>
    <t>pindresp</t>
  </si>
  <si>
    <t>psex</t>
  </si>
  <si>
    <t>qindresp</t>
  </si>
  <si>
    <t>qsex</t>
  </si>
  <si>
    <t>rindresp</t>
  </si>
  <si>
    <t>rsex</t>
  </si>
  <si>
    <t>Year of birth</t>
  </si>
  <si>
    <t>Numeric (year)</t>
  </si>
  <si>
    <t>fdoby</t>
  </si>
  <si>
    <t>gdoby</t>
  </si>
  <si>
    <t>hdoby</t>
  </si>
  <si>
    <t>idoby</t>
  </si>
  <si>
    <t>jdoby</t>
  </si>
  <si>
    <t>ldoby</t>
  </si>
  <si>
    <t>mdoby</t>
  </si>
  <si>
    <t>ndoby</t>
  </si>
  <si>
    <t>odoby</t>
  </si>
  <si>
    <t>pdoby</t>
  </si>
  <si>
    <t>qdoby</t>
  </si>
  <si>
    <t>rdoby</t>
  </si>
  <si>
    <t>SID</t>
  </si>
  <si>
    <t>PIDP</t>
  </si>
  <si>
    <t>sex</t>
  </si>
  <si>
    <t>SEX</t>
  </si>
  <si>
    <t>-8        other error
-7        filter error
-3        inapplicable
-2        no answer
-1        does not know
1        man
2        woman</t>
  </si>
  <si>
    <t>ifelse(is.na(x) | x &lt; 0, NA, x -  1)</t>
  </si>
  <si>
    <t>BIRTHY</t>
  </si>
  <si>
    <t>yrofbirth</t>
  </si>
  <si>
    <t>Date of birth: Year</t>
  </si>
  <si>
    <t>Numeric with -8	other error
-7	filter error
-3	inapplicable
-2	no answer
-1	does not know)</t>
  </si>
  <si>
    <t>IDPERS</t>
  </si>
  <si>
    <t>person ID</t>
  </si>
  <si>
    <t>IDHOUS</t>
  </si>
  <si>
    <t>HHID</t>
  </si>
  <si>
    <t>HHIDnumb</t>
  </si>
  <si>
    <t>IDHOUS99</t>
  </si>
  <si>
    <t>N/A</t>
  </si>
  <si>
    <t>Identification number of household</t>
  </si>
  <si>
    <t>IDHOUS00</t>
  </si>
  <si>
    <t>IDHOUS01</t>
  </si>
  <si>
    <t>IDHOUS02</t>
  </si>
  <si>
    <t>IDHOUS03</t>
  </si>
  <si>
    <t>IDHOUS04</t>
  </si>
  <si>
    <t>IDHOUS05</t>
  </si>
  <si>
    <t>IDHOUS06</t>
  </si>
  <si>
    <t>IDHOUS07</t>
  </si>
  <si>
    <t>IDHOUS08</t>
  </si>
  <si>
    <t>IDHOUS09</t>
  </si>
  <si>
    <t>IDHOUS10</t>
  </si>
  <si>
    <t>IDHOUS11</t>
  </si>
  <si>
    <t>IDHOUS12</t>
  </si>
  <si>
    <t>IDHOUS13</t>
  </si>
  <si>
    <t>IDHOUS14</t>
  </si>
  <si>
    <t>IDHOUS15</t>
  </si>
  <si>
    <t>IDHOUS16</t>
  </si>
  <si>
    <t>IDHOUS17</t>
  </si>
  <si>
    <t>IDHOUS18</t>
  </si>
  <si>
    <t>IDHOUS19</t>
  </si>
  <si>
    <t>Harmonized</t>
  </si>
  <si>
    <t>old</t>
  </si>
  <si>
    <t>hrmnzn</t>
  </si>
  <si>
    <t>new</t>
  </si>
  <si>
    <t>Satisfaction with Home</t>
  </si>
  <si>
    <t>Unharmonized</t>
  </si>
  <si>
    <t>Satisfaction with Income</t>
  </si>
  <si>
    <t>Satisfaction with Family</t>
  </si>
  <si>
    <t>Satisfaction with Life</t>
  </si>
  <si>
    <t>Satisfaction with Amount of Leisure Time</t>
  </si>
  <si>
    <t>Satisfaction with Housework Division</t>
  </si>
  <si>
    <t>GSOEP</t>
  </si>
  <si>
    <t>SHP</t>
  </si>
  <si>
    <t>BHPS</t>
  </si>
  <si>
    <t>HILDA</t>
  </si>
  <si>
    <t>X</t>
  </si>
  <si>
    <t>LISS</t>
  </si>
  <si>
    <t>school</t>
  </si>
  <si>
    <t>Satisfaction with Relationship</t>
  </si>
  <si>
    <t>Satisfaction with Leisure Activities</t>
  </si>
  <si>
    <t>Satisfaction with Social Life</t>
  </si>
  <si>
    <t>Satisfaction with School</t>
  </si>
  <si>
    <t>Satisfaction with Finances</t>
  </si>
  <si>
    <t>liss</t>
  </si>
  <si>
    <t>cw08a</t>
  </si>
  <si>
    <t>satSchl</t>
  </si>
  <si>
    <t>cw08a004</t>
  </si>
  <si>
    <t>We first would like to hear how satisfied you are with the schooling that you have followed (so far)</t>
  </si>
  <si>
    <t>0-10, 0 being "not at all satisfied", 10 being "fully satisfied"</t>
  </si>
  <si>
    <t>ifelse(is.na(x) | x &lt; 0 | x &gt; 10, NA, x)</t>
  </si>
  <si>
    <t>cw09b</t>
  </si>
  <si>
    <t>cw09b004</t>
  </si>
  <si>
    <t>cw10c</t>
  </si>
  <si>
    <t>cw10c004</t>
  </si>
  <si>
    <t>cw11d</t>
  </si>
  <si>
    <t>cw11d004</t>
  </si>
  <si>
    <t>cw12e</t>
  </si>
  <si>
    <t>cw12e004</t>
  </si>
  <si>
    <t>cw13f</t>
  </si>
  <si>
    <t>cw13f004</t>
  </si>
  <si>
    <t>cw14g</t>
  </si>
  <si>
    <t>cw14g004</t>
  </si>
  <si>
    <t>cw15h</t>
  </si>
  <si>
    <t>cw15h004</t>
  </si>
  <si>
    <t>cw16i</t>
  </si>
  <si>
    <t>cw16i004</t>
  </si>
  <si>
    <t>cw17j</t>
  </si>
  <si>
    <t>cw17j004</t>
  </si>
  <si>
    <t>cw18k</t>
  </si>
  <si>
    <t>cw18k004</t>
  </si>
  <si>
    <t>satWgs</t>
  </si>
  <si>
    <t>cw08a128</t>
  </si>
  <si>
    <t xml:space="preserve">We would like to know how satisfied you are with your work and with certain aspects of your work.- We would first like to know how satisfied you are with your wages or salary or profit earnings. </t>
  </si>
  <si>
    <t>cw09b128</t>
  </si>
  <si>
    <t>cw10c128</t>
  </si>
  <si>
    <t>cw11d128</t>
  </si>
  <si>
    <t>cw12e128</t>
  </si>
  <si>
    <t>cw13f128</t>
  </si>
  <si>
    <t>cw14g128</t>
  </si>
  <si>
    <t>cw15h128</t>
  </si>
  <si>
    <t>cw16i128</t>
  </si>
  <si>
    <t>cw17j128</t>
  </si>
  <si>
    <t>cw18k128</t>
  </si>
  <si>
    <t>cd08a</t>
  </si>
  <si>
    <t>dwelling</t>
  </si>
  <si>
    <t>cd08a001</t>
  </si>
  <si>
    <t>Please indicate on a scale from 0 to 10 how satisfied you are with the dwelling that you currently inhabit.</t>
  </si>
  <si>
    <t>0	not at all satisfied
1	1
2	2
3	3
4	4
5	5
6	6
7	7
8	8
9	9
10	entirely satisfied</t>
  </si>
  <si>
    <t>ifelse(x == 999 | is.na(x), NA, x)</t>
  </si>
  <si>
    <t>cd09b</t>
  </si>
  <si>
    <t>cd09b001</t>
  </si>
  <si>
    <t>cd10c</t>
  </si>
  <si>
    <t>cd10c001</t>
  </si>
  <si>
    <t>cd11d</t>
  </si>
  <si>
    <t>cd11d001</t>
  </si>
  <si>
    <t>cd12e</t>
  </si>
  <si>
    <t>cd12e001</t>
  </si>
  <si>
    <t>cd13f</t>
  </si>
  <si>
    <t>cd13f001</t>
  </si>
  <si>
    <t>cd14g</t>
  </si>
  <si>
    <t>cd14g001</t>
  </si>
  <si>
    <t>cd15h</t>
  </si>
  <si>
    <t>cd15h001</t>
  </si>
  <si>
    <t>cd16i</t>
  </si>
  <si>
    <t>cd16i001</t>
  </si>
  <si>
    <t>cd17j</t>
  </si>
  <si>
    <t>cd17j001</t>
  </si>
  <si>
    <t>cd18k</t>
  </si>
  <si>
    <t>cd18k001</t>
  </si>
  <si>
    <t>cs08a</t>
  </si>
  <si>
    <t>satTime</t>
  </si>
  <si>
    <t>cs08a001</t>
  </si>
  <si>
    <t>How satisfied are you with the amount of leisure time that you have? </t>
  </si>
  <si>
    <t>0	entirely dissatisfied
1	
2	
3	
4	
5	
6	
7	
8	
9	
10	entirely satisfied</t>
  </si>
  <si>
    <t>cs09b</t>
  </si>
  <si>
    <t>cs09b001</t>
  </si>
  <si>
    <t>cs10c</t>
  </si>
  <si>
    <t>cs10c001</t>
  </si>
  <si>
    <t>cs11d</t>
  </si>
  <si>
    <t>cs11d001</t>
  </si>
  <si>
    <t>cs12e</t>
  </si>
  <si>
    <t>cs12e001</t>
  </si>
  <si>
    <t>cs13f</t>
  </si>
  <si>
    <t>cs13f001</t>
  </si>
  <si>
    <t>How satisfied are you with the amount of leisure time that you have?</t>
  </si>
  <si>
    <t>cs14g</t>
  </si>
  <si>
    <t>cs14g001</t>
  </si>
  <si>
    <t>cs15h</t>
  </si>
  <si>
    <t>cs15h001</t>
  </si>
  <si>
    <t>cs16i</t>
  </si>
  <si>
    <t>cs16i001</t>
  </si>
  <si>
    <t>cs17j</t>
  </si>
  <si>
    <t>cs17j001</t>
  </si>
  <si>
    <t>satWay</t>
  </si>
  <si>
    <t>cs08a002</t>
  </si>
  <si>
    <t>How satisfied are you with the way in which you spend your leisure time? </t>
  </si>
  <si>
    <t>cs09b002</t>
  </si>
  <si>
    <t>cs10c002</t>
  </si>
  <si>
    <t>cs11d002</t>
  </si>
  <si>
    <t>cs12e002</t>
  </si>
  <si>
    <t>cs13f002</t>
  </si>
  <si>
    <t>How satisfied are you with the way in which you spend your leisure time?</t>
  </si>
  <si>
    <t>cs14g002</t>
  </si>
  <si>
    <t>cs15h002</t>
  </si>
  <si>
    <t>cs16i002</t>
  </si>
  <si>
    <t>cs17j002</t>
  </si>
  <si>
    <t>cf08a181</t>
  </si>
  <si>
    <t>How satisfied are you with your family life?</t>
  </si>
  <si>
    <t>0-10, 0 being "entirely dissatisfied" and 10 being "entirely satisfied"</t>
  </si>
  <si>
    <t>cf09b181</t>
  </si>
  <si>
    <t>cf10c181</t>
  </si>
  <si>
    <t>cf11d181</t>
  </si>
  <si>
    <t>cf12e181</t>
  </si>
  <si>
    <t>cf13f181</t>
  </si>
  <si>
    <t>cf14g181</t>
  </si>
  <si>
    <t>cf15h181</t>
  </si>
  <si>
    <t>cf16i181</t>
  </si>
  <si>
    <t>cf17j181</t>
  </si>
  <si>
    <t>ci08a</t>
  </si>
  <si>
    <t>satFnc</t>
  </si>
  <si>
    <t>ci08a006</t>
  </si>
  <si>
    <t>How satisfied are you with your financial situation?</t>
  </si>
  <si>
    <t>0-10, 0 being "not at all satisfied", 10 being "entirely satisfied"</t>
  </si>
  <si>
    <t>ci09b</t>
  </si>
  <si>
    <t>ci09b006</t>
  </si>
  <si>
    <t>ci10c</t>
  </si>
  <si>
    <t>ci10c006</t>
  </si>
  <si>
    <t>ci11d</t>
  </si>
  <si>
    <t>ci11d006</t>
  </si>
  <si>
    <t>ci12e</t>
  </si>
  <si>
    <t>ci12e006</t>
  </si>
  <si>
    <t>ci13f</t>
  </si>
  <si>
    <t>ci13f006</t>
  </si>
  <si>
    <t>ci14g</t>
  </si>
  <si>
    <t>ci14g006</t>
  </si>
  <si>
    <t>ci15h</t>
  </si>
  <si>
    <t>ci15h006</t>
  </si>
  <si>
    <t>ci16i</t>
  </si>
  <si>
    <t>ci16i006</t>
  </si>
  <si>
    <t>ci17j</t>
  </si>
  <si>
    <t>ci17j006</t>
  </si>
  <si>
    <t>ci18k</t>
  </si>
  <si>
    <t>ci18k006</t>
  </si>
  <si>
    <t>cp08a</t>
  </si>
  <si>
    <t>satLife</t>
  </si>
  <si>
    <t>cp08a016</t>
  </si>
  <si>
    <t>I am satisfied with my life</t>
  </si>
  <si>
    <t>1-7, 1 being "strongly disagree" and 7 being "strongly agree"</t>
  </si>
  <si>
    <t>ifelse(is.na(x) | x &lt; 0 | x &gt; 7, NA, x)</t>
  </si>
  <si>
    <t>cp09b</t>
  </si>
  <si>
    <t>cp09b016</t>
  </si>
  <si>
    <t>cp10c</t>
  </si>
  <si>
    <t xml:space="preserve">cp10c016 </t>
  </si>
  <si>
    <t>cp11d</t>
  </si>
  <si>
    <t>cp11d016</t>
  </si>
  <si>
    <t>cp12e</t>
  </si>
  <si>
    <t>cp12e016</t>
  </si>
  <si>
    <t>cp13f</t>
  </si>
  <si>
    <t>cp13f016</t>
  </si>
  <si>
    <t>cp14g</t>
  </si>
  <si>
    <t>cp14g016</t>
  </si>
  <si>
    <t>cp15h</t>
  </si>
  <si>
    <t>cp15h016</t>
  </si>
  <si>
    <t>cp17i</t>
  </si>
  <si>
    <t>cp17i016</t>
  </si>
  <si>
    <t>cp18j</t>
  </si>
  <si>
    <t>cp18j016</t>
  </si>
  <si>
    <t>wave_letter</t>
  </si>
  <si>
    <t>Everything considered, I am satisfied with my job.</t>
  </si>
  <si>
    <t>1	disagree entirely
2	disagree
3	agree
4	agree entirely</t>
  </si>
  <si>
    <t>ifelse(is.na(x) | x &lt; 0 | x &gt; 4, NA, x)</t>
  </si>
  <si>
    <t>satSocCnt</t>
  </si>
  <si>
    <t>How satisfied are you with your social contacts?</t>
  </si>
  <si>
    <t>cp19k</t>
  </si>
  <si>
    <t>cp19k016</t>
  </si>
  <si>
    <t>ci19l</t>
  </si>
  <si>
    <t>ci19l006</t>
  </si>
  <si>
    <t>cf18k181</t>
  </si>
  <si>
    <t>cf19l181</t>
  </si>
  <si>
    <t>cs18k002</t>
  </si>
  <si>
    <t>cs19l002</t>
  </si>
  <si>
    <t>cs18k001</t>
  </si>
  <si>
    <t>cs19l001</t>
  </si>
  <si>
    <t>cs18k</t>
  </si>
  <si>
    <t>cs19l</t>
  </si>
  <si>
    <t>cd19l</t>
  </si>
  <si>
    <t>cd19l001</t>
  </si>
  <si>
    <t>cw19l</t>
  </si>
  <si>
    <t>cw19l004</t>
  </si>
  <si>
    <t>cw19l128</t>
  </si>
  <si>
    <t>geslacht</t>
  </si>
  <si>
    <t>Gender</t>
  </si>
  <si>
    <t>1	Male
2	Female</t>
  </si>
  <si>
    <t>x - 1</t>
  </si>
  <si>
    <t>gebjaar</t>
  </si>
  <si>
    <t>nomem_encr</t>
  </si>
  <si>
    <t>Number of household member encrypted</t>
  </si>
  <si>
    <t>Integer</t>
  </si>
  <si>
    <t>ifelse(is.na(x) | x &lt; 0 | x &gt; 2000, NA, x)</t>
  </si>
  <si>
    <t>hilda</t>
  </si>
  <si>
    <t>alosat</t>
  </si>
  <si>
    <t>How satisfied are you with your life</t>
  </si>
  <si>
    <t>Likert (0=totally dissatisfied to 10=totally satisfied)</t>
  </si>
  <si>
    <t>blosat</t>
  </si>
  <si>
    <t>closat</t>
  </si>
  <si>
    <t>dlosat</t>
  </si>
  <si>
    <t>elosat</t>
  </si>
  <si>
    <t>flosat</t>
  </si>
  <si>
    <t>glosat</t>
  </si>
  <si>
    <t>hlosat</t>
  </si>
  <si>
    <t>ilosat</t>
  </si>
  <si>
    <t>jlosat</t>
  </si>
  <si>
    <t>klosat</t>
  </si>
  <si>
    <t>llosat</t>
  </si>
  <si>
    <t>mlosat</t>
  </si>
  <si>
    <t>nlosat</t>
  </si>
  <si>
    <t>olosat</t>
  </si>
  <si>
    <t>plosat</t>
  </si>
  <si>
    <t>qlosat</t>
  </si>
  <si>
    <t>satChldrn</t>
  </si>
  <si>
    <t>alsrelsc</t>
  </si>
  <si>
    <t>How satisfied are you with your relationship with your children</t>
  </si>
  <si>
    <t>Likert (0=completely dissatisfied to 10=completely satisfied)</t>
  </si>
  <si>
    <t>blsrelsc</t>
  </si>
  <si>
    <t>clsrelsc</t>
  </si>
  <si>
    <t>dlsrelsc</t>
  </si>
  <si>
    <t>elsrelsc</t>
  </si>
  <si>
    <t>flsrelsc</t>
  </si>
  <si>
    <t>glsrelsc</t>
  </si>
  <si>
    <t>hlsrelsc</t>
  </si>
  <si>
    <t>ilsrelsc</t>
  </si>
  <si>
    <t>jlsrelsc</t>
  </si>
  <si>
    <t>klsrelsc</t>
  </si>
  <si>
    <t>llsrelsc</t>
  </si>
  <si>
    <t>mlsrelsc</t>
  </si>
  <si>
    <t>nlsrelsc</t>
  </si>
  <si>
    <t>olsrelsc</t>
  </si>
  <si>
    <t>plsrelsc</t>
  </si>
  <si>
    <t>qlsrelsc</t>
  </si>
  <si>
    <t>satPrnts</t>
  </si>
  <si>
    <t>alsrelrp</t>
  </si>
  <si>
    <t>How satisfied are you with your relationship with your parents</t>
  </si>
  <si>
    <t>blsrelrp</t>
  </si>
  <si>
    <t>clsrelrp</t>
  </si>
  <si>
    <t>dlsrelrp</t>
  </si>
  <si>
    <t>elsrelrp</t>
  </si>
  <si>
    <t>flsrelrp</t>
  </si>
  <si>
    <t>glsrelrp</t>
  </si>
  <si>
    <t>hlsrelrp</t>
  </si>
  <si>
    <t>ilsrelrp</t>
  </si>
  <si>
    <t>jlsrelrp</t>
  </si>
  <si>
    <t>klsrelrp</t>
  </si>
  <si>
    <t>llsrelrp</t>
  </si>
  <si>
    <t>mlsrelrp</t>
  </si>
  <si>
    <t>nlsrelrp</t>
  </si>
  <si>
    <t>olsrelrp</t>
  </si>
  <si>
    <t>plsrelrp</t>
  </si>
  <si>
    <t>qlsrelrp</t>
  </si>
  <si>
    <t>satPtnr</t>
  </si>
  <si>
    <t>alsrelsp</t>
  </si>
  <si>
    <t>How satisfied are you with your relationship with your partner</t>
  </si>
  <si>
    <t>blsrelsp</t>
  </si>
  <si>
    <t>clsrelsp</t>
  </si>
  <si>
    <t>dlsrelsp</t>
  </si>
  <si>
    <t>elsrelsp</t>
  </si>
  <si>
    <t>flsrelsp</t>
  </si>
  <si>
    <t>glsrelsp</t>
  </si>
  <si>
    <t>hlsrelsp</t>
  </si>
  <si>
    <t>ilsrelsp</t>
  </si>
  <si>
    <t>jlsrelsp</t>
  </si>
  <si>
    <t>klsrelsp</t>
  </si>
  <si>
    <t>llsrelsp</t>
  </si>
  <si>
    <t>mlsrelsp</t>
  </si>
  <si>
    <t>nlsrelsp</t>
  </si>
  <si>
    <t>olsrelsp</t>
  </si>
  <si>
    <t>plsrelsp</t>
  </si>
  <si>
    <t>qlsrelsp</t>
  </si>
  <si>
    <t>satFinan</t>
  </si>
  <si>
    <t>alosatfs</t>
  </si>
  <si>
    <t>Satisfaction with financial situation</t>
  </si>
  <si>
    <t>blosatfs</t>
  </si>
  <si>
    <t>closatfs</t>
  </si>
  <si>
    <t>dlosatfs</t>
  </si>
  <si>
    <t>elosatfs</t>
  </si>
  <si>
    <t>flosatfs</t>
  </si>
  <si>
    <t>glosatfs</t>
  </si>
  <si>
    <t>hlosatfs</t>
  </si>
  <si>
    <t>ilosatfs</t>
  </si>
  <si>
    <t>jlosatfs</t>
  </si>
  <si>
    <t>klosatfs</t>
  </si>
  <si>
    <t>llosatfs</t>
  </si>
  <si>
    <t>mlosatfs</t>
  </si>
  <si>
    <t>nlosatfs</t>
  </si>
  <si>
    <t>olosatfs</t>
  </si>
  <si>
    <t>plosatfs</t>
  </si>
  <si>
    <t>qlosatfs</t>
  </si>
  <si>
    <t>Satisfaction - The amount of free time you have</t>
  </si>
  <si>
    <t>satfreetime</t>
  </si>
  <si>
    <t>Satisfaction - The home in which you live</t>
  </si>
  <si>
    <t>satHome</t>
  </si>
  <si>
    <t>Satisfaction - Feeling part of your local community</t>
  </si>
  <si>
    <t>satNgbhr</t>
  </si>
  <si>
    <t>Overall job satisfaction</t>
  </si>
  <si>
    <t>Satisfaction - Your health</t>
  </si>
  <si>
    <t>satChores</t>
  </si>
  <si>
    <t>The way household tasks are divided between you and your partner</t>
  </si>
  <si>
    <t>Total pay satisfaction</t>
  </si>
  <si>
    <t>rlosat</t>
  </si>
  <si>
    <t>rlsrelsc</t>
  </si>
  <si>
    <t>rlsrelrp</t>
  </si>
  <si>
    <t>rlosatfs</t>
  </si>
  <si>
    <t>ahgsex</t>
  </si>
  <si>
    <t>Sex/Gender</t>
  </si>
  <si>
    <t>ifelse(is.na(x) | x &lt; 0, NA, x - 1)</t>
  </si>
  <si>
    <t>bhgsex</t>
  </si>
  <si>
    <t>chgsex</t>
  </si>
  <si>
    <t>dhgsex</t>
  </si>
  <si>
    <t>ehgsex</t>
  </si>
  <si>
    <t>fhgsex</t>
  </si>
  <si>
    <t>ghgsex</t>
  </si>
  <si>
    <t>hhgsex</t>
  </si>
  <si>
    <t>ihgsex</t>
  </si>
  <si>
    <t>jhgsex</t>
  </si>
  <si>
    <t>khgsex</t>
  </si>
  <si>
    <t>lhgsex</t>
  </si>
  <si>
    <t>mhgsex</t>
  </si>
  <si>
    <t>nhgsex</t>
  </si>
  <si>
    <t>ohgsex</t>
  </si>
  <si>
    <t>phgsex</t>
  </si>
  <si>
    <t>qhgsex</t>
  </si>
  <si>
    <t>ahgyob</t>
  </si>
  <si>
    <t>Numeric</t>
  </si>
  <si>
    <t>bhgyob</t>
  </si>
  <si>
    <t>chgyob</t>
  </si>
  <si>
    <t>dhgyob</t>
  </si>
  <si>
    <t>ehgyob</t>
  </si>
  <si>
    <t>fhgyob</t>
  </si>
  <si>
    <t>ghgyob</t>
  </si>
  <si>
    <t>hhgyob</t>
  </si>
  <si>
    <t>ihgyob</t>
  </si>
  <si>
    <t>jhgyob</t>
  </si>
  <si>
    <t>khgyob</t>
  </si>
  <si>
    <t>lhgyob</t>
  </si>
  <si>
    <t>mhgyob</t>
  </si>
  <si>
    <t>nhgyob</t>
  </si>
  <si>
    <t>ohgyob</t>
  </si>
  <si>
    <t>phgyob</t>
  </si>
  <si>
    <t>qhgyob</t>
  </si>
  <si>
    <t>rhgyob</t>
  </si>
  <si>
    <t>rhgsex</t>
  </si>
  <si>
    <t>xwaveid</t>
  </si>
  <si>
    <t>Randomized household ID</t>
  </si>
  <si>
    <t>ifelse(is.na(x) | x &lt; -2, NA, ifelse(x &lt; 1 &amp; !is.na(x), 0, 1))</t>
  </si>
  <si>
    <t>max</t>
  </si>
  <si>
    <t>physhlthevnt</t>
  </si>
  <si>
    <t>arthritis</t>
  </si>
  <si>
    <t>m1111084</t>
  </si>
  <si>
    <t>Arthritis</t>
  </si>
  <si>
    <t>ifelse(is.na(x) | x &lt; -2, NA, ifelse(x &lt; 1, 0, 1))</t>
  </si>
  <si>
    <t>m1111085</t>
  </si>
  <si>
    <t>m1111086</t>
  </si>
  <si>
    <t>m1111087</t>
  </si>
  <si>
    <t>m1111088</t>
  </si>
  <si>
    <t>m1111089</t>
  </si>
  <si>
    <t>m1111090</t>
  </si>
  <si>
    <t>m1111091</t>
  </si>
  <si>
    <t>m1111092</t>
  </si>
  <si>
    <t>m1111093</t>
  </si>
  <si>
    <t>m1111094</t>
  </si>
  <si>
    <t>m1111095</t>
  </si>
  <si>
    <t>m1111096</t>
  </si>
  <si>
    <t>m1111097</t>
  </si>
  <si>
    <t>m1111098</t>
  </si>
  <si>
    <t>m1111099</t>
  </si>
  <si>
    <t>m1111000</t>
  </si>
  <si>
    <t>m1111001</t>
  </si>
  <si>
    <t>m1111002</t>
  </si>
  <si>
    <t>m1111003</t>
  </si>
  <si>
    <t>m1111004</t>
  </si>
  <si>
    <t>m1111005</t>
  </si>
  <si>
    <t>m1111006</t>
  </si>
  <si>
    <t>m1111007</t>
  </si>
  <si>
    <t>m1111008</t>
  </si>
  <si>
    <t>m1111009</t>
  </si>
  <si>
    <t>m1111010</t>
  </si>
  <si>
    <t>m1111011</t>
  </si>
  <si>
    <t>m1111012</t>
  </si>
  <si>
    <t>m1111013</t>
  </si>
  <si>
    <t>m1111014</t>
  </si>
  <si>
    <t>m1111015</t>
  </si>
  <si>
    <t>m1111016</t>
  </si>
  <si>
    <t>cancer</t>
  </si>
  <si>
    <t>m1110884</t>
  </si>
  <si>
    <t>Have or had cancer</t>
  </si>
  <si>
    <t>m1110885</t>
  </si>
  <si>
    <t>m1110886</t>
  </si>
  <si>
    <t>m1110887</t>
  </si>
  <si>
    <t>m1110888</t>
  </si>
  <si>
    <t>m1110889</t>
  </si>
  <si>
    <t>m1110890</t>
  </si>
  <si>
    <t>m1110891</t>
  </si>
  <si>
    <t>m1110892</t>
  </si>
  <si>
    <t>m1110893</t>
  </si>
  <si>
    <t>m1110894</t>
  </si>
  <si>
    <t>m1110895</t>
  </si>
  <si>
    <t>m1110896</t>
  </si>
  <si>
    <t>m1110897</t>
  </si>
  <si>
    <t>m1110898</t>
  </si>
  <si>
    <t>m1110899</t>
  </si>
  <si>
    <t>m1110800</t>
  </si>
  <si>
    <t>m1110801</t>
  </si>
  <si>
    <t>m1110802</t>
  </si>
  <si>
    <t>m1110803</t>
  </si>
  <si>
    <t>m1110804</t>
  </si>
  <si>
    <t>m1110805</t>
  </si>
  <si>
    <t>m1110806</t>
  </si>
  <si>
    <t>m1110807</t>
  </si>
  <si>
    <t>m1110808</t>
  </si>
  <si>
    <t>m1110809</t>
  </si>
  <si>
    <t>m1110810</t>
  </si>
  <si>
    <t>m1110811</t>
  </si>
  <si>
    <t>m1110812</t>
  </si>
  <si>
    <t>m1110813</t>
  </si>
  <si>
    <t>m1110814</t>
  </si>
  <si>
    <t>m1110815</t>
  </si>
  <si>
    <t>m1110816</t>
  </si>
  <si>
    <t>cardiopathy</t>
  </si>
  <si>
    <t>zp10203</t>
  </si>
  <si>
    <t>Cardiopathy</t>
  </si>
  <si>
    <t>[-6] Version of questionnaire with modified filtering 
[-5] Not included in this version of the questionnaire 
[-4] Inadmissible multiple response 
[-3] Answer improbable 
[-2] Does not apply 
[-1] No Answer 
[1] Yes </t>
  </si>
  <si>
    <t>bbp10004</t>
  </si>
  <si>
    <t>bdp11204</t>
  </si>
  <si>
    <t>bfp12904</t>
  </si>
  <si>
    <t>chrncIll</t>
  </si>
  <si>
    <t>ap49</t>
  </si>
  <si>
    <t>Chronically Ill</t>
  </si>
  <si>
    <t>bp70</t>
  </si>
  <si>
    <t>cp70</t>
  </si>
  <si>
    <t>dp70</t>
  </si>
  <si>
    <t>ep67</t>
  </si>
  <si>
    <t>fp83</t>
  </si>
  <si>
    <t>hp78</t>
  </si>
  <si>
    <t>zp103</t>
  </si>
  <si>
    <t>chronically ill for one year</t>
  </si>
  <si>
    <t>bap91</t>
  </si>
  <si>
    <t>f11p081</t>
  </si>
  <si>
    <t>Chronic Illness</t>
  </si>
  <si>
    <t>bcp102</t>
  </si>
  <si>
    <t>f13p098</t>
  </si>
  <si>
    <t>bep98</t>
  </si>
  <si>
    <t>bgp</t>
  </si>
  <si>
    <t>bgp121</t>
  </si>
  <si>
    <t>dementia</t>
  </si>
  <si>
    <t>zp10209</t>
  </si>
  <si>
    <t>Dementia</t>
  </si>
  <si>
    <t>bbp10010</t>
  </si>
  <si>
    <t>bdp11210</t>
  </si>
  <si>
    <t>bfp12910</t>
  </si>
  <si>
    <t>diabetes</t>
  </si>
  <si>
    <t>zp10201</t>
  </si>
  <si>
    <t>Diabetes</t>
  </si>
  <si>
    <t>bbp10002</t>
  </si>
  <si>
    <t>bdp11202</t>
  </si>
  <si>
    <t>bfp12902</t>
  </si>
  <si>
    <t>m1110784</t>
  </si>
  <si>
    <t>Have or had diabetes</t>
  </si>
  <si>
    <t>m1110785</t>
  </si>
  <si>
    <t>m1110786</t>
  </si>
  <si>
    <t>m1110787</t>
  </si>
  <si>
    <t>m1110788</t>
  </si>
  <si>
    <t>m1110789</t>
  </si>
  <si>
    <t>m1110790</t>
  </si>
  <si>
    <t>m1110791</t>
  </si>
  <si>
    <t>m1110792</t>
  </si>
  <si>
    <t>m1110793</t>
  </si>
  <si>
    <t>m1110794</t>
  </si>
  <si>
    <t>m1110795</t>
  </si>
  <si>
    <t>m1110796</t>
  </si>
  <si>
    <t>m1110797</t>
  </si>
  <si>
    <t>m1110798</t>
  </si>
  <si>
    <t>m1110799</t>
  </si>
  <si>
    <t>m1110700</t>
  </si>
  <si>
    <t>m1110701</t>
  </si>
  <si>
    <t>m1110702</t>
  </si>
  <si>
    <t>m1110703</t>
  </si>
  <si>
    <t>m1110704</t>
  </si>
  <si>
    <t>m1110705</t>
  </si>
  <si>
    <t>m1110706</t>
  </si>
  <si>
    <t>m1110707</t>
  </si>
  <si>
    <t>m1110708</t>
  </si>
  <si>
    <t>m1110709</t>
  </si>
  <si>
    <t>m1110710</t>
  </si>
  <si>
    <t>m1110711</t>
  </si>
  <si>
    <t>m1110712</t>
  </si>
  <si>
    <t>m1110713</t>
  </si>
  <si>
    <t>m1110714</t>
  </si>
  <si>
    <t>m1110715</t>
  </si>
  <si>
    <t>m1110716</t>
  </si>
  <si>
    <t>highBP</t>
  </si>
  <si>
    <t>zp10207</t>
  </si>
  <si>
    <t>High Blood Presure</t>
  </si>
  <si>
    <t>bbp10008</t>
  </si>
  <si>
    <t>bdp11208</t>
  </si>
  <si>
    <t>bfp12908</t>
  </si>
  <si>
    <t>m1110684</t>
  </si>
  <si>
    <t>High blood pressure/circulation problems</t>
  </si>
  <si>
    <t>m1110685</t>
  </si>
  <si>
    <t>m1110686</t>
  </si>
  <si>
    <t>m1110687</t>
  </si>
  <si>
    <t>m1110688</t>
  </si>
  <si>
    <t>m1110689</t>
  </si>
  <si>
    <t>m1110690</t>
  </si>
  <si>
    <t>m1110691</t>
  </si>
  <si>
    <t>m1110692</t>
  </si>
  <si>
    <t>m1110693</t>
  </si>
  <si>
    <t>m1110694</t>
  </si>
  <si>
    <t>m1110695</t>
  </si>
  <si>
    <t>m1110696</t>
  </si>
  <si>
    <t>m1110697</t>
  </si>
  <si>
    <t>m1110698</t>
  </si>
  <si>
    <t>m1110699</t>
  </si>
  <si>
    <t>m1110600</t>
  </si>
  <si>
    <t>m1110601</t>
  </si>
  <si>
    <t>m1110602</t>
  </si>
  <si>
    <t>m1110603</t>
  </si>
  <si>
    <t>m1110604</t>
  </si>
  <si>
    <t>m1110605</t>
  </si>
  <si>
    <t>m1110606</t>
  </si>
  <si>
    <t>m1110607</t>
  </si>
  <si>
    <t>m1110608</t>
  </si>
  <si>
    <t>m1110609</t>
  </si>
  <si>
    <t>m1110610</t>
  </si>
  <si>
    <t>m1110611</t>
  </si>
  <si>
    <t>m1110612</t>
  </si>
  <si>
    <t>m1110613</t>
  </si>
  <si>
    <t>m1110614</t>
  </si>
  <si>
    <t>m1110615</t>
  </si>
  <si>
    <t>m1110616</t>
  </si>
  <si>
    <t>othrIllns</t>
  </si>
  <si>
    <t>zp10210</t>
  </si>
  <si>
    <t>Other Illness</t>
  </si>
  <si>
    <t>bbp10013</t>
  </si>
  <si>
    <t>bdp11213</t>
  </si>
  <si>
    <t>bfp12913</t>
  </si>
  <si>
    <t>stroke</t>
  </si>
  <si>
    <t>m1110584</t>
  </si>
  <si>
    <t>Have had stroke</t>
  </si>
  <si>
    <t>m1110585</t>
  </si>
  <si>
    <t>m1110586</t>
  </si>
  <si>
    <t>m1110587</t>
  </si>
  <si>
    <t>m1110588</t>
  </si>
  <si>
    <t>m1110589</t>
  </si>
  <si>
    <t>m1110590</t>
  </si>
  <si>
    <t>m1110591</t>
  </si>
  <si>
    <t>m1110592</t>
  </si>
  <si>
    <t>m1110593</t>
  </si>
  <si>
    <t>m1110594</t>
  </si>
  <si>
    <t>m1110595</t>
  </si>
  <si>
    <t>m1110596</t>
  </si>
  <si>
    <t>m1110597</t>
  </si>
  <si>
    <t>m1110598</t>
  </si>
  <si>
    <t>m1110599</t>
  </si>
  <si>
    <t>m1110500</t>
  </si>
  <si>
    <t>m1110501</t>
  </si>
  <si>
    <t>m1110502</t>
  </si>
  <si>
    <t>m1110503</t>
  </si>
  <si>
    <t>m1110504</t>
  </si>
  <si>
    <t>m1110505</t>
  </si>
  <si>
    <t>m1110506</t>
  </si>
  <si>
    <t>m1110507</t>
  </si>
  <si>
    <t>m1110508</t>
  </si>
  <si>
    <t>m1110509</t>
  </si>
  <si>
    <t>m1110510</t>
  </si>
  <si>
    <t>m1110511</t>
  </si>
  <si>
    <t>m1110512</t>
  </si>
  <si>
    <t>m1110513</t>
  </si>
  <si>
    <t>m1110514</t>
  </si>
  <si>
    <t>m1110515</t>
  </si>
  <si>
    <t>m1110516</t>
  </si>
  <si>
    <t>mntlhlthevnt</t>
  </si>
  <si>
    <t>psychProb</t>
  </si>
  <si>
    <t>m1110984</t>
  </si>
  <si>
    <t>Psychiatric problems</t>
  </si>
  <si>
    <t>m1110985</t>
  </si>
  <si>
    <t>m1110986</t>
  </si>
  <si>
    <t>m1110987</t>
  </si>
  <si>
    <t>m1110988</t>
  </si>
  <si>
    <t>m1110989</t>
  </si>
  <si>
    <t>m1110990</t>
  </si>
  <si>
    <t>m1110991</t>
  </si>
  <si>
    <t>m1110992</t>
  </si>
  <si>
    <t>m1110993</t>
  </si>
  <si>
    <t>m1110994</t>
  </si>
  <si>
    <t>m1110995</t>
  </si>
  <si>
    <t>m1110996</t>
  </si>
  <si>
    <t>m1110997</t>
  </si>
  <si>
    <t>m1110998</t>
  </si>
  <si>
    <t>m1110999</t>
  </si>
  <si>
    <t>m1110900</t>
  </si>
  <si>
    <t>m1110901</t>
  </si>
  <si>
    <t>m1110902</t>
  </si>
  <si>
    <t>m1110903</t>
  </si>
  <si>
    <t>m1110904</t>
  </si>
  <si>
    <t>m1110905</t>
  </si>
  <si>
    <t>m1110906</t>
  </si>
  <si>
    <t>m1110907</t>
  </si>
  <si>
    <t>m1110908</t>
  </si>
  <si>
    <t>m1110909</t>
  </si>
  <si>
    <t>m1110910</t>
  </si>
  <si>
    <t>m1110911</t>
  </si>
  <si>
    <t>m1110912</t>
  </si>
  <si>
    <t>m1110913</t>
  </si>
  <si>
    <t>m1110914</t>
  </si>
  <si>
    <t>m1110915</t>
  </si>
  <si>
    <t>m1110916</t>
  </si>
  <si>
    <t>chldbrth</t>
  </si>
  <si>
    <t>chldBrth</t>
  </si>
  <si>
    <t>pp13319</t>
  </si>
  <si>
    <t>Child Born</t>
  </si>
  <si>
    <t>-6	[-6] Version of questionnaire with modified filtering
-5	[-5] Not included in this version of the questionnaire
-4	[-4] Inadmissible multiple response
-3	[-3] Answer improbable
-2	[-2] Does not apply
-1	[-1] No Answer
1	[1] Yes</t>
  </si>
  <si>
    <t>qp14219</t>
  </si>
  <si>
    <t>rp13319</t>
  </si>
  <si>
    <t>sp13319</t>
  </si>
  <si>
    <t>tp14107</t>
  </si>
  <si>
    <t>up14407</t>
  </si>
  <si>
    <t>VP15307</t>
  </si>
  <si>
    <t>WP14107</t>
  </si>
  <si>
    <t>XP14807</t>
  </si>
  <si>
    <t>YP15407</t>
  </si>
  <si>
    <t>ZP15607</t>
  </si>
  <si>
    <t>BAP15907</t>
  </si>
  <si>
    <t>BBP15110</t>
  </si>
  <si>
    <t>BCP15010</t>
  </si>
  <si>
    <t>BDP15710</t>
  </si>
  <si>
    <t>BEP15010</t>
  </si>
  <si>
    <t>BFP17310</t>
  </si>
  <si>
    <t>unemployed</t>
  </si>
  <si>
    <t>kp1d01</t>
  </si>
  <si>
    <t>Registered Unemployed In Prev. Yr</t>
  </si>
  <si>
    <t>[-6] Version of questionnaire with modified filtering
[-5] Not included in this version of the questionnaire
[-4] Inadmissible multiple response
[-3] Answer improbable
[-2] Does not apply
[-1] No Answer
[1] Yes
[2] No</t>
  </si>
  <si>
    <t>ifelse(is.na(x) | x &lt; 0, NA, ifelse(x == 2, 0, 1))</t>
  </si>
  <si>
    <t>lp1d01</t>
  </si>
  <si>
    <t>mp1d01</t>
  </si>
  <si>
    <t>np1d01</t>
  </si>
  <si>
    <t>op1d01</t>
  </si>
  <si>
    <t>pp1d01</t>
  </si>
  <si>
    <t>qp1d01</t>
  </si>
  <si>
    <t>rp1d01</t>
  </si>
  <si>
    <t>sp1d01</t>
  </si>
  <si>
    <t>tp1d01</t>
  </si>
  <si>
    <t>up1d01</t>
  </si>
  <si>
    <t>vp1d01</t>
  </si>
  <si>
    <t>wp1d01</t>
  </si>
  <si>
    <t>xp1d01</t>
  </si>
  <si>
    <t>yp1d01</t>
  </si>
  <si>
    <t>zp1d01</t>
  </si>
  <si>
    <t>bap1d01</t>
  </si>
  <si>
    <t>bbp1d01</t>
  </si>
  <si>
    <t>bcp1d01</t>
  </si>
  <si>
    <t>bdp1d01</t>
  </si>
  <si>
    <t>bep1d01</t>
  </si>
  <si>
    <t>bfp1d01</t>
  </si>
  <si>
    <t>apgen</t>
  </si>
  <si>
    <t>ISEI</t>
  </si>
  <si>
    <t>isei88_84</t>
  </si>
  <si>
    <t>Last Reached Isei Value (International Socio-Economic Index)</t>
  </si>
  <si>
    <t>bpgen</t>
  </si>
  <si>
    <t>cpgen</t>
  </si>
  <si>
    <t>dpgen</t>
  </si>
  <si>
    <t>epgen</t>
  </si>
  <si>
    <t>fpgen</t>
  </si>
  <si>
    <t>gpgen</t>
  </si>
  <si>
    <t>hpgen</t>
  </si>
  <si>
    <t>ipgen</t>
  </si>
  <si>
    <t>jpgen</t>
  </si>
  <si>
    <t>kpgen</t>
  </si>
  <si>
    <t>lpgen</t>
  </si>
  <si>
    <t>mpgen</t>
  </si>
  <si>
    <t>npgen</t>
  </si>
  <si>
    <t>opgen</t>
  </si>
  <si>
    <t>ppgen</t>
  </si>
  <si>
    <t>qpgen</t>
  </si>
  <si>
    <t>rpgen</t>
  </si>
  <si>
    <t>spgen</t>
  </si>
  <si>
    <t>tpgen</t>
  </si>
  <si>
    <t>upgen</t>
  </si>
  <si>
    <t>vpgen</t>
  </si>
  <si>
    <t>wpgen</t>
  </si>
  <si>
    <t>xpgen</t>
  </si>
  <si>
    <t>ypgen</t>
  </si>
  <si>
    <t>zpgen</t>
  </si>
  <si>
    <t>bapgen</t>
  </si>
  <si>
    <t>bbpgen</t>
  </si>
  <si>
    <t>bcpgen</t>
  </si>
  <si>
    <t>bdpgen</t>
  </si>
  <si>
    <t>bepgen</t>
  </si>
  <si>
    <t>bfpgen</t>
  </si>
  <si>
    <t>bgpgen</t>
  </si>
  <si>
    <t>bhpgen</t>
  </si>
  <si>
    <t>bioparen</t>
  </si>
  <si>
    <t>dadEdu</t>
  </si>
  <si>
    <t>fsedu</t>
  </si>
  <si>
    <t>Level Of Education Father</t>
  </si>
  <si>
    <t>[-6] Questionnaire Version With Modified Filtering
[-5] Not Contained In Questionnaire
[-4] Inadmissible Multiple Answer
[-3] Answer Improbable
[-2] Does Not Apply
[-1] No Answer
[0] Do Not Know
[1] Secondary School Degree
[2] Intermediate School Degree
[3] Technical School Degree
[4] Upper Secondary School Degree
[5] Other Degree
[6] No School Degree
[7] School Not Attended</t>
  </si>
  <si>
    <t>ifelse(is.na(x) | x &lt; 0, NA, ifelse(x %in% 3:4, 1, ifelse(x == 5, 2, 0)))</t>
  </si>
  <si>
    <t>momEdu</t>
  </si>
  <si>
    <t>msedu</t>
  </si>
  <si>
    <t>Level Of Education Mother</t>
  </si>
  <si>
    <t>education</t>
  </si>
  <si>
    <t>eduYears</t>
  </si>
  <si>
    <t>d1110984 </t>
  </si>
  <si>
    <t>Number of Years of Education</t>
  </si>
  <si>
    <t xml:space="preserve">integer; does not apply	-2 (81708)																																		
no answer	-1 (230660)	</t>
  </si>
  <si>
    <t>d1110985 </t>
  </si>
  <si>
    <t>d1110986 </t>
  </si>
  <si>
    <t>d1110987 </t>
  </si>
  <si>
    <t>d1110988 </t>
  </si>
  <si>
    <t>d1110989 </t>
  </si>
  <si>
    <t>d1110990 </t>
  </si>
  <si>
    <t>d1110991 </t>
  </si>
  <si>
    <t>d1110992 </t>
  </si>
  <si>
    <t>d1110993 </t>
  </si>
  <si>
    <t>d1110994 </t>
  </si>
  <si>
    <t>d1110995 </t>
  </si>
  <si>
    <t>d1110996</t>
  </si>
  <si>
    <t>d1110997 </t>
  </si>
  <si>
    <t>d1110998 </t>
  </si>
  <si>
    <t>d1110999 </t>
  </si>
  <si>
    <t>d1110900 </t>
  </si>
  <si>
    <t>d1110901 </t>
  </si>
  <si>
    <t>d1110902 </t>
  </si>
  <si>
    <t>d1110903 </t>
  </si>
  <si>
    <t>d1110904 </t>
  </si>
  <si>
    <t>d1110905 </t>
  </si>
  <si>
    <t>d1110906 </t>
  </si>
  <si>
    <t>d1110907 </t>
  </si>
  <si>
    <t>d1110908 </t>
  </si>
  <si>
    <t>d1110909 </t>
  </si>
  <si>
    <t>d1110910</t>
  </si>
  <si>
    <t>d1110911</t>
  </si>
  <si>
    <t>d1110912</t>
  </si>
  <si>
    <t>d1110913</t>
  </si>
  <si>
    <t>d1110914</t>
  </si>
  <si>
    <t>d1110915 </t>
  </si>
  <si>
    <t>d1110916 </t>
  </si>
  <si>
    <t>d1110917</t>
  </si>
  <si>
    <t>yes</t>
  </si>
  <si>
    <t>What is the highest education that your father had completed with a diploma at the time?</t>
  </si>
  <si>
    <t>1	elementary school not completed
2	only elementary school
3	junior vocational education
4	junior general secondary education
5	senior general secondary education
6	pre-university education
7	senior vocational education
8	university of applied sciences
9	university
10	post-academic (e.g. notary, medical, Ph.D.)</t>
  </si>
  <si>
    <t>ifelse(is.na(x) | x &lt; 0, NA, ifelse(x == 10, 2, ifelse(x %in% c(8:9), 1, 0)))</t>
  </si>
  <si>
    <t>grsWages</t>
  </si>
  <si>
    <t>gp7101</t>
  </si>
  <si>
    <t>Gross Amount Of Wages, Salary Prev. Yr</t>
  </si>
  <si>
    <t>average</t>
  </si>
  <si>
    <t>hp66a</t>
  </si>
  <si>
    <t>ip66a</t>
  </si>
  <si>
    <t>jp76a</t>
  </si>
  <si>
    <t>kp76a</t>
  </si>
  <si>
    <t>lp81a03</t>
  </si>
  <si>
    <t>mp67a03</t>
  </si>
  <si>
    <t>np67a03</t>
  </si>
  <si>
    <t>op58a03</t>
  </si>
  <si>
    <t>pp76a03</t>
  </si>
  <si>
    <t>qp76a03</t>
  </si>
  <si>
    <t>rp76a03</t>
  </si>
  <si>
    <t>sp76a03</t>
  </si>
  <si>
    <t>tp94a03</t>
  </si>
  <si>
    <t>up79a03</t>
  </si>
  <si>
    <t>vp100a03</t>
  </si>
  <si>
    <t>wp77a03</t>
  </si>
  <si>
    <t>xp94a03</t>
  </si>
  <si>
    <t>yp95a03</t>
  </si>
  <si>
    <t>zp91a03</t>
  </si>
  <si>
    <t>bap82a03</t>
  </si>
  <si>
    <t>bbp92a03</t>
  </si>
  <si>
    <t>bcp80a03</t>
  </si>
  <si>
    <t>bdp98a03</t>
  </si>
  <si>
    <t>bep85a03</t>
  </si>
  <si>
    <t>bfp114a03</t>
  </si>
  <si>
    <t>preGovInc</t>
  </si>
  <si>
    <t>i1110184</t>
  </si>
  <si>
    <t xml:space="preserve">Pre-Government Income </t>
  </si>
  <si>
    <t>i1110185</t>
  </si>
  <si>
    <t>i1110186</t>
  </si>
  <si>
    <t>i1110187</t>
  </si>
  <si>
    <t>i1110188</t>
  </si>
  <si>
    <t>i1110189</t>
  </si>
  <si>
    <t>i1110190</t>
  </si>
  <si>
    <t>i1110191</t>
  </si>
  <si>
    <t>i1110192</t>
  </si>
  <si>
    <t>i1110193</t>
  </si>
  <si>
    <t>i1110194</t>
  </si>
  <si>
    <t>i1110195</t>
  </si>
  <si>
    <t>i1110196</t>
  </si>
  <si>
    <t>i1110197</t>
  </si>
  <si>
    <t>i1110198</t>
  </si>
  <si>
    <t>i1110199</t>
  </si>
  <si>
    <t>i1110100</t>
  </si>
  <si>
    <t>i1110101</t>
  </si>
  <si>
    <t>i1110102</t>
  </si>
  <si>
    <t>i1110103</t>
  </si>
  <si>
    <t>i1110104</t>
  </si>
  <si>
    <t>i1110105</t>
  </si>
  <si>
    <t>i1110106</t>
  </si>
  <si>
    <t>i1110107</t>
  </si>
  <si>
    <t>i1110108</t>
  </si>
  <si>
    <t>i1110109</t>
  </si>
  <si>
    <t>i1110110</t>
  </si>
  <si>
    <t>i1110111</t>
  </si>
  <si>
    <t>i1110112</t>
  </si>
  <si>
    <t>i1110113</t>
  </si>
  <si>
    <t>i1110114</t>
  </si>
  <si>
    <t>i1110115</t>
  </si>
  <si>
    <t>anyKids</t>
  </si>
  <si>
    <t>Do you have children and/or grandchildren? (More than one answer permitted)</t>
  </si>
  <si>
    <t>1	children
2	grandchildren
3	no children or grandchildren</t>
  </si>
  <si>
    <t>ifelse(x %in% 1:2 &amp; !is.na(x), 1, 0)</t>
  </si>
  <si>
    <t>highestEd</t>
  </si>
  <si>
    <t>What then is the highest level of education that you have completed with or without diploma or certificate?</t>
  </si>
  <si>
    <t>1	none
2	elementary (comparable to primary education)
3	middle school (comparable to VMBO, VBO, MAVO; intermediate professional education)
4	secondary (comparable to HAVO, VWO, MBO; secondary education)
5	post-secondary, non-tertiary (comparable to post-MBO; continued intermediate professional education)
6	tertiary (comparable to HBO, WO; higher professional education, university education)
7	post-tertiary (comparable to post-academic, including doctor)
8	other</t>
  </si>
  <si>
    <t>ifelse(is.na(x) | x &lt; 0 | x &gt;= 8, NA, ifelse(x &gt; 4, 1, 0))</t>
  </si>
  <si>
    <t>psych</t>
  </si>
  <si>
    <t>How often did you use the following health services over the past 12 months?  psychiatrist/psychologist/psychotherapist</t>
  </si>
  <si>
    <t>ifelse(x &gt; 0 &amp; !is.na(x), 1, 0)</t>
  </si>
  <si>
    <t>angina</t>
  </si>
  <si>
    <t>angina, pain in the chest</t>
  </si>
  <si>
    <t>0	no
1	yes</t>
  </si>
  <si>
    <t>ifelse(is.na(x) | x &lt; 0 | x &gt; 1, NA, x)</t>
  </si>
  <si>
    <t>arthritis, including osteoarthritis, or rheumatism, bone decalcification or osteoporosis</t>
  </si>
  <si>
    <t>benignTum</t>
  </si>
  <si>
    <t>benign tumor (skin tumor, polyps, angioma)</t>
  </si>
  <si>
    <t>brokenHip</t>
  </si>
  <si>
    <t>a broken hip or thigh bone</t>
  </si>
  <si>
    <t>cancer or malignant tumor, including leukemia or lymphoma, but excluding less serious forms of skin cancer</t>
  </si>
  <si>
    <t>Alzheimer, dementia, organic brain syndrome, senility, or another serious memory problem</t>
  </si>
  <si>
    <t>diabetes or a too high blood sugar level</t>
  </si>
  <si>
    <t>heart</t>
  </si>
  <si>
    <t>a heart attack including infarction or coronary thrombosis or another heart problem including heart failure</t>
  </si>
  <si>
    <t>high blood pressure or hypertension</t>
  </si>
  <si>
    <t>lungDis</t>
  </si>
  <si>
    <t>chronic lung disease such as chronic bronchitis or emphysema</t>
  </si>
  <si>
    <t>parkinsons</t>
  </si>
  <si>
    <t>Parkinson’s disease</t>
  </si>
  <si>
    <t>a stroke or brain infarction or a disease affecting the blood vessels in the brain</t>
  </si>
  <si>
    <t>ulcer</t>
  </si>
  <si>
    <t>a gastric ulcer or duodenal ulcer, peptic ulcer</t>
  </si>
  <si>
    <t>belbezig</t>
  </si>
  <si>
    <t>Primary occupation</t>
  </si>
  <si>
    <t>1	Paid employment
2	Works or assists in family business
3	Autonomous professional, freelancer, or self-employed
4	Job seeker following job loss
5	First-time job seeker
6	Exempted from job seeking following job loss
7	Attends school or is studying
8	Takes care of the housekeeping
9	Is pensioner ([voluntary] early retirement, old age pension scheme)
10	Has (partial) work disability
11	Performs unpaid work while retaining unemployment benefit
12	Performs voluntary work
13	Does something else
14	Is too young to have an occupation</t>
  </si>
  <si>
    <t>ifelse(x %in% c(4,6) &amp; !is.na(x), 1, 0)</t>
  </si>
  <si>
    <t>age</t>
  </si>
  <si>
    <t>parEdu</t>
  </si>
  <si>
    <t>occPrstg</t>
  </si>
  <si>
    <t>SES</t>
  </si>
  <si>
    <t>demographic</t>
  </si>
  <si>
    <t>divorced</t>
  </si>
  <si>
    <t>numKids</t>
  </si>
  <si>
    <t>loneliness</t>
  </si>
  <si>
    <t>moved</t>
  </si>
  <si>
    <t>homeType</t>
  </si>
  <si>
    <t>housing</t>
  </si>
  <si>
    <t>DEP</t>
  </si>
  <si>
    <t>CC</t>
  </si>
  <si>
    <t>SRhealth</t>
  </si>
  <si>
    <t>physFunc</t>
  </si>
  <si>
    <t>SS</t>
  </si>
  <si>
    <t>leisure</t>
  </si>
  <si>
    <t>frstjob</t>
  </si>
  <si>
    <t>FrstJob</t>
  </si>
  <si>
    <t>kp39</t>
  </si>
  <si>
    <t>Type Of Job Change</t>
  </si>
  <si>
    <t>1 = First Job</t>
  </si>
  <si>
    <t>ifelse(is.na(x) | x &lt; -2, NA, ifelse(x == 1 &amp; !is.na(x), 1, 0))</t>
  </si>
  <si>
    <t>lp31</t>
  </si>
  <si>
    <t>mp29</t>
  </si>
  <si>
    <t>np23</t>
  </si>
  <si>
    <t>op23</t>
  </si>
  <si>
    <t>pp23</t>
  </si>
  <si>
    <t>qp22</t>
  </si>
  <si>
    <t>rp25</t>
  </si>
  <si>
    <t>sp25</t>
  </si>
  <si>
    <t>tp50</t>
  </si>
  <si>
    <t>up21</t>
  </si>
  <si>
    <t>vp2601</t>
  </si>
  <si>
    <t>wp1901</t>
  </si>
  <si>
    <t>xp3001</t>
  </si>
  <si>
    <t>yp3101</t>
  </si>
  <si>
    <t>zp2401</t>
  </si>
  <si>
    <t>bap21</t>
  </si>
  <si>
    <t>bbp2401</t>
  </si>
  <si>
    <t>bcp2401</t>
  </si>
  <si>
    <t>bdp3401</t>
  </si>
  <si>
    <t>bep2401</t>
  </si>
  <si>
    <t>bfp46</t>
  </si>
  <si>
    <t>pp13307</t>
  </si>
  <si>
    <t>Divorced</t>
  </si>
  <si>
    <t>qp14207</t>
  </si>
  <si>
    <t>rp13307</t>
  </si>
  <si>
    <t>sp13307</t>
  </si>
  <si>
    <t>tp14116</t>
  </si>
  <si>
    <t>up14416</t>
  </si>
  <si>
    <t>VP15316</t>
  </si>
  <si>
    <t>WP14116</t>
  </si>
  <si>
    <t>XP14819</t>
  </si>
  <si>
    <t>YP15419</t>
  </si>
  <si>
    <t>ZP15619</t>
  </si>
  <si>
    <t>BAP15919</t>
  </si>
  <si>
    <t>BBP15122</t>
  </si>
  <si>
    <t>BCP15022</t>
  </si>
  <si>
    <t>BDP15722</t>
  </si>
  <si>
    <t>BEP15022</t>
  </si>
  <si>
    <t>BFP17322</t>
  </si>
  <si>
    <t>HHNumKids</t>
  </si>
  <si>
    <t>d1110784</t>
  </si>
  <si>
    <t>Number of Children in HH</t>
  </si>
  <si>
    <t>0 to 9</t>
  </si>
  <si>
    <t>d1110785</t>
  </si>
  <si>
    <t>d1110786</t>
  </si>
  <si>
    <t>d1110787</t>
  </si>
  <si>
    <t>d1110788</t>
  </si>
  <si>
    <t>d1110789</t>
  </si>
  <si>
    <t>d1110790</t>
  </si>
  <si>
    <t>d1110791</t>
  </si>
  <si>
    <t>d1110792</t>
  </si>
  <si>
    <t>d1110793</t>
  </si>
  <si>
    <t>d1110794</t>
  </si>
  <si>
    <t>d1110795</t>
  </si>
  <si>
    <t>d1110796</t>
  </si>
  <si>
    <t>d1110797</t>
  </si>
  <si>
    <t>d1110798</t>
  </si>
  <si>
    <t>d1110799</t>
  </si>
  <si>
    <t>d1110700</t>
  </si>
  <si>
    <t>d1110701</t>
  </si>
  <si>
    <t>d1110702</t>
  </si>
  <si>
    <t>d1110703</t>
  </si>
  <si>
    <t>d1110704</t>
  </si>
  <si>
    <t>d1110705</t>
  </si>
  <si>
    <t>d1110706</t>
  </si>
  <si>
    <t>d1110707</t>
  </si>
  <si>
    <t>d1110708</t>
  </si>
  <si>
    <t>d1110709</t>
  </si>
  <si>
    <t>d1110710</t>
  </si>
  <si>
    <t>d1110711</t>
  </si>
  <si>
    <t>d1110712</t>
  </si>
  <si>
    <t>d1110713</t>
  </si>
  <si>
    <t>d1110714</t>
  </si>
  <si>
    <t>d1110715</t>
  </si>
  <si>
    <t>d1110716</t>
  </si>
  <si>
    <t>d1110717</t>
  </si>
  <si>
    <t>achLss</t>
  </si>
  <si>
    <t>sp8908</t>
  </si>
  <si>
    <t>Achieved Less Due To Mental Health Last 4 Weeks</t>
  </si>
  <si>
    <t>up8608</t>
  </si>
  <si>
    <t>Accomplished less due to emotional problems</t>
  </si>
  <si>
    <t>wp9008</t>
  </si>
  <si>
    <t>Accomplished Less Due To Emotional Problems</t>
  </si>
  <si>
    <t>yp10208</t>
  </si>
  <si>
    <t>bap9008</t>
  </si>
  <si>
    <t>bcp9408</t>
  </si>
  <si>
    <t>bep9208</t>
  </si>
  <si>
    <t>bgp10808</t>
  </si>
  <si>
    <t>bhp</t>
  </si>
  <si>
    <t>bhp_429_q56</t>
  </si>
  <si>
    <t>Status of Mental Health regarding managed less than planned</t>
  </si>
  <si>
    <t>lessThrgh</t>
  </si>
  <si>
    <t>sp8909</t>
  </si>
  <si>
    <t>Less Thorough Due To Mental Health Last 4 Weeks</t>
  </si>
  <si>
    <t>up8609</t>
  </si>
  <si>
    <t>Less careful due to emotional problems</t>
  </si>
  <si>
    <t>wp9009</t>
  </si>
  <si>
    <t>Less Careful Due To Emotional Problems</t>
  </si>
  <si>
    <t>yp10209</t>
  </si>
  <si>
    <t>bap9009</t>
  </si>
  <si>
    <t>bcp9409</t>
  </si>
  <si>
    <t>bep9209</t>
  </si>
  <si>
    <t>bgp10809</t>
  </si>
  <si>
    <t>bhp_430_q56</t>
  </si>
  <si>
    <t>Status of Mental Health regarding diligence</t>
  </si>
  <si>
    <t>mlnchly</t>
  </si>
  <si>
    <t>sp8902</t>
  </si>
  <si>
    <t>Run-down, Melancholy Last 4 Weeks</t>
  </si>
  <si>
    <t>up8602</t>
  </si>
  <si>
    <t>wp9002</t>
  </si>
  <si>
    <t>yp10202</t>
  </si>
  <si>
    <t>bap9002</t>
  </si>
  <si>
    <t>bcp9402</t>
  </si>
  <si>
    <t>bep9202</t>
  </si>
  <si>
    <t>bgp10802</t>
  </si>
  <si>
    <t>bhp_423_q56</t>
  </si>
  <si>
    <t>Status of Health regarding depression</t>
  </si>
  <si>
    <t>wellBlncd</t>
  </si>
  <si>
    <t>sp8903</t>
  </si>
  <si>
    <t>Well-balanced Last 4 Weeks</t>
  </si>
  <si>
    <t>up8603</t>
  </si>
  <si>
    <t>wp9003</t>
  </si>
  <si>
    <t>yp10203</t>
  </si>
  <si>
    <t>bap9003</t>
  </si>
  <si>
    <t>bcp9403</t>
  </si>
  <si>
    <t>bep9203</t>
  </si>
  <si>
    <t>bgp10803</t>
  </si>
  <si>
    <t>bhp_424_q56</t>
  </si>
  <si>
    <t>Status of Health regarding Balance</t>
  </si>
  <si>
    <t>currHealth</t>
  </si>
  <si>
    <t>ip77</t>
  </si>
  <si>
    <t>Current Health</t>
  </si>
  <si>
    <t>[-6] Version of questionnaire with modified filtering 
[-5] Not included in this version of the questionnaire 
[-4] Inadmissible multiple response 
[-3] Answer improbable 
[-2] Does not apply 
[-1] No Answer 
[1] Very Good 
[2] Good 
[3] Satisfactory 
[4] Poor 
[5] Bad </t>
  </si>
  <si>
    <t>kp83</t>
  </si>
  <si>
    <t>lp89</t>
  </si>
  <si>
    <t>mp75</t>
  </si>
  <si>
    <t>np79</t>
  </si>
  <si>
    <t>op66</t>
  </si>
  <si>
    <t>pp95</t>
  </si>
  <si>
    <t>qp95</t>
  </si>
  <si>
    <t>rp95</t>
  </si>
  <si>
    <t>sp86</t>
  </si>
  <si>
    <t>tp98</t>
  </si>
  <si>
    <t>up83</t>
  </si>
  <si>
    <t>vp104</t>
  </si>
  <si>
    <t>wp87</t>
  </si>
  <si>
    <t>xp98</t>
  </si>
  <si>
    <t>yp99</t>
  </si>
  <si>
    <t>zp95</t>
  </si>
  <si>
    <t>bap87</t>
  </si>
  <si>
    <t>bbp97</t>
  </si>
  <si>
    <t>bcp91</t>
  </si>
  <si>
    <t>bdp110</t>
  </si>
  <si>
    <t>bep89</t>
  </si>
  <si>
    <t>bfp127</t>
  </si>
  <si>
    <t>bgp105</t>
  </si>
  <si>
    <t>m1112684</t>
  </si>
  <si>
    <t>Current Self-Rated Health Status</t>
  </si>
  <si>
    <t>[-6] Version of questionnaire with modified filtering 
[-5] Not included in this version of the questionnaire 
[-4] Inadmissible multiple response 
[-3] Answer improbable 
[-2] Does not apply 
[-1] No Answer 
[1] Very good 1 
[2] Good 2 
[3] Satisfactory 3 
[4] Poor 4 
[5] Bad 5 </t>
  </si>
  <si>
    <t>m1112685</t>
  </si>
  <si>
    <t>m1112686</t>
  </si>
  <si>
    <t>m1112687</t>
  </si>
  <si>
    <t>m1112688</t>
  </si>
  <si>
    <t>m1112689</t>
  </si>
  <si>
    <t>m1112690</t>
  </si>
  <si>
    <t>m1112691</t>
  </si>
  <si>
    <t>m1112692</t>
  </si>
  <si>
    <t>m1112693</t>
  </si>
  <si>
    <t>m1112694</t>
  </si>
  <si>
    <t>m1112695</t>
  </si>
  <si>
    <t>m1112696</t>
  </si>
  <si>
    <t>m1112697</t>
  </si>
  <si>
    <t>m1112698</t>
  </si>
  <si>
    <t>m1112699</t>
  </si>
  <si>
    <t>m1112600</t>
  </si>
  <si>
    <t>m1112601</t>
  </si>
  <si>
    <t>m1112602</t>
  </si>
  <si>
    <t>m1112603</t>
  </si>
  <si>
    <t>m1112604</t>
  </si>
  <si>
    <t>m1112605</t>
  </si>
  <si>
    <t>m1112606</t>
  </si>
  <si>
    <t>m1112607</t>
  </si>
  <si>
    <t>m1112608</t>
  </si>
  <si>
    <t>m1112609</t>
  </si>
  <si>
    <t>m1112610</t>
  </si>
  <si>
    <t>m1112611</t>
  </si>
  <si>
    <t>m1112612</t>
  </si>
  <si>
    <t>m1112613</t>
  </si>
  <si>
    <t>m1112614</t>
  </si>
  <si>
    <t>m1112615</t>
  </si>
  <si>
    <t>m1112616</t>
  </si>
  <si>
    <t>PhysFunc</t>
  </si>
  <si>
    <t>bed</t>
  </si>
  <si>
    <t>m1111684</t>
  </si>
  <si>
    <t>Difficulty/need help getting in/out bed</t>
  </si>
  <si>
    <t>[-6] Version of questionnaire with modified filtering
[-5] Not included in this version of the questionnaire
[-4] Inadmissible multiple response
[-3] Answer improbable
[-2] Does not apply
[-1] No Answer
[0] Does not apply 0
[1] Applies 1</t>
  </si>
  <si>
    <t>sum</t>
  </si>
  <si>
    <t>m1111685</t>
  </si>
  <si>
    <t>m1111686</t>
  </si>
  <si>
    <t>m1111687</t>
  </si>
  <si>
    <t>m1111688</t>
  </si>
  <si>
    <t>m1111689</t>
  </si>
  <si>
    <t>m1111690</t>
  </si>
  <si>
    <t>m1111691</t>
  </si>
  <si>
    <t>m1111692</t>
  </si>
  <si>
    <t>m1111693</t>
  </si>
  <si>
    <t>m1111694</t>
  </si>
  <si>
    <t>m1111695</t>
  </si>
  <si>
    <t>m1111696</t>
  </si>
  <si>
    <t>m1111697</t>
  </si>
  <si>
    <t>m1111698</t>
  </si>
  <si>
    <t>m1111699</t>
  </si>
  <si>
    <t>m1111600</t>
  </si>
  <si>
    <t>m1111601</t>
  </si>
  <si>
    <t>m1111602</t>
  </si>
  <si>
    <t>m1111603</t>
  </si>
  <si>
    <t>m1111604</t>
  </si>
  <si>
    <t>m1111605</t>
  </si>
  <si>
    <t>m1111606</t>
  </si>
  <si>
    <t>m1111607</t>
  </si>
  <si>
    <t>m1111608</t>
  </si>
  <si>
    <t>m1111609</t>
  </si>
  <si>
    <t>m1111610</t>
  </si>
  <si>
    <t>m1111611</t>
  </si>
  <si>
    <t>m1111612</t>
  </si>
  <si>
    <t>m1111613</t>
  </si>
  <si>
    <t>m1111614</t>
  </si>
  <si>
    <t>m1111615</t>
  </si>
  <si>
    <t>m1111616</t>
  </si>
  <si>
    <t>m1111617</t>
  </si>
  <si>
    <t>stairs</t>
  </si>
  <si>
    <t>m1111384</t>
  </si>
  <si>
    <t>Have trouble climbing stairs</t>
  </si>
  <si>
    <t>m1111310</t>
  </si>
  <si>
    <t>m1111311</t>
  </si>
  <si>
    <t>m1111312</t>
  </si>
  <si>
    <t>m1111313</t>
  </si>
  <si>
    <t>m1111314</t>
  </si>
  <si>
    <t>m1111315</t>
  </si>
  <si>
    <t>m1111316</t>
  </si>
  <si>
    <t>m1111317</t>
  </si>
  <si>
    <t>m1111385</t>
  </si>
  <si>
    <t>m1111386</t>
  </si>
  <si>
    <t>m1111387</t>
  </si>
  <si>
    <t>m1111388</t>
  </si>
  <si>
    <t>m1111389</t>
  </si>
  <si>
    <t>m1111390</t>
  </si>
  <si>
    <t>m1111391</t>
  </si>
  <si>
    <t>m1111392</t>
  </si>
  <si>
    <t>m1111393</t>
  </si>
  <si>
    <t>m1111394</t>
  </si>
  <si>
    <t>m1111395</t>
  </si>
  <si>
    <t>m1111396</t>
  </si>
  <si>
    <t>m1111397</t>
  </si>
  <si>
    <t>m1111398</t>
  </si>
  <si>
    <t>m1111399</t>
  </si>
  <si>
    <t>m1111300</t>
  </si>
  <si>
    <t>m1111301</t>
  </si>
  <si>
    <t>m1111302</t>
  </si>
  <si>
    <t>m1111303</t>
  </si>
  <si>
    <t>m1111304</t>
  </si>
  <si>
    <t>m1111305</t>
  </si>
  <si>
    <t>m1111306</t>
  </si>
  <si>
    <t>m1111307</t>
  </si>
  <si>
    <t>m1111308</t>
  </si>
  <si>
    <t>m1111309</t>
  </si>
  <si>
    <t>bathing</t>
  </si>
  <si>
    <t>m1111484</t>
  </si>
  <si>
    <t>Need help or have difficulty bathing alone</t>
  </si>
  <si>
    <t>m1111410</t>
  </si>
  <si>
    <t>m1111411</t>
  </si>
  <si>
    <t>m1111412</t>
  </si>
  <si>
    <t>m1111413</t>
  </si>
  <si>
    <t>m1111414</t>
  </si>
  <si>
    <t>m1111415</t>
  </si>
  <si>
    <t>m1111416</t>
  </si>
  <si>
    <t>m1111417</t>
  </si>
  <si>
    <t>m1111485</t>
  </si>
  <si>
    <t>m1111486</t>
  </si>
  <si>
    <t>m1111487</t>
  </si>
  <si>
    <t>m1111488</t>
  </si>
  <si>
    <t>m1111489</t>
  </si>
  <si>
    <t>m1111490</t>
  </si>
  <si>
    <t>m1111491</t>
  </si>
  <si>
    <t>m1111492</t>
  </si>
  <si>
    <t>m1111493</t>
  </si>
  <si>
    <t>m1111494</t>
  </si>
  <si>
    <t>m1111495</t>
  </si>
  <si>
    <t>m1111496</t>
  </si>
  <si>
    <t>m1111497</t>
  </si>
  <si>
    <t>m1111498</t>
  </si>
  <si>
    <t>m1111499</t>
  </si>
  <si>
    <t>m1111400</t>
  </si>
  <si>
    <t>m1111401</t>
  </si>
  <si>
    <t>m1111402</t>
  </si>
  <si>
    <t>m1111403</t>
  </si>
  <si>
    <t>m1111404</t>
  </si>
  <si>
    <t>m1111405</t>
  </si>
  <si>
    <t>m1111406</t>
  </si>
  <si>
    <t>m1111407</t>
  </si>
  <si>
    <t>m1111408</t>
  </si>
  <si>
    <t>m1111409</t>
  </si>
  <si>
    <t>dressing</t>
  </si>
  <si>
    <t>m1111584</t>
  </si>
  <si>
    <t>Dressing difficult alone</t>
  </si>
  <si>
    <t>m1111510</t>
  </si>
  <si>
    <t>m1111511</t>
  </si>
  <si>
    <t>m1111512</t>
  </si>
  <si>
    <t>m1111513</t>
  </si>
  <si>
    <t>m1111514</t>
  </si>
  <si>
    <t>m1111515</t>
  </si>
  <si>
    <t>m1111516</t>
  </si>
  <si>
    <t>m1111517</t>
  </si>
  <si>
    <t>m1111585</t>
  </si>
  <si>
    <t>m1111586</t>
  </si>
  <si>
    <t>m1111587</t>
  </si>
  <si>
    <t>m1111588</t>
  </si>
  <si>
    <t>m1111589</t>
  </si>
  <si>
    <t>m1111590</t>
  </si>
  <si>
    <t>m1111591</t>
  </si>
  <si>
    <t>m1111592</t>
  </si>
  <si>
    <t>m1111593</t>
  </si>
  <si>
    <t>m1111594</t>
  </si>
  <si>
    <t>m1111595</t>
  </si>
  <si>
    <t>m1111596</t>
  </si>
  <si>
    <t>m1111597</t>
  </si>
  <si>
    <t>m1111598</t>
  </si>
  <si>
    <t>m1111599</t>
  </si>
  <si>
    <t>m1111500</t>
  </si>
  <si>
    <t>m1111501</t>
  </si>
  <si>
    <t>m1111502</t>
  </si>
  <si>
    <t>m1111503</t>
  </si>
  <si>
    <t>m1111504</t>
  </si>
  <si>
    <t>m1111505</t>
  </si>
  <si>
    <t>m1111506</t>
  </si>
  <si>
    <t>m1111507</t>
  </si>
  <si>
    <t>m1111508</t>
  </si>
  <si>
    <t>m1111509</t>
  </si>
  <si>
    <t>shopping</t>
  </si>
  <si>
    <t>m1111784</t>
  </si>
  <si>
    <t>Need help with shopping</t>
  </si>
  <si>
    <t>m1111710</t>
  </si>
  <si>
    <t>m1111711</t>
  </si>
  <si>
    <t>m1111712</t>
  </si>
  <si>
    <t>m1111713</t>
  </si>
  <si>
    <t>m1111714</t>
  </si>
  <si>
    <t>m1111715</t>
  </si>
  <si>
    <t>m1111716</t>
  </si>
  <si>
    <t>m1111717</t>
  </si>
  <si>
    <t>m1111785</t>
  </si>
  <si>
    <t>m1111786</t>
  </si>
  <si>
    <t>m1111787</t>
  </si>
  <si>
    <t>m1111788</t>
  </si>
  <si>
    <t>m1111789</t>
  </si>
  <si>
    <t>m1111790</t>
  </si>
  <si>
    <t>m1111791</t>
  </si>
  <si>
    <t>m1111792</t>
  </si>
  <si>
    <t>m1111793</t>
  </si>
  <si>
    <t>m1111794</t>
  </si>
  <si>
    <t>m1111795</t>
  </si>
  <si>
    <t>m1111796</t>
  </si>
  <si>
    <t>m1111797</t>
  </si>
  <si>
    <t>m1111798</t>
  </si>
  <si>
    <t>m1111799</t>
  </si>
  <si>
    <t>m1111700</t>
  </si>
  <si>
    <t>m1111701</t>
  </si>
  <si>
    <t>m1111702</t>
  </si>
  <si>
    <t>m1111703</t>
  </si>
  <si>
    <t>m1111704</t>
  </si>
  <si>
    <t>m1111705</t>
  </si>
  <si>
    <t>m1111706</t>
  </si>
  <si>
    <t>m1111707</t>
  </si>
  <si>
    <t>m1111708</t>
  </si>
  <si>
    <t>m1111709</t>
  </si>
  <si>
    <t>FPCareer</t>
  </si>
  <si>
    <t>bgp151b01</t>
  </si>
  <si>
    <t>Who Supports Career? First Person</t>
  </si>
  <si>
    <t>ifelse(is.na(x) | x &lt; 0, NA, ifelse(x &gt; 0, 1, 0))</t>
  </si>
  <si>
    <t>wp11505</t>
  </si>
  <si>
    <t>bbp12507</t>
  </si>
  <si>
    <t>FPConf</t>
  </si>
  <si>
    <t>bbp12501</t>
  </si>
  <si>
    <t>First Important Person Is Confidante</t>
  </si>
  <si>
    <t>bgp151a01</t>
  </si>
  <si>
    <t>wp11501</t>
  </si>
  <si>
    <t>NoCareer</t>
  </si>
  <si>
    <t>bgp151b06</t>
  </si>
  <si>
    <t>No One Supports Career, Education</t>
  </si>
  <si>
    <t>ifelse(is.na(x)  | x &lt; -2, NA, ifelse(x &gt; 0, 0, 1))</t>
  </si>
  <si>
    <t>bbp12512</t>
  </si>
  <si>
    <t>wp11508</t>
  </si>
  <si>
    <t>NoConf</t>
  </si>
  <si>
    <t>bgp151a06</t>
  </si>
  <si>
    <t>No confidante</t>
  </si>
  <si>
    <t>wp11504</t>
  </si>
  <si>
    <t>bbp12506</t>
  </si>
  <si>
    <t>SPCareer</t>
  </si>
  <si>
    <t>wp11506</t>
  </si>
  <si>
    <t>Who Supports Career? Second Person</t>
  </si>
  <si>
    <t>bgp151b02</t>
  </si>
  <si>
    <t>bbp12508</t>
  </si>
  <si>
    <t>SPConf</t>
  </si>
  <si>
    <t>bgp151a02</t>
  </si>
  <si>
    <t>Second Confident Person Is Confidante</t>
  </si>
  <si>
    <t>wp11502</t>
  </si>
  <si>
    <t>bbp12502</t>
  </si>
  <si>
    <t>TPCareer</t>
  </si>
  <si>
    <t>wp11507</t>
  </si>
  <si>
    <t>Who Supports Career? Third Person</t>
  </si>
  <si>
    <t>bbp12509</t>
  </si>
  <si>
    <t>bgp151b03</t>
  </si>
  <si>
    <t>TPConf</t>
  </si>
  <si>
    <t>bbp12503</t>
  </si>
  <si>
    <t>Third Confident Person Is Confidante</t>
  </si>
  <si>
    <t>wp11503</t>
  </si>
  <si>
    <t>bgp151a03</t>
  </si>
  <si>
    <t xml:space="preserve">ip1002 </t>
  </si>
  <si>
    <t>jp0702</t>
  </si>
  <si>
    <t>lp1102</t>
  </si>
  <si>
    <t>mp1102</t>
  </si>
  <si>
    <t>np0602</t>
  </si>
  <si>
    <t>yp7902</t>
  </si>
  <si>
    <t>bdp15202</t>
  </si>
  <si>
    <t>bip_11_02</t>
  </si>
  <si>
    <t>Lonely</t>
  </si>
  <si>
    <t>[1] Definitely Applies
[2] Probably Applies
[3] Probably Does Not Apply
[4] Does Not Apply
[-1] No Answer
[-2] Does not apply
[-3] Answer improbable
[-4] Inadmissible multiple response
[-5] Not included in this version of the questionnaire
[-6] Version of questionnaire with modified filtering</t>
  </si>
  <si>
    <t>ih03</t>
  </si>
  <si>
    <t>jh03</t>
  </si>
  <si>
    <t>kh03</t>
  </si>
  <si>
    <t>lh03</t>
  </si>
  <si>
    <t>mh04</t>
  </si>
  <si>
    <t>nh04</t>
  </si>
  <si>
    <t>oh04</t>
  </si>
  <si>
    <t>qh01</t>
  </si>
  <si>
    <t>ph01</t>
  </si>
  <si>
    <t>rh01</t>
  </si>
  <si>
    <t>sh01</t>
  </si>
  <si>
    <t>th01</t>
  </si>
  <si>
    <t>uh01</t>
  </si>
  <si>
    <t>vh01</t>
  </si>
  <si>
    <t>wh01</t>
  </si>
  <si>
    <t>xh01</t>
  </si>
  <si>
    <t>yh01</t>
  </si>
  <si>
    <t>zh01</t>
  </si>
  <si>
    <t>bah01</t>
  </si>
  <si>
    <t>beh01</t>
  </si>
  <si>
    <t>bbh01</t>
  </si>
  <si>
    <t>bch01</t>
  </si>
  <si>
    <t>bdh01</t>
  </si>
  <si>
    <t>bfh_hvj</t>
  </si>
  <si>
    <t>bhh_01_q64</t>
  </si>
  <si>
    <t>hh03</t>
  </si>
  <si>
    <t>Already Lived in Dwelling One Year Ago</t>
  </si>
  <si>
    <t>[1] Yes
[2] No
[-1] No Answer
[-2] Does not apply
[-3] Answer improbable
[-4] Inadmissible multiple response
[-5] Not included in this version of the questionnaire
[-6] Version of questionnaire with modified filtering</t>
  </si>
  <si>
    <t>ifelse(x &lt; 1 | is.na(x), NA, ifelse(x == 2, 0, x))</t>
  </si>
  <si>
    <t>bh20g </t>
  </si>
  <si>
    <t>ch</t>
  </si>
  <si>
    <t>ch24g </t>
  </si>
  <si>
    <t>dh</t>
  </si>
  <si>
    <t>dh18g </t>
  </si>
  <si>
    <t>eh</t>
  </si>
  <si>
    <t>eh09g </t>
  </si>
  <si>
    <t>fh</t>
  </si>
  <si>
    <t>fh09g </t>
  </si>
  <si>
    <t>gh</t>
  </si>
  <si>
    <t>gh09g </t>
  </si>
  <si>
    <t>hh</t>
  </si>
  <si>
    <t>hh23 </t>
  </si>
  <si>
    <t>ih</t>
  </si>
  <si>
    <t>ih23 </t>
  </si>
  <si>
    <t>jh</t>
  </si>
  <si>
    <t>jh23 </t>
  </si>
  <si>
    <t>kh</t>
  </si>
  <si>
    <t>kh23 </t>
  </si>
  <si>
    <t>lh</t>
  </si>
  <si>
    <t>lh23 </t>
  </si>
  <si>
    <t>mh</t>
  </si>
  <si>
    <t>mh23 </t>
  </si>
  <si>
    <t>nh</t>
  </si>
  <si>
    <t>nh23 </t>
  </si>
  <si>
    <t>ph</t>
  </si>
  <si>
    <t>ph23 </t>
  </si>
  <si>
    <t>qh</t>
  </si>
  <si>
    <t>qh22 </t>
  </si>
  <si>
    <t>rh</t>
  </si>
  <si>
    <t>rh22 </t>
  </si>
  <si>
    <t>sh</t>
  </si>
  <si>
    <t>sh22 </t>
  </si>
  <si>
    <t>th</t>
  </si>
  <si>
    <t>th21 </t>
  </si>
  <si>
    <t>uh</t>
  </si>
  <si>
    <t>uh21 </t>
  </si>
  <si>
    <t>vh</t>
  </si>
  <si>
    <t>vh20 </t>
  </si>
  <si>
    <t>wh</t>
  </si>
  <si>
    <t>wh20 </t>
  </si>
  <si>
    <t>xh</t>
  </si>
  <si>
    <t>xh20 </t>
  </si>
  <si>
    <t>yh</t>
  </si>
  <si>
    <t>yh20 </t>
  </si>
  <si>
    <t>zh</t>
  </si>
  <si>
    <t>zh20 </t>
  </si>
  <si>
    <t>bah</t>
  </si>
  <si>
    <t>bah20 </t>
  </si>
  <si>
    <t>bbh</t>
  </si>
  <si>
    <t>bbh20 </t>
  </si>
  <si>
    <t>bch</t>
  </si>
  <si>
    <t>bch20 </t>
  </si>
  <si>
    <t>bdh</t>
  </si>
  <si>
    <t>bdh20 </t>
  </si>
  <si>
    <t>beh</t>
  </si>
  <si>
    <t>beh21 </t>
  </si>
  <si>
    <t>bfh</t>
  </si>
  <si>
    <t>bfh23 </t>
  </si>
  <si>
    <t>bgh</t>
  </si>
  <si>
    <t>bgh15 </t>
  </si>
  <si>
    <t>bhh</t>
  </si>
  <si>
    <t>bhh_17 </t>
  </si>
  <si>
    <t>bih</t>
  </si>
  <si>
    <t>bih_17 </t>
  </si>
  <si>
    <t> </t>
  </si>
  <si>
    <t>Rent or Property</t>
  </si>
  <si>
    <t>[1] 
[2] Sub-Tenant
[3] Owner
[4] Nursing Home/ Retirement Community
[-1] No answer
[-2] Does not apply
[-3] Not valid
[-4] Inadmissible multiple response
[-5] Not Included In Questionnaire Version
[-6] Version of questionnaire with modified filtering</t>
  </si>
  <si>
    <t>ifelse(x &lt; 1 | is.na(x), NA, ifelse(x %in% c(1,2,4), 0, 1))</t>
  </si>
  <si>
    <t>mmaedhi</t>
  </si>
  <si>
    <t>Respondent's mother's educational qualifications</t>
  </si>
  <si>
    <t>1=never went to school, 2=left school/no qual., 3=left school w/some qual., 4=got further ed. qual., 5=got higher uni/higher degree</t>
  </si>
  <si>
    <t>ifelse(is.na(x) | x &lt; 0, NA, ifelse(x &lt; 4, 0, ifelse(x == 4, 1, 2)))</t>
  </si>
  <si>
    <t>skip</t>
  </si>
  <si>
    <t>mpaedhi</t>
  </si>
  <si>
    <t>Respondent's father's educational qualifications</t>
  </si>
  <si>
    <t>aindresp</t>
  </si>
  <si>
    <t>bindresp</t>
  </si>
  <si>
    <t>cindresp</t>
  </si>
  <si>
    <t>dindresp</t>
  </si>
  <si>
    <t>eindresp</t>
  </si>
  <si>
    <t>kindresp</t>
  </si>
  <si>
    <t>EducQual</t>
  </si>
  <si>
    <t>aqfedhi</t>
  </si>
  <si>
    <t>Highest educational qualification</t>
  </si>
  <si>
    <t>1=higher degree, 2=first degree, 3=teaching qual., 4=other higher qual., 5=nursing qual., 6=GCE A levels, 7=GCE O levels or equi., 8=commericial qual., 9=CSE grade 2-5, 10=apprenticeship, 11=other qual., 12=no qual., 13=still at school/no qual.</t>
  </si>
  <si>
    <t>bqfedhi</t>
  </si>
  <si>
    <t>cqfedhi</t>
  </si>
  <si>
    <t>dqfedhi</t>
  </si>
  <si>
    <t>eqfedhi</t>
  </si>
  <si>
    <t>fqfedhi</t>
  </si>
  <si>
    <t>gqfedhi</t>
  </si>
  <si>
    <t>hgfedhi</t>
  </si>
  <si>
    <t>igfedhi</t>
  </si>
  <si>
    <t>jgfedhi</t>
  </si>
  <si>
    <t>kgfedhi</t>
  </si>
  <si>
    <t>lgfedhi</t>
  </si>
  <si>
    <t>mgfedhi</t>
  </si>
  <si>
    <t>ngfedhi</t>
  </si>
  <si>
    <t>ogfedhi</t>
  </si>
  <si>
    <t>pgfedhi</t>
  </si>
  <si>
    <t>qgfedhi</t>
  </si>
  <si>
    <t>Cambridge Scale males: present job</t>
  </si>
  <si>
    <t>camMale</t>
  </si>
  <si>
    <t>camFemale</t>
  </si>
  <si>
    <t>Cambridge Scale females: present job</t>
  </si>
  <si>
    <t>aHHRESP</t>
  </si>
  <si>
    <t>Gross Annual Household Income</t>
  </si>
  <si>
    <t>bHHRESP</t>
  </si>
  <si>
    <t>cHHRESP</t>
  </si>
  <si>
    <t>dHHRESP</t>
  </si>
  <si>
    <t>eHHRESP</t>
  </si>
  <si>
    <t>fHHRESP</t>
  </si>
  <si>
    <t>gHHRESP</t>
  </si>
  <si>
    <t>hHHRESP</t>
  </si>
  <si>
    <t>iHHRESP</t>
  </si>
  <si>
    <t>jHHRESP</t>
  </si>
  <si>
    <t>kHHRESP</t>
  </si>
  <si>
    <t>lHHRESP</t>
  </si>
  <si>
    <t>mHHRESP</t>
  </si>
  <si>
    <t>nHHRESP</t>
  </si>
  <si>
    <t>oHHRESP</t>
  </si>
  <si>
    <t>pHHRESP</t>
  </si>
  <si>
    <t>qHHRESP</t>
  </si>
  <si>
    <t>rHHRESP</t>
  </si>
  <si>
    <t>aINDRESP</t>
  </si>
  <si>
    <t>frstjobstat</t>
  </si>
  <si>
    <t>ajbhad</t>
  </si>
  <si>
    <t>ever had paid employment</t>
  </si>
  <si>
    <t>1=employee, 2=self-employed</t>
  </si>
  <si>
    <t>ifelse(x  &gt; 0 &amp; !is.na(x), 1, 0)</t>
  </si>
  <si>
    <t>bINDRESP</t>
  </si>
  <si>
    <t>bjbhad</t>
  </si>
  <si>
    <t>cINDRESP</t>
  </si>
  <si>
    <t>cjbhad</t>
  </si>
  <si>
    <t>dINDRESP</t>
  </si>
  <si>
    <t>djbhad</t>
  </si>
  <si>
    <t>eINDRESP</t>
  </si>
  <si>
    <t>ejbhad</t>
  </si>
  <si>
    <t>fINDRESP</t>
  </si>
  <si>
    <t>fjbhad</t>
  </si>
  <si>
    <t>gINDRESP</t>
  </si>
  <si>
    <t>gjbhad</t>
  </si>
  <si>
    <t>hINDRESP</t>
  </si>
  <si>
    <t>hjbhad</t>
  </si>
  <si>
    <t>iINDRESP</t>
  </si>
  <si>
    <t>ijbhad</t>
  </si>
  <si>
    <t>jINDRESP</t>
  </si>
  <si>
    <t>jjbhad</t>
  </si>
  <si>
    <t>kINDRESP</t>
  </si>
  <si>
    <t>kjbhad</t>
  </si>
  <si>
    <t>lINDRESP</t>
  </si>
  <si>
    <t>ljbhad</t>
  </si>
  <si>
    <t>mINDRESP</t>
  </si>
  <si>
    <t>mjbhad</t>
  </si>
  <si>
    <t>nINDRESP</t>
  </si>
  <si>
    <t>njbhad</t>
  </si>
  <si>
    <t>oINDRESP</t>
  </si>
  <si>
    <t>ojbhad</t>
  </si>
  <si>
    <t>pINDRESP</t>
  </si>
  <si>
    <t>pjbhad</t>
  </si>
  <si>
    <t>qINDRESP</t>
  </si>
  <si>
    <t>qjbhad</t>
  </si>
  <si>
    <t>rINDRESP</t>
  </si>
  <si>
    <t>rjbhad</t>
  </si>
  <si>
    <t>alcTreat</t>
  </si>
  <si>
    <t>Under regular supervision? Alcohol/drugs</t>
  </si>
  <si>
    <t>1 = yes, 2 = no, negatives =  missing</t>
  </si>
  <si>
    <t>ifelse(x == 1 &amp; !is.na(x), 1, 0)</t>
  </si>
  <si>
    <t>anxDep</t>
  </si>
  <si>
    <t>Health problems: Anxiety, depression, etc</t>
  </si>
  <si>
    <t>Value = -9	Label = Missing or wild
Value = -8	Label = Inapplicable
Value = -7	Label = Proxy and or phone
Value = 0	Label = Not mentioned
Value = 1	Label = Yes</t>
  </si>
  <si>
    <t>private</t>
  </si>
  <si>
    <t>Welfare service: psychotherapy NHS/priv</t>
  </si>
  <si>
    <t>1 =  NHS or SSD, 2,  = private / voluntary, 3 = private, negative = missing or inapplicable</t>
  </si>
  <si>
    <t>psychTrt</t>
  </si>
  <si>
    <t>Receiving treatment psychiatic problems</t>
  </si>
  <si>
    <t>wlfrTrt</t>
  </si>
  <si>
    <t>Welfare service: psychotherapy free/paid</t>
  </si>
  <si>
    <t>1 =  free, 2,  = paid, 3 = both, negative = missing or inapplicable</t>
  </si>
  <si>
    <t>wlftPsych</t>
  </si>
  <si>
    <t>Welfare service: used psychotherapist</t>
  </si>
  <si>
    <t>0  =  not mentioned, 1 = used negative = missing</t>
  </si>
  <si>
    <t>accident</t>
  </si>
  <si>
    <t>axdts</t>
  </si>
  <si>
    <t>Since Sept. 1 last year, did you have any kind of accident as a result of which you saw a doctor/went to hospital?</t>
  </si>
  <si>
    <t>1=yes, 2=no</t>
  </si>
  <si>
    <t>bxdts</t>
  </si>
  <si>
    <t>cxdts</t>
  </si>
  <si>
    <t>dxdts</t>
  </si>
  <si>
    <t>exdts</t>
  </si>
  <si>
    <t>fxdts</t>
  </si>
  <si>
    <t>gxdts</t>
  </si>
  <si>
    <t>hxdts</t>
  </si>
  <si>
    <t>ixdts</t>
  </si>
  <si>
    <t>jxdts</t>
  </si>
  <si>
    <t>kxdts</t>
  </si>
  <si>
    <t>lxdts</t>
  </si>
  <si>
    <t>mxdts</t>
  </si>
  <si>
    <t>nxdts</t>
  </si>
  <si>
    <t>oxdts</t>
  </si>
  <si>
    <t>pxdts</t>
  </si>
  <si>
    <t>qxdts</t>
  </si>
  <si>
    <t>rxdts</t>
  </si>
  <si>
    <t>Diagnosed with arthritis, gout etc.</t>
  </si>
  <si>
    <t>breathing</t>
  </si>
  <si>
    <t>Health problems: Chest/breathing</t>
  </si>
  <si>
    <t>Health problems: Cancer</t>
  </si>
  <si>
    <t>Health problems: Diabetes</t>
  </si>
  <si>
    <t>epilepsy</t>
  </si>
  <si>
    <t>Health problems: Epilepsy</t>
  </si>
  <si>
    <t>Health problems: Heart/blood pressure</t>
  </si>
  <si>
    <t>heartAttck</t>
  </si>
  <si>
    <t>Suffer angina, heart failure or attack</t>
  </si>
  <si>
    <t>Health problems: Stroke</t>
  </si>
  <si>
    <t>empStat</t>
  </si>
  <si>
    <t>Value = -9	Label = Missing or wild
Value = -8	Label = Inapplicable
Value = -7	Label = Proxy and or phone
Value = -2	Label = Refused
Value = -1	Label = Not answered
Value = 1	Label = Self employed
Value = 2	Label = In paid employ
Value = 3	Label = Unemployed
Value = 4	Label = Retired
Value = 5	Label = Maternity leave
Value = 6	Label = Family care
Value = 7	Label = FT studt, school
Value = 8	Label = LT sick, disabld
Value = 9	Label = Govt trng scheme
Value = 10	Label = Something else</t>
  </si>
  <si>
    <t>ifelse(x == 3 &amp; !is.na(x), 1, 0)</t>
  </si>
  <si>
    <t>NumUnempPer</t>
  </si>
  <si>
    <t>anjusp</t>
  </si>
  <si>
    <t>Number of unemployment spells year to Sept 1</t>
  </si>
  <si>
    <t>Numeric (0-4)</t>
  </si>
  <si>
    <t>bnjusp</t>
  </si>
  <si>
    <t>cnjusp</t>
  </si>
  <si>
    <t>dnjusp</t>
  </si>
  <si>
    <t>enjusp</t>
  </si>
  <si>
    <t>fnjusp</t>
  </si>
  <si>
    <t>gnjusp</t>
  </si>
  <si>
    <t>hnjusp</t>
  </si>
  <si>
    <t>injusp</t>
  </si>
  <si>
    <t>jnjusp</t>
  </si>
  <si>
    <t>knjusp</t>
  </si>
  <si>
    <t>lnjusp</t>
  </si>
  <si>
    <t>mnjusp</t>
  </si>
  <si>
    <t>nnjusp</t>
  </si>
  <si>
    <t>onjusp</t>
  </si>
  <si>
    <t>pnjusp</t>
  </si>
  <si>
    <t>qnjusp</t>
  </si>
  <si>
    <t>rnjusp</t>
  </si>
  <si>
    <t>xwavedat</t>
  </si>
  <si>
    <t xml:space="preserve"> Can you please tell me the date of birth of your eldest (first born) child? Year</t>
  </si>
  <si>
    <t>Year (numeric)</t>
  </si>
  <si>
    <t>marstat</t>
  </si>
  <si>
    <t>Marital status</t>
  </si>
  <si>
    <t>Value = -9	Label = Missing or wild
Value = -8	Label = Inapplicable
Value = -2	Label = Refused
Value = -1	Label = Not answered
Value = 0	Label = Child under 16
Value = 1	Label = Married
Value = 2	Label = Living as couple
Value = 3	Label = Widowed
Value = 4	Label = Divorced
Value = 5	Label = Separated
Value = 6	Label = Never married</t>
  </si>
  <si>
    <t>ifelse(x == 4 &amp; !is.na(x), 1, 0)</t>
  </si>
  <si>
    <t>numKidsBio</t>
  </si>
  <si>
    <t>blnprnt</t>
  </si>
  <si>
    <t>No. of children respondent natural parent to</t>
  </si>
  <si>
    <t>hlnprnt</t>
  </si>
  <si>
    <t>ilnprnt</t>
  </si>
  <si>
    <t>jlnprnt</t>
  </si>
  <si>
    <t>klnprnt</t>
  </si>
  <si>
    <t>llnprnt</t>
  </si>
  <si>
    <t>mlnprnt</t>
  </si>
  <si>
    <t>nlnprnt</t>
  </si>
  <si>
    <t>olnprnt</t>
  </si>
  <si>
    <t>plnprnt</t>
  </si>
  <si>
    <t>qlnprnt</t>
  </si>
  <si>
    <t>rlnprnt</t>
  </si>
  <si>
    <t>HlthyAsOth</t>
  </si>
  <si>
    <t>ihlsf10b</t>
  </si>
  <si>
    <t>I am as healthy as anyone I know.</t>
  </si>
  <si>
    <t>Likert (1=definitely true to 5=definitely false)</t>
  </si>
  <si>
    <t>nhlsf10b</t>
  </si>
  <si>
    <t>IllMorThnOth</t>
  </si>
  <si>
    <t>ihlsf10a</t>
  </si>
  <si>
    <t>I seem to get ill more than other people</t>
  </si>
  <si>
    <t>nhlsf10a</t>
  </si>
  <si>
    <t>SRhealthLstYr</t>
  </si>
  <si>
    <t>ahlstat</t>
  </si>
  <si>
    <t>How would you rank your health over the past 12 months as compared to people your age?</t>
  </si>
  <si>
    <t>1=excellent, 2=good, 3=fair, 4=poor, 5=very poor</t>
  </si>
  <si>
    <t>bhlstat</t>
  </si>
  <si>
    <t>chlstat</t>
  </si>
  <si>
    <t>dhlstat</t>
  </si>
  <si>
    <t>ehlstat</t>
  </si>
  <si>
    <t>fhlstat</t>
  </si>
  <si>
    <t>ghlstat</t>
  </si>
  <si>
    <t>hhlstat</t>
  </si>
  <si>
    <t>jhlstat</t>
  </si>
  <si>
    <t>khlstat</t>
  </si>
  <si>
    <t>lhlstat</t>
  </si>
  <si>
    <t>mhlstat</t>
  </si>
  <si>
    <t>nhlstat</t>
  </si>
  <si>
    <t>ohlstat</t>
  </si>
  <si>
    <t>phlstat</t>
  </si>
  <si>
    <t>qhlstat</t>
  </si>
  <si>
    <t>rhlstat</t>
  </si>
  <si>
    <t>noHindrance</t>
  </si>
  <si>
    <t>Health no hindrance to listed activities</t>
  </si>
  <si>
    <t>Yes	1
No	2
Can do nothing	3
Missing or wild	-9
Inapplicable	-8
Don't know	-1</t>
  </si>
  <si>
    <t>ifelse(is.na(x) |x &lt; 0, NA, ifelse(x == 2 &amp;!is.na(x), 1, 0))</t>
  </si>
  <si>
    <t>Yes</t>
  </si>
  <si>
    <t>No</t>
  </si>
  <si>
    <t>walk</t>
  </si>
  <si>
    <t>Health hinders walking more than 10 mins</t>
  </si>
  <si>
    <t>ifelse(is.na(x) |x &lt; 0, NA, ifelse(x == 2 &amp;!is.na(x), 0, 1))</t>
  </si>
  <si>
    <t>dressed</t>
  </si>
  <si>
    <t>Health hinders climbing the stairs</t>
  </si>
  <si>
    <t>Health hinders doing the housework</t>
  </si>
  <si>
    <t>Health prohibits some types of work</t>
  </si>
  <si>
    <t>concen</t>
  </si>
  <si>
    <t>aGHQA</t>
  </si>
  <si>
    <t>GHQ:Have you recently.... been able to concentrate on whatever you're doing ?</t>
  </si>
  <si>
    <t>1 = Better than usual, 2  = same as usual, 3 = less  than usual, 4 = much less than  usual, -7,-9 missing</t>
  </si>
  <si>
    <t>bGHQA</t>
  </si>
  <si>
    <t>cGHQA</t>
  </si>
  <si>
    <t>dGHQA</t>
  </si>
  <si>
    <t>eGHQA</t>
  </si>
  <si>
    <t>fGHQA</t>
  </si>
  <si>
    <t>gGHQA</t>
  </si>
  <si>
    <t>hGHQA</t>
  </si>
  <si>
    <t>jGHQA</t>
  </si>
  <si>
    <t>kGHQA</t>
  </si>
  <si>
    <t>lGHQA</t>
  </si>
  <si>
    <t>mGHQA</t>
  </si>
  <si>
    <t>nGHQA</t>
  </si>
  <si>
    <t>oGHQA</t>
  </si>
  <si>
    <t>pGHQA</t>
  </si>
  <si>
    <t>qGHQA</t>
  </si>
  <si>
    <t>rGHQA</t>
  </si>
  <si>
    <t>confid</t>
  </si>
  <si>
    <t>aGHQJ</t>
  </si>
  <si>
    <t>GHQ: losing confidence</t>
  </si>
  <si>
    <t>Not at all 1 
No more thn usual 2
Rather more 3
Much more 4
Missing or wild -9 
Proxy respondent -7</t>
  </si>
  <si>
    <t>bGHQJ</t>
  </si>
  <si>
    <t>cGHQJ</t>
  </si>
  <si>
    <t>dGHQJ</t>
  </si>
  <si>
    <t>eGHQJ</t>
  </si>
  <si>
    <t>fGHQJ</t>
  </si>
  <si>
    <t>gGHQJ</t>
  </si>
  <si>
    <t>hGHQJ</t>
  </si>
  <si>
    <t>jGHQJ</t>
  </si>
  <si>
    <t>kGHQJ</t>
  </si>
  <si>
    <t>lGHQJ</t>
  </si>
  <si>
    <t>mGHQJ</t>
  </si>
  <si>
    <t>nGHQJ</t>
  </si>
  <si>
    <t>oGHQJ</t>
  </si>
  <si>
    <t>pGHQJ</t>
  </si>
  <si>
    <t>qGHQJ</t>
  </si>
  <si>
    <t>rGHQJ</t>
  </si>
  <si>
    <t>decis</t>
  </si>
  <si>
    <t>aGHQD</t>
  </si>
  <si>
    <t>GHQ: capable of making decisions</t>
  </si>
  <si>
    <t>More than usual 1 
Same as usual 2 
Less so 3 
Much less 4 
Missing or wild -9 
Proxy respondent -7</t>
  </si>
  <si>
    <t>bGHQD</t>
  </si>
  <si>
    <t>cGHQD</t>
  </si>
  <si>
    <t>dGHQD</t>
  </si>
  <si>
    <t>eGHQD</t>
  </si>
  <si>
    <t>fGHQD</t>
  </si>
  <si>
    <t>gGHQD</t>
  </si>
  <si>
    <t>hGHQD</t>
  </si>
  <si>
    <t>jGHQD</t>
  </si>
  <si>
    <t>kGHQD</t>
  </si>
  <si>
    <t>lGHQD</t>
  </si>
  <si>
    <t>mGHQD</t>
  </si>
  <si>
    <t>nGHQD</t>
  </si>
  <si>
    <t>oGHQD</t>
  </si>
  <si>
    <t>pGHQD</t>
  </si>
  <si>
    <t>qGHQD</t>
  </si>
  <si>
    <t>rGHQD</t>
  </si>
  <si>
    <t>dep</t>
  </si>
  <si>
    <t>aGHQI</t>
  </si>
  <si>
    <t>GHQ: unhappy or depressed</t>
  </si>
  <si>
    <t>bGHQI</t>
  </si>
  <si>
    <t>cGHQI</t>
  </si>
  <si>
    <t>dGHQI</t>
  </si>
  <si>
    <t>eGHQI</t>
  </si>
  <si>
    <t>fGHQI</t>
  </si>
  <si>
    <t>gGHQI</t>
  </si>
  <si>
    <t>hGHQI</t>
  </si>
  <si>
    <t>jGHQI</t>
  </si>
  <si>
    <t>kGHQI</t>
  </si>
  <si>
    <t>lGHQI</t>
  </si>
  <si>
    <t>mGHQI</t>
  </si>
  <si>
    <t>nGHQI</t>
  </si>
  <si>
    <t>oGHQI</t>
  </si>
  <si>
    <t>pGHQI</t>
  </si>
  <si>
    <t>qGHQI</t>
  </si>
  <si>
    <t>rGHQI</t>
  </si>
  <si>
    <t>enjoy</t>
  </si>
  <si>
    <t>aGHQG</t>
  </si>
  <si>
    <t>GHQ: enjoy day-to-day activities</t>
  </si>
  <si>
    <t>bGHQG</t>
  </si>
  <si>
    <t>cGHQG</t>
  </si>
  <si>
    <t>dGHQG</t>
  </si>
  <si>
    <t>eGHQG</t>
  </si>
  <si>
    <t>fGHQG</t>
  </si>
  <si>
    <t>gGHQG</t>
  </si>
  <si>
    <t>hGHQG</t>
  </si>
  <si>
    <t>jGHQG</t>
  </si>
  <si>
    <t>kGHQG</t>
  </si>
  <si>
    <t>lGHQG</t>
  </si>
  <si>
    <t>mGHQG</t>
  </si>
  <si>
    <t>nGHQG</t>
  </si>
  <si>
    <t>oGHQG</t>
  </si>
  <si>
    <t>pGHQG</t>
  </si>
  <si>
    <t>qGHQG</t>
  </si>
  <si>
    <t>rGHQG</t>
  </si>
  <si>
    <t>faceProb</t>
  </si>
  <si>
    <t>aGHQH</t>
  </si>
  <si>
    <t>GHQ: ability to face problems</t>
  </si>
  <si>
    <t>bGHQH</t>
  </si>
  <si>
    <t>cGHQH</t>
  </si>
  <si>
    <t>dGHQH</t>
  </si>
  <si>
    <t>eGHQH</t>
  </si>
  <si>
    <t>fGHQH</t>
  </si>
  <si>
    <t>gGHQH</t>
  </si>
  <si>
    <t>hGHQH</t>
  </si>
  <si>
    <t>jGHQH</t>
  </si>
  <si>
    <t>kGHQH</t>
  </si>
  <si>
    <t>lGHQH</t>
  </si>
  <si>
    <t>mGHQH</t>
  </si>
  <si>
    <t>nGHQH</t>
  </si>
  <si>
    <t>oGHQH</t>
  </si>
  <si>
    <t>pGHQH</t>
  </si>
  <si>
    <t>qGHQH</t>
  </si>
  <si>
    <t>rGHQH</t>
  </si>
  <si>
    <t>genHapp</t>
  </si>
  <si>
    <t>aGHQL</t>
  </si>
  <si>
    <t>GHQ: general happiness</t>
  </si>
  <si>
    <t>bGHQL</t>
  </si>
  <si>
    <t>cGHQL</t>
  </si>
  <si>
    <t>dGHQL</t>
  </si>
  <si>
    <t>eGHQL</t>
  </si>
  <si>
    <t>fGHQL</t>
  </si>
  <si>
    <t>gGHQL</t>
  </si>
  <si>
    <t>hGHQL</t>
  </si>
  <si>
    <t>jGHQL</t>
  </si>
  <si>
    <t>kGHQL</t>
  </si>
  <si>
    <t>lGHQL</t>
  </si>
  <si>
    <t>mGHQL</t>
  </si>
  <si>
    <t>nGHQL</t>
  </si>
  <si>
    <t>oGHQL</t>
  </si>
  <si>
    <t>pGHQL</t>
  </si>
  <si>
    <t>qGHQL</t>
  </si>
  <si>
    <t>rGHQL</t>
  </si>
  <si>
    <t>probDiff</t>
  </si>
  <si>
    <t>aGHQF</t>
  </si>
  <si>
    <t>GHQ: problem overcoming difficulties</t>
  </si>
  <si>
    <t>bGHQF</t>
  </si>
  <si>
    <t>cGHQF</t>
  </si>
  <si>
    <t>dGHQF</t>
  </si>
  <si>
    <t>eGHQF</t>
  </si>
  <si>
    <t>fGHQF</t>
  </si>
  <si>
    <t>gGHQF</t>
  </si>
  <si>
    <t>hGHQF</t>
  </si>
  <si>
    <t>jGHQF</t>
  </si>
  <si>
    <t>kGHQF</t>
  </si>
  <si>
    <t>lGHQF</t>
  </si>
  <si>
    <t>mGHQF</t>
  </si>
  <si>
    <t>nGHQF</t>
  </si>
  <si>
    <t>oGHQF</t>
  </si>
  <si>
    <t>pGHQF</t>
  </si>
  <si>
    <t>qGHQF</t>
  </si>
  <si>
    <t>rGHQF</t>
  </si>
  <si>
    <t>selfWrth</t>
  </si>
  <si>
    <t>aGHQK</t>
  </si>
  <si>
    <t>GHQ: believe in self-worth</t>
  </si>
  <si>
    <t>bGHQK</t>
  </si>
  <si>
    <t>cGHQK</t>
  </si>
  <si>
    <t>dGHQK</t>
  </si>
  <si>
    <t>eGHQK</t>
  </si>
  <si>
    <t>fGHQK</t>
  </si>
  <si>
    <t>gGHQK</t>
  </si>
  <si>
    <t>hGHQK</t>
  </si>
  <si>
    <t>jGHQK</t>
  </si>
  <si>
    <t>kGHQK</t>
  </si>
  <si>
    <t>lGHQK</t>
  </si>
  <si>
    <t>mGHQK</t>
  </si>
  <si>
    <t>nGHQK</t>
  </si>
  <si>
    <t>oGHQK</t>
  </si>
  <si>
    <t>pGHQK</t>
  </si>
  <si>
    <t>qGHQK</t>
  </si>
  <si>
    <t>rGHQK</t>
  </si>
  <si>
    <t>sleep</t>
  </si>
  <si>
    <t>aGHQB</t>
  </si>
  <si>
    <t>GHQ: Have you recently lost much sleep over worry ?</t>
  </si>
  <si>
    <t>bGHQB</t>
  </si>
  <si>
    <t>cGHQB</t>
  </si>
  <si>
    <t>dGHQB</t>
  </si>
  <si>
    <t>eGHQB</t>
  </si>
  <si>
    <t>fGHQB</t>
  </si>
  <si>
    <t>gGHQB</t>
  </si>
  <si>
    <t>hGHQB</t>
  </si>
  <si>
    <t>jGHQB</t>
  </si>
  <si>
    <t>kGHQB</t>
  </si>
  <si>
    <t>lGHQB</t>
  </si>
  <si>
    <t>mGHQB</t>
  </si>
  <si>
    <t>nGHQB</t>
  </si>
  <si>
    <t>oGHQB</t>
  </si>
  <si>
    <t>pGHQB</t>
  </si>
  <si>
    <t>qGHQB</t>
  </si>
  <si>
    <t>rGHQB</t>
  </si>
  <si>
    <t>strain</t>
  </si>
  <si>
    <t>aGHQE</t>
  </si>
  <si>
    <t>GHQ: Have you recently felt constantly under strain?</t>
  </si>
  <si>
    <t>Not at all 1 
No more than usual 2 
Rather more 3 
Much more 4 442 
Missing or wild -9 
Proxy respondent -7</t>
  </si>
  <si>
    <t>bGHQE</t>
  </si>
  <si>
    <t>cGHQE</t>
  </si>
  <si>
    <t>dGHQE</t>
  </si>
  <si>
    <t>eGHQE</t>
  </si>
  <si>
    <t>fGHQE</t>
  </si>
  <si>
    <t>gGHQE</t>
  </si>
  <si>
    <t>hGHQE</t>
  </si>
  <si>
    <t>jGHQE</t>
  </si>
  <si>
    <t>kGHQE</t>
  </si>
  <si>
    <t>lGHQE</t>
  </si>
  <si>
    <t>mGHQE</t>
  </si>
  <si>
    <t>nGHQE</t>
  </si>
  <si>
    <t>oGHQE</t>
  </si>
  <si>
    <t>pGHQE</t>
  </si>
  <si>
    <t>qGHQE</t>
  </si>
  <si>
    <t>rGHQE</t>
  </si>
  <si>
    <t>useful</t>
  </si>
  <si>
    <t>aGHQC</t>
  </si>
  <si>
    <t>GHQ: Have you recently felt that you were playing a useful part in things ?</t>
  </si>
  <si>
    <t>More than usual 1 
Same as usual 2 
Less so 3 
Much less 4 
Missing or wild
Proxy respondent</t>
  </si>
  <si>
    <t>bGHQC</t>
  </si>
  <si>
    <t>cGHQC</t>
  </si>
  <si>
    <t>dGHQC</t>
  </si>
  <si>
    <t>eGHQC</t>
  </si>
  <si>
    <t>fGHQC</t>
  </si>
  <si>
    <t>gGHQC</t>
  </si>
  <si>
    <t>hGHQC</t>
  </si>
  <si>
    <t>jGHQC</t>
  </si>
  <si>
    <t>kGHQC</t>
  </si>
  <si>
    <t>lGHQC</t>
  </si>
  <si>
    <t>mGHQC</t>
  </si>
  <si>
    <t>nGHQC</t>
  </si>
  <si>
    <t>oGHQC</t>
  </si>
  <si>
    <t>pGHQC</t>
  </si>
  <si>
    <t>qGHQC</t>
  </si>
  <si>
    <t>rGHQC</t>
  </si>
  <si>
    <t>CntctChldTel</t>
  </si>
  <si>
    <t>kchtel</t>
  </si>
  <si>
    <t>How often contacts son/daughter via telephone</t>
  </si>
  <si>
    <t>Likert 1-6 (1=daily, 6=never)</t>
  </si>
  <si>
    <t>lchtel</t>
  </si>
  <si>
    <t>pchtel</t>
  </si>
  <si>
    <t>CntctFthTel</t>
  </si>
  <si>
    <t>kpatel</t>
  </si>
  <si>
    <t>How often contacts father by telephone</t>
  </si>
  <si>
    <t>lpatel</t>
  </si>
  <si>
    <t>ppatel</t>
  </si>
  <si>
    <t>CntctMthTel</t>
  </si>
  <si>
    <t>kmatel</t>
  </si>
  <si>
    <t>How often contacts mother by telephone</t>
  </si>
  <si>
    <t>lmatel</t>
  </si>
  <si>
    <t>pmatel</t>
  </si>
  <si>
    <t>SeesChld</t>
  </si>
  <si>
    <t>kchsee</t>
  </si>
  <si>
    <t>How often sees son/daughter</t>
  </si>
  <si>
    <t>lchsee</t>
  </si>
  <si>
    <t>pchsee</t>
  </si>
  <si>
    <t>SeesFthr</t>
  </si>
  <si>
    <t>kpasee</t>
  </si>
  <si>
    <t>How often sees father</t>
  </si>
  <si>
    <t>lpasee</t>
  </si>
  <si>
    <t>ppasee</t>
  </si>
  <si>
    <t>SeesMthr</t>
  </si>
  <si>
    <t>kmasee</t>
  </si>
  <si>
    <t>How often sees mother</t>
  </si>
  <si>
    <t>lmasee</t>
  </si>
  <si>
    <t>pmasee</t>
  </si>
  <si>
    <t>Does your household own or rent this accommodation or does it come rent-free?</t>
  </si>
  <si>
    <t>Owned or on mortgage	1
Shared ownership	2
Rented	3
Rent free	4
Other	5
Missing or wild	-9
Refused	-2</t>
  </si>
  <si>
    <t>ifelse(is.na(x) | x &lt; 1, NA, ifelse(x %in% 1:2, 1, ifelse(x %in% 3:4, 0, NA)))</t>
  </si>
  <si>
    <t>moveStat</t>
  </si>
  <si>
    <t>Individual mover status</t>
  </si>
  <si>
    <t>Non Mover	1
Mover within GB	2
New Entrant W2	7</t>
  </si>
  <si>
    <t>ifelse(x &lt; 1 | x &gt; 7, NA, ifelse(x %in% c(1,7), 0, 1))</t>
  </si>
  <si>
    <t>momhighestedu</t>
  </si>
  <si>
    <t>P$$O34</t>
  </si>
  <si>
    <t>O34</t>
  </si>
  <si>
    <t>Highest level of education achieved: Mother</t>
  </si>
  <si>
    <t>-8 other error
-7 filter error
-3 inapplicable
-2 no answer
-1 does not know
0 incomplete compulsory school
1 only completed compulsory school
2 elementary vocational training (firm + school)
3 apprenticeship (CFC level)
4 2 to 3 years: full-time vocational school
5 vocational maturity
6 2 to 3 years: general training school
7 High school, Maturity/Training or Teacher's Training College
8 1 year: sch of commerce/au pair/residential language course
12 Vocational high school with master certif, fed certificate
13 technical or vocational school
14 Voc high school/tech coll/engineering ETS (3 - 4 years)/specialised high school
15 University, High school (first academic degree /doctorate / post-graduate degree)</t>
  </si>
  <si>
    <t>ifelse(is.na(x) | x &lt; 0, NA, ifelse(x &lt; 14, 0, 1))</t>
  </si>
  <si>
    <t>dadhighestedu</t>
  </si>
  <si>
    <t>P$$O17</t>
  </si>
  <si>
    <t>O17</t>
  </si>
  <si>
    <t>Highest level of education achieved: Father</t>
  </si>
  <si>
    <t>EDCAT</t>
  </si>
  <si>
    <t>highestedu17</t>
  </si>
  <si>
    <t>EDCAT00</t>
  </si>
  <si>
    <t>Highest level of education achieved, grid + individual 17 codes</t>
  </si>
  <si>
    <t>-8 other error
-7 filter error
-6 specialized school for handicapped
-5 pre-obligatory schooling
-4 not yet school age
-3 inapplicable
-2 no answer
-1 does not know
0 incomplete compulsory school
1 compulsory school
2 elementary vocational training
3 domestic science course, 1 year school of commerce
4 general training school
5 apprenticeship (CFC, EFZ)
6 full-time vocational school
7 vocational maturity
8 teacher training college
9 bachelor/maturity (high school)
10 vocational high school with master certificate, federal certificate
11 technical or vocational school
12 vocational high school ETS, HTL etc.
13 university of teacher education HEP, PH
14 university of applied sciences HES, FH
15 university, academic high school, EPF, ETH
16 PhD</t>
  </si>
  <si>
    <t>ifelse(is.na(x) | x &lt; 0, NA, ifelse(x &lt; 13, 0, ifelse(x &lt; 15, 1,2 )))</t>
  </si>
  <si>
    <t>EDCAT01</t>
  </si>
  <si>
    <t>EDCAT02</t>
  </si>
  <si>
    <t>EDCAT03</t>
  </si>
  <si>
    <t>EDCAT04</t>
  </si>
  <si>
    <t>EDCAT05</t>
  </si>
  <si>
    <t>EDCAT06</t>
  </si>
  <si>
    <t>EDCAT07</t>
  </si>
  <si>
    <t>EDCAT08</t>
  </si>
  <si>
    <t>EDCAT09</t>
  </si>
  <si>
    <t>EDCAT10</t>
  </si>
  <si>
    <t>EDCAT11</t>
  </si>
  <si>
    <t>EDCAT12</t>
  </si>
  <si>
    <t>EDCAT13</t>
  </si>
  <si>
    <t>EDCAT14</t>
  </si>
  <si>
    <t>EDCAT15</t>
  </si>
  <si>
    <t>EDCAT16</t>
  </si>
  <si>
    <t>EDCAT17</t>
  </si>
  <si>
    <t>EDCAT18</t>
  </si>
  <si>
    <t>EDCAT19</t>
  </si>
  <si>
    <t>EDGR99</t>
  </si>
  <si>
    <t>ISCO classification: Main current job: 4-digit-position</t>
  </si>
  <si>
    <t>integer</t>
  </si>
  <si>
    <t>ifelse(is.na(x) | x &gt; 9999, NA, x)</t>
  </si>
  <si>
    <t>I</t>
  </si>
  <si>
    <t>grossIncome</t>
  </si>
  <si>
    <t>Yearly household income equivalised, OECD, gross</t>
  </si>
  <si>
    <t>-8	other error
-7	filter error
-4	no personal income
-3	inapplicable
-2	no answer
-1	does not know</t>
  </si>
  <si>
    <t>I99EQOG</t>
  </si>
  <si>
    <t>ageatfirstjob</t>
  </si>
  <si>
    <t>P04W608</t>
  </si>
  <si>
    <t>W608</t>
  </si>
  <si>
    <t>First regular job: at what age</t>
  </si>
  <si>
    <t>ifelse(x &lt; 0 | (year - yearBrth) &lt; x, NA, ifelse((year - yearBrth) == x, 1, 0))</t>
  </si>
  <si>
    <t>P05W608</t>
  </si>
  <si>
    <t>P06W608</t>
  </si>
  <si>
    <t>P07W608</t>
  </si>
  <si>
    <t>P08W608</t>
  </si>
  <si>
    <t>P09W608</t>
  </si>
  <si>
    <t>P10W608</t>
  </si>
  <si>
    <t>P11W608</t>
  </si>
  <si>
    <t>P12W608</t>
  </si>
  <si>
    <t>P13W608</t>
  </si>
  <si>
    <t>P14W608</t>
  </si>
  <si>
    <t>P15W608</t>
  </si>
  <si>
    <t>P16W608</t>
  </si>
  <si>
    <t>P17W608</t>
  </si>
  <si>
    <t>P18W608</t>
  </si>
  <si>
    <t>P19W608</t>
  </si>
  <si>
    <t>relationshipend</t>
  </si>
  <si>
    <t>CIVSTA99</t>
  </si>
  <si>
    <t>Civil status in year of interview</t>
  </si>
  <si>
    <t>-8	other error
-7	filter error
-3	inapplicable
-2	no answer
-1	does not know
1	single, never married
2	married
3	separated
4	divorced
5	widower/widow</t>
  </si>
  <si>
    <t>ifelse(is.na(x) | x &lt; 0, NA, ifelse(x ==  4, 1, 0))</t>
  </si>
  <si>
    <t>CIVSTA00</t>
  </si>
  <si>
    <t>CIVSTA01</t>
  </si>
  <si>
    <t>CIVSTA02</t>
  </si>
  <si>
    <t>CIVSTA03</t>
  </si>
  <si>
    <t>CIVSTA04</t>
  </si>
  <si>
    <t>CIVSTA05</t>
  </si>
  <si>
    <t>CIVSTA06</t>
  </si>
  <si>
    <t>CIVSTA07</t>
  </si>
  <si>
    <t>CIVSTA08</t>
  </si>
  <si>
    <t>CIVSTA09</t>
  </si>
  <si>
    <t>CIVSTA10</t>
  </si>
  <si>
    <t>CIVSTA11</t>
  </si>
  <si>
    <t>CIVSTA12</t>
  </si>
  <si>
    <t>CIVSTA13</t>
  </si>
  <si>
    <t>CIVSTA14</t>
  </si>
  <si>
    <t>CIVSTA15</t>
  </si>
  <si>
    <t>CIVSTA16</t>
  </si>
  <si>
    <t>CIVSTA17</t>
  </si>
  <si>
    <t>CIVSTA18</t>
  </si>
  <si>
    <t>CIVSTA19</t>
  </si>
  <si>
    <t>lifeevents</t>
  </si>
  <si>
    <t>P00L36</t>
  </si>
  <si>
    <t>L36</t>
  </si>
  <si>
    <t>Types of other events - 1</t>
  </si>
  <si>
    <t>-8 other error
-7 filter error
-3 inapplicable
-2 no answer
-1 does not know
1 dismissal, unemployment
2 retirement
3 change of job
4 problems and conflicts at work (including mobbing)
5 problems at school, academic failure
6 change of apartment or place of residence
7 problems with neighbours
8 environmental pollution
9 financial difficulties
10 problems with insurances
11 problems with the judiciary
12 material damage
13 psychological trauma
14 hospitalization / operation
15 birth
16 other'</t>
  </si>
  <si>
    <t>ifelse(is.na(x) | x &lt; 0, NA, ifelse(x == 13, 1, 0))</t>
  </si>
  <si>
    <t>P01L36</t>
  </si>
  <si>
    <t>P02L36</t>
  </si>
  <si>
    <t>P03L36</t>
  </si>
  <si>
    <t>P00L41</t>
  </si>
  <si>
    <t>L41</t>
  </si>
  <si>
    <t>Types of other events - 2</t>
  </si>
  <si>
    <t>P01L41</t>
  </si>
  <si>
    <t>P02L41</t>
  </si>
  <si>
    <t>P03L41</t>
  </si>
  <si>
    <t>P00L46</t>
  </si>
  <si>
    <t>L46</t>
  </si>
  <si>
    <t>Types of other events - 3</t>
  </si>
  <si>
    <t>P01L46</t>
  </si>
  <si>
    <t>P02L46</t>
  </si>
  <si>
    <t>P03L46</t>
  </si>
  <si>
    <t>P00L51</t>
  </si>
  <si>
    <t>L51</t>
  </si>
  <si>
    <t>Types of other events - 4</t>
  </si>
  <si>
    <t>P01L51</t>
  </si>
  <si>
    <t>P02L51</t>
  </si>
  <si>
    <t>P03L51</t>
  </si>
  <si>
    <t>P04L91</t>
  </si>
  <si>
    <t>L91</t>
  </si>
  <si>
    <t>Type of event</t>
  </si>
  <si>
    <t>-8 other error
-7 filter error
-3 inapplicable
-2 no answer
-1 does not know
1 dismissal, unemployment
2 retirement
3 change of job
4 problems and conflicts at work (including mobbing)
5 problems at school, academic failure
6 change of apartment or place of residence
7 problems with neighbours
8 environmental pollution
9 financial difficulties
10 problems with insurances
11 problems with the judiciary
12 material damage
13 psychological trauma
14 hospitalization / operation
15 birth
16 other
17 Burglary
18 Insult, threat
19 Hit, wounded'</t>
  </si>
  <si>
    <t>P05L91</t>
  </si>
  <si>
    <t>P06L91</t>
  </si>
  <si>
    <t>P07L91</t>
  </si>
  <si>
    <t>P08L91</t>
  </si>
  <si>
    <t>P09L91</t>
  </si>
  <si>
    <t>P10L91</t>
  </si>
  <si>
    <t>P11L91</t>
  </si>
  <si>
    <t>P12L91</t>
  </si>
  <si>
    <t>P13L91</t>
  </si>
  <si>
    <t>P14L91</t>
  </si>
  <si>
    <t>P15L91</t>
  </si>
  <si>
    <t>P16L91</t>
  </si>
  <si>
    <t>P17L91</t>
  </si>
  <si>
    <t>P18L91</t>
  </si>
  <si>
    <t>P19L91</t>
  </si>
  <si>
    <t>illnessaccident</t>
  </si>
  <si>
    <t>P00L01</t>
  </si>
  <si>
    <t>L01</t>
  </si>
  <si>
    <t>Illness, accident: yes, no</t>
  </si>
  <si>
    <t>-8	other error
-7	filter error
-3	inapplicable
-2	no answer
-1	does not know
1	yes
2	no</t>
  </si>
  <si>
    <t>P01L01</t>
  </si>
  <si>
    <t>P02L01</t>
  </si>
  <si>
    <t>P03L01</t>
  </si>
  <si>
    <t>P04L01</t>
  </si>
  <si>
    <t>P05L01</t>
  </si>
  <si>
    <t>P06L01</t>
  </si>
  <si>
    <t>P07L01</t>
  </si>
  <si>
    <t>P08L01</t>
  </si>
  <si>
    <t>P09L01</t>
  </si>
  <si>
    <t>P10L01</t>
  </si>
  <si>
    <t>P11L01</t>
  </si>
  <si>
    <t>P12L01</t>
  </si>
  <si>
    <t>P13L01</t>
  </si>
  <si>
    <t>P14L01</t>
  </si>
  <si>
    <t>P15L01</t>
  </si>
  <si>
    <t>P16L01</t>
  </si>
  <si>
    <t>P17L01</t>
  </si>
  <si>
    <t>P18L01</t>
  </si>
  <si>
    <t>P19L01</t>
  </si>
  <si>
    <t>illnessaccidentonsetmo</t>
  </si>
  <si>
    <t>P00L02</t>
  </si>
  <si>
    <t>L02</t>
  </si>
  <si>
    <t>Onset of illness, accident: Month</t>
  </si>
  <si>
    <t>-8	other error
-7	filter error
-3	inapplicable
-2	no answer
-1	does not know
1 January
2 February
3 March
4 April
5 May
6 June
7 July
8 August
9 September
10 October
11 November
12 December</t>
  </si>
  <si>
    <t>P01L02</t>
  </si>
  <si>
    <t>P02L02</t>
  </si>
  <si>
    <t>P03L02</t>
  </si>
  <si>
    <t>P04L02</t>
  </si>
  <si>
    <t>P05L02</t>
  </si>
  <si>
    <t>P06L02</t>
  </si>
  <si>
    <t>P07L02</t>
  </si>
  <si>
    <t>P08L02</t>
  </si>
  <si>
    <t>P09L02</t>
  </si>
  <si>
    <t>P10L02</t>
  </si>
  <si>
    <t>P11L02</t>
  </si>
  <si>
    <t>P12L02</t>
  </si>
  <si>
    <t>P13L02</t>
  </si>
  <si>
    <t>P14L02</t>
  </si>
  <si>
    <t>P15L02</t>
  </si>
  <si>
    <t>P16L02</t>
  </si>
  <si>
    <t>P17L02</t>
  </si>
  <si>
    <t>P18L02</t>
  </si>
  <si>
    <t>P19L02</t>
  </si>
  <si>
    <t>illnessaccidentonsetyr</t>
  </si>
  <si>
    <t>P00L03</t>
  </si>
  <si>
    <t>L03</t>
  </si>
  <si>
    <t>Onset of illness, accident: Year</t>
  </si>
  <si>
    <t>P01L03</t>
  </si>
  <si>
    <t>P02L03</t>
  </si>
  <si>
    <t>P03L03</t>
  </si>
  <si>
    <t>P04L03</t>
  </si>
  <si>
    <t>P05L03</t>
  </si>
  <si>
    <t>P06L03</t>
  </si>
  <si>
    <t>P07L03</t>
  </si>
  <si>
    <t>P08L03</t>
  </si>
  <si>
    <t>P09L03</t>
  </si>
  <si>
    <t>P10L03</t>
  </si>
  <si>
    <t>P11L03</t>
  </si>
  <si>
    <t>P12L03</t>
  </si>
  <si>
    <t>P13L03</t>
  </si>
  <si>
    <t>P14L03</t>
  </si>
  <si>
    <t>P15L03</t>
  </si>
  <si>
    <t>P16L03</t>
  </si>
  <si>
    <t>P17L03</t>
  </si>
  <si>
    <t>P18L03</t>
  </si>
  <si>
    <t>P19L03</t>
  </si>
  <si>
    <t>illnessaccidenttype</t>
  </si>
  <si>
    <t>P02L01R</t>
  </si>
  <si>
    <t>L01R</t>
  </si>
  <si>
    <t>Illness, accident: reason</t>
  </si>
  <si>
    <t>-8	other error
-7	filter error
-3	inapplicable
-2	no answer
-1	does not know
1 Physical illness
2 Mental illness or psychological problem
3 Work accident
4 Road accident
5 Accident in the home, or in the garden
6 Sport accident, playing games etc.
7 Other reason</t>
  </si>
  <si>
    <t>P03L01R</t>
  </si>
  <si>
    <t>P04L01R</t>
  </si>
  <si>
    <t>P05L01R</t>
  </si>
  <si>
    <t>P06L01R</t>
  </si>
  <si>
    <t>P07L01R</t>
  </si>
  <si>
    <t>P08L01R</t>
  </si>
  <si>
    <t>P09L01R</t>
  </si>
  <si>
    <t>P10L01R</t>
  </si>
  <si>
    <t>P11L01R</t>
  </si>
  <si>
    <t>P12L01R</t>
  </si>
  <si>
    <t>P13L01R</t>
  </si>
  <si>
    <t>P14L01R</t>
  </si>
  <si>
    <t>P15L01R</t>
  </si>
  <si>
    <t>P16L01R</t>
  </si>
  <si>
    <t>P17L01R</t>
  </si>
  <si>
    <t>P18L01R</t>
  </si>
  <si>
    <t>P19L01R</t>
  </si>
  <si>
    <t>ifelse(x == 1, 1, 0)</t>
  </si>
  <si>
    <t>OWNKIDS</t>
  </si>
  <si>
    <t>numchild</t>
  </si>
  <si>
    <t>OWNKID99</t>
  </si>
  <si>
    <t>Number of children born</t>
  </si>
  <si>
    <t>ifelse(x &gt; 0, 1, 0)</t>
  </si>
  <si>
    <t>OWNKID00</t>
  </si>
  <si>
    <t>OWNKID01</t>
  </si>
  <si>
    <t>OWNKID02</t>
  </si>
  <si>
    <t>OWNKID03</t>
  </si>
  <si>
    <t>OWNKID04</t>
  </si>
  <si>
    <t>OWNKID05</t>
  </si>
  <si>
    <t>OWNKID06</t>
  </si>
  <si>
    <t>OWNKID07</t>
  </si>
  <si>
    <t>OWNKID08</t>
  </si>
  <si>
    <t>OWNKID09</t>
  </si>
  <si>
    <t>OWNKID10</t>
  </si>
  <si>
    <t>OWNKID11</t>
  </si>
  <si>
    <t>OWNKID12</t>
  </si>
  <si>
    <t>OWNKID13</t>
  </si>
  <si>
    <t>OWNKID14</t>
  </si>
  <si>
    <t>OWNKID15</t>
  </si>
  <si>
    <t>OWNKID16</t>
  </si>
  <si>
    <t>OWNKID17</t>
  </si>
  <si>
    <t>OWNKID18</t>
  </si>
  <si>
    <t>OWNKID19</t>
  </si>
  <si>
    <t>oldestDOB</t>
  </si>
  <si>
    <t>D113</t>
  </si>
  <si>
    <t>oldest child DOB</t>
  </si>
  <si>
    <t>-8        other error
-7        filter error
-3        inapplicable
-2        no answer
-1        does not know
1        dismissal, unemployment
2        retirement
3        change of job
4        problems and conflicts at work (including mobbing)
5        problems at school, academic failure
6        change of apartment or place of residence
7        problems with neighbours
8        environmental pollution
9        financial difficulties
10        problems with insurances
11        problems with the judiciary
12        material damage
13        psychological trauma
14        hospitalization / operation
15        birth
16        other</t>
  </si>
  <si>
    <t>Children: yes-no</t>
  </si>
  <si>
    <t>depressionanxietyfreq</t>
  </si>
  <si>
    <t>P99C17</t>
  </si>
  <si>
    <t>C17</t>
  </si>
  <si>
    <t>Depression, blues, anxiety: Frequency ("Do you often have negative feelings such as having the blues, being desperate, suffering from anxiety or depression, if 0 means "never" and 10 "always"?")</t>
  </si>
  <si>
    <t>-8	other error
-7	filter error
-3	inapplicable
-2	no answer
-1	does not know
0	never
1	 
2	 
3	 
4	 
5	 
6	 
7	 
8	 
9	 
10	always</t>
  </si>
  <si>
    <t>P00C17</t>
  </si>
  <si>
    <t>P01C17</t>
  </si>
  <si>
    <t>P02C17</t>
  </si>
  <si>
    <t>P03C17</t>
  </si>
  <si>
    <t>P04C17</t>
  </si>
  <si>
    <t>P05C17</t>
  </si>
  <si>
    <t>P06C17</t>
  </si>
  <si>
    <t>P07C17</t>
  </si>
  <si>
    <t>P08C17</t>
  </si>
  <si>
    <t>P09C17</t>
  </si>
  <si>
    <t>P10C17</t>
  </si>
  <si>
    <t>P11C17</t>
  </si>
  <si>
    <t>P12C17</t>
  </si>
  <si>
    <t>P13C17</t>
  </si>
  <si>
    <t>P14C17</t>
  </si>
  <si>
    <t>P15C17</t>
  </si>
  <si>
    <t>P16C17</t>
  </si>
  <si>
    <t>P17C17</t>
  </si>
  <si>
    <t>P18C17</t>
  </si>
  <si>
    <t>P19C17</t>
  </si>
  <si>
    <t>genhealth</t>
  </si>
  <si>
    <t>P04C01A</t>
  </si>
  <si>
    <t>C01A</t>
  </si>
  <si>
    <t>Health in general</t>
  </si>
  <si>
    <t>-8	other error
-7	filter error
-3	inapplicable
-2	no answer
-1	does not know
1	 very good
2	 good
3	 fair
4	 bad
5	 very bad</t>
  </si>
  <si>
    <t>P05C01A</t>
  </si>
  <si>
    <t>healthnow</t>
  </si>
  <si>
    <t>P99C01</t>
  </si>
  <si>
    <t>C01</t>
  </si>
  <si>
    <t>Health status ("How do you feel right now?")</t>
  </si>
  <si>
    <t>-8	other error
-7	filter error
-3	inapplicable
-2	no answer
-1	does not know
1	 very well
2	 well
3	 so, so (average)
4	 not very well
5	 not well at all</t>
  </si>
  <si>
    <t>P00C01</t>
  </si>
  <si>
    <t>P01C01</t>
  </si>
  <si>
    <t>P02C01</t>
  </si>
  <si>
    <t>P03C01</t>
  </si>
  <si>
    <t>P04C01</t>
  </si>
  <si>
    <t>P05C01</t>
  </si>
  <si>
    <t>P06C01</t>
  </si>
  <si>
    <t>P07C01</t>
  </si>
  <si>
    <t>P08C01</t>
  </si>
  <si>
    <t>P09C01</t>
  </si>
  <si>
    <t>P10C01</t>
  </si>
  <si>
    <t>P11C01</t>
  </si>
  <si>
    <t>P12C01</t>
  </si>
  <si>
    <t>P13C01</t>
  </si>
  <si>
    <t>P14C01</t>
  </si>
  <si>
    <t>P15C01</t>
  </si>
  <si>
    <t>P16C01</t>
  </si>
  <si>
    <t>P17C01</t>
  </si>
  <si>
    <t>P18C01</t>
  </si>
  <si>
    <t>P19C01</t>
  </si>
  <si>
    <t>backprobsmo</t>
  </si>
  <si>
    <t>P04C04A</t>
  </si>
  <si>
    <t>C04A</t>
  </si>
  <si>
    <t>Health problems: Back problems: Last 4 weeks</t>
  </si>
  <si>
    <t>-8	other error
-7	filter error
-3	inapplicable
-2	no answer
-1	does not know
1	 not at all
2  somewhat 3 very much</t>
  </si>
  <si>
    <t>ifelse(is.na(x) | x &lt; 0, NA, ifelse(x == 1, 0, 1))</t>
  </si>
  <si>
    <t>P05C04A</t>
  </si>
  <si>
    <t>P06C04A</t>
  </si>
  <si>
    <t>P07C04A</t>
  </si>
  <si>
    <t>P08C04A</t>
  </si>
  <si>
    <t>P09C04A</t>
  </si>
  <si>
    <t>P10C04A</t>
  </si>
  <si>
    <t>P11C04A</t>
  </si>
  <si>
    <t>P12C04A</t>
  </si>
  <si>
    <t>P13C04A</t>
  </si>
  <si>
    <t>P14C04A</t>
  </si>
  <si>
    <t>P15C04A</t>
  </si>
  <si>
    <t>P16C04A</t>
  </si>
  <si>
    <t>P17C04A</t>
  </si>
  <si>
    <t>P18C04A</t>
  </si>
  <si>
    <t>P19C04A</t>
  </si>
  <si>
    <t>backprobsyr</t>
  </si>
  <si>
    <t>P99C04</t>
  </si>
  <si>
    <t>C04</t>
  </si>
  <si>
    <t>Health problems: Back problems: Last 12 months</t>
  </si>
  <si>
    <t>P00C04</t>
  </si>
  <si>
    <t>P01C04</t>
  </si>
  <si>
    <t>P02C04</t>
  </si>
  <si>
    <t>P03C04</t>
  </si>
  <si>
    <t>daysaffectedbyhlth</t>
  </si>
  <si>
    <t>P99C11</t>
  </si>
  <si>
    <t>C11</t>
  </si>
  <si>
    <t>Number of days affected by health problems: Last 12 months ("Since (month-year), for how many days have you been affected by a health problem which made it impossible for you to carry out your usual activity (work, housework)?")</t>
  </si>
  <si>
    <t>Numeric with -8	other error
-7	filter error
-3	inapplicable
-2	no answer
-1	does not know 0 never)</t>
  </si>
  <si>
    <t>P00C11</t>
  </si>
  <si>
    <t>P01C11</t>
  </si>
  <si>
    <t>P02C11</t>
  </si>
  <si>
    <t>P03C11</t>
  </si>
  <si>
    <t>P04C11</t>
  </si>
  <si>
    <t>P05C11</t>
  </si>
  <si>
    <t>P06C11</t>
  </si>
  <si>
    <t>P07C11</t>
  </si>
  <si>
    <t>P08C11</t>
  </si>
  <si>
    <t>P09C11</t>
  </si>
  <si>
    <t>P10C11</t>
  </si>
  <si>
    <t>P11C11</t>
  </si>
  <si>
    <t>P12C11</t>
  </si>
  <si>
    <t>P13C11</t>
  </si>
  <si>
    <t>P14C11</t>
  </si>
  <si>
    <t>P15C11</t>
  </si>
  <si>
    <t>P16C11</t>
  </si>
  <si>
    <t>P17C11</t>
  </si>
  <si>
    <t>P18C11</t>
  </si>
  <si>
    <t>weaknessmo</t>
  </si>
  <si>
    <t>P04C05A</t>
  </si>
  <si>
    <t>C05A</t>
  </si>
  <si>
    <t>Health problems: Weakness, weariness: Last 4 weeks</t>
  </si>
  <si>
    <t>P05C05A</t>
  </si>
  <si>
    <t>P06C05A</t>
  </si>
  <si>
    <t>P07C05A</t>
  </si>
  <si>
    <t>P08C05A</t>
  </si>
  <si>
    <t>P09C05A</t>
  </si>
  <si>
    <t>P10C05A</t>
  </si>
  <si>
    <t>P11C05A</t>
  </si>
  <si>
    <t>P12C05A</t>
  </si>
  <si>
    <t>P13C05A</t>
  </si>
  <si>
    <t>P14C05A</t>
  </si>
  <si>
    <t>P15C05A</t>
  </si>
  <si>
    <t>P16C05A</t>
  </si>
  <si>
    <t>P17C05A</t>
  </si>
  <si>
    <t>P18C05A</t>
  </si>
  <si>
    <t>P19C05A</t>
  </si>
  <si>
    <t>weaknessyr</t>
  </si>
  <si>
    <t>P99C05</t>
  </si>
  <si>
    <t>C05</t>
  </si>
  <si>
    <t>Health problems: Weakness, weariness: Last 12 months</t>
  </si>
  <si>
    <t>P00C05</t>
  </si>
  <si>
    <t>P01C05</t>
  </si>
  <si>
    <t>P02C05</t>
  </si>
  <si>
    <t>P03C05</t>
  </si>
  <si>
    <t>yrbackprob</t>
  </si>
  <si>
    <t>P99C23</t>
  </si>
  <si>
    <t>C23</t>
  </si>
  <si>
    <t>yrweakness</t>
  </si>
  <si>
    <t>P99C25</t>
  </si>
  <si>
    <t>C25</t>
  </si>
  <si>
    <t>Health problems: Weakness: Last 12 months</t>
  </si>
  <si>
    <t>chldrnemosupport</t>
  </si>
  <si>
    <t>P13N71</t>
  </si>
  <si>
    <t>N71</t>
  </si>
  <si>
    <t>Emotional support from children</t>
  </si>
  <si>
    <t>-8 other error
-7 filter error
-6 no help wanted
-3 inapplicable
-2 no answer
-1 does not know
0 not at all
1  
2  
3  
4  
5  
6  
7  
8  
9  
10 a great deal</t>
  </si>
  <si>
    <t>P16N71</t>
  </si>
  <si>
    <t>P19N71</t>
  </si>
  <si>
    <t>chldrnpractsupport</t>
  </si>
  <si>
    <t>P13N70</t>
  </si>
  <si>
    <t>N70</t>
  </si>
  <si>
    <t>Practical support from children</t>
  </si>
  <si>
    <t>P16N70</t>
  </si>
  <si>
    <t>P19N70</t>
  </si>
  <si>
    <t>cllgsemosupport</t>
  </si>
  <si>
    <t>P99N33</t>
  </si>
  <si>
    <t>N33</t>
  </si>
  <si>
    <t>Emotional support from colleagues</t>
  </si>
  <si>
    <t>P00N33</t>
  </si>
  <si>
    <t>P01N33</t>
  </si>
  <si>
    <t>P02N33</t>
  </si>
  <si>
    <t>P03N33</t>
  </si>
  <si>
    <t>P04N33</t>
  </si>
  <si>
    <t>P05N33</t>
  </si>
  <si>
    <t>P06N33</t>
  </si>
  <si>
    <t>P07N33</t>
  </si>
  <si>
    <t>P08N33</t>
  </si>
  <si>
    <t>P09N33</t>
  </si>
  <si>
    <t>P10N33</t>
  </si>
  <si>
    <t>P13N33</t>
  </si>
  <si>
    <t>P16N33</t>
  </si>
  <si>
    <t>P19N33</t>
  </si>
  <si>
    <t>cllgspractsupport</t>
  </si>
  <si>
    <t>P99N32</t>
  </si>
  <si>
    <t>N32</t>
  </si>
  <si>
    <t>Practical support from colleagues</t>
  </si>
  <si>
    <t>P00N32</t>
  </si>
  <si>
    <t>P01N32</t>
  </si>
  <si>
    <t>P02N32</t>
  </si>
  <si>
    <t>P03N32</t>
  </si>
  <si>
    <t>P04N32</t>
  </si>
  <si>
    <t>P05N32</t>
  </si>
  <si>
    <t>P06N32</t>
  </si>
  <si>
    <t>P07N32</t>
  </si>
  <si>
    <t>P08N32</t>
  </si>
  <si>
    <t>P09N32</t>
  </si>
  <si>
    <t>P10N32</t>
  </si>
  <si>
    <t>P13N32</t>
  </si>
  <si>
    <t>P16N32</t>
  </si>
  <si>
    <t>P19N32</t>
  </si>
  <si>
    <t>closefrndemosupport</t>
  </si>
  <si>
    <t>P99N29</t>
  </si>
  <si>
    <t>N29</t>
  </si>
  <si>
    <t>Emotional support from close friends</t>
  </si>
  <si>
    <t>P00N29</t>
  </si>
  <si>
    <t>P01N29</t>
  </si>
  <si>
    <t>P02N29</t>
  </si>
  <si>
    <t>P03N29</t>
  </si>
  <si>
    <t>P04N29</t>
  </si>
  <si>
    <t>P05N29</t>
  </si>
  <si>
    <t>P06N29</t>
  </si>
  <si>
    <t>P07N29</t>
  </si>
  <si>
    <t>P08N29</t>
  </si>
  <si>
    <t>P09N29</t>
  </si>
  <si>
    <t>P10N29</t>
  </si>
  <si>
    <t>P13N29</t>
  </si>
  <si>
    <t>P16N29</t>
  </si>
  <si>
    <t>P19N29</t>
  </si>
  <si>
    <t>closefrndpractsupport</t>
  </si>
  <si>
    <t>P99N28</t>
  </si>
  <si>
    <t>N28</t>
  </si>
  <si>
    <t>Practical support from close friends</t>
  </si>
  <si>
    <t>P00N28</t>
  </si>
  <si>
    <t>P01N28</t>
  </si>
  <si>
    <t>P02N28</t>
  </si>
  <si>
    <t>P03N28</t>
  </si>
  <si>
    <t>P04N28</t>
  </si>
  <si>
    <t>P05N28</t>
  </si>
  <si>
    <t>P06N28</t>
  </si>
  <si>
    <t>P07N28</t>
  </si>
  <si>
    <t>P08N28</t>
  </si>
  <si>
    <t>P09N28</t>
  </si>
  <si>
    <t>P10N28</t>
  </si>
  <si>
    <t>P13N28</t>
  </si>
  <si>
    <t>P16N28</t>
  </si>
  <si>
    <t>P19N28</t>
  </si>
  <si>
    <t>dademosupport</t>
  </si>
  <si>
    <t>P13N89</t>
  </si>
  <si>
    <t>N89</t>
  </si>
  <si>
    <t>Emotional support from father</t>
  </si>
  <si>
    <t>P16N89</t>
  </si>
  <si>
    <t>P19N89</t>
  </si>
  <si>
    <t>dadpractsupport</t>
  </si>
  <si>
    <t>P13N88</t>
  </si>
  <si>
    <t>N88</t>
  </si>
  <si>
    <t>Practical support from father</t>
  </si>
  <si>
    <t>P16N88</t>
  </si>
  <si>
    <t>P19N88</t>
  </si>
  <si>
    <t>familytiesupport</t>
  </si>
  <si>
    <t>P13N93</t>
  </si>
  <si>
    <t>N93</t>
  </si>
  <si>
    <t>Practical support from important family tie</t>
  </si>
  <si>
    <t>P16N93</t>
  </si>
  <si>
    <t>P19N93</t>
  </si>
  <si>
    <t>momemosupport</t>
  </si>
  <si>
    <t>P13N80</t>
  </si>
  <si>
    <t>N80</t>
  </si>
  <si>
    <t>Emotional support from mother</t>
  </si>
  <si>
    <t>P16N80</t>
  </si>
  <si>
    <t>P19N80</t>
  </si>
  <si>
    <t>mompractsupport</t>
  </si>
  <si>
    <t>P13N79</t>
  </si>
  <si>
    <t>N79</t>
  </si>
  <si>
    <t>Practical support from mother</t>
  </si>
  <si>
    <t>P16N79</t>
  </si>
  <si>
    <t>P19N79</t>
  </si>
  <si>
    <t>neighborsemosupport</t>
  </si>
  <si>
    <t>P99N22</t>
  </si>
  <si>
    <t>N22</t>
  </si>
  <si>
    <t>Emotional support from neighbours</t>
  </si>
  <si>
    <t>P00N22</t>
  </si>
  <si>
    <t>P01N22</t>
  </si>
  <si>
    <t>P02N22</t>
  </si>
  <si>
    <t>P03N22</t>
  </si>
  <si>
    <t>P04N22</t>
  </si>
  <si>
    <t>P05N22</t>
  </si>
  <si>
    <t>P06N22</t>
  </si>
  <si>
    <t>P07N22</t>
  </si>
  <si>
    <t>P08N22</t>
  </si>
  <si>
    <t>P09N22</t>
  </si>
  <si>
    <t>P10N22</t>
  </si>
  <si>
    <t>P13N22</t>
  </si>
  <si>
    <t>P16N22</t>
  </si>
  <si>
    <t>P19N22</t>
  </si>
  <si>
    <t>neighborspractsupport</t>
  </si>
  <si>
    <t>P99N21</t>
  </si>
  <si>
    <t>N21</t>
  </si>
  <si>
    <t>Practical support from neighbours</t>
  </si>
  <si>
    <t>P00N21</t>
  </si>
  <si>
    <t>P01N21</t>
  </si>
  <si>
    <t>P02N21</t>
  </si>
  <si>
    <t>P03N21</t>
  </si>
  <si>
    <t>P04N21</t>
  </si>
  <si>
    <t>P05N21</t>
  </si>
  <si>
    <t>P06N21</t>
  </si>
  <si>
    <t>P07N21</t>
  </si>
  <si>
    <t>P08N21</t>
  </si>
  <si>
    <t>P09N21</t>
  </si>
  <si>
    <t>P10N21</t>
  </si>
  <si>
    <t>P13N21</t>
  </si>
  <si>
    <t>P16N21</t>
  </si>
  <si>
    <t>P19N21</t>
  </si>
  <si>
    <t>oldrchldrnemosupport</t>
  </si>
  <si>
    <t>P99N49</t>
  </si>
  <si>
    <t>N49</t>
  </si>
  <si>
    <t>Emotional support from children over 15</t>
  </si>
  <si>
    <t>oldrchldrnpractsupport</t>
  </si>
  <si>
    <t>P99N48</t>
  </si>
  <si>
    <t>N48</t>
  </si>
  <si>
    <t>Practical support from children over 15</t>
  </si>
  <si>
    <t>partneremosupport</t>
  </si>
  <si>
    <t>P99N05</t>
  </si>
  <si>
    <t>N05</t>
  </si>
  <si>
    <t>Emotional support from partner</t>
  </si>
  <si>
    <t>P00N05</t>
  </si>
  <si>
    <t>P01N05</t>
  </si>
  <si>
    <t>P02N05</t>
  </si>
  <si>
    <t>P03N05</t>
  </si>
  <si>
    <t>P04N05</t>
  </si>
  <si>
    <t>P05N05</t>
  </si>
  <si>
    <t>P06N05</t>
  </si>
  <si>
    <t>P07N05</t>
  </si>
  <si>
    <t>P08N05</t>
  </si>
  <si>
    <t>P09N05</t>
  </si>
  <si>
    <t>P10N05</t>
  </si>
  <si>
    <t>P13N05</t>
  </si>
  <si>
    <t>P16N05</t>
  </si>
  <si>
    <t>P19N05</t>
  </si>
  <si>
    <t>partnerpractsupport</t>
  </si>
  <si>
    <t>P99N04</t>
  </si>
  <si>
    <t>N04</t>
  </si>
  <si>
    <t>Practical support from partner</t>
  </si>
  <si>
    <t>P00N04</t>
  </si>
  <si>
    <t>P01N04</t>
  </si>
  <si>
    <t>P02N04</t>
  </si>
  <si>
    <t>P03N04</t>
  </si>
  <si>
    <t>P04N04</t>
  </si>
  <si>
    <t>P05N04</t>
  </si>
  <si>
    <t>P06N04</t>
  </si>
  <si>
    <t>P07N04</t>
  </si>
  <si>
    <t>P08N04</t>
  </si>
  <si>
    <t>P09N04</t>
  </si>
  <si>
    <t>P10N04</t>
  </si>
  <si>
    <t>P13N04</t>
  </si>
  <si>
    <t>P16N04</t>
  </si>
  <si>
    <t>P19N04</t>
  </si>
  <si>
    <t>relativeemosupport</t>
  </si>
  <si>
    <t>P99N15</t>
  </si>
  <si>
    <t>N15</t>
  </si>
  <si>
    <t>Emotional support from relatives</t>
  </si>
  <si>
    <t>P00N15</t>
  </si>
  <si>
    <t>P01N15</t>
  </si>
  <si>
    <t>P02N15</t>
  </si>
  <si>
    <t>P03N15</t>
  </si>
  <si>
    <t>P04N15</t>
  </si>
  <si>
    <t>P05N15</t>
  </si>
  <si>
    <t>P06N15</t>
  </si>
  <si>
    <t>P07N15</t>
  </si>
  <si>
    <t>P08N15</t>
  </si>
  <si>
    <t>P09N15</t>
  </si>
  <si>
    <t>P10N15</t>
  </si>
  <si>
    <t>P16N15</t>
  </si>
  <si>
    <t>P19N15</t>
  </si>
  <si>
    <t>relativepractsupport</t>
  </si>
  <si>
    <t>P99N14</t>
  </si>
  <si>
    <t>N14</t>
  </si>
  <si>
    <t>Practical support from relatives</t>
  </si>
  <si>
    <t>P00N14</t>
  </si>
  <si>
    <t>P01N14</t>
  </si>
  <si>
    <t>P02N14</t>
  </si>
  <si>
    <t>P03N14</t>
  </si>
  <si>
    <t>P04N14</t>
  </si>
  <si>
    <t>P05N14</t>
  </si>
  <si>
    <t>P06N14</t>
  </si>
  <si>
    <t>P07N14</t>
  </si>
  <si>
    <t>P08N14</t>
  </si>
  <si>
    <t>P09N14</t>
  </si>
  <si>
    <t>P10N14</t>
  </si>
  <si>
    <t>P16N14</t>
  </si>
  <si>
    <t>P19N14</t>
  </si>
  <si>
    <t>sibsemosupport</t>
  </si>
  <si>
    <t>P13N123</t>
  </si>
  <si>
    <t>N123</t>
  </si>
  <si>
    <t>Emotional support from siblings</t>
  </si>
  <si>
    <t>P16N123</t>
  </si>
  <si>
    <t>P19N123</t>
  </si>
  <si>
    <t>sibspractsupport</t>
  </si>
  <si>
    <t>P13N122</t>
  </si>
  <si>
    <t>N122</t>
  </si>
  <si>
    <t>Practical support from siblings</t>
  </si>
  <si>
    <t>P16N122</t>
  </si>
  <si>
    <t>P19N122</t>
  </si>
  <si>
    <t>howlonely</t>
  </si>
  <si>
    <t>Degree of feeling lonely</t>
  </si>
  <si>
    <t>-8 other error
-7 filter error
-3 inapplicable
-2 no answer
-1 does not know
0 not al all
1  
2  
3  
4  
5  
6  
7  
8  
9  
10 an extreme amount</t>
  </si>
  <si>
    <t>Change of accommodation since last interview</t>
  </si>
  <si>
    <t>Type of residence in which accommodation is located</t>
  </si>
  <si>
    <t>-8	other error
-7	filter error
-3	inapplicable
-2	no answer
-1	does not know
1	in an apartment building
2	in a detached, semi-detached or terraced house
3	in another type of house/apartment</t>
  </si>
  <si>
    <t>ifelse(is.na(x) | x &lt; 0, NA, ifelse(x == 1, 0, ifelse(x == 2, 1, NA)))</t>
  </si>
  <si>
    <t>momEduClg</t>
  </si>
  <si>
    <t>ffmmpsqn</t>
  </si>
  <si>
    <t>Mother complete trade cert, diploma, degree, etc.</t>
  </si>
  <si>
    <t>gfmmpsqn</t>
  </si>
  <si>
    <t>hfmmpsqn</t>
  </si>
  <si>
    <t>ifmmpsqn</t>
  </si>
  <si>
    <t>jfmmpsqn</t>
  </si>
  <si>
    <t>kfmmpsqn</t>
  </si>
  <si>
    <t>lfmmpsqn</t>
  </si>
  <si>
    <t>mfmmpsqn</t>
  </si>
  <si>
    <t>nfmmpsqn</t>
  </si>
  <si>
    <t>ofmmpsqn</t>
  </si>
  <si>
    <t>pfmmpsqn</t>
  </si>
  <si>
    <t>qfmmpsqn</t>
  </si>
  <si>
    <t>dadEduClg</t>
  </si>
  <si>
    <t>ffmfpsqn</t>
  </si>
  <si>
    <t>Father complete trade cert, diploma, degree, etc.</t>
  </si>
  <si>
    <t>gfmfpsqn</t>
  </si>
  <si>
    <t>hfmfpsqn</t>
  </si>
  <si>
    <t>ifmfpsqn</t>
  </si>
  <si>
    <t>jfmfpsqn</t>
  </si>
  <si>
    <t>kfmfpsqn</t>
  </si>
  <si>
    <t>lfmfpsqn</t>
  </si>
  <si>
    <t>mfmfpsqn</t>
  </si>
  <si>
    <t>nfmfpsqn</t>
  </si>
  <si>
    <t>ofmfpsqn</t>
  </si>
  <si>
    <t>pfmfpsqn</t>
  </si>
  <si>
    <t>qfmfpsqn</t>
  </si>
  <si>
    <t>aedhigh1</t>
  </si>
  <si>
    <t>Highest education level achieved</t>
  </si>
  <si>
    <t>1=postgrad, 2=grad diploma/cert, 3=bachelor, 4=adv diploma, 5=cert III or IV, 8=Year 12, 9=Year 11 &amp; below, 10=undetermined</t>
  </si>
  <si>
    <t>bedhigh1</t>
  </si>
  <si>
    <t>cedhigh1</t>
  </si>
  <si>
    <t>dedhigh1</t>
  </si>
  <si>
    <t>eedhigh1</t>
  </si>
  <si>
    <t>fedhigh1</t>
  </si>
  <si>
    <t>gedhigh1</t>
  </si>
  <si>
    <t>hedhigh1</t>
  </si>
  <si>
    <t>iedhigh1</t>
  </si>
  <si>
    <t>jedhigh1</t>
  </si>
  <si>
    <t>kedhigh1</t>
  </si>
  <si>
    <t>ledhigh1</t>
  </si>
  <si>
    <t>medhigh1</t>
  </si>
  <si>
    <t>nedhigh1</t>
  </si>
  <si>
    <t>oedhigh1</t>
  </si>
  <si>
    <t>pedhigh1</t>
  </si>
  <si>
    <t>qedhigh1</t>
  </si>
  <si>
    <t>DV: AUSEI06 occupational status scale, current main job</t>
  </si>
  <si>
    <t>grsYrWges</t>
  </si>
  <si>
    <t>ahiwsfei</t>
  </si>
  <si>
    <t>Household financial year gross wages &amp; salary</t>
  </si>
  <si>
    <t>bhiwsfei</t>
  </si>
  <si>
    <t>chiwsfei</t>
  </si>
  <si>
    <t>dhiwsfei</t>
  </si>
  <si>
    <t>ehiwsfei</t>
  </si>
  <si>
    <t>fhiwsfei</t>
  </si>
  <si>
    <t>ghiwsfei</t>
  </si>
  <si>
    <t>hhiwsfei</t>
  </si>
  <si>
    <t>ihiwsfei</t>
  </si>
  <si>
    <t>jhiwsfei</t>
  </si>
  <si>
    <t>khiwsfei</t>
  </si>
  <si>
    <t>lhiwsfei</t>
  </si>
  <si>
    <t>mhiwsfei</t>
  </si>
  <si>
    <t>nhiwsfei</t>
  </si>
  <si>
    <t>ohiwsfei</t>
  </si>
  <si>
    <t>phiwsfei</t>
  </si>
  <si>
    <t>qhiwsfei</t>
  </si>
  <si>
    <t>yearsWork</t>
  </si>
  <si>
    <t>D3a1 Years in paid work</t>
  </si>
  <si>
    <t>cont</t>
  </si>
  <si>
    <t>ifelse(is.na(x) | x &lt; 0, NA, ifelse(x &lt;= 1, 1, 0))</t>
  </si>
  <si>
    <t>DV: Current labour force status - broad</t>
  </si>
  <si>
    <t>1	Employed
2	Unemployed
3	Not in the labour force</t>
  </si>
  <si>
    <t>ifelse(is.na(x) | x &lt; 0, NA, ifelse(x == 2, 1, 0))</t>
  </si>
  <si>
    <t>DV: Per cent time spent unemployed in last financial year</t>
  </si>
  <si>
    <t>cmschgdv</t>
  </si>
  <si>
    <t>Divorced within past year</t>
  </si>
  <si>
    <t>0=no, 1=yes</t>
  </si>
  <si>
    <t>dmschgdv</t>
  </si>
  <si>
    <t>emschgdv</t>
  </si>
  <si>
    <t>fmschgdv</t>
  </si>
  <si>
    <t>gmschgdv</t>
  </si>
  <si>
    <t>hmschgdv</t>
  </si>
  <si>
    <t>imschgdv</t>
  </si>
  <si>
    <t>jmschgdv</t>
  </si>
  <si>
    <t>kmschgdv</t>
  </si>
  <si>
    <t>lmschgdv</t>
  </si>
  <si>
    <t>mmschgdv</t>
  </si>
  <si>
    <t>nmschgdv</t>
  </si>
  <si>
    <t>omschgdv</t>
  </si>
  <si>
    <t>pmschgdv</t>
  </si>
  <si>
    <t>qmschgdv</t>
  </si>
  <si>
    <t>rhiwsfei</t>
  </si>
  <si>
    <t>rmschgdv</t>
  </si>
  <si>
    <t>brthadp</t>
  </si>
  <si>
    <t>blebth</t>
  </si>
  <si>
    <t>Birth/Adoption of new child within last year</t>
  </si>
  <si>
    <t>1=no, 2= yes</t>
  </si>
  <si>
    <t>clebth</t>
  </si>
  <si>
    <t>dlebth</t>
  </si>
  <si>
    <t>elebth</t>
  </si>
  <si>
    <t>flebth</t>
  </si>
  <si>
    <t>glebth</t>
  </si>
  <si>
    <t>hlebth</t>
  </si>
  <si>
    <t>ilebth</t>
  </si>
  <si>
    <t>jlebth</t>
  </si>
  <si>
    <t>klebth</t>
  </si>
  <si>
    <t>llebth</t>
  </si>
  <si>
    <t>mlebth</t>
  </si>
  <si>
    <t>nlebth</t>
  </si>
  <si>
    <t>olebth</t>
  </si>
  <si>
    <t>plebth</t>
  </si>
  <si>
    <t>qlebth</t>
  </si>
  <si>
    <t>rlebth</t>
  </si>
  <si>
    <t>btchave</t>
  </si>
  <si>
    <t>Number of children</t>
  </si>
  <si>
    <t>ctchave</t>
  </si>
  <si>
    <t>dtchave</t>
  </si>
  <si>
    <t>ftchave</t>
  </si>
  <si>
    <t>gtchave</t>
  </si>
  <si>
    <t>itchave</t>
  </si>
  <si>
    <t>jtchave</t>
  </si>
  <si>
    <t>ltchave</t>
  </si>
  <si>
    <t>mtchave</t>
  </si>
  <si>
    <t>ntchave</t>
  </si>
  <si>
    <t>ptchave</t>
  </si>
  <si>
    <t>qtchave</t>
  </si>
  <si>
    <t>rtchave</t>
  </si>
  <si>
    <t>lonely</t>
  </si>
  <si>
    <t>I often feel very lonely</t>
  </si>
  <si>
    <t>[-4] Refused/Not stated
[-5] Multiple response SCQ
[-8] No SCQ
[1] Strongly disagree
[2] 2
[3] 3
[4] 4
[5] 5
[6] 6
[7] Strongly agree</t>
  </si>
  <si>
    <t>physHlthCnd</t>
  </si>
  <si>
    <t>do you have any long-term health condition, impairment or disability (such as these) that restricts you in your everyday activities, and has lasted or is likely to last, for 6 months or more?</t>
  </si>
  <si>
    <t>1 = yes , 2 = no</t>
  </si>
  <si>
    <t>ifelse(is.na(x) | x &lt; 0,  NA, ifelse(!is.na(x) &amp; x == 1, 1, 0))</t>
  </si>
  <si>
    <t>Have you ever been told by a doctor or nurse that you have any of the long-term health conditions listed below? Please only include those conditions that have lasted or are likely to last for six months or more. e) Diabetes</t>
  </si>
  <si>
    <t>1 = yes, 2 = no</t>
  </si>
  <si>
    <t>select</t>
  </si>
  <si>
    <t>Type 1 diabetes (childhood onset)</t>
  </si>
  <si>
    <t>Type 2 diabetes (adult onset)</t>
  </si>
  <si>
    <t>heartDis</t>
  </si>
  <si>
    <t>Have you ever been told by a doctor or nurse that you have any of the long-term health conditions listed below? Please only include those conditions that have lasted or are likely to last for six months or more. f) Heart / Coronary disease</t>
  </si>
  <si>
    <t>Have you ever been told by a doctor or nurse that you have any of the long-term health conditions listed below? Please only include those conditions that have lasted or are likely to last for six months or more. g) High blood pressure/Hypertension</t>
  </si>
  <si>
    <t>Which long term health conditions - Any mental illness which requires help or supervision</t>
  </si>
  <si>
    <t>[-1] Not asked
[0] No
[1] Yes</t>
  </si>
  <si>
    <t>Which long term health conditions - A nervous or emotional condition which requires treatment</t>
  </si>
  <si>
    <t>mnlthlthtreat</t>
  </si>
  <si>
    <t>mntlsuper</t>
  </si>
  <si>
    <t>accomp</t>
  </si>
  <si>
    <t>Role-emotional: Accomplished less than would like</t>
  </si>
  <si>
    <t>careful</t>
  </si>
  <si>
    <t>Role-emotional: Didnt do work/other activities as carefully as usual</t>
  </si>
  <si>
    <t>time</t>
  </si>
  <si>
    <t>Role-emotional: Cut down the amount of time spent on work/other activities</t>
  </si>
  <si>
    <t>HlthExcllnt</t>
  </si>
  <si>
    <t>agh11d</t>
  </si>
  <si>
    <t>My health is excellent</t>
  </si>
  <si>
    <t>bgh11d</t>
  </si>
  <si>
    <t>cgh11d</t>
  </si>
  <si>
    <t>dgh11d</t>
  </si>
  <si>
    <t>egh11d</t>
  </si>
  <si>
    <t>fgh11d</t>
  </si>
  <si>
    <t>ggh11d</t>
  </si>
  <si>
    <t>hgh11d</t>
  </si>
  <si>
    <t>igh11d</t>
  </si>
  <si>
    <t>jgh11d</t>
  </si>
  <si>
    <t>kgh11d</t>
  </si>
  <si>
    <t>lgh11d</t>
  </si>
  <si>
    <t>mgh11d</t>
  </si>
  <si>
    <t>ngh11d</t>
  </si>
  <si>
    <t>ogh11d</t>
  </si>
  <si>
    <t>pgh11d</t>
  </si>
  <si>
    <t>qgh11d</t>
  </si>
  <si>
    <t>agh1</t>
  </si>
  <si>
    <t>Self-assessed health</t>
  </si>
  <si>
    <t>1=excellent, 2=very good, 3=good, 4=fair, 5=poor</t>
  </si>
  <si>
    <t>bgh1</t>
  </si>
  <si>
    <t>cgh1</t>
  </si>
  <si>
    <t>dgh1</t>
  </si>
  <si>
    <t>egh1</t>
  </si>
  <si>
    <t>fgh1</t>
  </si>
  <si>
    <t>ggh1</t>
  </si>
  <si>
    <t>hgh1</t>
  </si>
  <si>
    <t>igh1</t>
  </si>
  <si>
    <t>jgh1</t>
  </si>
  <si>
    <t>kgh1</t>
  </si>
  <si>
    <t>lgh1</t>
  </si>
  <si>
    <t>mgh1</t>
  </si>
  <si>
    <t>ngh1</t>
  </si>
  <si>
    <t>ogh1</t>
  </si>
  <si>
    <t>pgh1</t>
  </si>
  <si>
    <t>qgh1</t>
  </si>
  <si>
    <t>rgh11d</t>
  </si>
  <si>
    <t>rgh1</t>
  </si>
  <si>
    <t>PhyFncBnd</t>
  </si>
  <si>
    <t>agh3f</t>
  </si>
  <si>
    <t>Does your health limit you bending/kneeling/stooping</t>
  </si>
  <si>
    <t>1=limited a lot, 2=limited a little, 3=not limited at all</t>
  </si>
  <si>
    <t>bgh3f</t>
  </si>
  <si>
    <t>cgh3f</t>
  </si>
  <si>
    <t>dgh3f</t>
  </si>
  <si>
    <t>egh3f</t>
  </si>
  <si>
    <t>fgh3f</t>
  </si>
  <si>
    <t>ggh3f</t>
  </si>
  <si>
    <t>hgh3f</t>
  </si>
  <si>
    <t>igh3f</t>
  </si>
  <si>
    <t>jgh3f</t>
  </si>
  <si>
    <t>kgh3f</t>
  </si>
  <si>
    <t>lgh3f</t>
  </si>
  <si>
    <t>mgh3f</t>
  </si>
  <si>
    <t>ngh3f</t>
  </si>
  <si>
    <t>ogh3f</t>
  </si>
  <si>
    <t>pgh3f</t>
  </si>
  <si>
    <t>qgh3f</t>
  </si>
  <si>
    <t>PhyFncBth</t>
  </si>
  <si>
    <t>agh3j</t>
  </si>
  <si>
    <t>Does your health limit you bathing or dressing yourself</t>
  </si>
  <si>
    <t>bgh3j</t>
  </si>
  <si>
    <t>cgh3j</t>
  </si>
  <si>
    <t>dgh3j</t>
  </si>
  <si>
    <t>egh3j</t>
  </si>
  <si>
    <t>fgh3j</t>
  </si>
  <si>
    <t>ggh3j</t>
  </si>
  <si>
    <t>hgh3j</t>
  </si>
  <si>
    <t>igh3j</t>
  </si>
  <si>
    <t>jgh3j</t>
  </si>
  <si>
    <t>kgh3j</t>
  </si>
  <si>
    <t>lgh3j</t>
  </si>
  <si>
    <t>mgh3j</t>
  </si>
  <si>
    <t>ngh3j</t>
  </si>
  <si>
    <t>ogh3j</t>
  </si>
  <si>
    <t>pgh3j</t>
  </si>
  <si>
    <t>qgh3j</t>
  </si>
  <si>
    <t>PhyFncHlfKm</t>
  </si>
  <si>
    <t>agh3h</t>
  </si>
  <si>
    <t>Does your health limit you walking half a kilometer</t>
  </si>
  <si>
    <t>bgh3h</t>
  </si>
  <si>
    <t>cgh3h</t>
  </si>
  <si>
    <t>dgh3h</t>
  </si>
  <si>
    <t>egh3h</t>
  </si>
  <si>
    <t>fgh3h</t>
  </si>
  <si>
    <t>ggh3h</t>
  </si>
  <si>
    <t>hgh3h</t>
  </si>
  <si>
    <t>igh3h</t>
  </si>
  <si>
    <t>jgh3h</t>
  </si>
  <si>
    <t>kgh3h</t>
  </si>
  <si>
    <t>lgh3h</t>
  </si>
  <si>
    <t>mgh3h</t>
  </si>
  <si>
    <t>ngh3h</t>
  </si>
  <si>
    <t>ogh3h</t>
  </si>
  <si>
    <t>pgh3h</t>
  </si>
  <si>
    <t>qgh3h</t>
  </si>
  <si>
    <t>PhyFncLft</t>
  </si>
  <si>
    <t>agh3c</t>
  </si>
  <si>
    <t>Does your health limit you lifting or carrying groceries</t>
  </si>
  <si>
    <t>bgh3c</t>
  </si>
  <si>
    <t>cgh3c</t>
  </si>
  <si>
    <t>dgh3c</t>
  </si>
  <si>
    <t>egh3c</t>
  </si>
  <si>
    <t>fgh3c</t>
  </si>
  <si>
    <t>ggh3c</t>
  </si>
  <si>
    <t>hgh3c</t>
  </si>
  <si>
    <t>igh3c</t>
  </si>
  <si>
    <t>jgh3c</t>
  </si>
  <si>
    <t>kgh3c</t>
  </si>
  <si>
    <t>lgh3c</t>
  </si>
  <si>
    <t>mgh3c</t>
  </si>
  <si>
    <t>ngh3c</t>
  </si>
  <si>
    <t>ogh3c</t>
  </si>
  <si>
    <t>pgh3c</t>
  </si>
  <si>
    <t>qgh3c</t>
  </si>
  <si>
    <t>PhyFncMltStr</t>
  </si>
  <si>
    <t>agh3d</t>
  </si>
  <si>
    <t>Does your health limit you climbing several flights of stairs</t>
  </si>
  <si>
    <t>bgh3d</t>
  </si>
  <si>
    <t>cgh3d</t>
  </si>
  <si>
    <t>dgh3d</t>
  </si>
  <si>
    <t>egh3d</t>
  </si>
  <si>
    <t>fgh3d</t>
  </si>
  <si>
    <t>ggh3d</t>
  </si>
  <si>
    <t>hgh3d</t>
  </si>
  <si>
    <t>igh3d</t>
  </si>
  <si>
    <t>jgh3d</t>
  </si>
  <si>
    <t>kgh3d</t>
  </si>
  <si>
    <t>lgh3d</t>
  </si>
  <si>
    <t>mgh3d</t>
  </si>
  <si>
    <t>ngh3d</t>
  </si>
  <si>
    <t>ogh3d</t>
  </si>
  <si>
    <t>pgh3d</t>
  </si>
  <si>
    <t>qgh3d</t>
  </si>
  <si>
    <t>PhyFncModAct</t>
  </si>
  <si>
    <t>agh3b</t>
  </si>
  <si>
    <t>Does your health limit moderate activities</t>
  </si>
  <si>
    <t>bgh3b</t>
  </si>
  <si>
    <t>cgh3b</t>
  </si>
  <si>
    <t>dgh3b</t>
  </si>
  <si>
    <t>egh3b</t>
  </si>
  <si>
    <t>fgh3b</t>
  </si>
  <si>
    <t>ggh3b</t>
  </si>
  <si>
    <t>hgh3b</t>
  </si>
  <si>
    <t>igh3b</t>
  </si>
  <si>
    <t>jgh3b</t>
  </si>
  <si>
    <t>kgh3b</t>
  </si>
  <si>
    <t>lgh3b</t>
  </si>
  <si>
    <t>mgh3b</t>
  </si>
  <si>
    <t>ngh3b</t>
  </si>
  <si>
    <t>ogh3b</t>
  </si>
  <si>
    <t>pgh3b</t>
  </si>
  <si>
    <t>qgh3b</t>
  </si>
  <si>
    <t>PhyFncOneStr</t>
  </si>
  <si>
    <t>agh3e</t>
  </si>
  <si>
    <t>Does your health limit you climbing one flight of stairs</t>
  </si>
  <si>
    <t>bgh3e</t>
  </si>
  <si>
    <t>cgh3e</t>
  </si>
  <si>
    <t>dgh3e</t>
  </si>
  <si>
    <t>egh3e</t>
  </si>
  <si>
    <t>fgh3e</t>
  </si>
  <si>
    <t>ggh3e</t>
  </si>
  <si>
    <t>hgh3e</t>
  </si>
  <si>
    <t>igh3e</t>
  </si>
  <si>
    <t>jgh3e</t>
  </si>
  <si>
    <t>kgh3e</t>
  </si>
  <si>
    <t>lgh3e</t>
  </si>
  <si>
    <t>mgh3e</t>
  </si>
  <si>
    <t>ngh3e</t>
  </si>
  <si>
    <t>ogh3e</t>
  </si>
  <si>
    <t>pgh3e</t>
  </si>
  <si>
    <t>qgh3e</t>
  </si>
  <si>
    <t>PhyFncVigAct</t>
  </si>
  <si>
    <t>agh3a</t>
  </si>
  <si>
    <t>Does your health limit vigorous activities</t>
  </si>
  <si>
    <t>bgh3a</t>
  </si>
  <si>
    <t>cgh3a</t>
  </si>
  <si>
    <t>dgh3a</t>
  </si>
  <si>
    <t>egh3a</t>
  </si>
  <si>
    <t>fgh3a</t>
  </si>
  <si>
    <t>ggh3a</t>
  </si>
  <si>
    <t>hgh3a</t>
  </si>
  <si>
    <t>igh3a</t>
  </si>
  <si>
    <t>jgh3a</t>
  </si>
  <si>
    <t>kgh3a</t>
  </si>
  <si>
    <t>lgh3a</t>
  </si>
  <si>
    <t>mgh3a</t>
  </si>
  <si>
    <t>ngh3a</t>
  </si>
  <si>
    <t>ogh3a</t>
  </si>
  <si>
    <t>pgh3a</t>
  </si>
  <si>
    <t>qgh3a</t>
  </si>
  <si>
    <t>PhyFncWlkKm</t>
  </si>
  <si>
    <t>agh3g</t>
  </si>
  <si>
    <t>Does your health limit you walking more than one kilometer</t>
  </si>
  <si>
    <t>bgh3g</t>
  </si>
  <si>
    <t>cgh3g</t>
  </si>
  <si>
    <t>dgh3g</t>
  </si>
  <si>
    <t>egh3g</t>
  </si>
  <si>
    <t>fgh3g</t>
  </si>
  <si>
    <t>ggh3g</t>
  </si>
  <si>
    <t>hgh3g</t>
  </si>
  <si>
    <t>igh3g</t>
  </si>
  <si>
    <t>jgh3g</t>
  </si>
  <si>
    <t>kgh3g</t>
  </si>
  <si>
    <t>lgh3g</t>
  </si>
  <si>
    <t>mgh3g</t>
  </si>
  <si>
    <t>ngh3g</t>
  </si>
  <si>
    <t>ogh3g</t>
  </si>
  <si>
    <t>pgh3g</t>
  </si>
  <si>
    <t>qgh3g</t>
  </si>
  <si>
    <t>PhyFncWlkMtrs</t>
  </si>
  <si>
    <t>agh3i</t>
  </si>
  <si>
    <t>Does your health limit you from walking 100 meters</t>
  </si>
  <si>
    <t>bgh3i</t>
  </si>
  <si>
    <t>cgh3i</t>
  </si>
  <si>
    <t>dgh3i</t>
  </si>
  <si>
    <t>egh3i</t>
  </si>
  <si>
    <t>fgh3i</t>
  </si>
  <si>
    <t>ggh3i</t>
  </si>
  <si>
    <t>hgh3i</t>
  </si>
  <si>
    <t>igh3i</t>
  </si>
  <si>
    <t>jgh3i</t>
  </si>
  <si>
    <t>kgh3i</t>
  </si>
  <si>
    <t>lgh3i</t>
  </si>
  <si>
    <t>mgh3i</t>
  </si>
  <si>
    <t>ngh3i</t>
  </si>
  <si>
    <t>ogh3i</t>
  </si>
  <si>
    <t>pgh3i</t>
  </si>
  <si>
    <t>qgh3i</t>
  </si>
  <si>
    <t>rgh3f</t>
  </si>
  <si>
    <t>rgh3j</t>
  </si>
  <si>
    <t>rgh3h</t>
  </si>
  <si>
    <t>rgh3c</t>
  </si>
  <si>
    <t>rgh3d</t>
  </si>
  <si>
    <t>rgh3b</t>
  </si>
  <si>
    <t>rgh3e</t>
  </si>
  <si>
    <t>rgh3a</t>
  </si>
  <si>
    <t>rgh3g</t>
  </si>
  <si>
    <t>rgh3i</t>
  </si>
  <si>
    <t>noConfide</t>
  </si>
  <si>
    <t>I dont have anyone that I can confide in</t>
  </si>
  <si>
    <t>confide</t>
  </si>
  <si>
    <t>There is someone who can always cheer me up when Im down</t>
  </si>
  <si>
    <t>noLean</t>
  </si>
  <si>
    <t>I have no one to lean on in times of trouble</t>
  </si>
  <si>
    <t>lotFrnds</t>
  </si>
  <si>
    <t>I seem to have a lot of friends</t>
  </si>
  <si>
    <t>noHelp</t>
  </si>
  <si>
    <t>I often need help from other people but cant get it</t>
  </si>
  <si>
    <t>enjoyTime</t>
  </si>
  <si>
    <t>I enjoy the time I spend with the people who are important to me</t>
  </si>
  <si>
    <t>noVisit</t>
  </si>
  <si>
    <t>People dont come to visit me as often as I would like</t>
  </si>
  <si>
    <t>getHelp</t>
  </si>
  <si>
    <t>When I need someone to help me out, I can usually find someone</t>
  </si>
  <si>
    <t>makeBetter</t>
  </si>
  <si>
    <t>When somethings on my mind, just talking with the people I know can make me feel better</t>
  </si>
  <si>
    <t>ifelse(is.na(x) | x &lt; 0 | x &gt; 4, NA, ifelse(x == 1, 1, ifelse(x %in% c(2,3), 0, NA)))</t>
  </si>
  <si>
    <t>Do you (or any other members of this household) own this home, rent it, or do you live here rent free?</t>
  </si>
  <si>
    <t>[-4] Refused/Not stated
[1] Own/currently paying off mortgage
[2] Rent (or pay board)
[3] Involved in a rent-buy scheme
[4] Live here rent free/Life Tenure</t>
  </si>
  <si>
    <t>ahstenur</t>
  </si>
  <si>
    <t>ifelse(is.na(x) | x &lt; 0 | x &gt; 3, NA, ifelse(x == 1, 1, ifelse(x %in% c(2,3), 0, NA)))</t>
  </si>
  <si>
    <t>[1] Own / currently paying off mortgage
[2] Rent (or pay board) / Rent-buy scheme
[3] Live here rent free / Life Tenure</t>
  </si>
  <si>
    <t xml:space="preserve"> Changed address since last interview</t>
  </si>
  <si>
    <t>taxIncome</t>
  </si>
  <si>
    <t>ci08a226</t>
  </si>
  <si>
    <t>Can you indicate how much you taxable income is approximately, in 2007?</t>
  </si>
  <si>
    <t>ifelse(x ==  999, NA, x)</t>
  </si>
  <si>
    <t>ci09b226</t>
  </si>
  <si>
    <t>ci10c226</t>
  </si>
  <si>
    <t>ci11d226</t>
  </si>
  <si>
    <t>ci12e226</t>
  </si>
  <si>
    <t>ci13f226</t>
  </si>
  <si>
    <t>ci14g226</t>
  </si>
  <si>
    <t>Can you indicate how much you taxable income is approximately, in 2013?</t>
  </si>
  <si>
    <t>ci15h226</t>
  </si>
  <si>
    <t>Can you indicate how much your total taxable income in the three boxes (the total income) is approximately, in 2014?</t>
  </si>
  <si>
    <t>ci16i226</t>
  </si>
  <si>
    <t>Can you indicate how much your total taxable income in the three boxes (the total income) is approximately, in 2015?</t>
  </si>
  <si>
    <t>ci17j226</t>
  </si>
  <si>
    <t>Can you indicate how much your total taxable income in the three boxes (the total income) is approximately, in 2016?</t>
  </si>
  <si>
    <t>ci18k226</t>
  </si>
  <si>
    <t>Can you indicate how much your total taxable income in the three boxes (the total income) is approximately, in 2017?</t>
  </si>
  <si>
    <t>ci19l226</t>
  </si>
  <si>
    <t>Can you indicate how much your total taxable income in the three boxes (the total income) is approximately, in 2018?</t>
  </si>
  <si>
    <t>frstJobSeek</t>
  </si>
  <si>
    <t>Please indicate which of the following statements apply to your situation. Try to be as thorough as you can. - I am a first-time job seeker</t>
  </si>
  <si>
    <t>workingNow</t>
  </si>
  <si>
    <t>Please indicate which of the following statements apply to your situation. Try to be as thorough as you can. - I perform paid work (even if is it just for one or several hours per week or for a brief period)</t>
  </si>
  <si>
    <t>avars_2008</t>
  </si>
  <si>
    <t>burgstat</t>
  </si>
  <si>
    <t>Civil status</t>
  </si>
  <si>
    <t>1 Married
2 Separated
3 Divorced
4 Widow or widower
5 Never been married</t>
  </si>
  <si>
    <t>avars_2009</t>
  </si>
  <si>
    <t>avars_2010</t>
  </si>
  <si>
    <t>avars_2011</t>
  </si>
  <si>
    <t>avars_2012</t>
  </si>
  <si>
    <t>avars_2013</t>
  </si>
  <si>
    <t>avars_2014</t>
  </si>
  <si>
    <t>avars_2015</t>
  </si>
  <si>
    <t>avars_2016</t>
  </si>
  <si>
    <t>avars_2017</t>
  </si>
  <si>
    <t>avars_2018</t>
  </si>
  <si>
    <t>empty</t>
  </si>
  <si>
    <t>cs08a284</t>
  </si>
  <si>
    <t>I have a sense of emptiness around me</t>
  </si>
  <si>
    <t>1 being "yes", 2 being "more or less", 3 being "no"</t>
  </si>
  <si>
    <t>ifelse(is.na(x) | x &lt; 0 | x &gt; 3, NA, x)</t>
  </si>
  <si>
    <t>cs09b284</t>
  </si>
  <si>
    <t>cs10c284</t>
  </si>
  <si>
    <t>cs11d284</t>
  </si>
  <si>
    <t>cs12e284</t>
  </si>
  <si>
    <t>cs13f284</t>
  </si>
  <si>
    <t>cs14g284</t>
  </si>
  <si>
    <t>cs15h284</t>
  </si>
  <si>
    <t>cs16i284</t>
  </si>
  <si>
    <t>cs17j284</t>
  </si>
  <si>
    <t>flDsrtd</t>
  </si>
  <si>
    <t>cs08a289</t>
  </si>
  <si>
    <t>I often feel deserted</t>
  </si>
  <si>
    <t>cs09b289</t>
  </si>
  <si>
    <t>cs10c289</t>
  </si>
  <si>
    <t>cs11d289</t>
  </si>
  <si>
    <t>cs12e289</t>
  </si>
  <si>
    <t>cs13f289</t>
  </si>
  <si>
    <t>cs14g289</t>
  </si>
  <si>
    <t>cs15h289</t>
  </si>
  <si>
    <t>cs16i289</t>
  </si>
  <si>
    <t>cs17j289</t>
  </si>
  <si>
    <t>ltPpl</t>
  </si>
  <si>
    <t>cs08a286</t>
  </si>
  <si>
    <t>I know a lot of people that I can fully rely on</t>
  </si>
  <si>
    <t>cs09b286</t>
  </si>
  <si>
    <t>cs10c286</t>
  </si>
  <si>
    <t>cs11d286</t>
  </si>
  <si>
    <t>cs12e286</t>
  </si>
  <si>
    <t>cs13f286</t>
  </si>
  <si>
    <t>cs14g286</t>
  </si>
  <si>
    <t>cs15h286</t>
  </si>
  <si>
    <t>cs16i286</t>
  </si>
  <si>
    <t>cs17j286</t>
  </si>
  <si>
    <t>mssPpl</t>
  </si>
  <si>
    <t>cs08a288</t>
  </si>
  <si>
    <t>I miss having people around me</t>
  </si>
  <si>
    <t>cs09b288</t>
  </si>
  <si>
    <t>cs10c288</t>
  </si>
  <si>
    <t>cs11d288</t>
  </si>
  <si>
    <t xml:space="preserve">cs12e288 </t>
  </si>
  <si>
    <t>cs13f288</t>
  </si>
  <si>
    <t>cs14g288</t>
  </si>
  <si>
    <t>cs15h288</t>
  </si>
  <si>
    <t>cs16i288</t>
  </si>
  <si>
    <t>cs17j288</t>
  </si>
  <si>
    <t>pplCnnct</t>
  </si>
  <si>
    <t>cs08a287</t>
  </si>
  <si>
    <t>there are enough people to whom I feel closely connected</t>
  </si>
  <si>
    <t>cs09b287</t>
  </si>
  <si>
    <t>cs10c287</t>
  </si>
  <si>
    <t>cs11d287</t>
  </si>
  <si>
    <t>cs12e287</t>
  </si>
  <si>
    <t>cs13f287</t>
  </si>
  <si>
    <t>cs14g287</t>
  </si>
  <si>
    <t>cs15h287</t>
  </si>
  <si>
    <t>cs16i287</t>
  </si>
  <si>
    <t>cs17j287</t>
  </si>
  <si>
    <t>pplRnd</t>
  </si>
  <si>
    <t>cs08a285</t>
  </si>
  <si>
    <t>there are enough people I can count on in case of a misfortune</t>
  </si>
  <si>
    <t>cs09b285</t>
  </si>
  <si>
    <t>cs10c285</t>
  </si>
  <si>
    <t>cs11d285</t>
  </si>
  <si>
    <t>cs12e285</t>
  </si>
  <si>
    <t>cs13f285</t>
  </si>
  <si>
    <t>cs14g285</t>
  </si>
  <si>
    <t>cs15h285</t>
  </si>
  <si>
    <t>cs16i285</t>
  </si>
  <si>
    <t>cs17j285</t>
  </si>
  <si>
    <t>cf15h</t>
  </si>
  <si>
    <t>numDdKids</t>
  </si>
  <si>
    <t>cf15h472</t>
  </si>
  <si>
    <t>How many of your children passed away after being born?</t>
  </si>
  <si>
    <t>0-15</t>
  </si>
  <si>
    <t>ifelse(is.na(x) | x &lt; 0 | x &gt; 15, NA, x)</t>
  </si>
  <si>
    <t>cf16i</t>
  </si>
  <si>
    <t>cf16i472</t>
  </si>
  <si>
    <t>cf17j</t>
  </si>
  <si>
    <t>cf17j472</t>
  </si>
  <si>
    <t>cf08a</t>
  </si>
  <si>
    <t>cf08a036</t>
  </si>
  <si>
    <t xml:space="preserve">How many children have you had in total? </t>
  </si>
  <si>
    <t>cf09b</t>
  </si>
  <si>
    <t>cf09b036</t>
  </si>
  <si>
    <t>cf10c</t>
  </si>
  <si>
    <t>cf10c036</t>
  </si>
  <si>
    <t>cf11d</t>
  </si>
  <si>
    <t>cf11d036</t>
  </si>
  <si>
    <t>cf12e</t>
  </si>
  <si>
    <t>cf12e036</t>
  </si>
  <si>
    <t>cf13f</t>
  </si>
  <si>
    <t>cf13f036</t>
  </si>
  <si>
    <t>cf14g</t>
  </si>
  <si>
    <t>cf14g036</t>
  </si>
  <si>
    <t>numLvKids</t>
  </si>
  <si>
    <t>cf15h455</t>
  </si>
  <si>
    <t xml:space="preserve">How many living children do you have in total? </t>
  </si>
  <si>
    <t>cf16i455</t>
  </si>
  <si>
    <t>cf17j455</t>
  </si>
  <si>
    <t>ch09c</t>
  </si>
  <si>
    <t>anxious</t>
  </si>
  <si>
    <t>ch09c011</t>
  </si>
  <si>
    <t>I felt very anxious</t>
  </si>
  <si>
    <t>1	never
2	seldom
3	sometimes
4	often
5	mostly
6	continuously</t>
  </si>
  <si>
    <t>ifelse(x == 999, NA, x)</t>
  </si>
  <si>
    <t>ch08b</t>
  </si>
  <si>
    <t>ch08b011</t>
  </si>
  <si>
    <t>ch07a</t>
  </si>
  <si>
    <t>ch07a011</t>
  </si>
  <si>
    <t>ch10d</t>
  </si>
  <si>
    <t>ch10d011</t>
  </si>
  <si>
    <t>ch11e</t>
  </si>
  <si>
    <t>ch11e011</t>
  </si>
  <si>
    <t>ch12f</t>
  </si>
  <si>
    <t>ch12f011</t>
  </si>
  <si>
    <t>ch13g</t>
  </si>
  <si>
    <t>ch13g011</t>
  </si>
  <si>
    <t>ch15h</t>
  </si>
  <si>
    <t>ch15h011</t>
  </si>
  <si>
    <t>ch16i</t>
  </si>
  <si>
    <t>ch16i011</t>
  </si>
  <si>
    <t>ch17j</t>
  </si>
  <si>
    <t>ch17j011</t>
  </si>
  <si>
    <t>ch18k</t>
  </si>
  <si>
    <t>ch18k011</t>
  </si>
  <si>
    <t>calm</t>
  </si>
  <si>
    <t>ch09c013</t>
  </si>
  <si>
    <t>I felt calm and peaceful</t>
  </si>
  <si>
    <t>ch08b013</t>
  </si>
  <si>
    <t>ch07a013</t>
  </si>
  <si>
    <t>ch10d013</t>
  </si>
  <si>
    <t>ch11e013</t>
  </si>
  <si>
    <t>ch12f013</t>
  </si>
  <si>
    <t>ch13g013</t>
  </si>
  <si>
    <t>ch15h013</t>
  </si>
  <si>
    <t>ch16i013</t>
  </si>
  <si>
    <t>ch17j013</t>
  </si>
  <si>
    <t>ch18k013</t>
  </si>
  <si>
    <t>depressed</t>
  </si>
  <si>
    <t>ch09c014</t>
  </si>
  <si>
    <t>I felt depressed and gloomy</t>
  </si>
  <si>
    <t>ch08b014</t>
  </si>
  <si>
    <t>ch07a014</t>
  </si>
  <si>
    <t>ch10d014</t>
  </si>
  <si>
    <t>ch11e014</t>
  </si>
  <si>
    <t>ch12f014</t>
  </si>
  <si>
    <t>ch13g014</t>
  </si>
  <si>
    <t>ch15h014</t>
  </si>
  <si>
    <t>ch16i014</t>
  </si>
  <si>
    <t>ch17j014</t>
  </si>
  <si>
    <t>ch18k014</t>
  </si>
  <si>
    <t>down</t>
  </si>
  <si>
    <t>ch09c012</t>
  </si>
  <si>
    <t>I felt so down that nothing could cheer me up</t>
  </si>
  <si>
    <t>ch08b012</t>
  </si>
  <si>
    <t>ch07a012</t>
  </si>
  <si>
    <t>ch10d012</t>
  </si>
  <si>
    <t>ch11e012</t>
  </si>
  <si>
    <t>ch12f012</t>
  </si>
  <si>
    <t>ch13g012</t>
  </si>
  <si>
    <t>ch15h012</t>
  </si>
  <si>
    <t>ch16i012</t>
  </si>
  <si>
    <t>ch17j012</t>
  </si>
  <si>
    <t>ch18k012</t>
  </si>
  <si>
    <t>happy</t>
  </si>
  <si>
    <t>ch09c015</t>
  </si>
  <si>
    <t>I felt happy</t>
  </si>
  <si>
    <t>ch08b015</t>
  </si>
  <si>
    <t>ch07a015</t>
  </si>
  <si>
    <t>ch10d015</t>
  </si>
  <si>
    <t>ch11e015</t>
  </si>
  <si>
    <t>ch12f015</t>
  </si>
  <si>
    <t>ch13g015</t>
  </si>
  <si>
    <t>ch15h015</t>
  </si>
  <si>
    <t>ch16i015</t>
  </si>
  <si>
    <t>ch17j015</t>
  </si>
  <si>
    <t>ch18k015</t>
  </si>
  <si>
    <t>ch09c004</t>
  </si>
  <si>
    <t>How would you describe your health, generally speaking?</t>
  </si>
  <si>
    <t>1-5, 1 being "poor", 2 being "moderate", 3 being "good", 4 being "very good", 5 being "excellent"</t>
  </si>
  <si>
    <t>ifelse(is.na(x) | x &lt; 0 | x &gt; 5, NA, x)</t>
  </si>
  <si>
    <t>ch08b004</t>
  </si>
  <si>
    <t>ch07a004</t>
  </si>
  <si>
    <t>ch10d004</t>
  </si>
  <si>
    <t>ch11e004</t>
  </si>
  <si>
    <t>ch12f004</t>
  </si>
  <si>
    <t>ch13g004</t>
  </si>
  <si>
    <t>ch15h004</t>
  </si>
  <si>
    <t>ch16i004</t>
  </si>
  <si>
    <t>ch17j004</t>
  </si>
  <si>
    <t>bathing or showering</t>
  </si>
  <si>
    <t>1	without any trouble
2	with some trouble
3	with a lot of trouble
4	only with the help of others</t>
  </si>
  <si>
    <t>crouch</t>
  </si>
  <si>
    <t>crouching, kneeling, crawling on all fours</t>
  </si>
  <si>
    <t>dressing and undressing, including shoes and socks</t>
  </si>
  <si>
    <t>eating</t>
  </si>
  <si>
    <t>eating, such as cutting your food into small bits</t>
  </si>
  <si>
    <t>finAffairs</t>
  </si>
  <si>
    <t>taking care of financial affairs, such as paying bills and keeping track of expenditure</t>
  </si>
  <si>
    <t>hsKping</t>
  </si>
  <si>
    <t>performing housekeeping work or maintaining the garden</t>
  </si>
  <si>
    <t>liftWeight</t>
  </si>
  <si>
    <t>lifting or carrying a weight of 5 kilos, such as a heavy bag of groceries</t>
  </si>
  <si>
    <t>map</t>
  </si>
  <si>
    <t>reading a map to find your way in an unfamiliar area</t>
  </si>
  <si>
    <t>moveObj</t>
  </si>
  <si>
    <t>moving large objects such as a diningroom chair</t>
  </si>
  <si>
    <t>outBed</t>
  </si>
  <si>
    <t>getting in and out of bed</t>
  </si>
  <si>
    <t>phone</t>
  </si>
  <si>
    <t>telephoning</t>
  </si>
  <si>
    <t>pickCoin</t>
  </si>
  <si>
    <t>picking up a small coin lying on the table</t>
  </si>
  <si>
    <t>prepMeal</t>
  </si>
  <si>
    <t>preparing a hot meal</t>
  </si>
  <si>
    <t>reach</t>
  </si>
  <si>
    <t>reaching above shoulder height or stretching your arms above shoulder height</t>
  </si>
  <si>
    <t>shop</t>
  </si>
  <si>
    <t>sitHours</t>
  </si>
  <si>
    <t>sitting for around two hours</t>
  </si>
  <si>
    <t>takeMeds</t>
  </si>
  <si>
    <t>taking medicines</t>
  </si>
  <si>
    <t>toilet</t>
  </si>
  <si>
    <t>using the toilet, including sitting down and standing up</t>
  </si>
  <si>
    <t>upChair</t>
  </si>
  <si>
    <t>getting up from a chair in which you sat for some time</t>
  </si>
  <si>
    <t>upStairCase</t>
  </si>
  <si>
    <t>walking up a staircase without resting</t>
  </si>
  <si>
    <t>upStairs</t>
  </si>
  <si>
    <t>walking several stairs without resting in between</t>
  </si>
  <si>
    <t>walking 100 meters</t>
  </si>
  <si>
    <t>walkRoom</t>
  </si>
  <si>
    <t>walking across the room</t>
  </si>
  <si>
    <t>FthrCnsl</t>
  </si>
  <si>
    <t>cf08a145</t>
  </si>
  <si>
    <t>Did you receive any counsel or advice from your father, over the past 3 months?</t>
  </si>
  <si>
    <t>1	no
2	once or twice
3	several times</t>
  </si>
  <si>
    <t>cf09b145</t>
  </si>
  <si>
    <t>cf10c145</t>
  </si>
  <si>
    <t>cf11d145</t>
  </si>
  <si>
    <t>cf12e145</t>
  </si>
  <si>
    <t>cf13f145</t>
  </si>
  <si>
    <t>cf14g145</t>
  </si>
  <si>
    <t>cf15h145</t>
  </si>
  <si>
    <t>cf16i145</t>
  </si>
  <si>
    <t>cf17j145</t>
  </si>
  <si>
    <t>FthrHW</t>
  </si>
  <si>
    <t>cf08a131</t>
  </si>
  <si>
    <t>Did you receive any help from your father over the past 3 months in doing household work, such as preparing food, cleaning, grocery shopping, or doing the laundry?</t>
  </si>
  <si>
    <t>cf09b131</t>
  </si>
  <si>
    <t>cf10c131</t>
  </si>
  <si>
    <t>cf11d131</t>
  </si>
  <si>
    <t>cf12e131</t>
  </si>
  <si>
    <t>cf13f131</t>
  </si>
  <si>
    <t>cf14g131</t>
  </si>
  <si>
    <t>cf15h131</t>
  </si>
  <si>
    <t>cf16i131</t>
  </si>
  <si>
    <t>cf17j131</t>
  </si>
  <si>
    <t>FthrKids</t>
  </si>
  <si>
    <t>cf08a133</t>
  </si>
  <si>
    <t>Did you receive any help from your father over the past 3 months in tending to the children, such as child- or babysitting, caring or transport?</t>
  </si>
  <si>
    <t>cf09b133</t>
  </si>
  <si>
    <t>cf10c133</t>
  </si>
  <si>
    <t>cf11d133</t>
  </si>
  <si>
    <t>cf12e133</t>
  </si>
  <si>
    <t>cf13f133</t>
  </si>
  <si>
    <t>cf14g133</t>
  </si>
  <si>
    <t>cf15h133</t>
  </si>
  <si>
    <t>cf16i133</t>
  </si>
  <si>
    <t>cf17j133</t>
  </si>
  <si>
    <t>FthrPersLf</t>
  </si>
  <si>
    <t>cf08a143</t>
  </si>
  <si>
    <t>Has your father displayed any interest in your personal life, over the past 3 months?</t>
  </si>
  <si>
    <t>cf09b143</t>
  </si>
  <si>
    <t>cf10c143</t>
  </si>
  <si>
    <t>cf11d143</t>
  </si>
  <si>
    <t>cf12e143</t>
  </si>
  <si>
    <t>cf13f143</t>
  </si>
  <si>
    <t>cf14g143</t>
  </si>
  <si>
    <t>cf15h143</t>
  </si>
  <si>
    <t>cf16i143</t>
  </si>
  <si>
    <t>cf17j143</t>
  </si>
  <si>
    <t>FthrPrctl</t>
  </si>
  <si>
    <t>cf08a135</t>
  </si>
  <si>
    <t>Did you receive any help from your father over the past 3 months in practical matters, such as odd jobs around the house, borrowing things, being taken somewhere, or transporting things?</t>
  </si>
  <si>
    <t>cf09b135</t>
  </si>
  <si>
    <t>cf10c135</t>
  </si>
  <si>
    <t>cf11d135</t>
  </si>
  <si>
    <t>cf12e135</t>
  </si>
  <si>
    <t>cf13f135</t>
  </si>
  <si>
    <t>cf14g135</t>
  </si>
  <si>
    <t>cf15h135</t>
  </si>
  <si>
    <t>cf16i135</t>
  </si>
  <si>
    <t>cf17j135</t>
  </si>
  <si>
    <t>FthrVals</t>
  </si>
  <si>
    <t>cf08a137</t>
  </si>
  <si>
    <t>Did you receive any valuable items or a sum of money from your father, over the past 12 months?</t>
  </si>
  <si>
    <t>1	yes
2	no</t>
  </si>
  <si>
    <t>ifelse(is.na(x) | x &lt; 0 | x &gt; 3, NA, 2*(x - 1) + 1)</t>
  </si>
  <si>
    <t>cf09b137</t>
  </si>
  <si>
    <t>cf10c137</t>
  </si>
  <si>
    <t>cf11d137</t>
  </si>
  <si>
    <t>cf12e137</t>
  </si>
  <si>
    <t>cf13f137</t>
  </si>
  <si>
    <t>cf14g137</t>
  </si>
  <si>
    <t>cf15h137</t>
  </si>
  <si>
    <t>cf16i137</t>
  </si>
  <si>
    <t>cf17j137</t>
  </si>
  <si>
    <t>MthrCnsl</t>
  </si>
  <si>
    <t>cf08a146</t>
  </si>
  <si>
    <t>Did you receive any counsel or advice from your mother, over the past 3 months?</t>
  </si>
  <si>
    <t>cf09b146</t>
  </si>
  <si>
    <t>cf10c146</t>
  </si>
  <si>
    <t>cf11d146</t>
  </si>
  <si>
    <t>cf12e146</t>
  </si>
  <si>
    <t>cf13f146</t>
  </si>
  <si>
    <t>cf14g146</t>
  </si>
  <si>
    <t>cf15h146</t>
  </si>
  <si>
    <t>cf16i146</t>
  </si>
  <si>
    <t>cf17j146</t>
  </si>
  <si>
    <t>MthrHW</t>
  </si>
  <si>
    <t>cf08a132</t>
  </si>
  <si>
    <t>Did you receive any help from your mother over the past 3 months in doing household work, such as preparing food, cleaning, grocery shopping, or doing the laundry?</t>
  </si>
  <si>
    <t>cf09b132</t>
  </si>
  <si>
    <t>cf10c132</t>
  </si>
  <si>
    <t>cf11d132</t>
  </si>
  <si>
    <t>cf12e132</t>
  </si>
  <si>
    <t>cf13f132</t>
  </si>
  <si>
    <t>cf14g132</t>
  </si>
  <si>
    <t>cf15h132</t>
  </si>
  <si>
    <t>cf16i132</t>
  </si>
  <si>
    <t>cf17j132</t>
  </si>
  <si>
    <t>MthrKids</t>
  </si>
  <si>
    <t>cf08a134</t>
  </si>
  <si>
    <t>Did you receive any help from your mother over the past 3 months in tending to the children, such as child- or babysitting, caring or transport?</t>
  </si>
  <si>
    <t>cf09b134</t>
  </si>
  <si>
    <t>cf10c134</t>
  </si>
  <si>
    <t>cf11d134</t>
  </si>
  <si>
    <t>cf12e134</t>
  </si>
  <si>
    <t>cf13f134</t>
  </si>
  <si>
    <t>cf14g134</t>
  </si>
  <si>
    <t>cf15h134</t>
  </si>
  <si>
    <t>cf16i134</t>
  </si>
  <si>
    <t>cf17j134</t>
  </si>
  <si>
    <t>MthrPersLf</t>
  </si>
  <si>
    <t>cf08a144</t>
  </si>
  <si>
    <t>Has your mother displayed any interest in your personal life, over the past 3 months?</t>
  </si>
  <si>
    <t>cf09b144</t>
  </si>
  <si>
    <t>cf10c144</t>
  </si>
  <si>
    <t>cf11d144</t>
  </si>
  <si>
    <t>cf12e144</t>
  </si>
  <si>
    <t>cf13f144</t>
  </si>
  <si>
    <t>cf14g144</t>
  </si>
  <si>
    <t>cf15h144</t>
  </si>
  <si>
    <t>cf16i144</t>
  </si>
  <si>
    <t>cf17j144</t>
  </si>
  <si>
    <t>MthrPrctl</t>
  </si>
  <si>
    <t>cf08a136</t>
  </si>
  <si>
    <t>Did you receive any help from your mother over the past 3 months in practical matters, such as odd jobs around the house, borrowing things, being taken somewhere, or transporting things?</t>
  </si>
  <si>
    <t>cf09b136</t>
  </si>
  <si>
    <t>cf10c136</t>
  </si>
  <si>
    <t>cf11d136</t>
  </si>
  <si>
    <t>cf12e136</t>
  </si>
  <si>
    <t>cf13f136</t>
  </si>
  <si>
    <t>cf14g136</t>
  </si>
  <si>
    <t>cf15h136</t>
  </si>
  <si>
    <t>cf16i136</t>
  </si>
  <si>
    <t>cf17j136</t>
  </si>
  <si>
    <t>MthrVals</t>
  </si>
  <si>
    <t>cf08a138</t>
  </si>
  <si>
    <t>Did you receive any valuable items or a sum of money from your mother, over the past 12 months?</t>
  </si>
  <si>
    <t>cf09b138</t>
  </si>
  <si>
    <t>cf10c138</t>
  </si>
  <si>
    <t>cf11d138</t>
  </si>
  <si>
    <t>cf12e138</t>
  </si>
  <si>
    <t>cf13f138</t>
  </si>
  <si>
    <t>cf14g138</t>
  </si>
  <si>
    <t>cf15h138</t>
  </si>
  <si>
    <t>cf16i138</t>
  </si>
  <si>
    <t>cf17j138</t>
  </si>
  <si>
    <t>Are you a tenant, subtenant, or (co-)owner of your current dwelling? In the event that you inhabit more than one dwelling, please consider the most important one</t>
  </si>
  <si>
    <t>1	tenant
2	subtenant
3	(co-)owner
4	other, for instance cost-free accommodation or anti-squatting accommodation</t>
  </si>
  <si>
    <t>ifelse(x &lt; 1 | x &gt; 4 | is.na(x), NA, ifelse(x %in% 1:2, 0, ifelse(x == 3, 1, NA)))</t>
  </si>
  <si>
    <t>movedYear</t>
  </si>
  <si>
    <t>In what year did you or your household take up residence in your current dwelling?</t>
  </si>
  <si>
    <t>ifelse(is.na(x) | x &lt; 1900 | x &gt; year, NA, ifelse(x &lt; year, 0, ifelse(x == year, 1, NA)))</t>
  </si>
  <si>
    <t>T</t>
  </si>
  <si>
    <t>0 = male, 1 = female</t>
  </si>
  <si>
    <t>0 = no, 1 = yes</t>
  </si>
  <si>
    <t>0 = rent, 1 = own</t>
  </si>
  <si>
    <t>comp_rule</t>
  </si>
  <si>
    <t>long_rule</t>
  </si>
  <si>
    <t>mode</t>
  </si>
  <si>
    <t>correlates</t>
  </si>
  <si>
    <t>gp5702e</t>
  </si>
  <si>
    <t>hp87o02</t>
  </si>
  <si>
    <t>1	Year 12 or equivalent / Senior Secondary
2	Year 11 or equivalent
3	Year 10 or equivalent / Junior Secondary
4	Year 9 or equivalent
5	Year 8 or equivalent
6	Year 7 or equivalent (NSW, VIC, TAS, ACT only)
7	Did not attend secondary school but finished primary school
8	Attended primary school but did not finish</t>
  </si>
  <si>
    <t>ifelse(is.na(x) | x &lt; 1 | x &gt; 3, NA, ifelse(x %in% 1:2, 1, 0))</t>
  </si>
  <si>
    <t>ifelse(is.na(x) | x &lt; 1 | x &gt; 8, NA, ifelse(x == 8, 12, ifelse(x %in% c(4,5), 14, ifelse(x == 3, 16, ifelse(x == 2, 18, ifelse(x == 1, 21, NA))))))</t>
  </si>
  <si>
    <t>ifelse(x &lt; 1 | x &gt; 8 | is.na(x), NA, ifelse(x == 8, 5, ifelse(x == 7, 6, ifelse(x == 6, 7, ifelse(x == 5, 8, ifelse(x == 4, 9, ifelse(x == 3, 10, ifelse(x == 2, 11, ifelse(x == 1, 12, NA)))))))))</t>
  </si>
  <si>
    <t>ifelse(x &lt; 1 | x &gt; 13 | is.na(x), NA, ifelse(x == 1, 21, ifelse(x %in% c(2,3,4,5), 16, ifelse(x == 6, 13, ifelse(x %in% c(7,8), 11, ifelse(x == 9, 8, ifelse(x == 10, 10, ifelse(x == 12, 8, NA))))))))</t>
  </si>
  <si>
    <t>ifelse(x &lt; 0 &amp; !is.na(x), 0, ifelse(x &gt;  year, 1, NA))</t>
  </si>
  <si>
    <t>ifelse(is.na(x), 0, 1)</t>
  </si>
  <si>
    <t>ch07a035</t>
  </si>
  <si>
    <t>YOB</t>
  </si>
  <si>
    <t>divorce</t>
  </si>
  <si>
    <t>ifelse(is.na(x) | x &lt; 1 | x &gt; 4, NA, ifelse(x &gt; 1, 1,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</si>
</sst>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rgb="FFFFFFFF"/>
      <name val="Calibri"/>
      <family val="2"/>
    </font>
    <font>
      <sz val="12"/>
      <color theme="1"/>
      <name val="Calibri"/>
      <family val="2"/>
    </font>
    <font>
      <sz val="12"/>
      <color theme="0"/>
      <name val="Calibri"/>
      <family val="2"/>
    </font>
    <font>
      <sz val="12"/>
      <color rgb="FF000000"/>
      <name val="Calibri"/>
      <family val="2"/>
    </font>
    <font>
      <sz val="12"/>
      <name val="Calibri"/>
      <family val="2"/>
    </font>
    <font>
      <sz val="12"/>
      <color theme="0"/>
      <name val="Calibri (Body)"/>
    </font>
    <font>
      <sz val="12"/>
      <color rgb="FFFFFFFF"/>
      <name val="Calibri"/>
      <family val="2"/>
      <scheme val="minor"/>
    </font>
    <font>
      <sz val="12"/>
      <color rgb="FF000000"/>
      <name val="Calibri"/>
      <family val="2"/>
      <scheme val="minor"/>
    </font>
    <font>
      <sz val="12"/>
      <color theme="1"/>
      <name val="Arial"/>
      <family val="2"/>
    </font>
    <font>
      <sz val="12"/>
      <color rgb="FF000000"/>
      <name val="Arial"/>
      <family val="2"/>
    </font>
    <font>
      <sz val="12"/>
      <color theme="1"/>
      <name val="Times New Roman"/>
      <family val="1"/>
    </font>
    <font>
      <b/>
      <sz val="12"/>
      <color theme="1"/>
      <name val="Times New Roman"/>
      <family val="1"/>
    </font>
    <font>
      <b/>
      <sz val="12"/>
      <color theme="0"/>
      <name val="Times New Roman"/>
      <family val="1"/>
    </font>
    <font>
      <u/>
      <sz val="12"/>
      <color theme="10"/>
      <name val="Calibri"/>
      <family val="2"/>
    </font>
    <font>
      <sz val="12"/>
      <color theme="1"/>
      <name val="Calibri"/>
      <family val="2"/>
      <scheme val="minor"/>
    </font>
    <font>
      <sz val="11"/>
      <color rgb="FF000000"/>
      <name val="Verdana"/>
      <family val="2"/>
    </font>
    <font>
      <b/>
      <sz val="12"/>
      <color theme="1"/>
      <name val="Calibri"/>
      <family val="2"/>
      <scheme val="minor"/>
    </font>
    <font>
      <sz val="11"/>
      <color theme="0"/>
      <name val="Calibri (Body)"/>
    </font>
  </fonts>
  <fills count="32">
    <fill>
      <patternFill patternType="none"/>
    </fill>
    <fill>
      <patternFill patternType="gray125"/>
    </fill>
    <fill>
      <patternFill patternType="solid">
        <fgColor rgb="FF674EA7"/>
        <bgColor rgb="FF674EA7"/>
      </patternFill>
    </fill>
    <fill>
      <patternFill patternType="solid">
        <fgColor rgb="FF00B050"/>
        <bgColor rgb="FF00B050"/>
      </patternFill>
    </fill>
    <fill>
      <patternFill patternType="solid">
        <fgColor rgb="FFD9EAD3"/>
        <bgColor rgb="FFD9EAD3"/>
      </patternFill>
    </fill>
    <fill>
      <patternFill patternType="solid">
        <fgColor rgb="FF00D562"/>
        <bgColor rgb="FF00B050"/>
      </patternFill>
    </fill>
    <fill>
      <patternFill patternType="solid">
        <fgColor rgb="FF00D562"/>
        <bgColor indexed="64"/>
      </patternFill>
    </fill>
    <fill>
      <patternFill patternType="solid">
        <fgColor rgb="FF835BA0"/>
        <bgColor rgb="FF835BA0"/>
      </patternFill>
    </fill>
    <fill>
      <patternFill patternType="solid">
        <fgColor rgb="FF039544"/>
        <bgColor rgb="FF039544"/>
      </patternFill>
    </fill>
    <fill>
      <patternFill patternType="solid">
        <fgColor rgb="FF00D562"/>
        <bgColor rgb="FF039544"/>
      </patternFill>
    </fill>
    <fill>
      <patternFill patternType="solid">
        <fgColor rgb="FF7030A0"/>
        <bgColor rgb="FF7030A0"/>
      </patternFill>
    </fill>
    <fill>
      <patternFill patternType="solid">
        <fgColor rgb="FF5F8DFF"/>
        <bgColor rgb="FF5F8DFF"/>
      </patternFill>
    </fill>
    <fill>
      <patternFill patternType="solid">
        <fgColor rgb="FF0432FF"/>
        <bgColor rgb="FF0432FF"/>
      </patternFill>
    </fill>
    <fill>
      <patternFill patternType="solid">
        <fgColor rgb="FF00B86C"/>
        <bgColor rgb="FF039544"/>
      </patternFill>
    </fill>
    <fill>
      <patternFill patternType="solid">
        <fgColor theme="1"/>
        <bgColor indexed="64"/>
      </patternFill>
    </fill>
    <fill>
      <patternFill patternType="solid">
        <fgColor rgb="FFB4A7D6"/>
        <bgColor rgb="FFB4A7D6"/>
      </patternFill>
    </fill>
    <fill>
      <patternFill patternType="solid">
        <fgColor theme="9" tint="-0.249977111117893"/>
        <bgColor rgb="FF835BA0"/>
      </patternFill>
    </fill>
    <fill>
      <patternFill patternType="solid">
        <fgColor rgb="FFC00000"/>
        <bgColor rgb="FF5F8DFF"/>
      </patternFill>
    </fill>
    <fill>
      <patternFill patternType="solid">
        <fgColor rgb="FFBD534B"/>
        <bgColor rgb="FF5F8DFF"/>
      </patternFill>
    </fill>
    <fill>
      <patternFill patternType="solid">
        <fgColor rgb="FFC00000"/>
        <bgColor rgb="FF835BA0"/>
      </patternFill>
    </fill>
    <fill>
      <patternFill patternType="solid">
        <fgColor rgb="FFC00000"/>
        <bgColor rgb="FF0432FF"/>
      </patternFill>
    </fill>
    <fill>
      <patternFill patternType="solid">
        <fgColor rgb="FFC00000"/>
        <bgColor rgb="FF039544"/>
      </patternFill>
    </fill>
    <fill>
      <patternFill patternType="solid">
        <fgColor rgb="FFC00000"/>
        <bgColor indexed="64"/>
      </patternFill>
    </fill>
    <fill>
      <patternFill patternType="solid">
        <fgColor rgb="FFBD534B"/>
        <bgColor rgb="FF039544"/>
      </patternFill>
    </fill>
    <fill>
      <patternFill patternType="solid">
        <fgColor rgb="FFBD534B"/>
        <bgColor rgb="FF7030A0"/>
      </patternFill>
    </fill>
    <fill>
      <patternFill patternType="solid">
        <fgColor rgb="FFBD534B"/>
        <bgColor indexed="64"/>
      </patternFill>
    </fill>
    <fill>
      <patternFill patternType="solid">
        <fgColor rgb="FF0432FF"/>
        <bgColor rgb="FF039544"/>
      </patternFill>
    </fill>
    <fill>
      <patternFill patternType="solid">
        <fgColor rgb="FF0432FF"/>
        <bgColor rgb="FF835BA0"/>
      </patternFill>
    </fill>
    <fill>
      <patternFill patternType="solid">
        <fgColor rgb="FF6070FE"/>
        <bgColor rgb="FF039544"/>
      </patternFill>
    </fill>
    <fill>
      <patternFill patternType="solid">
        <fgColor rgb="FF6070FE"/>
        <bgColor rgb="FF835BA0"/>
      </patternFill>
    </fill>
    <fill>
      <patternFill patternType="solid">
        <fgColor rgb="FF0432FF"/>
        <bgColor rgb="FFB4A7D6"/>
      </patternFill>
    </fill>
    <fill>
      <patternFill patternType="solid">
        <fgColor rgb="FF0432FF"/>
        <bgColor indexed="64"/>
      </patternFill>
    </fill>
  </fills>
  <borders count="1">
    <border>
      <left/>
      <right/>
      <top/>
      <bottom/>
      <diagonal/>
    </border>
  </borders>
  <cellStyleXfs count="2">
    <xf numFmtId="0" fontId="0" fillId="0" borderId="0"/>
    <xf numFmtId="0" fontId="15" fillId="0" borderId="0"/>
  </cellStyleXfs>
  <cellXfs count="79">
    <xf numFmtId="0" fontId="0" fillId="0" borderId="0" xfId="0"/>
    <xf numFmtId="0" fontId="1" fillId="2" borderId="0" xfId="0" applyFont="1" applyFill="1"/>
    <xf numFmtId="0" fontId="2" fillId="0" borderId="0" xfId="0" applyFont="1"/>
    <xf numFmtId="0" fontId="3" fillId="3" borderId="0" xfId="0" applyFont="1" applyFill="1"/>
    <xf numFmtId="0" fontId="4" fillId="0" borderId="0" xfId="0" applyFont="1"/>
    <xf numFmtId="0" fontId="4" fillId="0" borderId="0" xfId="0" quotePrefix="1" applyFont="1"/>
    <xf numFmtId="0" fontId="5" fillId="4" borderId="0" xfId="0" applyFont="1" applyFill="1"/>
    <xf numFmtId="0" fontId="0" fillId="0" borderId="0" xfId="0" applyAlignment="1"/>
    <xf numFmtId="0" fontId="2" fillId="0" borderId="0" xfId="0" applyFont="1" applyAlignment="1"/>
    <xf numFmtId="0" fontId="5" fillId="4" borderId="0" xfId="0" applyFont="1" applyFill="1" applyAlignment="1"/>
    <xf numFmtId="0" fontId="4" fillId="0" borderId="0" xfId="0" applyFont="1" applyAlignment="1"/>
    <xf numFmtId="0" fontId="3" fillId="5" borderId="0" xfId="0" applyFont="1" applyFill="1"/>
    <xf numFmtId="0" fontId="6" fillId="5" borderId="0" xfId="0" applyFont="1" applyFill="1" applyAlignment="1"/>
    <xf numFmtId="0" fontId="6" fillId="6" borderId="0" xfId="0" applyFont="1" applyFill="1" applyAlignment="1"/>
    <xf numFmtId="0" fontId="6" fillId="5" borderId="0" xfId="0" applyFont="1" applyFill="1"/>
    <xf numFmtId="0" fontId="6" fillId="6" borderId="0" xfId="0" applyFont="1" applyFill="1"/>
    <xf numFmtId="0" fontId="6" fillId="6" borderId="0" xfId="0" quotePrefix="1" applyFont="1" applyFill="1"/>
    <xf numFmtId="0" fontId="3" fillId="7" borderId="0" xfId="0" applyFont="1" applyFill="1"/>
    <xf numFmtId="0" fontId="3" fillId="8" borderId="0" xfId="0" applyFont="1" applyFill="1"/>
    <xf numFmtId="0" fontId="3" fillId="9" borderId="0" xfId="0" applyFont="1" applyFill="1"/>
    <xf numFmtId="0" fontId="3" fillId="10" borderId="0" xfId="0" applyFont="1" applyFill="1"/>
    <xf numFmtId="0" fontId="4" fillId="0" borderId="0" xfId="0" applyFont="1" applyAlignment="1">
      <alignment horizontal="right"/>
    </xf>
    <xf numFmtId="0" fontId="2" fillId="0" borderId="0" xfId="0" quotePrefix="1" applyFont="1"/>
    <xf numFmtId="0" fontId="1" fillId="8" borderId="0" xfId="0" applyFont="1" applyFill="1"/>
    <xf numFmtId="0" fontId="1" fillId="9" borderId="0" xfId="0" applyFont="1" applyFill="1"/>
    <xf numFmtId="0" fontId="8" fillId="0" borderId="0" xfId="0" applyFont="1"/>
    <xf numFmtId="0" fontId="1" fillId="11" borderId="0" xfId="0" applyFont="1" applyFill="1"/>
    <xf numFmtId="0" fontId="1" fillId="12" borderId="0" xfId="0" applyFont="1" applyFill="1"/>
    <xf numFmtId="0" fontId="3" fillId="12" borderId="0" xfId="0" applyFont="1" applyFill="1"/>
    <xf numFmtId="0" fontId="4" fillId="0" borderId="0" xfId="0" applyFont="1" applyAlignment="1">
      <alignment wrapText="1"/>
    </xf>
    <xf numFmtId="0" fontId="9" fillId="0" borderId="0" xfId="0" applyFont="1"/>
    <xf numFmtId="0" fontId="10" fillId="0" borderId="0" xfId="0" applyFont="1"/>
    <xf numFmtId="0" fontId="1" fillId="13" borderId="0" xfId="0" applyFont="1" applyFill="1"/>
    <xf numFmtId="0" fontId="2" fillId="0" borderId="0" xfId="0" quotePrefix="1" applyFont="1" applyAlignment="1">
      <alignment wrapText="1"/>
    </xf>
    <xf numFmtId="0" fontId="2" fillId="0" borderId="0" xfId="0" applyFont="1" applyAlignment="1">
      <alignment wrapText="1"/>
    </xf>
    <xf numFmtId="0" fontId="3" fillId="11" borderId="0" xfId="0" applyFont="1" applyFill="1"/>
    <xf numFmtId="0" fontId="11" fillId="0" borderId="0" xfId="0" applyFont="1"/>
    <xf numFmtId="0" fontId="11" fillId="0" borderId="0" xfId="0" applyFont="1" applyFill="1"/>
    <xf numFmtId="0" fontId="11" fillId="0" borderId="0" xfId="0" applyFont="1" applyFill="1" applyAlignment="1"/>
    <xf numFmtId="0" fontId="11" fillId="0" borderId="0" xfId="0" quotePrefix="1" applyFont="1" applyFill="1"/>
    <xf numFmtId="0" fontId="12" fillId="0" borderId="0" xfId="0" applyFont="1" applyAlignment="1">
      <alignment horizontal="center"/>
    </xf>
    <xf numFmtId="0" fontId="12" fillId="0" borderId="0" xfId="0" applyFont="1" applyAlignment="1">
      <alignment horizontal="center" vertical="center"/>
    </xf>
    <xf numFmtId="0" fontId="13" fillId="14" borderId="0" xfId="0" applyFont="1" applyFill="1"/>
    <xf numFmtId="0" fontId="13" fillId="14" borderId="0" xfId="0" applyFont="1" applyFill="1" applyAlignment="1">
      <alignment horizontal="center"/>
    </xf>
    <xf numFmtId="0" fontId="7" fillId="12" borderId="0" xfId="0" applyFont="1" applyFill="1"/>
    <xf numFmtId="0" fontId="14" fillId="0" borderId="0" xfId="0" applyFont="1"/>
    <xf numFmtId="0" fontId="1" fillId="15" borderId="0" xfId="0" applyFont="1" applyFill="1"/>
    <xf numFmtId="0" fontId="7" fillId="10" borderId="0" xfId="0" applyFont="1" applyFill="1"/>
    <xf numFmtId="0" fontId="8" fillId="0" borderId="0" xfId="0" applyFont="1" applyAlignment="1"/>
    <xf numFmtId="0" fontId="9" fillId="0" borderId="0" xfId="0" applyFont="1" applyAlignment="1"/>
    <xf numFmtId="0" fontId="16" fillId="0" borderId="0" xfId="0" applyFont="1"/>
    <xf numFmtId="0" fontId="4" fillId="0" borderId="0" xfId="0" quotePrefix="1" applyFont="1" applyAlignment="1">
      <alignment wrapText="1"/>
    </xf>
    <xf numFmtId="0" fontId="0" fillId="0" borderId="0" xfId="0" quotePrefix="1" applyAlignment="1"/>
    <xf numFmtId="0" fontId="3" fillId="16" borderId="0" xfId="1" applyFont="1" applyFill="1"/>
    <xf numFmtId="0" fontId="2" fillId="0" borderId="0" xfId="1" applyFont="1"/>
    <xf numFmtId="0" fontId="15" fillId="0" borderId="0" xfId="1"/>
    <xf numFmtId="0" fontId="0" fillId="0" borderId="0" xfId="0" applyAlignment="1">
      <alignment wrapText="1"/>
    </xf>
    <xf numFmtId="0" fontId="0" fillId="0" borderId="0" xfId="0" applyAlignment="1">
      <alignment horizontal="center"/>
    </xf>
    <xf numFmtId="0" fontId="17" fillId="0" borderId="0" xfId="0" applyFont="1" applyAlignment="1">
      <alignment horizontal="center"/>
    </xf>
    <xf numFmtId="0" fontId="10" fillId="0" borderId="0" xfId="0" applyFont="1" applyAlignment="1"/>
    <xf numFmtId="0" fontId="3" fillId="17" borderId="0" xfId="0" applyFont="1" applyFill="1"/>
    <xf numFmtId="0" fontId="3" fillId="18" borderId="0" xfId="0" applyFont="1" applyFill="1"/>
    <xf numFmtId="0" fontId="3" fillId="19" borderId="0" xfId="0" applyFont="1" applyFill="1"/>
    <xf numFmtId="0" fontId="3" fillId="20" borderId="0" xfId="0" applyFont="1" applyFill="1"/>
    <xf numFmtId="0" fontId="3" fillId="21" borderId="0" xfId="0" applyFont="1" applyFill="1"/>
    <xf numFmtId="0" fontId="3" fillId="22" borderId="0" xfId="0" applyFont="1" applyFill="1"/>
    <xf numFmtId="0" fontId="7" fillId="18" borderId="0" xfId="0" applyFont="1" applyFill="1"/>
    <xf numFmtId="0" fontId="3" fillId="23" borderId="0" xfId="0" applyFont="1" applyFill="1"/>
    <xf numFmtId="0" fontId="7" fillId="23" borderId="0" xfId="0" applyFont="1" applyFill="1"/>
    <xf numFmtId="0" fontId="3" fillId="24" borderId="0" xfId="0" applyFont="1" applyFill="1"/>
    <xf numFmtId="0" fontId="3" fillId="25" borderId="0" xfId="0" applyFont="1" applyFill="1"/>
    <xf numFmtId="0" fontId="3" fillId="26" borderId="0" xfId="0" applyFont="1" applyFill="1"/>
    <xf numFmtId="0" fontId="7" fillId="26" borderId="0" xfId="0" applyFont="1" applyFill="1"/>
    <xf numFmtId="0" fontId="3" fillId="27" borderId="0" xfId="0" applyFont="1" applyFill="1"/>
    <xf numFmtId="0" fontId="3" fillId="28" borderId="0" xfId="0" applyFont="1" applyFill="1"/>
    <xf numFmtId="0" fontId="3" fillId="29" borderId="0" xfId="0" applyFont="1" applyFill="1"/>
    <xf numFmtId="0" fontId="7" fillId="28" borderId="0" xfId="0" applyFont="1" applyFill="1"/>
    <xf numFmtId="0" fontId="6" fillId="30" borderId="0" xfId="0" applyFont="1" applyFill="1"/>
    <xf numFmtId="0" fontId="18" fillId="31" borderId="0" xfId="0" applyFont="1" applyFill="1"/>
  </cellXfs>
  <cellStyles count="2">
    <cellStyle name="Normal" xfId="0" builtinId="0"/>
    <cellStyle name="Normal 2" xfId="1" xr:uid="{BC536983-E178-944B-92E7-2271444F8496}"/>
  </cellStyles>
  <dxfs count="0"/>
  <tableStyles count="0" defaultTableStyle="TableStyleMedium2" defaultPivotStyle="PivotStyleLight16"/>
  <colors>
    <mruColors>
      <color rgb="FF6070FE"/>
      <color rgb="FF0432FF"/>
      <color rgb="FFBD534B"/>
      <color rgb="FFF30000"/>
      <color rgb="FF00D5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6668D-C4BC-5648-8DB7-8481823D0FB7}">
  <dimension ref="A1:AJ1327"/>
  <sheetViews>
    <sheetView workbookViewId="0">
      <pane ySplit="1" topLeftCell="A729" activePane="bottomLeft" state="frozen"/>
      <selection pane="bottomLeft" activeCell="I745" sqref="I745"/>
    </sheetView>
  </sheetViews>
  <sheetFormatPr baseColWidth="10" defaultRowHeight="16" x14ac:dyDescent="0.2"/>
  <sheetData>
    <row r="1" spans="1:36" ht="17.25" customHeight="1" x14ac:dyDescent="0.2">
      <c r="A1" s="2" t="s">
        <v>109</v>
      </c>
      <c r="B1" s="2" t="s">
        <v>110</v>
      </c>
      <c r="C1" s="2" t="s">
        <v>111</v>
      </c>
      <c r="D1" s="2" t="s">
        <v>112</v>
      </c>
      <c r="E1" s="2" t="s">
        <v>113</v>
      </c>
      <c r="F1" s="2" t="s">
        <v>114</v>
      </c>
      <c r="G1" s="2" t="s">
        <v>115</v>
      </c>
      <c r="H1" s="2" t="s">
        <v>116</v>
      </c>
      <c r="I1" s="2" t="s">
        <v>117</v>
      </c>
      <c r="J1" s="2" t="s">
        <v>118</v>
      </c>
      <c r="K1" s="2" t="s">
        <v>119</v>
      </c>
      <c r="L1" s="2" t="s">
        <v>120</v>
      </c>
      <c r="M1" s="2" t="s">
        <v>121</v>
      </c>
      <c r="N1" s="2" t="s">
        <v>122</v>
      </c>
      <c r="O1" s="2" t="s">
        <v>123</v>
      </c>
      <c r="P1" s="2" t="s">
        <v>4179</v>
      </c>
      <c r="Q1" s="2" t="s">
        <v>4180</v>
      </c>
      <c r="R1" s="2"/>
      <c r="S1" s="2"/>
      <c r="T1" s="2"/>
      <c r="U1" s="2"/>
      <c r="V1" s="2"/>
      <c r="W1" s="2"/>
      <c r="X1" s="2"/>
      <c r="Y1" s="2"/>
      <c r="Z1" s="2"/>
      <c r="AA1" s="2"/>
      <c r="AB1" s="2"/>
      <c r="AC1" s="2"/>
      <c r="AD1" s="2"/>
      <c r="AE1" s="2"/>
      <c r="AF1" s="2"/>
      <c r="AG1" s="2"/>
      <c r="AH1" s="2"/>
      <c r="AI1" s="2"/>
      <c r="AJ1" s="2"/>
    </row>
    <row r="2" spans="1:36" ht="17.25" customHeight="1" x14ac:dyDescent="0.2">
      <c r="A2" s="2" t="s">
        <v>0</v>
      </c>
      <c r="B2" s="2"/>
      <c r="C2" s="2" t="s">
        <v>598</v>
      </c>
      <c r="D2" s="2" t="s">
        <v>599</v>
      </c>
      <c r="E2" s="2" t="s">
        <v>599</v>
      </c>
      <c r="F2" s="2"/>
      <c r="G2" s="4"/>
      <c r="H2" s="2">
        <v>0</v>
      </c>
      <c r="I2" s="2" t="s">
        <v>600</v>
      </c>
      <c r="J2" s="2" t="s">
        <v>601</v>
      </c>
      <c r="K2" s="2"/>
      <c r="L2" s="2"/>
      <c r="M2" s="2"/>
      <c r="N2" s="2"/>
      <c r="O2" s="2"/>
      <c r="P2" s="2"/>
      <c r="Q2" s="2"/>
      <c r="R2" s="2"/>
      <c r="S2" s="2"/>
      <c r="T2" s="2"/>
      <c r="U2" s="2"/>
      <c r="V2" s="2"/>
      <c r="W2" s="2"/>
      <c r="X2" s="2"/>
      <c r="Y2" s="2"/>
      <c r="Z2" s="2"/>
      <c r="AA2" s="2"/>
      <c r="AB2" s="2"/>
      <c r="AC2" s="2"/>
      <c r="AD2" s="2"/>
      <c r="AE2" s="2"/>
      <c r="AF2" s="2"/>
      <c r="AG2" s="2"/>
      <c r="AH2" s="2"/>
      <c r="AI2" s="2"/>
      <c r="AJ2" s="2"/>
    </row>
    <row r="3" spans="1:36" ht="17.25" customHeight="1" x14ac:dyDescent="0.2">
      <c r="A3" s="3" t="s">
        <v>0</v>
      </c>
      <c r="B3" s="3" t="s">
        <v>25</v>
      </c>
      <c r="C3" s="3" t="s">
        <v>4182</v>
      </c>
      <c r="D3" s="3" t="s">
        <v>602</v>
      </c>
      <c r="E3" s="3" t="s">
        <v>602</v>
      </c>
      <c r="F3" s="2">
        <v>1</v>
      </c>
      <c r="G3" s="4" t="s">
        <v>40</v>
      </c>
      <c r="H3" s="2">
        <v>1984</v>
      </c>
      <c r="I3" s="2" t="s">
        <v>603</v>
      </c>
      <c r="J3" s="2" t="s">
        <v>604</v>
      </c>
      <c r="K3" s="2" t="s">
        <v>605</v>
      </c>
      <c r="L3" s="2"/>
      <c r="M3" s="2" t="s">
        <v>606</v>
      </c>
      <c r="N3" s="2"/>
      <c r="O3" s="2"/>
      <c r="P3" s="2" t="s">
        <v>2175</v>
      </c>
      <c r="Q3" s="2" t="s">
        <v>4181</v>
      </c>
      <c r="R3" s="2"/>
      <c r="S3" s="2"/>
      <c r="T3" s="2"/>
      <c r="U3" s="2"/>
      <c r="V3" s="2"/>
      <c r="W3" s="2"/>
      <c r="X3" s="2"/>
      <c r="Y3" s="2"/>
      <c r="Z3" s="2"/>
      <c r="AA3" s="2"/>
      <c r="AB3" s="2"/>
      <c r="AC3" s="2"/>
      <c r="AD3" s="2"/>
      <c r="AE3" s="2"/>
      <c r="AF3" s="2"/>
      <c r="AG3" s="2"/>
      <c r="AH3" s="2"/>
      <c r="AI3" s="2"/>
      <c r="AJ3" s="2"/>
    </row>
    <row r="4" spans="1:36" ht="17.25" customHeight="1" x14ac:dyDescent="0.2">
      <c r="A4" s="3" t="s">
        <v>0</v>
      </c>
      <c r="B4" s="3" t="s">
        <v>25</v>
      </c>
      <c r="C4" s="3" t="s">
        <v>4182</v>
      </c>
      <c r="D4" s="3" t="s">
        <v>602</v>
      </c>
      <c r="E4" s="3" t="s">
        <v>602</v>
      </c>
      <c r="F4" s="2">
        <v>2</v>
      </c>
      <c r="G4" s="4" t="s">
        <v>37</v>
      </c>
      <c r="H4" s="2">
        <v>1985</v>
      </c>
      <c r="I4" s="2" t="s">
        <v>607</v>
      </c>
      <c r="J4" s="2" t="s">
        <v>604</v>
      </c>
      <c r="K4" s="2" t="s">
        <v>605</v>
      </c>
      <c r="L4" s="2"/>
      <c r="M4" s="2" t="s">
        <v>606</v>
      </c>
      <c r="N4" s="2"/>
      <c r="O4" s="2"/>
      <c r="P4" s="2" t="s">
        <v>2175</v>
      </c>
      <c r="Q4" s="2" t="s">
        <v>4181</v>
      </c>
      <c r="R4" s="2"/>
      <c r="S4" s="2"/>
      <c r="T4" s="2"/>
      <c r="U4" s="2"/>
      <c r="V4" s="2"/>
      <c r="W4" s="2"/>
      <c r="X4" s="2"/>
      <c r="Y4" s="2"/>
      <c r="Z4" s="2"/>
      <c r="AA4" s="2"/>
      <c r="AB4" s="2"/>
      <c r="AC4" s="2"/>
      <c r="AD4" s="2"/>
      <c r="AE4" s="2"/>
      <c r="AF4" s="2"/>
      <c r="AG4" s="2"/>
      <c r="AH4" s="2"/>
      <c r="AI4" s="2"/>
      <c r="AJ4" s="2"/>
    </row>
    <row r="5" spans="1:36" ht="17.25" customHeight="1" x14ac:dyDescent="0.2">
      <c r="A5" s="3" t="s">
        <v>0</v>
      </c>
      <c r="B5" s="3" t="s">
        <v>25</v>
      </c>
      <c r="C5" s="3" t="s">
        <v>4182</v>
      </c>
      <c r="D5" s="3" t="s">
        <v>602</v>
      </c>
      <c r="E5" s="3" t="s">
        <v>602</v>
      </c>
      <c r="F5" s="2">
        <v>3</v>
      </c>
      <c r="G5" s="4" t="s">
        <v>80</v>
      </c>
      <c r="H5" s="2">
        <v>1986</v>
      </c>
      <c r="I5" s="2" t="s">
        <v>608</v>
      </c>
      <c r="J5" s="2" t="s">
        <v>604</v>
      </c>
      <c r="K5" s="2" t="s">
        <v>605</v>
      </c>
      <c r="L5" s="2"/>
      <c r="M5" s="2" t="s">
        <v>606</v>
      </c>
      <c r="N5" s="2"/>
      <c r="O5" s="2"/>
      <c r="P5" s="2" t="s">
        <v>2175</v>
      </c>
      <c r="Q5" s="2" t="s">
        <v>4181</v>
      </c>
      <c r="R5" s="2"/>
      <c r="S5" s="2"/>
      <c r="T5" s="2"/>
      <c r="U5" s="2"/>
      <c r="V5" s="2"/>
      <c r="W5" s="2"/>
      <c r="X5" s="2"/>
      <c r="Y5" s="2"/>
      <c r="Z5" s="2"/>
      <c r="AA5" s="2"/>
      <c r="AB5" s="2"/>
      <c r="AC5" s="2"/>
      <c r="AD5" s="2"/>
      <c r="AE5" s="2"/>
      <c r="AF5" s="2"/>
      <c r="AG5" s="2"/>
      <c r="AH5" s="2"/>
      <c r="AI5" s="2"/>
      <c r="AJ5" s="2"/>
    </row>
    <row r="6" spans="1:36" ht="17.25" customHeight="1" x14ac:dyDescent="0.2">
      <c r="A6" s="3" t="s">
        <v>0</v>
      </c>
      <c r="B6" s="3" t="s">
        <v>25</v>
      </c>
      <c r="C6" s="3" t="s">
        <v>4182</v>
      </c>
      <c r="D6" s="3" t="s">
        <v>602</v>
      </c>
      <c r="E6" s="3" t="s">
        <v>602</v>
      </c>
      <c r="F6" s="2">
        <v>4</v>
      </c>
      <c r="G6" s="4" t="s">
        <v>31</v>
      </c>
      <c r="H6" s="2">
        <v>1987</v>
      </c>
      <c r="I6" s="2" t="s">
        <v>609</v>
      </c>
      <c r="J6" s="2" t="s">
        <v>604</v>
      </c>
      <c r="K6" s="2" t="s">
        <v>605</v>
      </c>
      <c r="L6" s="2"/>
      <c r="M6" s="2" t="s">
        <v>606</v>
      </c>
      <c r="N6" s="2"/>
      <c r="O6" s="2"/>
      <c r="P6" s="2" t="s">
        <v>2175</v>
      </c>
      <c r="Q6" s="2" t="s">
        <v>4181</v>
      </c>
      <c r="R6" s="2"/>
      <c r="S6" s="2"/>
      <c r="T6" s="2"/>
      <c r="U6" s="2"/>
      <c r="V6" s="2"/>
      <c r="W6" s="2"/>
      <c r="X6" s="2"/>
      <c r="Y6" s="2"/>
      <c r="Z6" s="2"/>
      <c r="AA6" s="2"/>
      <c r="AB6" s="2"/>
      <c r="AC6" s="2"/>
      <c r="AD6" s="2"/>
      <c r="AE6" s="2"/>
      <c r="AF6" s="2"/>
      <c r="AG6" s="2"/>
      <c r="AH6" s="2"/>
      <c r="AI6" s="2"/>
      <c r="AJ6" s="2"/>
    </row>
    <row r="7" spans="1:36" ht="17.25" customHeight="1" x14ac:dyDescent="0.2">
      <c r="A7" s="3" t="s">
        <v>0</v>
      </c>
      <c r="B7" s="3" t="s">
        <v>25</v>
      </c>
      <c r="C7" s="3" t="s">
        <v>4182</v>
      </c>
      <c r="D7" s="3" t="s">
        <v>602</v>
      </c>
      <c r="E7" s="3" t="s">
        <v>602</v>
      </c>
      <c r="F7" s="2">
        <v>5</v>
      </c>
      <c r="G7" s="4" t="s">
        <v>13</v>
      </c>
      <c r="H7" s="2">
        <v>1988</v>
      </c>
      <c r="I7" s="2" t="s">
        <v>610</v>
      </c>
      <c r="J7" s="2" t="s">
        <v>604</v>
      </c>
      <c r="K7" s="2" t="s">
        <v>605</v>
      </c>
      <c r="L7" s="2"/>
      <c r="M7" s="2" t="s">
        <v>606</v>
      </c>
      <c r="N7" s="2"/>
      <c r="O7" s="2"/>
      <c r="P7" s="2" t="s">
        <v>2175</v>
      </c>
      <c r="Q7" s="2" t="s">
        <v>4181</v>
      </c>
      <c r="R7" s="2"/>
      <c r="S7" s="2"/>
      <c r="T7" s="2"/>
      <c r="U7" s="2"/>
      <c r="V7" s="2"/>
      <c r="W7" s="2"/>
      <c r="X7" s="2"/>
      <c r="Y7" s="2"/>
      <c r="Z7" s="2"/>
      <c r="AA7" s="2"/>
      <c r="AB7" s="2"/>
      <c r="AC7" s="2"/>
      <c r="AD7" s="2"/>
      <c r="AE7" s="2"/>
      <c r="AF7" s="2"/>
      <c r="AG7" s="2"/>
      <c r="AH7" s="2"/>
      <c r="AI7" s="2"/>
      <c r="AJ7" s="2"/>
    </row>
    <row r="8" spans="1:36" ht="17.25" customHeight="1" x14ac:dyDescent="0.2">
      <c r="A8" s="3" t="s">
        <v>0</v>
      </c>
      <c r="B8" s="3" t="s">
        <v>25</v>
      </c>
      <c r="C8" s="3" t="s">
        <v>4182</v>
      </c>
      <c r="D8" s="3" t="s">
        <v>602</v>
      </c>
      <c r="E8" s="3" t="s">
        <v>602</v>
      </c>
      <c r="F8" s="2">
        <v>6</v>
      </c>
      <c r="G8" s="4" t="s">
        <v>49</v>
      </c>
      <c r="H8" s="2">
        <v>1989</v>
      </c>
      <c r="I8" s="2" t="s">
        <v>611</v>
      </c>
      <c r="J8" s="2" t="s">
        <v>604</v>
      </c>
      <c r="K8" s="2" t="s">
        <v>605</v>
      </c>
      <c r="L8" s="2"/>
      <c r="M8" s="2" t="s">
        <v>606</v>
      </c>
      <c r="N8" s="2"/>
      <c r="O8" s="2"/>
      <c r="P8" s="2" t="s">
        <v>2175</v>
      </c>
      <c r="Q8" s="2" t="s">
        <v>4181</v>
      </c>
      <c r="R8" s="2"/>
      <c r="S8" s="2"/>
      <c r="T8" s="2"/>
      <c r="U8" s="2"/>
      <c r="V8" s="2"/>
      <c r="W8" s="2"/>
      <c r="X8" s="2"/>
      <c r="Y8" s="2"/>
      <c r="Z8" s="2"/>
      <c r="AA8" s="2"/>
      <c r="AB8" s="2"/>
      <c r="AC8" s="2"/>
      <c r="AD8" s="2"/>
      <c r="AE8" s="2"/>
      <c r="AF8" s="2"/>
      <c r="AG8" s="2"/>
      <c r="AH8" s="2"/>
      <c r="AI8" s="2"/>
      <c r="AJ8" s="2"/>
    </row>
    <row r="9" spans="1:36" ht="17.25" customHeight="1" x14ac:dyDescent="0.2">
      <c r="A9" s="3" t="s">
        <v>0</v>
      </c>
      <c r="B9" s="3" t="s">
        <v>25</v>
      </c>
      <c r="C9" s="3" t="s">
        <v>4182</v>
      </c>
      <c r="D9" s="3" t="s">
        <v>602</v>
      </c>
      <c r="E9" s="3" t="s">
        <v>602</v>
      </c>
      <c r="F9" s="2">
        <v>7</v>
      </c>
      <c r="G9" s="4" t="s">
        <v>101</v>
      </c>
      <c r="H9" s="2">
        <v>1990</v>
      </c>
      <c r="I9" s="2" t="s">
        <v>612</v>
      </c>
      <c r="J9" s="2" t="s">
        <v>604</v>
      </c>
      <c r="K9" s="2" t="s">
        <v>605</v>
      </c>
      <c r="L9" s="2"/>
      <c r="M9" s="2" t="s">
        <v>606</v>
      </c>
      <c r="N9" s="2"/>
      <c r="O9" s="2"/>
      <c r="P9" s="2" t="s">
        <v>2175</v>
      </c>
      <c r="Q9" s="2" t="s">
        <v>4181</v>
      </c>
      <c r="R9" s="2"/>
      <c r="S9" s="2"/>
      <c r="T9" s="2"/>
      <c r="U9" s="2"/>
      <c r="V9" s="2"/>
      <c r="W9" s="2"/>
      <c r="X9" s="2"/>
      <c r="Y9" s="2"/>
      <c r="Z9" s="2"/>
      <c r="AA9" s="2"/>
      <c r="AB9" s="2"/>
      <c r="AC9" s="2"/>
      <c r="AD9" s="2"/>
      <c r="AE9" s="2"/>
      <c r="AF9" s="2"/>
      <c r="AG9" s="2"/>
      <c r="AH9" s="2"/>
      <c r="AI9" s="2"/>
      <c r="AJ9" s="2"/>
    </row>
    <row r="10" spans="1:36" ht="17.25" customHeight="1" x14ac:dyDescent="0.2">
      <c r="A10" s="3" t="s">
        <v>0</v>
      </c>
      <c r="B10" s="3" t="s">
        <v>25</v>
      </c>
      <c r="C10" s="3" t="s">
        <v>4182</v>
      </c>
      <c r="D10" s="3" t="s">
        <v>602</v>
      </c>
      <c r="E10" s="3" t="s">
        <v>602</v>
      </c>
      <c r="F10" s="2">
        <v>8</v>
      </c>
      <c r="G10" s="4" t="s">
        <v>10</v>
      </c>
      <c r="H10" s="2">
        <v>1991</v>
      </c>
      <c r="I10" s="2" t="s">
        <v>613</v>
      </c>
      <c r="J10" s="2" t="s">
        <v>604</v>
      </c>
      <c r="K10" s="2" t="s">
        <v>605</v>
      </c>
      <c r="L10" s="2"/>
      <c r="M10" s="2" t="s">
        <v>606</v>
      </c>
      <c r="N10" s="2"/>
      <c r="O10" s="2"/>
      <c r="P10" s="2" t="s">
        <v>2175</v>
      </c>
      <c r="Q10" s="2" t="s">
        <v>4181</v>
      </c>
      <c r="R10" s="2"/>
      <c r="S10" s="2"/>
      <c r="T10" s="2"/>
      <c r="U10" s="2"/>
      <c r="V10" s="2"/>
      <c r="W10" s="2"/>
      <c r="X10" s="2"/>
      <c r="Y10" s="2"/>
      <c r="Z10" s="2"/>
      <c r="AA10" s="2"/>
      <c r="AB10" s="2"/>
      <c r="AC10" s="2"/>
      <c r="AD10" s="2"/>
      <c r="AE10" s="2"/>
      <c r="AF10" s="2"/>
      <c r="AG10" s="2"/>
      <c r="AH10" s="2"/>
      <c r="AI10" s="2"/>
      <c r="AJ10" s="2"/>
    </row>
    <row r="11" spans="1:36" ht="17.25" customHeight="1" x14ac:dyDescent="0.2">
      <c r="A11" s="3" t="s">
        <v>0</v>
      </c>
      <c r="B11" s="3" t="s">
        <v>25</v>
      </c>
      <c r="C11" s="3" t="s">
        <v>4182</v>
      </c>
      <c r="D11" s="3" t="s">
        <v>602</v>
      </c>
      <c r="E11" s="3" t="s">
        <v>602</v>
      </c>
      <c r="F11" s="2">
        <v>9</v>
      </c>
      <c r="G11" s="4" t="s">
        <v>55</v>
      </c>
      <c r="H11" s="2">
        <v>1992</v>
      </c>
      <c r="I11" s="2" t="s">
        <v>614</v>
      </c>
      <c r="J11" s="2" t="s">
        <v>604</v>
      </c>
      <c r="K11" s="2" t="s">
        <v>605</v>
      </c>
      <c r="L11" s="2"/>
      <c r="M11" s="2" t="s">
        <v>606</v>
      </c>
      <c r="N11" s="2"/>
      <c r="O11" s="2"/>
      <c r="P11" s="2" t="s">
        <v>2175</v>
      </c>
      <c r="Q11" s="2" t="s">
        <v>4181</v>
      </c>
      <c r="R11" s="2"/>
      <c r="S11" s="2"/>
      <c r="T11" s="2"/>
      <c r="U11" s="2"/>
      <c r="V11" s="2"/>
      <c r="W11" s="2"/>
      <c r="X11" s="2"/>
      <c r="Y11" s="2"/>
      <c r="Z11" s="2"/>
      <c r="AA11" s="2"/>
      <c r="AB11" s="2"/>
      <c r="AC11" s="2"/>
      <c r="AD11" s="2"/>
      <c r="AE11" s="2"/>
      <c r="AF11" s="2"/>
      <c r="AG11" s="2"/>
      <c r="AH11" s="2"/>
      <c r="AI11" s="2"/>
      <c r="AJ11" s="2"/>
    </row>
    <row r="12" spans="1:36" ht="17.25" customHeight="1" x14ac:dyDescent="0.2">
      <c r="A12" s="3" t="s">
        <v>0</v>
      </c>
      <c r="B12" s="3" t="s">
        <v>25</v>
      </c>
      <c r="C12" s="3" t="s">
        <v>4182</v>
      </c>
      <c r="D12" s="3" t="s">
        <v>602</v>
      </c>
      <c r="E12" s="3" t="s">
        <v>602</v>
      </c>
      <c r="F12" s="2">
        <v>10</v>
      </c>
      <c r="G12" s="4" t="s">
        <v>98</v>
      </c>
      <c r="H12" s="2">
        <v>1993</v>
      </c>
      <c r="I12" s="2" t="s">
        <v>615</v>
      </c>
      <c r="J12" s="2" t="s">
        <v>604</v>
      </c>
      <c r="K12" s="2" t="s">
        <v>605</v>
      </c>
      <c r="L12" s="2"/>
      <c r="M12" s="2" t="s">
        <v>606</v>
      </c>
      <c r="N12" s="2"/>
      <c r="O12" s="2"/>
      <c r="P12" s="2" t="s">
        <v>2175</v>
      </c>
      <c r="Q12" s="2" t="s">
        <v>4181</v>
      </c>
      <c r="R12" s="2"/>
      <c r="S12" s="2"/>
      <c r="T12" s="2"/>
      <c r="U12" s="2"/>
      <c r="V12" s="2"/>
      <c r="W12" s="2"/>
      <c r="X12" s="2"/>
      <c r="Y12" s="2"/>
      <c r="Z12" s="2"/>
      <c r="AA12" s="2"/>
      <c r="AB12" s="2"/>
      <c r="AC12" s="2"/>
      <c r="AD12" s="2"/>
      <c r="AE12" s="2"/>
      <c r="AF12" s="2"/>
      <c r="AG12" s="2"/>
      <c r="AH12" s="2"/>
      <c r="AI12" s="2"/>
      <c r="AJ12" s="2"/>
    </row>
    <row r="13" spans="1:36" ht="17.25" customHeight="1" x14ac:dyDescent="0.2">
      <c r="A13" s="3" t="s">
        <v>0</v>
      </c>
      <c r="B13" s="3" t="s">
        <v>25</v>
      </c>
      <c r="C13" s="3" t="s">
        <v>4182</v>
      </c>
      <c r="D13" s="3" t="s">
        <v>602</v>
      </c>
      <c r="E13" s="3" t="s">
        <v>602</v>
      </c>
      <c r="F13" s="2">
        <v>11</v>
      </c>
      <c r="G13" s="4" t="s">
        <v>104</v>
      </c>
      <c r="H13" s="2">
        <v>1994</v>
      </c>
      <c r="I13" s="2" t="s">
        <v>616</v>
      </c>
      <c r="J13" s="2" t="s">
        <v>604</v>
      </c>
      <c r="K13" s="2" t="s">
        <v>605</v>
      </c>
      <c r="L13" s="2"/>
      <c r="M13" s="2" t="s">
        <v>606</v>
      </c>
      <c r="N13" s="2"/>
      <c r="O13" s="2"/>
      <c r="P13" s="2" t="s">
        <v>2175</v>
      </c>
      <c r="Q13" s="2" t="s">
        <v>4181</v>
      </c>
      <c r="R13" s="2"/>
      <c r="S13" s="2"/>
      <c r="T13" s="2"/>
      <c r="U13" s="2"/>
      <c r="V13" s="2"/>
      <c r="W13" s="2"/>
      <c r="X13" s="2"/>
      <c r="Y13" s="2"/>
      <c r="Z13" s="2"/>
      <c r="AA13" s="2"/>
      <c r="AB13" s="2"/>
      <c r="AC13" s="2"/>
      <c r="AD13" s="2"/>
      <c r="AE13" s="2"/>
      <c r="AF13" s="2"/>
      <c r="AG13" s="2"/>
      <c r="AH13" s="2"/>
      <c r="AI13" s="2"/>
      <c r="AJ13" s="2"/>
    </row>
    <row r="14" spans="1:36" ht="17.25" customHeight="1" x14ac:dyDescent="0.2">
      <c r="A14" s="3" t="s">
        <v>0</v>
      </c>
      <c r="B14" s="3" t="s">
        <v>25</v>
      </c>
      <c r="C14" s="3" t="s">
        <v>4182</v>
      </c>
      <c r="D14" s="3" t="s">
        <v>602</v>
      </c>
      <c r="E14" s="3" t="s">
        <v>602</v>
      </c>
      <c r="F14" s="2">
        <v>12</v>
      </c>
      <c r="G14" s="4" t="s">
        <v>89</v>
      </c>
      <c r="H14" s="2">
        <v>1995</v>
      </c>
      <c r="I14" s="2" t="s">
        <v>617</v>
      </c>
      <c r="J14" s="2" t="s">
        <v>604</v>
      </c>
      <c r="K14" s="2" t="s">
        <v>605</v>
      </c>
      <c r="L14" s="2"/>
      <c r="M14" s="2" t="s">
        <v>606</v>
      </c>
      <c r="N14" s="2"/>
      <c r="O14" s="2"/>
      <c r="P14" s="2" t="s">
        <v>2175</v>
      </c>
      <c r="Q14" s="2" t="s">
        <v>4181</v>
      </c>
      <c r="R14" s="2"/>
      <c r="S14" s="2"/>
      <c r="T14" s="2"/>
      <c r="U14" s="2"/>
      <c r="V14" s="2"/>
      <c r="W14" s="2"/>
      <c r="X14" s="2"/>
      <c r="Y14" s="2"/>
      <c r="Z14" s="2"/>
      <c r="AA14" s="2"/>
      <c r="AB14" s="2"/>
      <c r="AC14" s="2"/>
      <c r="AD14" s="2"/>
      <c r="AE14" s="2"/>
      <c r="AF14" s="2"/>
      <c r="AG14" s="2"/>
      <c r="AH14" s="2"/>
      <c r="AI14" s="2"/>
      <c r="AJ14" s="2"/>
    </row>
    <row r="15" spans="1:36" ht="17.25" customHeight="1" x14ac:dyDescent="0.2">
      <c r="A15" s="3" t="s">
        <v>0</v>
      </c>
      <c r="B15" s="3" t="s">
        <v>25</v>
      </c>
      <c r="C15" s="3" t="s">
        <v>4182</v>
      </c>
      <c r="D15" s="3" t="s">
        <v>602</v>
      </c>
      <c r="E15" s="3" t="s">
        <v>602</v>
      </c>
      <c r="F15" s="2">
        <v>13</v>
      </c>
      <c r="G15" s="4" t="s">
        <v>107</v>
      </c>
      <c r="H15" s="2">
        <v>1996</v>
      </c>
      <c r="I15" s="2" t="s">
        <v>618</v>
      </c>
      <c r="J15" s="2" t="s">
        <v>604</v>
      </c>
      <c r="K15" s="2" t="s">
        <v>605</v>
      </c>
      <c r="L15" s="2"/>
      <c r="M15" s="2" t="s">
        <v>606</v>
      </c>
      <c r="N15" s="2"/>
      <c r="O15" s="2"/>
      <c r="P15" s="2" t="s">
        <v>2175</v>
      </c>
      <c r="Q15" s="2" t="s">
        <v>4181</v>
      </c>
      <c r="R15" s="2"/>
      <c r="S15" s="2"/>
      <c r="T15" s="2"/>
      <c r="U15" s="2"/>
      <c r="V15" s="2"/>
      <c r="W15" s="2"/>
      <c r="X15" s="2"/>
      <c r="Y15" s="2"/>
      <c r="Z15" s="2"/>
      <c r="AA15" s="2"/>
      <c r="AB15" s="2"/>
      <c r="AC15" s="2"/>
      <c r="AD15" s="2"/>
      <c r="AE15" s="2"/>
      <c r="AF15" s="2"/>
      <c r="AG15" s="2"/>
      <c r="AH15" s="2"/>
      <c r="AI15" s="2"/>
      <c r="AJ15" s="2"/>
    </row>
    <row r="16" spans="1:36" ht="17.25" customHeight="1" x14ac:dyDescent="0.2">
      <c r="A16" s="3" t="s">
        <v>0</v>
      </c>
      <c r="B16" s="3" t="s">
        <v>25</v>
      </c>
      <c r="C16" s="3" t="s">
        <v>4182</v>
      </c>
      <c r="D16" s="3" t="s">
        <v>602</v>
      </c>
      <c r="E16" s="3" t="s">
        <v>602</v>
      </c>
      <c r="F16" s="2">
        <v>14</v>
      </c>
      <c r="G16" s="4" t="s">
        <v>43</v>
      </c>
      <c r="H16" s="2">
        <v>1997</v>
      </c>
      <c r="I16" s="2" t="s">
        <v>619</v>
      </c>
      <c r="J16" s="2" t="s">
        <v>604</v>
      </c>
      <c r="K16" s="2" t="s">
        <v>605</v>
      </c>
      <c r="L16" s="2"/>
      <c r="M16" s="2" t="s">
        <v>606</v>
      </c>
      <c r="N16" s="2"/>
      <c r="O16" s="2"/>
      <c r="P16" s="2" t="s">
        <v>2175</v>
      </c>
      <c r="Q16" s="2" t="s">
        <v>4181</v>
      </c>
      <c r="R16" s="2"/>
      <c r="S16" s="2"/>
      <c r="T16" s="2"/>
      <c r="U16" s="2"/>
      <c r="V16" s="2"/>
      <c r="W16" s="2"/>
      <c r="X16" s="2"/>
      <c r="Y16" s="2"/>
      <c r="Z16" s="2"/>
      <c r="AA16" s="2"/>
      <c r="AB16" s="2"/>
      <c r="AC16" s="2"/>
      <c r="AD16" s="2"/>
      <c r="AE16" s="2"/>
      <c r="AF16" s="2"/>
      <c r="AG16" s="2"/>
      <c r="AH16" s="2"/>
      <c r="AI16" s="2"/>
      <c r="AJ16" s="2"/>
    </row>
    <row r="17" spans="1:36" ht="17.25" customHeight="1" x14ac:dyDescent="0.2">
      <c r="A17" s="3" t="s">
        <v>0</v>
      </c>
      <c r="B17" s="3" t="s">
        <v>25</v>
      </c>
      <c r="C17" s="3" t="s">
        <v>4182</v>
      </c>
      <c r="D17" s="3" t="s">
        <v>602</v>
      </c>
      <c r="E17" s="3" t="s">
        <v>602</v>
      </c>
      <c r="F17" s="2">
        <v>15</v>
      </c>
      <c r="G17" s="4" t="s">
        <v>19</v>
      </c>
      <c r="H17" s="2">
        <v>1998</v>
      </c>
      <c r="I17" s="2" t="s">
        <v>620</v>
      </c>
      <c r="J17" s="2" t="s">
        <v>604</v>
      </c>
      <c r="K17" s="2" t="s">
        <v>605</v>
      </c>
      <c r="L17" s="2"/>
      <c r="M17" s="2" t="s">
        <v>606</v>
      </c>
      <c r="N17" s="2"/>
      <c r="O17" s="2"/>
      <c r="P17" s="2" t="s">
        <v>2175</v>
      </c>
      <c r="Q17" s="2" t="s">
        <v>4181</v>
      </c>
      <c r="R17" s="2"/>
      <c r="S17" s="2"/>
      <c r="T17" s="2"/>
      <c r="U17" s="2"/>
      <c r="V17" s="2"/>
      <c r="W17" s="2"/>
      <c r="X17" s="2"/>
      <c r="Y17" s="2"/>
      <c r="Z17" s="2"/>
      <c r="AA17" s="2"/>
      <c r="AB17" s="2"/>
      <c r="AC17" s="2"/>
      <c r="AD17" s="2"/>
      <c r="AE17" s="2"/>
      <c r="AF17" s="2"/>
      <c r="AG17" s="2"/>
      <c r="AH17" s="2"/>
      <c r="AI17" s="2"/>
      <c r="AJ17" s="2"/>
    </row>
    <row r="18" spans="1:36" ht="17.25" customHeight="1" x14ac:dyDescent="0.2">
      <c r="A18" s="3" t="s">
        <v>0</v>
      </c>
      <c r="B18" s="3" t="s">
        <v>25</v>
      </c>
      <c r="C18" s="3" t="s">
        <v>4182</v>
      </c>
      <c r="D18" s="3" t="s">
        <v>602</v>
      </c>
      <c r="E18" s="3" t="s">
        <v>602</v>
      </c>
      <c r="F18" s="2">
        <v>16</v>
      </c>
      <c r="G18" s="4" t="s">
        <v>25</v>
      </c>
      <c r="H18" s="2">
        <v>1999</v>
      </c>
      <c r="I18" s="2" t="s">
        <v>621</v>
      </c>
      <c r="J18" s="2" t="s">
        <v>604</v>
      </c>
      <c r="K18" s="2" t="s">
        <v>605</v>
      </c>
      <c r="L18" s="2"/>
      <c r="M18" s="2" t="s">
        <v>606</v>
      </c>
      <c r="N18" s="2"/>
      <c r="O18" s="2"/>
      <c r="P18" s="2" t="s">
        <v>2175</v>
      </c>
      <c r="Q18" s="2" t="s">
        <v>4181</v>
      </c>
      <c r="R18" s="2"/>
      <c r="S18" s="2"/>
      <c r="T18" s="2"/>
      <c r="U18" s="2"/>
      <c r="V18" s="2"/>
      <c r="W18" s="2"/>
      <c r="X18" s="2"/>
      <c r="Y18" s="2"/>
      <c r="Z18" s="2"/>
      <c r="AA18" s="2"/>
      <c r="AB18" s="2"/>
      <c r="AC18" s="2"/>
      <c r="AD18" s="2"/>
      <c r="AE18" s="2"/>
      <c r="AF18" s="2"/>
      <c r="AG18" s="2"/>
      <c r="AH18" s="2"/>
      <c r="AI18" s="2"/>
      <c r="AJ18" s="2"/>
    </row>
    <row r="19" spans="1:36" ht="17.25" customHeight="1" x14ac:dyDescent="0.2">
      <c r="A19" s="3" t="s">
        <v>0</v>
      </c>
      <c r="B19" s="3" t="s">
        <v>25</v>
      </c>
      <c r="C19" s="3" t="s">
        <v>4182</v>
      </c>
      <c r="D19" s="3" t="s">
        <v>602</v>
      </c>
      <c r="E19" s="3" t="s">
        <v>602</v>
      </c>
      <c r="F19" s="2">
        <v>17</v>
      </c>
      <c r="G19" s="4" t="s">
        <v>73</v>
      </c>
      <c r="H19" s="2">
        <v>2000</v>
      </c>
      <c r="I19" s="2" t="s">
        <v>622</v>
      </c>
      <c r="J19" s="2" t="s">
        <v>604</v>
      </c>
      <c r="K19" s="2" t="s">
        <v>605</v>
      </c>
      <c r="L19" s="2"/>
      <c r="M19" s="2" t="s">
        <v>606</v>
      </c>
      <c r="N19" s="2"/>
      <c r="O19" s="2"/>
      <c r="P19" s="2" t="s">
        <v>2175</v>
      </c>
      <c r="Q19" s="2" t="s">
        <v>4181</v>
      </c>
      <c r="R19" s="2"/>
      <c r="S19" s="2"/>
      <c r="T19" s="2"/>
      <c r="U19" s="2"/>
      <c r="V19" s="2"/>
      <c r="W19" s="2"/>
      <c r="X19" s="2"/>
      <c r="Y19" s="2"/>
      <c r="Z19" s="2"/>
      <c r="AA19" s="2"/>
      <c r="AB19" s="2"/>
      <c r="AC19" s="2"/>
      <c r="AD19" s="2"/>
      <c r="AE19" s="2"/>
      <c r="AF19" s="2"/>
      <c r="AG19" s="2"/>
      <c r="AH19" s="2"/>
      <c r="AI19" s="2"/>
      <c r="AJ19" s="2"/>
    </row>
    <row r="20" spans="1:36" ht="17.25" customHeight="1" x14ac:dyDescent="0.2">
      <c r="A20" s="3" t="s">
        <v>0</v>
      </c>
      <c r="B20" s="3" t="s">
        <v>25</v>
      </c>
      <c r="C20" s="3" t="s">
        <v>4182</v>
      </c>
      <c r="D20" s="3" t="s">
        <v>602</v>
      </c>
      <c r="E20" s="3" t="s">
        <v>602</v>
      </c>
      <c r="F20" s="2">
        <v>18</v>
      </c>
      <c r="G20" s="4" t="s">
        <v>58</v>
      </c>
      <c r="H20" s="2">
        <v>2001</v>
      </c>
      <c r="I20" s="2" t="s">
        <v>623</v>
      </c>
      <c r="J20" s="2" t="s">
        <v>604</v>
      </c>
      <c r="K20" s="2" t="s">
        <v>605</v>
      </c>
      <c r="L20" s="2"/>
      <c r="M20" s="2" t="s">
        <v>606</v>
      </c>
      <c r="N20" s="2"/>
      <c r="O20" s="2"/>
      <c r="P20" s="2" t="s">
        <v>2175</v>
      </c>
      <c r="Q20" s="2" t="s">
        <v>4181</v>
      </c>
      <c r="R20" s="2"/>
      <c r="S20" s="2"/>
      <c r="T20" s="2"/>
      <c r="U20" s="2"/>
      <c r="V20" s="2"/>
      <c r="W20" s="2"/>
      <c r="X20" s="2"/>
      <c r="Y20" s="2"/>
      <c r="Z20" s="2"/>
      <c r="AA20" s="2"/>
      <c r="AB20" s="2"/>
      <c r="AC20" s="2"/>
      <c r="AD20" s="2"/>
      <c r="AE20" s="2"/>
      <c r="AF20" s="2"/>
      <c r="AG20" s="2"/>
      <c r="AH20" s="2"/>
      <c r="AI20" s="2"/>
      <c r="AJ20" s="2"/>
    </row>
    <row r="21" spans="1:36" ht="17.25" customHeight="1" x14ac:dyDescent="0.2">
      <c r="A21" s="3" t="s">
        <v>0</v>
      </c>
      <c r="B21" s="3" t="s">
        <v>25</v>
      </c>
      <c r="C21" s="3" t="s">
        <v>4182</v>
      </c>
      <c r="D21" s="3" t="s">
        <v>602</v>
      </c>
      <c r="E21" s="3" t="s">
        <v>602</v>
      </c>
      <c r="F21" s="2">
        <v>19</v>
      </c>
      <c r="G21" s="4" t="s">
        <v>4</v>
      </c>
      <c r="H21" s="2">
        <v>2002</v>
      </c>
      <c r="I21" s="2" t="s">
        <v>624</v>
      </c>
      <c r="J21" s="2" t="s">
        <v>604</v>
      </c>
      <c r="K21" s="2" t="s">
        <v>605</v>
      </c>
      <c r="L21" s="2"/>
      <c r="M21" s="2" t="s">
        <v>606</v>
      </c>
      <c r="N21" s="2"/>
      <c r="O21" s="2"/>
      <c r="P21" s="2" t="s">
        <v>2175</v>
      </c>
      <c r="Q21" s="2" t="s">
        <v>4181</v>
      </c>
      <c r="R21" s="2"/>
      <c r="S21" s="2"/>
      <c r="T21" s="2"/>
      <c r="U21" s="2"/>
      <c r="V21" s="2"/>
      <c r="W21" s="2"/>
      <c r="X21" s="2"/>
      <c r="Y21" s="2"/>
      <c r="Z21" s="2"/>
      <c r="AA21" s="2"/>
      <c r="AB21" s="2"/>
      <c r="AC21" s="2"/>
      <c r="AD21" s="2"/>
      <c r="AE21" s="2"/>
      <c r="AF21" s="2"/>
      <c r="AG21" s="2"/>
      <c r="AH21" s="2"/>
      <c r="AI21" s="2"/>
      <c r="AJ21" s="2"/>
    </row>
    <row r="22" spans="1:36" ht="17.25" customHeight="1" x14ac:dyDescent="0.2">
      <c r="A22" s="3" t="s">
        <v>0</v>
      </c>
      <c r="B22" s="3" t="s">
        <v>25</v>
      </c>
      <c r="C22" s="3" t="s">
        <v>4182</v>
      </c>
      <c r="D22" s="3" t="s">
        <v>602</v>
      </c>
      <c r="E22" s="3" t="s">
        <v>602</v>
      </c>
      <c r="F22" s="2">
        <v>20</v>
      </c>
      <c r="G22" s="4" t="s">
        <v>83</v>
      </c>
      <c r="H22" s="2">
        <v>2003</v>
      </c>
      <c r="I22" s="2" t="s">
        <v>625</v>
      </c>
      <c r="J22" s="2" t="s">
        <v>604</v>
      </c>
      <c r="K22" s="2" t="s">
        <v>605</v>
      </c>
      <c r="L22" s="2"/>
      <c r="M22" s="2" t="s">
        <v>606</v>
      </c>
      <c r="N22" s="2"/>
      <c r="O22" s="2"/>
      <c r="P22" s="2" t="s">
        <v>2175</v>
      </c>
      <c r="Q22" s="2" t="s">
        <v>4181</v>
      </c>
      <c r="R22" s="2"/>
      <c r="S22" s="2"/>
      <c r="T22" s="2"/>
      <c r="U22" s="2"/>
      <c r="V22" s="2"/>
      <c r="W22" s="2"/>
      <c r="X22" s="2"/>
      <c r="Y22" s="2"/>
      <c r="Z22" s="2"/>
      <c r="AA22" s="2"/>
      <c r="AB22" s="2"/>
      <c r="AC22" s="2"/>
      <c r="AD22" s="2"/>
      <c r="AE22" s="2"/>
      <c r="AF22" s="2"/>
      <c r="AG22" s="2"/>
      <c r="AH22" s="2"/>
      <c r="AI22" s="2"/>
      <c r="AJ22" s="2"/>
    </row>
    <row r="23" spans="1:36" ht="17.25" customHeight="1" x14ac:dyDescent="0.2">
      <c r="A23" s="3" t="s">
        <v>0</v>
      </c>
      <c r="B23" s="3" t="s">
        <v>25</v>
      </c>
      <c r="C23" s="3" t="s">
        <v>4182</v>
      </c>
      <c r="D23" s="3" t="s">
        <v>602</v>
      </c>
      <c r="E23" s="3" t="s">
        <v>602</v>
      </c>
      <c r="F23" s="2">
        <v>21</v>
      </c>
      <c r="G23" s="4" t="s">
        <v>64</v>
      </c>
      <c r="H23" s="2">
        <v>2004</v>
      </c>
      <c r="I23" s="2" t="s">
        <v>626</v>
      </c>
      <c r="J23" s="2" t="s">
        <v>604</v>
      </c>
      <c r="K23" s="2" t="s">
        <v>605</v>
      </c>
      <c r="L23" s="2"/>
      <c r="M23" s="2" t="s">
        <v>606</v>
      </c>
      <c r="N23" s="2"/>
      <c r="O23" s="2"/>
      <c r="P23" s="2" t="s">
        <v>2175</v>
      </c>
      <c r="Q23" s="2" t="s">
        <v>4181</v>
      </c>
      <c r="R23" s="2"/>
      <c r="S23" s="2"/>
      <c r="T23" s="2"/>
      <c r="U23" s="2"/>
      <c r="V23" s="2"/>
      <c r="W23" s="2"/>
      <c r="X23" s="2"/>
      <c r="Y23" s="2"/>
      <c r="Z23" s="2"/>
      <c r="AA23" s="2"/>
      <c r="AB23" s="2"/>
      <c r="AC23" s="2"/>
      <c r="AD23" s="2"/>
      <c r="AE23" s="2"/>
      <c r="AF23" s="2"/>
      <c r="AG23" s="2"/>
      <c r="AH23" s="2"/>
      <c r="AI23" s="2"/>
      <c r="AJ23" s="2"/>
    </row>
    <row r="24" spans="1:36" ht="17.25" customHeight="1" x14ac:dyDescent="0.2">
      <c r="A24" s="3" t="s">
        <v>0</v>
      </c>
      <c r="B24" s="3" t="s">
        <v>25</v>
      </c>
      <c r="C24" s="3" t="s">
        <v>4182</v>
      </c>
      <c r="D24" s="3" t="s">
        <v>602</v>
      </c>
      <c r="E24" s="3" t="s">
        <v>602</v>
      </c>
      <c r="F24" s="2">
        <v>22</v>
      </c>
      <c r="G24" s="4" t="s">
        <v>92</v>
      </c>
      <c r="H24" s="2">
        <v>2005</v>
      </c>
      <c r="I24" s="2" t="s">
        <v>627</v>
      </c>
      <c r="J24" s="2" t="s">
        <v>604</v>
      </c>
      <c r="K24" s="2" t="s">
        <v>605</v>
      </c>
      <c r="L24" s="2"/>
      <c r="M24" s="2" t="s">
        <v>606</v>
      </c>
      <c r="N24" s="2"/>
      <c r="O24" s="2"/>
      <c r="P24" s="2" t="s">
        <v>2175</v>
      </c>
      <c r="Q24" s="2" t="s">
        <v>4181</v>
      </c>
      <c r="R24" s="2"/>
      <c r="S24" s="2"/>
      <c r="T24" s="2"/>
      <c r="U24" s="2"/>
      <c r="V24" s="2"/>
      <c r="W24" s="2"/>
      <c r="X24" s="2"/>
      <c r="Y24" s="2"/>
      <c r="Z24" s="2"/>
      <c r="AA24" s="2"/>
      <c r="AB24" s="2"/>
      <c r="AC24" s="2"/>
      <c r="AD24" s="2"/>
      <c r="AE24" s="2"/>
      <c r="AF24" s="2"/>
      <c r="AG24" s="2"/>
      <c r="AH24" s="2"/>
      <c r="AI24" s="2"/>
      <c r="AJ24" s="2"/>
    </row>
    <row r="25" spans="1:36" ht="17.25" customHeight="1" x14ac:dyDescent="0.2">
      <c r="A25" s="3" t="s">
        <v>0</v>
      </c>
      <c r="B25" s="3" t="s">
        <v>25</v>
      </c>
      <c r="C25" s="3" t="s">
        <v>4182</v>
      </c>
      <c r="D25" s="3" t="s">
        <v>602</v>
      </c>
      <c r="E25" s="3" t="s">
        <v>602</v>
      </c>
      <c r="F25" s="2">
        <v>23</v>
      </c>
      <c r="G25" s="4" t="s">
        <v>52</v>
      </c>
      <c r="H25" s="2">
        <v>2006</v>
      </c>
      <c r="I25" s="2" t="s">
        <v>628</v>
      </c>
      <c r="J25" s="2" t="s">
        <v>604</v>
      </c>
      <c r="K25" s="2" t="s">
        <v>605</v>
      </c>
      <c r="L25" s="2"/>
      <c r="M25" s="2" t="s">
        <v>606</v>
      </c>
      <c r="N25" s="2"/>
      <c r="O25" s="2"/>
      <c r="P25" s="2" t="s">
        <v>2175</v>
      </c>
      <c r="Q25" s="2" t="s">
        <v>4181</v>
      </c>
      <c r="R25" s="2"/>
      <c r="S25" s="2"/>
      <c r="T25" s="2"/>
      <c r="U25" s="2"/>
      <c r="V25" s="2"/>
      <c r="W25" s="2"/>
      <c r="X25" s="2"/>
      <c r="Y25" s="2"/>
      <c r="Z25" s="2"/>
      <c r="AA25" s="2"/>
      <c r="AB25" s="2"/>
      <c r="AC25" s="2"/>
      <c r="AD25" s="2"/>
      <c r="AE25" s="2"/>
      <c r="AF25" s="2"/>
      <c r="AG25" s="2"/>
      <c r="AH25" s="2"/>
      <c r="AI25" s="2"/>
      <c r="AJ25" s="2"/>
    </row>
    <row r="26" spans="1:36" ht="17.25" customHeight="1" x14ac:dyDescent="0.2">
      <c r="A26" s="3" t="s">
        <v>0</v>
      </c>
      <c r="B26" s="3" t="s">
        <v>25</v>
      </c>
      <c r="C26" s="3" t="s">
        <v>4182</v>
      </c>
      <c r="D26" s="3" t="s">
        <v>602</v>
      </c>
      <c r="E26" s="3" t="s">
        <v>602</v>
      </c>
      <c r="F26" s="2">
        <v>24</v>
      </c>
      <c r="G26" s="4" t="s">
        <v>95</v>
      </c>
      <c r="H26" s="2">
        <v>2007</v>
      </c>
      <c r="I26" s="2" t="s">
        <v>629</v>
      </c>
      <c r="J26" s="2" t="s">
        <v>604</v>
      </c>
      <c r="K26" s="2" t="s">
        <v>605</v>
      </c>
      <c r="L26" s="2"/>
      <c r="M26" s="2" t="s">
        <v>606</v>
      </c>
      <c r="N26" s="2"/>
      <c r="O26" s="2"/>
      <c r="P26" s="2" t="s">
        <v>2175</v>
      </c>
      <c r="Q26" s="2" t="s">
        <v>4181</v>
      </c>
      <c r="R26" s="2"/>
      <c r="S26" s="2"/>
      <c r="T26" s="2"/>
      <c r="U26" s="2"/>
      <c r="V26" s="2"/>
      <c r="W26" s="2"/>
      <c r="X26" s="2"/>
      <c r="Y26" s="2"/>
      <c r="Z26" s="2"/>
      <c r="AA26" s="2"/>
      <c r="AB26" s="2"/>
      <c r="AC26" s="2"/>
      <c r="AD26" s="2"/>
      <c r="AE26" s="2"/>
      <c r="AF26" s="2"/>
      <c r="AG26" s="2"/>
      <c r="AH26" s="2"/>
      <c r="AI26" s="2"/>
      <c r="AJ26" s="2"/>
    </row>
    <row r="27" spans="1:36" ht="17.25" customHeight="1" x14ac:dyDescent="0.2">
      <c r="A27" s="3" t="s">
        <v>0</v>
      </c>
      <c r="B27" s="3" t="s">
        <v>25</v>
      </c>
      <c r="C27" s="3" t="s">
        <v>4182</v>
      </c>
      <c r="D27" s="3" t="s">
        <v>602</v>
      </c>
      <c r="E27" s="3" t="s">
        <v>602</v>
      </c>
      <c r="F27" s="2">
        <v>25</v>
      </c>
      <c r="G27" s="4" t="s">
        <v>70</v>
      </c>
      <c r="H27" s="2">
        <v>2008</v>
      </c>
      <c r="I27" s="2" t="s">
        <v>630</v>
      </c>
      <c r="J27" s="2" t="s">
        <v>604</v>
      </c>
      <c r="K27" s="2" t="s">
        <v>605</v>
      </c>
      <c r="L27" s="2"/>
      <c r="M27" s="2" t="s">
        <v>606</v>
      </c>
      <c r="N27" s="2"/>
      <c r="O27" s="2"/>
      <c r="P27" s="2" t="s">
        <v>2175</v>
      </c>
      <c r="Q27" s="2" t="s">
        <v>4181</v>
      </c>
      <c r="R27" s="2"/>
      <c r="S27" s="2"/>
      <c r="T27" s="2"/>
      <c r="U27" s="2"/>
      <c r="V27" s="2"/>
      <c r="W27" s="2"/>
      <c r="X27" s="2"/>
      <c r="Y27" s="2"/>
      <c r="Z27" s="2"/>
      <c r="AA27" s="2"/>
      <c r="AB27" s="2"/>
      <c r="AC27" s="2"/>
      <c r="AD27" s="2"/>
      <c r="AE27" s="2"/>
      <c r="AF27" s="2"/>
      <c r="AG27" s="2"/>
      <c r="AH27" s="2"/>
      <c r="AI27" s="2"/>
      <c r="AJ27" s="2"/>
    </row>
    <row r="28" spans="1:36" ht="17.25" customHeight="1" x14ac:dyDescent="0.2">
      <c r="A28" s="3" t="s">
        <v>0</v>
      </c>
      <c r="B28" s="3" t="s">
        <v>25</v>
      </c>
      <c r="C28" s="3" t="s">
        <v>4182</v>
      </c>
      <c r="D28" s="3" t="s">
        <v>602</v>
      </c>
      <c r="E28" s="3" t="s">
        <v>602</v>
      </c>
      <c r="F28" s="2">
        <v>26</v>
      </c>
      <c r="G28" s="4" t="s">
        <v>16</v>
      </c>
      <c r="H28" s="2">
        <v>2009</v>
      </c>
      <c r="I28" s="2" t="s">
        <v>631</v>
      </c>
      <c r="J28" s="2" t="s">
        <v>604</v>
      </c>
      <c r="K28" s="2" t="s">
        <v>605</v>
      </c>
      <c r="L28" s="2"/>
      <c r="M28" s="2" t="s">
        <v>606</v>
      </c>
      <c r="N28" s="2"/>
      <c r="O28" s="2"/>
      <c r="P28" s="2" t="s">
        <v>2175</v>
      </c>
      <c r="Q28" s="2" t="s">
        <v>4181</v>
      </c>
      <c r="R28" s="2"/>
      <c r="S28" s="2"/>
      <c r="T28" s="2"/>
      <c r="U28" s="2"/>
      <c r="V28" s="2"/>
      <c r="W28" s="2"/>
      <c r="X28" s="2"/>
      <c r="Y28" s="2"/>
      <c r="Z28" s="2"/>
      <c r="AA28" s="2"/>
      <c r="AB28" s="2"/>
      <c r="AC28" s="2"/>
      <c r="AD28" s="2"/>
      <c r="AE28" s="2"/>
      <c r="AF28" s="2"/>
      <c r="AG28" s="2"/>
      <c r="AH28" s="2"/>
      <c r="AI28" s="2"/>
      <c r="AJ28" s="2"/>
    </row>
    <row r="29" spans="1:36" ht="17.25" customHeight="1" x14ac:dyDescent="0.2">
      <c r="A29" s="3" t="s">
        <v>0</v>
      </c>
      <c r="B29" s="3" t="s">
        <v>25</v>
      </c>
      <c r="C29" s="3" t="s">
        <v>4182</v>
      </c>
      <c r="D29" s="3" t="s">
        <v>602</v>
      </c>
      <c r="E29" s="3" t="s">
        <v>602</v>
      </c>
      <c r="F29" s="2">
        <v>27</v>
      </c>
      <c r="G29" s="4" t="s">
        <v>34</v>
      </c>
      <c r="H29" s="2">
        <v>2010</v>
      </c>
      <c r="I29" s="2" t="s">
        <v>632</v>
      </c>
      <c r="J29" s="2" t="s">
        <v>604</v>
      </c>
      <c r="K29" s="2" t="s">
        <v>605</v>
      </c>
      <c r="L29" s="2"/>
      <c r="M29" s="2" t="s">
        <v>606</v>
      </c>
      <c r="N29" s="2"/>
      <c r="O29" s="2"/>
      <c r="P29" s="2" t="s">
        <v>2175</v>
      </c>
      <c r="Q29" s="2" t="s">
        <v>4181</v>
      </c>
      <c r="R29" s="2"/>
      <c r="S29" s="2"/>
      <c r="T29" s="2"/>
      <c r="U29" s="2"/>
      <c r="V29" s="2"/>
      <c r="W29" s="2"/>
      <c r="X29" s="2"/>
      <c r="Y29" s="2"/>
      <c r="Z29" s="2"/>
      <c r="AA29" s="2"/>
      <c r="AB29" s="2"/>
      <c r="AC29" s="2"/>
      <c r="AD29" s="2"/>
      <c r="AE29" s="2"/>
      <c r="AF29" s="2"/>
      <c r="AG29" s="2"/>
      <c r="AH29" s="2"/>
      <c r="AI29" s="2"/>
      <c r="AJ29" s="2"/>
    </row>
    <row r="30" spans="1:36" ht="17.25" customHeight="1" x14ac:dyDescent="0.2">
      <c r="A30" s="3" t="s">
        <v>0</v>
      </c>
      <c r="B30" s="3" t="s">
        <v>25</v>
      </c>
      <c r="C30" s="3" t="s">
        <v>4182</v>
      </c>
      <c r="D30" s="3" t="s">
        <v>602</v>
      </c>
      <c r="E30" s="3" t="s">
        <v>602</v>
      </c>
      <c r="F30" s="2">
        <v>28</v>
      </c>
      <c r="G30" s="4" t="s">
        <v>46</v>
      </c>
      <c r="H30" s="2">
        <v>2011</v>
      </c>
      <c r="I30" s="2" t="s">
        <v>633</v>
      </c>
      <c r="J30" s="2" t="s">
        <v>604</v>
      </c>
      <c r="K30" s="2" t="s">
        <v>605</v>
      </c>
      <c r="L30" s="2"/>
      <c r="M30" s="2" t="s">
        <v>606</v>
      </c>
      <c r="N30" s="2"/>
      <c r="O30" s="2"/>
      <c r="P30" s="2" t="s">
        <v>2175</v>
      </c>
      <c r="Q30" s="2" t="s">
        <v>4181</v>
      </c>
      <c r="R30" s="2"/>
      <c r="S30" s="2"/>
      <c r="T30" s="2"/>
      <c r="U30" s="2"/>
      <c r="V30" s="2"/>
      <c r="W30" s="2"/>
      <c r="X30" s="2"/>
      <c r="Y30" s="2"/>
      <c r="Z30" s="2"/>
      <c r="AA30" s="2"/>
      <c r="AB30" s="2"/>
      <c r="AC30" s="2"/>
      <c r="AD30" s="2"/>
      <c r="AE30" s="2"/>
      <c r="AF30" s="2"/>
      <c r="AG30" s="2"/>
      <c r="AH30" s="2"/>
      <c r="AI30" s="2"/>
      <c r="AJ30" s="2"/>
    </row>
    <row r="31" spans="1:36" ht="17.25" customHeight="1" x14ac:dyDescent="0.2">
      <c r="A31" s="3" t="s">
        <v>0</v>
      </c>
      <c r="B31" s="3" t="s">
        <v>25</v>
      </c>
      <c r="C31" s="3" t="s">
        <v>4182</v>
      </c>
      <c r="D31" s="3" t="s">
        <v>602</v>
      </c>
      <c r="E31" s="3" t="s">
        <v>602</v>
      </c>
      <c r="F31" s="2">
        <v>29</v>
      </c>
      <c r="G31" s="4" t="s">
        <v>61</v>
      </c>
      <c r="H31" s="2">
        <v>2012</v>
      </c>
      <c r="I31" s="2" t="s">
        <v>634</v>
      </c>
      <c r="J31" s="2" t="s">
        <v>604</v>
      </c>
      <c r="K31" s="2" t="s">
        <v>605</v>
      </c>
      <c r="L31" s="2"/>
      <c r="M31" s="2" t="s">
        <v>606</v>
      </c>
      <c r="N31" s="2"/>
      <c r="O31" s="2"/>
      <c r="P31" s="2" t="s">
        <v>2175</v>
      </c>
      <c r="Q31" s="2" t="s">
        <v>4181</v>
      </c>
      <c r="R31" s="2"/>
      <c r="S31" s="2"/>
      <c r="T31" s="2"/>
      <c r="U31" s="2"/>
      <c r="V31" s="2"/>
      <c r="W31" s="2"/>
      <c r="X31" s="2"/>
      <c r="Y31" s="2"/>
      <c r="Z31" s="2"/>
      <c r="AA31" s="2"/>
      <c r="AB31" s="2"/>
      <c r="AC31" s="2"/>
      <c r="AD31" s="2"/>
      <c r="AE31" s="2"/>
      <c r="AF31" s="2"/>
      <c r="AG31" s="2"/>
      <c r="AH31" s="2"/>
      <c r="AI31" s="2"/>
      <c r="AJ31" s="2"/>
    </row>
    <row r="32" spans="1:36" ht="17.25" customHeight="1" x14ac:dyDescent="0.2">
      <c r="A32" s="3" t="s">
        <v>0</v>
      </c>
      <c r="B32" s="3" t="s">
        <v>25</v>
      </c>
      <c r="C32" s="3" t="s">
        <v>4182</v>
      </c>
      <c r="D32" s="3" t="s">
        <v>602</v>
      </c>
      <c r="E32" s="3" t="s">
        <v>602</v>
      </c>
      <c r="F32" s="2">
        <v>30</v>
      </c>
      <c r="G32" s="4" t="s">
        <v>86</v>
      </c>
      <c r="H32" s="2">
        <v>2013</v>
      </c>
      <c r="I32" s="2" t="s">
        <v>635</v>
      </c>
      <c r="J32" s="2" t="s">
        <v>604</v>
      </c>
      <c r="K32" s="2" t="s">
        <v>605</v>
      </c>
      <c r="L32" s="2"/>
      <c r="M32" s="2" t="s">
        <v>606</v>
      </c>
      <c r="N32" s="2"/>
      <c r="O32" s="2"/>
      <c r="P32" s="2" t="s">
        <v>2175</v>
      </c>
      <c r="Q32" s="2" t="s">
        <v>4181</v>
      </c>
      <c r="R32" s="2"/>
      <c r="S32" s="2"/>
      <c r="T32" s="2"/>
      <c r="U32" s="2"/>
      <c r="V32" s="2"/>
      <c r="W32" s="2"/>
      <c r="X32" s="2"/>
      <c r="Y32" s="2"/>
      <c r="Z32" s="2"/>
      <c r="AA32" s="2"/>
      <c r="AB32" s="2"/>
      <c r="AC32" s="2"/>
      <c r="AD32" s="2"/>
      <c r="AE32" s="2"/>
      <c r="AF32" s="2"/>
      <c r="AG32" s="2"/>
      <c r="AH32" s="2"/>
      <c r="AI32" s="2"/>
      <c r="AJ32" s="2"/>
    </row>
    <row r="33" spans="1:36" ht="17.25" customHeight="1" x14ac:dyDescent="0.2">
      <c r="A33" s="3" t="s">
        <v>0</v>
      </c>
      <c r="B33" s="3" t="s">
        <v>25</v>
      </c>
      <c r="C33" s="3" t="s">
        <v>4182</v>
      </c>
      <c r="D33" s="3" t="s">
        <v>602</v>
      </c>
      <c r="E33" s="3" t="s">
        <v>602</v>
      </c>
      <c r="F33" s="2">
        <v>31</v>
      </c>
      <c r="G33" s="4" t="s">
        <v>22</v>
      </c>
      <c r="H33" s="2">
        <v>2014</v>
      </c>
      <c r="I33" s="2" t="s">
        <v>636</v>
      </c>
      <c r="J33" s="2" t="s">
        <v>604</v>
      </c>
      <c r="K33" s="2" t="s">
        <v>605</v>
      </c>
      <c r="L33" s="2"/>
      <c r="M33" s="2" t="s">
        <v>606</v>
      </c>
      <c r="N33" s="2"/>
      <c r="O33" s="2"/>
      <c r="P33" s="2" t="s">
        <v>2175</v>
      </c>
      <c r="Q33" s="2" t="s">
        <v>4181</v>
      </c>
      <c r="R33" s="2"/>
      <c r="S33" s="2"/>
      <c r="T33" s="2"/>
      <c r="U33" s="2"/>
      <c r="V33" s="2"/>
      <c r="W33" s="2"/>
      <c r="X33" s="2"/>
      <c r="Y33" s="2"/>
      <c r="Z33" s="2"/>
      <c r="AA33" s="2"/>
      <c r="AB33" s="2"/>
      <c r="AC33" s="2"/>
      <c r="AD33" s="2"/>
      <c r="AE33" s="2"/>
      <c r="AF33" s="2"/>
      <c r="AG33" s="2"/>
      <c r="AH33" s="2"/>
      <c r="AI33" s="2"/>
      <c r="AJ33" s="2"/>
    </row>
    <row r="34" spans="1:36" ht="17.25" customHeight="1" x14ac:dyDescent="0.2">
      <c r="A34" s="3" t="s">
        <v>0</v>
      </c>
      <c r="B34" s="3" t="s">
        <v>25</v>
      </c>
      <c r="C34" s="3" t="s">
        <v>4182</v>
      </c>
      <c r="D34" s="3" t="s">
        <v>602</v>
      </c>
      <c r="E34" s="3" t="s">
        <v>602</v>
      </c>
      <c r="F34" s="2">
        <v>32</v>
      </c>
      <c r="G34" s="4" t="s">
        <v>28</v>
      </c>
      <c r="H34" s="2">
        <v>2015</v>
      </c>
      <c r="I34" s="2" t="s">
        <v>637</v>
      </c>
      <c r="J34" s="2" t="s">
        <v>604</v>
      </c>
      <c r="K34" s="2" t="s">
        <v>605</v>
      </c>
      <c r="L34" s="2"/>
      <c r="M34" s="2" t="s">
        <v>606</v>
      </c>
      <c r="N34" s="2"/>
      <c r="O34" s="2"/>
      <c r="P34" s="2" t="s">
        <v>2175</v>
      </c>
      <c r="Q34" s="2" t="s">
        <v>4181</v>
      </c>
      <c r="R34" s="2"/>
      <c r="S34" s="2"/>
      <c r="T34" s="2"/>
      <c r="U34" s="2"/>
      <c r="V34" s="2"/>
      <c r="W34" s="2"/>
      <c r="X34" s="2"/>
      <c r="Y34" s="2"/>
      <c r="Z34" s="2"/>
      <c r="AA34" s="2"/>
      <c r="AB34" s="2"/>
      <c r="AC34" s="2"/>
      <c r="AD34" s="2"/>
      <c r="AE34" s="2"/>
      <c r="AF34" s="2"/>
      <c r="AG34" s="2"/>
      <c r="AH34" s="2"/>
      <c r="AI34" s="2"/>
      <c r="AJ34" s="2"/>
    </row>
    <row r="35" spans="1:36" ht="17.25" customHeight="1" x14ac:dyDescent="0.2">
      <c r="A35" s="3" t="s">
        <v>0</v>
      </c>
      <c r="B35" s="3" t="s">
        <v>25</v>
      </c>
      <c r="C35" s="3" t="s">
        <v>4182</v>
      </c>
      <c r="D35" s="3" t="s">
        <v>638</v>
      </c>
      <c r="E35" s="3" t="s">
        <v>639</v>
      </c>
      <c r="F35" s="2">
        <v>1</v>
      </c>
      <c r="G35" s="4" t="s">
        <v>40</v>
      </c>
      <c r="H35" s="2">
        <v>1984</v>
      </c>
      <c r="I35" s="2" t="s">
        <v>640</v>
      </c>
      <c r="J35" s="2" t="s">
        <v>641</v>
      </c>
      <c r="K35" s="2" t="s">
        <v>642</v>
      </c>
      <c r="L35" s="2"/>
      <c r="M35" s="2"/>
      <c r="N35" s="2"/>
      <c r="O35" s="2"/>
      <c r="P35" s="2" t="s">
        <v>2175</v>
      </c>
      <c r="Q35" s="2" t="s">
        <v>4181</v>
      </c>
      <c r="R35" s="2"/>
      <c r="S35" s="2"/>
      <c r="T35" s="2"/>
      <c r="U35" s="2"/>
      <c r="V35" s="2"/>
      <c r="W35" s="2"/>
      <c r="X35" s="2"/>
      <c r="Y35" s="2"/>
      <c r="Z35" s="2"/>
      <c r="AA35" s="2"/>
      <c r="AB35" s="2"/>
      <c r="AC35" s="2"/>
      <c r="AD35" s="2"/>
      <c r="AE35" s="2"/>
      <c r="AF35" s="2"/>
      <c r="AG35" s="2"/>
      <c r="AH35" s="2"/>
      <c r="AI35" s="2"/>
      <c r="AJ35" s="2"/>
    </row>
    <row r="36" spans="1:36" ht="17.25" customHeight="1" x14ac:dyDescent="0.2">
      <c r="A36" s="3" t="s">
        <v>0</v>
      </c>
      <c r="B36" s="3" t="s">
        <v>25</v>
      </c>
      <c r="C36" s="3" t="s">
        <v>4182</v>
      </c>
      <c r="D36" s="3" t="s">
        <v>638</v>
      </c>
      <c r="E36" s="3" t="s">
        <v>639</v>
      </c>
      <c r="F36" s="2">
        <v>2</v>
      </c>
      <c r="G36" s="4" t="s">
        <v>37</v>
      </c>
      <c r="H36" s="2">
        <v>1985</v>
      </c>
      <c r="I36" s="2" t="s">
        <v>643</v>
      </c>
      <c r="J36" s="2" t="s">
        <v>641</v>
      </c>
      <c r="K36" s="2" t="s">
        <v>642</v>
      </c>
      <c r="L36" s="2"/>
      <c r="M36" s="2"/>
      <c r="N36" s="2"/>
      <c r="O36" s="2"/>
      <c r="P36" s="2" t="s">
        <v>2175</v>
      </c>
      <c r="Q36" s="2" t="s">
        <v>4181</v>
      </c>
      <c r="R36" s="2"/>
      <c r="S36" s="2"/>
      <c r="T36" s="2"/>
      <c r="U36" s="2"/>
      <c r="V36" s="2"/>
      <c r="W36" s="2"/>
      <c r="X36" s="2"/>
      <c r="Y36" s="2"/>
      <c r="Z36" s="2"/>
      <c r="AA36" s="2"/>
      <c r="AB36" s="2"/>
      <c r="AC36" s="2"/>
      <c r="AD36" s="2"/>
      <c r="AE36" s="2"/>
      <c r="AF36" s="2"/>
      <c r="AG36" s="2"/>
      <c r="AH36" s="2"/>
      <c r="AI36" s="2"/>
      <c r="AJ36" s="2"/>
    </row>
    <row r="37" spans="1:36" ht="17.25" customHeight="1" x14ac:dyDescent="0.2">
      <c r="A37" s="3" t="s">
        <v>0</v>
      </c>
      <c r="B37" s="3" t="s">
        <v>25</v>
      </c>
      <c r="C37" s="3" t="s">
        <v>4182</v>
      </c>
      <c r="D37" s="3" t="s">
        <v>638</v>
      </c>
      <c r="E37" s="3" t="s">
        <v>639</v>
      </c>
      <c r="F37" s="2">
        <v>3</v>
      </c>
      <c r="G37" s="4" t="s">
        <v>80</v>
      </c>
      <c r="H37" s="2">
        <v>1986</v>
      </c>
      <c r="I37" s="2" t="s">
        <v>644</v>
      </c>
      <c r="J37" s="2" t="s">
        <v>641</v>
      </c>
      <c r="K37" s="2" t="s">
        <v>642</v>
      </c>
      <c r="L37" s="2"/>
      <c r="M37" s="2"/>
      <c r="N37" s="2"/>
      <c r="O37" s="2"/>
      <c r="P37" s="2" t="s">
        <v>2175</v>
      </c>
      <c r="Q37" s="2" t="s">
        <v>4181</v>
      </c>
      <c r="R37" s="2"/>
      <c r="S37" s="2"/>
      <c r="T37" s="2"/>
      <c r="U37" s="2"/>
      <c r="V37" s="2"/>
      <c r="W37" s="2"/>
      <c r="X37" s="2"/>
      <c r="Y37" s="2"/>
      <c r="Z37" s="2"/>
      <c r="AA37" s="2"/>
      <c r="AB37" s="2"/>
      <c r="AC37" s="2"/>
      <c r="AD37" s="2"/>
      <c r="AE37" s="2"/>
      <c r="AF37" s="2"/>
      <c r="AG37" s="2"/>
      <c r="AH37" s="2"/>
      <c r="AI37" s="2"/>
      <c r="AJ37" s="2"/>
    </row>
    <row r="38" spans="1:36" ht="17.25" customHeight="1" x14ac:dyDescent="0.2">
      <c r="A38" s="3" t="s">
        <v>0</v>
      </c>
      <c r="B38" s="3" t="s">
        <v>25</v>
      </c>
      <c r="C38" s="3" t="s">
        <v>4182</v>
      </c>
      <c r="D38" s="3" t="s">
        <v>638</v>
      </c>
      <c r="E38" s="3" t="s">
        <v>639</v>
      </c>
      <c r="F38" s="2">
        <v>4</v>
      </c>
      <c r="G38" s="4" t="s">
        <v>31</v>
      </c>
      <c r="H38" s="2">
        <v>1987</v>
      </c>
      <c r="I38" s="2" t="s">
        <v>645</v>
      </c>
      <c r="J38" s="2" t="s">
        <v>641</v>
      </c>
      <c r="K38" s="2" t="s">
        <v>642</v>
      </c>
      <c r="L38" s="2"/>
      <c r="M38" s="2"/>
      <c r="N38" s="2"/>
      <c r="O38" s="2"/>
      <c r="P38" s="2" t="s">
        <v>2175</v>
      </c>
      <c r="Q38" s="2" t="s">
        <v>4181</v>
      </c>
      <c r="R38" s="2"/>
      <c r="S38" s="2"/>
      <c r="T38" s="2"/>
      <c r="U38" s="2"/>
      <c r="V38" s="2"/>
      <c r="W38" s="2"/>
      <c r="X38" s="2"/>
      <c r="Y38" s="2"/>
      <c r="Z38" s="2"/>
      <c r="AA38" s="2"/>
      <c r="AB38" s="2"/>
      <c r="AC38" s="2"/>
      <c r="AD38" s="2"/>
      <c r="AE38" s="2"/>
      <c r="AF38" s="2"/>
      <c r="AG38" s="2"/>
      <c r="AH38" s="2"/>
      <c r="AI38" s="2"/>
      <c r="AJ38" s="2"/>
    </row>
    <row r="39" spans="1:36" ht="17.25" customHeight="1" x14ac:dyDescent="0.2">
      <c r="A39" s="3" t="s">
        <v>0</v>
      </c>
      <c r="B39" s="3" t="s">
        <v>25</v>
      </c>
      <c r="C39" s="3" t="s">
        <v>4182</v>
      </c>
      <c r="D39" s="3" t="s">
        <v>638</v>
      </c>
      <c r="E39" s="3" t="s">
        <v>639</v>
      </c>
      <c r="F39" s="2">
        <v>5</v>
      </c>
      <c r="G39" s="4" t="s">
        <v>13</v>
      </c>
      <c r="H39" s="2">
        <v>1988</v>
      </c>
      <c r="I39" s="2" t="s">
        <v>646</v>
      </c>
      <c r="J39" s="2" t="s">
        <v>641</v>
      </c>
      <c r="K39" s="2" t="s">
        <v>642</v>
      </c>
      <c r="L39" s="2"/>
      <c r="M39" s="2"/>
      <c r="N39" s="2"/>
      <c r="O39" s="2"/>
      <c r="P39" s="2" t="s">
        <v>2175</v>
      </c>
      <c r="Q39" s="2" t="s">
        <v>4181</v>
      </c>
      <c r="R39" s="2"/>
      <c r="S39" s="2"/>
      <c r="T39" s="2"/>
      <c r="U39" s="2"/>
      <c r="V39" s="2"/>
      <c r="W39" s="2"/>
      <c r="X39" s="2"/>
      <c r="Y39" s="2"/>
      <c r="Z39" s="2"/>
      <c r="AA39" s="2"/>
      <c r="AB39" s="2"/>
      <c r="AC39" s="2"/>
      <c r="AD39" s="2"/>
      <c r="AE39" s="2"/>
      <c r="AF39" s="2"/>
      <c r="AG39" s="2"/>
      <c r="AH39" s="2"/>
      <c r="AI39" s="2"/>
      <c r="AJ39" s="2"/>
    </row>
    <row r="40" spans="1:36" ht="17.25" customHeight="1" x14ac:dyDescent="0.2">
      <c r="A40" s="3" t="s">
        <v>0</v>
      </c>
      <c r="B40" s="3" t="s">
        <v>25</v>
      </c>
      <c r="C40" s="3" t="s">
        <v>4182</v>
      </c>
      <c r="D40" s="3" t="s">
        <v>638</v>
      </c>
      <c r="E40" s="3" t="s">
        <v>639</v>
      </c>
      <c r="F40" s="2">
        <v>6</v>
      </c>
      <c r="G40" s="4" t="s">
        <v>49</v>
      </c>
      <c r="H40" s="2">
        <v>1989</v>
      </c>
      <c r="I40" s="2" t="s">
        <v>647</v>
      </c>
      <c r="J40" s="2" t="s">
        <v>641</v>
      </c>
      <c r="K40" s="2" t="s">
        <v>642</v>
      </c>
      <c r="L40" s="2"/>
      <c r="M40" s="2"/>
      <c r="N40" s="2"/>
      <c r="O40" s="2"/>
      <c r="P40" s="2" t="s">
        <v>2175</v>
      </c>
      <c r="Q40" s="2" t="s">
        <v>4181</v>
      </c>
      <c r="R40" s="2"/>
      <c r="S40" s="2"/>
      <c r="T40" s="2"/>
      <c r="U40" s="2"/>
      <c r="V40" s="2"/>
      <c r="W40" s="2"/>
      <c r="X40" s="2"/>
      <c r="Y40" s="2"/>
      <c r="Z40" s="2"/>
      <c r="AA40" s="2"/>
      <c r="AB40" s="2"/>
      <c r="AC40" s="2"/>
      <c r="AD40" s="2"/>
      <c r="AE40" s="2"/>
      <c r="AF40" s="2"/>
      <c r="AG40" s="2"/>
      <c r="AH40" s="2"/>
      <c r="AI40" s="2"/>
      <c r="AJ40" s="2"/>
    </row>
    <row r="41" spans="1:36" ht="17.25" customHeight="1" x14ac:dyDescent="0.2">
      <c r="A41" s="3" t="s">
        <v>0</v>
      </c>
      <c r="B41" s="3" t="s">
        <v>25</v>
      </c>
      <c r="C41" s="3" t="s">
        <v>4182</v>
      </c>
      <c r="D41" s="3" t="s">
        <v>638</v>
      </c>
      <c r="E41" s="3" t="s">
        <v>639</v>
      </c>
      <c r="F41" s="2">
        <v>7</v>
      </c>
      <c r="G41" s="4" t="s">
        <v>101</v>
      </c>
      <c r="H41" s="2">
        <v>1990</v>
      </c>
      <c r="I41" s="2" t="s">
        <v>648</v>
      </c>
      <c r="J41" s="2" t="s">
        <v>641</v>
      </c>
      <c r="K41" s="2" t="s">
        <v>642</v>
      </c>
      <c r="L41" s="2"/>
      <c r="M41" s="2"/>
      <c r="N41" s="2"/>
      <c r="O41" s="2"/>
      <c r="P41" s="2" t="s">
        <v>2175</v>
      </c>
      <c r="Q41" s="2" t="s">
        <v>4181</v>
      </c>
      <c r="R41" s="2"/>
      <c r="S41" s="2"/>
      <c r="T41" s="2"/>
      <c r="U41" s="2"/>
      <c r="V41" s="2"/>
      <c r="W41" s="2"/>
      <c r="X41" s="2"/>
      <c r="Y41" s="2"/>
      <c r="Z41" s="2"/>
      <c r="AA41" s="2"/>
      <c r="AB41" s="2"/>
      <c r="AC41" s="2"/>
      <c r="AD41" s="2"/>
      <c r="AE41" s="2"/>
      <c r="AF41" s="2"/>
      <c r="AG41" s="2"/>
      <c r="AH41" s="2"/>
      <c r="AI41" s="2"/>
      <c r="AJ41" s="2"/>
    </row>
    <row r="42" spans="1:36" ht="17.25" customHeight="1" x14ac:dyDescent="0.2">
      <c r="A42" s="3" t="s">
        <v>0</v>
      </c>
      <c r="B42" s="3" t="s">
        <v>25</v>
      </c>
      <c r="C42" s="3" t="s">
        <v>4182</v>
      </c>
      <c r="D42" s="3" t="s">
        <v>638</v>
      </c>
      <c r="E42" s="3" t="s">
        <v>639</v>
      </c>
      <c r="F42" s="2">
        <v>8</v>
      </c>
      <c r="G42" s="4" t="s">
        <v>10</v>
      </c>
      <c r="H42" s="2">
        <v>1991</v>
      </c>
      <c r="I42" s="2" t="s">
        <v>649</v>
      </c>
      <c r="J42" s="2" t="s">
        <v>641</v>
      </c>
      <c r="K42" s="2" t="s">
        <v>642</v>
      </c>
      <c r="L42" s="2"/>
      <c r="M42" s="2"/>
      <c r="N42" s="2"/>
      <c r="O42" s="2"/>
      <c r="P42" s="2" t="s">
        <v>2175</v>
      </c>
      <c r="Q42" s="2" t="s">
        <v>4181</v>
      </c>
      <c r="R42" s="2"/>
      <c r="S42" s="2"/>
      <c r="T42" s="2"/>
      <c r="U42" s="2"/>
      <c r="V42" s="2"/>
      <c r="W42" s="2"/>
      <c r="X42" s="2"/>
      <c r="Y42" s="2"/>
      <c r="Z42" s="2"/>
      <c r="AA42" s="2"/>
      <c r="AB42" s="2"/>
      <c r="AC42" s="2"/>
      <c r="AD42" s="2"/>
      <c r="AE42" s="2"/>
      <c r="AF42" s="2"/>
      <c r="AG42" s="2"/>
      <c r="AH42" s="2"/>
      <c r="AI42" s="2"/>
      <c r="AJ42" s="2"/>
    </row>
    <row r="43" spans="1:36" ht="17.25" customHeight="1" x14ac:dyDescent="0.2">
      <c r="A43" s="3" t="s">
        <v>0</v>
      </c>
      <c r="B43" s="3" t="s">
        <v>25</v>
      </c>
      <c r="C43" s="3" t="s">
        <v>4182</v>
      </c>
      <c r="D43" s="3" t="s">
        <v>638</v>
      </c>
      <c r="E43" s="3" t="s">
        <v>639</v>
      </c>
      <c r="F43" s="2">
        <v>9</v>
      </c>
      <c r="G43" s="4" t="s">
        <v>55</v>
      </c>
      <c r="H43" s="2">
        <v>1992</v>
      </c>
      <c r="I43" s="2" t="s">
        <v>650</v>
      </c>
      <c r="J43" s="2" t="s">
        <v>641</v>
      </c>
      <c r="K43" s="2" t="s">
        <v>642</v>
      </c>
      <c r="L43" s="2"/>
      <c r="M43" s="2"/>
      <c r="N43" s="2"/>
      <c r="O43" s="2"/>
      <c r="P43" s="2" t="s">
        <v>2175</v>
      </c>
      <c r="Q43" s="2" t="s">
        <v>4181</v>
      </c>
      <c r="R43" s="2"/>
      <c r="S43" s="2"/>
      <c r="T43" s="2"/>
      <c r="U43" s="2"/>
      <c r="V43" s="2"/>
      <c r="W43" s="2"/>
      <c r="X43" s="2"/>
      <c r="Y43" s="2"/>
      <c r="Z43" s="2"/>
      <c r="AA43" s="2"/>
      <c r="AB43" s="2"/>
      <c r="AC43" s="2"/>
      <c r="AD43" s="2"/>
      <c r="AE43" s="2"/>
      <c r="AF43" s="2"/>
      <c r="AG43" s="2"/>
      <c r="AH43" s="2"/>
      <c r="AI43" s="2"/>
      <c r="AJ43" s="2"/>
    </row>
    <row r="44" spans="1:36" ht="17.25" customHeight="1" x14ac:dyDescent="0.2">
      <c r="A44" s="3" t="s">
        <v>0</v>
      </c>
      <c r="B44" s="3" t="s">
        <v>25</v>
      </c>
      <c r="C44" s="3" t="s">
        <v>4182</v>
      </c>
      <c r="D44" s="3" t="s">
        <v>638</v>
      </c>
      <c r="E44" s="3" t="s">
        <v>639</v>
      </c>
      <c r="F44" s="2">
        <v>10</v>
      </c>
      <c r="G44" s="4" t="s">
        <v>98</v>
      </c>
      <c r="H44" s="2">
        <v>1993</v>
      </c>
      <c r="I44" s="2" t="s">
        <v>651</v>
      </c>
      <c r="J44" s="2" t="s">
        <v>641</v>
      </c>
      <c r="K44" s="2" t="s">
        <v>642</v>
      </c>
      <c r="L44" s="2"/>
      <c r="M44" s="2"/>
      <c r="N44" s="2"/>
      <c r="O44" s="2"/>
      <c r="P44" s="2" t="s">
        <v>2175</v>
      </c>
      <c r="Q44" s="2" t="s">
        <v>4181</v>
      </c>
      <c r="R44" s="2"/>
      <c r="S44" s="2"/>
      <c r="T44" s="2"/>
      <c r="U44" s="2"/>
      <c r="V44" s="2"/>
      <c r="W44" s="2"/>
      <c r="X44" s="2"/>
      <c r="Y44" s="2"/>
      <c r="Z44" s="2"/>
      <c r="AA44" s="2"/>
      <c r="AB44" s="2"/>
      <c r="AC44" s="2"/>
      <c r="AD44" s="2"/>
      <c r="AE44" s="2"/>
      <c r="AF44" s="2"/>
      <c r="AG44" s="2"/>
      <c r="AH44" s="2"/>
      <c r="AI44" s="2"/>
      <c r="AJ44" s="2"/>
    </row>
    <row r="45" spans="1:36" ht="17.25" customHeight="1" x14ac:dyDescent="0.2">
      <c r="A45" s="3" t="s">
        <v>0</v>
      </c>
      <c r="B45" s="3" t="s">
        <v>25</v>
      </c>
      <c r="C45" s="3" t="s">
        <v>4182</v>
      </c>
      <c r="D45" s="3" t="s">
        <v>638</v>
      </c>
      <c r="E45" s="3" t="s">
        <v>639</v>
      </c>
      <c r="F45" s="2">
        <v>11</v>
      </c>
      <c r="G45" s="4" t="s">
        <v>104</v>
      </c>
      <c r="H45" s="2">
        <v>1994</v>
      </c>
      <c r="I45" s="2" t="s">
        <v>652</v>
      </c>
      <c r="J45" s="2" t="s">
        <v>641</v>
      </c>
      <c r="K45" s="2" t="s">
        <v>642</v>
      </c>
      <c r="L45" s="2"/>
      <c r="M45" s="2"/>
      <c r="N45" s="2"/>
      <c r="O45" s="2"/>
      <c r="P45" s="2" t="s">
        <v>2175</v>
      </c>
      <c r="Q45" s="2" t="s">
        <v>4181</v>
      </c>
      <c r="R45" s="2"/>
      <c r="S45" s="2"/>
      <c r="T45" s="2"/>
      <c r="U45" s="2"/>
      <c r="V45" s="2"/>
      <c r="W45" s="2"/>
      <c r="X45" s="2"/>
      <c r="Y45" s="2"/>
      <c r="Z45" s="2"/>
      <c r="AA45" s="2"/>
      <c r="AB45" s="2"/>
      <c r="AC45" s="2"/>
      <c r="AD45" s="2"/>
      <c r="AE45" s="2"/>
      <c r="AF45" s="2"/>
      <c r="AG45" s="2"/>
      <c r="AH45" s="2"/>
      <c r="AI45" s="2"/>
      <c r="AJ45" s="2"/>
    </row>
    <row r="46" spans="1:36" ht="17.25" customHeight="1" x14ac:dyDescent="0.2">
      <c r="A46" s="3" t="s">
        <v>0</v>
      </c>
      <c r="B46" s="3" t="s">
        <v>25</v>
      </c>
      <c r="C46" s="3" t="s">
        <v>4182</v>
      </c>
      <c r="D46" s="3" t="s">
        <v>638</v>
      </c>
      <c r="E46" s="3" t="s">
        <v>639</v>
      </c>
      <c r="F46" s="2">
        <v>12</v>
      </c>
      <c r="G46" s="4" t="s">
        <v>89</v>
      </c>
      <c r="H46" s="2">
        <v>1995</v>
      </c>
      <c r="I46" s="2" t="s">
        <v>653</v>
      </c>
      <c r="J46" s="2" t="s">
        <v>641</v>
      </c>
      <c r="K46" s="2" t="s">
        <v>642</v>
      </c>
      <c r="L46" s="2"/>
      <c r="M46" s="2"/>
      <c r="N46" s="2"/>
      <c r="O46" s="2"/>
      <c r="P46" s="2" t="s">
        <v>2175</v>
      </c>
      <c r="Q46" s="2" t="s">
        <v>4181</v>
      </c>
      <c r="R46" s="2"/>
      <c r="S46" s="2"/>
      <c r="T46" s="2"/>
      <c r="U46" s="2"/>
      <c r="V46" s="2"/>
      <c r="W46" s="2"/>
      <c r="X46" s="2"/>
      <c r="Y46" s="2"/>
      <c r="Z46" s="2"/>
      <c r="AA46" s="2"/>
      <c r="AB46" s="2"/>
      <c r="AC46" s="2"/>
      <c r="AD46" s="2"/>
      <c r="AE46" s="2"/>
      <c r="AF46" s="2"/>
      <c r="AG46" s="2"/>
      <c r="AH46" s="2"/>
      <c r="AI46" s="2"/>
      <c r="AJ46" s="2"/>
    </row>
    <row r="47" spans="1:36" ht="17.25" customHeight="1" x14ac:dyDescent="0.2">
      <c r="A47" s="3" t="s">
        <v>0</v>
      </c>
      <c r="B47" s="3" t="s">
        <v>25</v>
      </c>
      <c r="C47" s="3" t="s">
        <v>4182</v>
      </c>
      <c r="D47" s="3" t="s">
        <v>638</v>
      </c>
      <c r="E47" s="3" t="s">
        <v>639</v>
      </c>
      <c r="F47" s="2">
        <v>13</v>
      </c>
      <c r="G47" s="4" t="s">
        <v>107</v>
      </c>
      <c r="H47" s="2">
        <v>1996</v>
      </c>
      <c r="I47" s="2" t="s">
        <v>654</v>
      </c>
      <c r="J47" s="2" t="s">
        <v>641</v>
      </c>
      <c r="K47" s="2" t="s">
        <v>642</v>
      </c>
      <c r="L47" s="2"/>
      <c r="M47" s="2"/>
      <c r="N47" s="2"/>
      <c r="O47" s="2"/>
      <c r="P47" s="2" t="s">
        <v>2175</v>
      </c>
      <c r="Q47" s="2" t="s">
        <v>4181</v>
      </c>
      <c r="R47" s="2"/>
      <c r="S47" s="2"/>
      <c r="T47" s="2"/>
      <c r="U47" s="2"/>
      <c r="V47" s="2"/>
      <c r="W47" s="2"/>
      <c r="X47" s="2"/>
      <c r="Y47" s="2"/>
      <c r="Z47" s="2"/>
      <c r="AA47" s="2"/>
      <c r="AB47" s="2"/>
      <c r="AC47" s="2"/>
      <c r="AD47" s="2"/>
      <c r="AE47" s="2"/>
      <c r="AF47" s="2"/>
      <c r="AG47" s="2"/>
      <c r="AH47" s="2"/>
      <c r="AI47" s="2"/>
      <c r="AJ47" s="2"/>
    </row>
    <row r="48" spans="1:36" ht="17.25" customHeight="1" x14ac:dyDescent="0.2">
      <c r="A48" s="3" t="s">
        <v>0</v>
      </c>
      <c r="B48" s="3" t="s">
        <v>25</v>
      </c>
      <c r="C48" s="3" t="s">
        <v>4182</v>
      </c>
      <c r="D48" s="3" t="s">
        <v>638</v>
      </c>
      <c r="E48" s="3" t="s">
        <v>639</v>
      </c>
      <c r="F48" s="2">
        <v>14</v>
      </c>
      <c r="G48" s="4" t="s">
        <v>43</v>
      </c>
      <c r="H48" s="2">
        <v>1997</v>
      </c>
      <c r="I48" s="2" t="s">
        <v>655</v>
      </c>
      <c r="J48" s="2" t="s">
        <v>641</v>
      </c>
      <c r="K48" s="2" t="s">
        <v>642</v>
      </c>
      <c r="L48" s="2"/>
      <c r="M48" s="2"/>
      <c r="N48" s="2"/>
      <c r="O48" s="2"/>
      <c r="P48" s="2" t="s">
        <v>2175</v>
      </c>
      <c r="Q48" s="2" t="s">
        <v>4181</v>
      </c>
      <c r="R48" s="2"/>
      <c r="S48" s="2"/>
      <c r="T48" s="2"/>
      <c r="U48" s="2"/>
      <c r="V48" s="2"/>
      <c r="W48" s="2"/>
      <c r="X48" s="2"/>
      <c r="Y48" s="2"/>
      <c r="Z48" s="2"/>
      <c r="AA48" s="2"/>
      <c r="AB48" s="2"/>
      <c r="AC48" s="2"/>
      <c r="AD48" s="2"/>
      <c r="AE48" s="2"/>
      <c r="AF48" s="2"/>
      <c r="AG48" s="2"/>
      <c r="AH48" s="2"/>
      <c r="AI48" s="2"/>
      <c r="AJ48" s="2"/>
    </row>
    <row r="49" spans="1:36" ht="17.25" customHeight="1" x14ac:dyDescent="0.2">
      <c r="A49" s="3" t="s">
        <v>0</v>
      </c>
      <c r="B49" s="3" t="s">
        <v>25</v>
      </c>
      <c r="C49" s="3" t="s">
        <v>4182</v>
      </c>
      <c r="D49" s="3" t="s">
        <v>638</v>
      </c>
      <c r="E49" s="3" t="s">
        <v>639</v>
      </c>
      <c r="F49" s="2">
        <v>15</v>
      </c>
      <c r="G49" s="4" t="s">
        <v>19</v>
      </c>
      <c r="H49" s="2">
        <v>1998</v>
      </c>
      <c r="I49" s="2" t="s">
        <v>656</v>
      </c>
      <c r="J49" s="2" t="s">
        <v>641</v>
      </c>
      <c r="K49" s="2" t="s">
        <v>642</v>
      </c>
      <c r="L49" s="2"/>
      <c r="M49" s="2"/>
      <c r="N49" s="2"/>
      <c r="O49" s="2"/>
      <c r="P49" s="2" t="s">
        <v>2175</v>
      </c>
      <c r="Q49" s="2" t="s">
        <v>4181</v>
      </c>
      <c r="R49" s="2"/>
      <c r="S49" s="2"/>
      <c r="T49" s="2"/>
      <c r="U49" s="2"/>
      <c r="V49" s="2"/>
      <c r="W49" s="2"/>
      <c r="X49" s="2"/>
      <c r="Y49" s="2"/>
      <c r="Z49" s="2"/>
      <c r="AA49" s="2"/>
      <c r="AB49" s="2"/>
      <c r="AC49" s="2"/>
      <c r="AD49" s="2"/>
      <c r="AE49" s="2"/>
      <c r="AF49" s="2"/>
      <c r="AG49" s="2"/>
      <c r="AH49" s="2"/>
      <c r="AI49" s="2"/>
      <c r="AJ49" s="2"/>
    </row>
    <row r="50" spans="1:36" ht="17.25" customHeight="1" x14ac:dyDescent="0.2">
      <c r="A50" s="3" t="s">
        <v>0</v>
      </c>
      <c r="B50" s="3" t="s">
        <v>25</v>
      </c>
      <c r="C50" s="3" t="s">
        <v>4182</v>
      </c>
      <c r="D50" s="3" t="s">
        <v>638</v>
      </c>
      <c r="E50" s="3" t="s">
        <v>639</v>
      </c>
      <c r="F50" s="2">
        <v>16</v>
      </c>
      <c r="G50" s="4" t="s">
        <v>25</v>
      </c>
      <c r="H50" s="2">
        <v>1999</v>
      </c>
      <c r="I50" s="2" t="s">
        <v>657</v>
      </c>
      <c r="J50" s="2" t="s">
        <v>641</v>
      </c>
      <c r="K50" s="2" t="s">
        <v>642</v>
      </c>
      <c r="L50" s="2"/>
      <c r="M50" s="2"/>
      <c r="N50" s="2"/>
      <c r="O50" s="2"/>
      <c r="P50" s="2" t="s">
        <v>2175</v>
      </c>
      <c r="Q50" s="2" t="s">
        <v>4181</v>
      </c>
      <c r="R50" s="2"/>
      <c r="S50" s="2"/>
      <c r="T50" s="2"/>
      <c r="U50" s="2"/>
      <c r="V50" s="2"/>
      <c r="W50" s="2"/>
      <c r="X50" s="2"/>
      <c r="Y50" s="2"/>
      <c r="Z50" s="2"/>
      <c r="AA50" s="2"/>
      <c r="AB50" s="2"/>
      <c r="AC50" s="2"/>
      <c r="AD50" s="2"/>
      <c r="AE50" s="2"/>
      <c r="AF50" s="2"/>
      <c r="AG50" s="2"/>
      <c r="AH50" s="2"/>
      <c r="AI50" s="2"/>
      <c r="AJ50" s="2"/>
    </row>
    <row r="51" spans="1:36" ht="17.25" customHeight="1" x14ac:dyDescent="0.2">
      <c r="A51" s="3" t="s">
        <v>0</v>
      </c>
      <c r="B51" s="3" t="s">
        <v>25</v>
      </c>
      <c r="C51" s="3" t="s">
        <v>4182</v>
      </c>
      <c r="D51" s="3" t="s">
        <v>638</v>
      </c>
      <c r="E51" s="3" t="s">
        <v>639</v>
      </c>
      <c r="F51" s="2">
        <v>17</v>
      </c>
      <c r="G51" s="4" t="s">
        <v>73</v>
      </c>
      <c r="H51" s="2">
        <v>2000</v>
      </c>
      <c r="I51" s="2" t="s">
        <v>658</v>
      </c>
      <c r="J51" s="2" t="s">
        <v>641</v>
      </c>
      <c r="K51" s="2" t="s">
        <v>642</v>
      </c>
      <c r="L51" s="2"/>
      <c r="M51" s="2"/>
      <c r="N51" s="2"/>
      <c r="O51" s="2"/>
      <c r="P51" s="2" t="s">
        <v>2175</v>
      </c>
      <c r="Q51" s="2" t="s">
        <v>4181</v>
      </c>
      <c r="R51" s="2"/>
      <c r="S51" s="2"/>
      <c r="T51" s="2"/>
      <c r="U51" s="2"/>
      <c r="V51" s="2"/>
      <c r="W51" s="2"/>
      <c r="X51" s="2"/>
      <c r="Y51" s="2"/>
      <c r="Z51" s="2"/>
      <c r="AA51" s="2"/>
      <c r="AB51" s="2"/>
      <c r="AC51" s="2"/>
      <c r="AD51" s="2"/>
      <c r="AE51" s="2"/>
      <c r="AF51" s="2"/>
      <c r="AG51" s="2"/>
      <c r="AH51" s="2"/>
      <c r="AI51" s="2"/>
      <c r="AJ51" s="2"/>
    </row>
    <row r="52" spans="1:36" ht="17.25" customHeight="1" x14ac:dyDescent="0.2">
      <c r="A52" s="3" t="s">
        <v>0</v>
      </c>
      <c r="B52" s="3" t="s">
        <v>25</v>
      </c>
      <c r="C52" s="3" t="s">
        <v>4182</v>
      </c>
      <c r="D52" s="3" t="s">
        <v>638</v>
      </c>
      <c r="E52" s="3" t="s">
        <v>639</v>
      </c>
      <c r="F52" s="2">
        <v>18</v>
      </c>
      <c r="G52" s="4" t="s">
        <v>58</v>
      </c>
      <c r="H52" s="2">
        <v>2001</v>
      </c>
      <c r="I52" s="2" t="s">
        <v>659</v>
      </c>
      <c r="J52" s="2" t="s">
        <v>641</v>
      </c>
      <c r="K52" s="2" t="s">
        <v>642</v>
      </c>
      <c r="L52" s="2"/>
      <c r="M52" s="2"/>
      <c r="N52" s="2"/>
      <c r="O52" s="2"/>
      <c r="P52" s="2" t="s">
        <v>2175</v>
      </c>
      <c r="Q52" s="2" t="s">
        <v>4181</v>
      </c>
      <c r="R52" s="2"/>
      <c r="S52" s="2"/>
      <c r="T52" s="2"/>
      <c r="U52" s="2"/>
      <c r="V52" s="2"/>
      <c r="W52" s="2"/>
      <c r="X52" s="2"/>
      <c r="Y52" s="2"/>
      <c r="Z52" s="2"/>
      <c r="AA52" s="2"/>
      <c r="AB52" s="2"/>
      <c r="AC52" s="2"/>
      <c r="AD52" s="2"/>
      <c r="AE52" s="2"/>
      <c r="AF52" s="2"/>
      <c r="AG52" s="2"/>
      <c r="AH52" s="2"/>
      <c r="AI52" s="2"/>
      <c r="AJ52" s="2"/>
    </row>
    <row r="53" spans="1:36" ht="17.25" customHeight="1" x14ac:dyDescent="0.2">
      <c r="A53" s="3" t="s">
        <v>0</v>
      </c>
      <c r="B53" s="3" t="s">
        <v>25</v>
      </c>
      <c r="C53" s="3" t="s">
        <v>4182</v>
      </c>
      <c r="D53" s="3" t="s">
        <v>638</v>
      </c>
      <c r="E53" s="3" t="s">
        <v>639</v>
      </c>
      <c r="F53" s="2">
        <v>19</v>
      </c>
      <c r="G53" s="4" t="s">
        <v>4</v>
      </c>
      <c r="H53" s="2">
        <v>2002</v>
      </c>
      <c r="I53" s="2" t="s">
        <v>660</v>
      </c>
      <c r="J53" s="2" t="s">
        <v>641</v>
      </c>
      <c r="K53" s="2" t="s">
        <v>642</v>
      </c>
      <c r="L53" s="2"/>
      <c r="M53" s="2"/>
      <c r="N53" s="2"/>
      <c r="O53" s="2"/>
      <c r="P53" s="2" t="s">
        <v>2175</v>
      </c>
      <c r="Q53" s="2" t="s">
        <v>4181</v>
      </c>
      <c r="R53" s="2"/>
      <c r="S53" s="2"/>
      <c r="T53" s="2"/>
      <c r="U53" s="2"/>
      <c r="V53" s="2"/>
      <c r="W53" s="2"/>
      <c r="X53" s="2"/>
      <c r="Y53" s="2"/>
      <c r="Z53" s="2"/>
      <c r="AA53" s="2"/>
      <c r="AB53" s="2"/>
      <c r="AC53" s="2"/>
      <c r="AD53" s="2"/>
      <c r="AE53" s="2"/>
      <c r="AF53" s="2"/>
      <c r="AG53" s="2"/>
      <c r="AH53" s="2"/>
      <c r="AI53" s="2"/>
      <c r="AJ53" s="2"/>
    </row>
    <row r="54" spans="1:36" ht="17.25" customHeight="1" x14ac:dyDescent="0.2">
      <c r="A54" s="3" t="s">
        <v>0</v>
      </c>
      <c r="B54" s="3" t="s">
        <v>25</v>
      </c>
      <c r="C54" s="3" t="s">
        <v>4182</v>
      </c>
      <c r="D54" s="3" t="s">
        <v>638</v>
      </c>
      <c r="E54" s="3" t="s">
        <v>639</v>
      </c>
      <c r="F54" s="2">
        <v>20</v>
      </c>
      <c r="G54" s="4" t="s">
        <v>83</v>
      </c>
      <c r="H54" s="2">
        <v>2003</v>
      </c>
      <c r="I54" s="2" t="s">
        <v>661</v>
      </c>
      <c r="J54" s="2" t="s">
        <v>641</v>
      </c>
      <c r="K54" s="2" t="s">
        <v>642</v>
      </c>
      <c r="L54" s="2"/>
      <c r="M54" s="2"/>
      <c r="N54" s="2"/>
      <c r="O54" s="2"/>
      <c r="P54" s="2" t="s">
        <v>2175</v>
      </c>
      <c r="Q54" s="2" t="s">
        <v>4181</v>
      </c>
      <c r="R54" s="2"/>
      <c r="S54" s="2"/>
      <c r="T54" s="2"/>
      <c r="U54" s="2"/>
      <c r="V54" s="2"/>
      <c r="W54" s="2"/>
      <c r="X54" s="2"/>
      <c r="Y54" s="2"/>
      <c r="Z54" s="2"/>
      <c r="AA54" s="2"/>
      <c r="AB54" s="2"/>
      <c r="AC54" s="2"/>
      <c r="AD54" s="2"/>
      <c r="AE54" s="2"/>
      <c r="AF54" s="2"/>
      <c r="AG54" s="2"/>
      <c r="AH54" s="2"/>
      <c r="AI54" s="2"/>
      <c r="AJ54" s="2"/>
    </row>
    <row r="55" spans="1:36" ht="17.25" customHeight="1" x14ac:dyDescent="0.2">
      <c r="A55" s="3" t="s">
        <v>0</v>
      </c>
      <c r="B55" s="3" t="s">
        <v>25</v>
      </c>
      <c r="C55" s="3" t="s">
        <v>4182</v>
      </c>
      <c r="D55" s="3" t="s">
        <v>638</v>
      </c>
      <c r="E55" s="3" t="s">
        <v>639</v>
      </c>
      <c r="F55" s="2">
        <v>21</v>
      </c>
      <c r="G55" s="4" t="s">
        <v>64</v>
      </c>
      <c r="H55" s="2">
        <v>2004</v>
      </c>
      <c r="I55" s="2" t="s">
        <v>662</v>
      </c>
      <c r="J55" s="2" t="s">
        <v>641</v>
      </c>
      <c r="K55" s="2" t="s">
        <v>642</v>
      </c>
      <c r="L55" s="2"/>
      <c r="M55" s="2"/>
      <c r="N55" s="2"/>
      <c r="O55" s="2"/>
      <c r="P55" s="2" t="s">
        <v>2175</v>
      </c>
      <c r="Q55" s="2" t="s">
        <v>4181</v>
      </c>
      <c r="R55" s="2"/>
      <c r="S55" s="2"/>
      <c r="T55" s="2"/>
      <c r="U55" s="2"/>
      <c r="V55" s="2"/>
      <c r="W55" s="2"/>
      <c r="X55" s="2"/>
      <c r="Y55" s="2"/>
      <c r="Z55" s="2"/>
      <c r="AA55" s="2"/>
      <c r="AB55" s="2"/>
      <c r="AC55" s="2"/>
      <c r="AD55" s="2"/>
      <c r="AE55" s="2"/>
      <c r="AF55" s="2"/>
      <c r="AG55" s="2"/>
      <c r="AH55" s="2"/>
      <c r="AI55" s="2"/>
      <c r="AJ55" s="2"/>
    </row>
    <row r="56" spans="1:36" ht="17.25" customHeight="1" x14ac:dyDescent="0.2">
      <c r="A56" s="3" t="s">
        <v>0</v>
      </c>
      <c r="B56" s="3" t="s">
        <v>25</v>
      </c>
      <c r="C56" s="3" t="s">
        <v>4182</v>
      </c>
      <c r="D56" s="3" t="s">
        <v>638</v>
      </c>
      <c r="E56" s="3" t="s">
        <v>639</v>
      </c>
      <c r="F56" s="2">
        <v>22</v>
      </c>
      <c r="G56" s="4" t="s">
        <v>92</v>
      </c>
      <c r="H56" s="2">
        <v>2005</v>
      </c>
      <c r="I56" s="2" t="s">
        <v>663</v>
      </c>
      <c r="J56" s="2" t="s">
        <v>664</v>
      </c>
      <c r="K56" s="2" t="s">
        <v>642</v>
      </c>
      <c r="L56" s="2"/>
      <c r="M56" s="2"/>
      <c r="N56" s="2"/>
      <c r="O56" s="2"/>
      <c r="P56" s="2" t="s">
        <v>2175</v>
      </c>
      <c r="Q56" s="2" t="s">
        <v>4181</v>
      </c>
      <c r="R56" s="2"/>
      <c r="S56" s="2"/>
      <c r="T56" s="2"/>
      <c r="U56" s="2"/>
      <c r="V56" s="2"/>
      <c r="W56" s="2"/>
      <c r="X56" s="2"/>
      <c r="Y56" s="2"/>
      <c r="Z56" s="2"/>
      <c r="AA56" s="2"/>
      <c r="AB56" s="2"/>
      <c r="AC56" s="2"/>
      <c r="AD56" s="2"/>
      <c r="AE56" s="2"/>
      <c r="AF56" s="2"/>
      <c r="AG56" s="2"/>
      <c r="AH56" s="2"/>
      <c r="AI56" s="2"/>
      <c r="AJ56" s="2"/>
    </row>
    <row r="57" spans="1:36" ht="17.25" customHeight="1" x14ac:dyDescent="0.2">
      <c r="A57" s="3" t="s">
        <v>0</v>
      </c>
      <c r="B57" s="3" t="s">
        <v>25</v>
      </c>
      <c r="C57" s="3" t="s">
        <v>4182</v>
      </c>
      <c r="D57" s="3" t="s">
        <v>638</v>
      </c>
      <c r="E57" s="3" t="s">
        <v>639</v>
      </c>
      <c r="F57" s="2">
        <v>23</v>
      </c>
      <c r="G57" s="4" t="s">
        <v>52</v>
      </c>
      <c r="H57" s="2">
        <v>2006</v>
      </c>
      <c r="I57" s="2" t="s">
        <v>665</v>
      </c>
      <c r="J57" s="2" t="s">
        <v>664</v>
      </c>
      <c r="K57" s="2" t="s">
        <v>642</v>
      </c>
      <c r="L57" s="2"/>
      <c r="M57" s="2"/>
      <c r="N57" s="2"/>
      <c r="O57" s="2"/>
      <c r="P57" s="2" t="s">
        <v>2175</v>
      </c>
      <c r="Q57" s="2" t="s">
        <v>4181</v>
      </c>
      <c r="R57" s="2"/>
      <c r="S57" s="2"/>
      <c r="T57" s="2"/>
      <c r="U57" s="2"/>
      <c r="V57" s="2"/>
      <c r="W57" s="2"/>
      <c r="X57" s="2"/>
      <c r="Y57" s="2"/>
      <c r="Z57" s="2"/>
      <c r="AA57" s="2"/>
      <c r="AB57" s="2"/>
      <c r="AC57" s="2"/>
      <c r="AD57" s="2"/>
      <c r="AE57" s="2"/>
      <c r="AF57" s="2"/>
      <c r="AG57" s="2"/>
      <c r="AH57" s="2"/>
      <c r="AI57" s="2"/>
      <c r="AJ57" s="2"/>
    </row>
    <row r="58" spans="1:36" ht="17.25" customHeight="1" x14ac:dyDescent="0.2">
      <c r="A58" s="3" t="s">
        <v>0</v>
      </c>
      <c r="B58" s="3" t="s">
        <v>25</v>
      </c>
      <c r="C58" s="3" t="s">
        <v>4182</v>
      </c>
      <c r="D58" s="3" t="s">
        <v>638</v>
      </c>
      <c r="E58" s="3" t="s">
        <v>639</v>
      </c>
      <c r="F58" s="2">
        <v>24</v>
      </c>
      <c r="G58" s="4" t="s">
        <v>95</v>
      </c>
      <c r="H58" s="2">
        <v>2007</v>
      </c>
      <c r="I58" s="2" t="s">
        <v>666</v>
      </c>
      <c r="J58" s="2" t="s">
        <v>664</v>
      </c>
      <c r="K58" s="2" t="s">
        <v>642</v>
      </c>
      <c r="L58" s="2"/>
      <c r="M58" s="2"/>
      <c r="N58" s="2"/>
      <c r="O58" s="2"/>
      <c r="P58" s="2" t="s">
        <v>2175</v>
      </c>
      <c r="Q58" s="2" t="s">
        <v>4181</v>
      </c>
      <c r="R58" s="2"/>
      <c r="S58" s="2"/>
      <c r="T58" s="2"/>
      <c r="U58" s="2"/>
      <c r="V58" s="2"/>
      <c r="W58" s="2"/>
      <c r="X58" s="2"/>
      <c r="Y58" s="2"/>
      <c r="Z58" s="2"/>
      <c r="AA58" s="2"/>
      <c r="AB58" s="2"/>
      <c r="AC58" s="2"/>
      <c r="AD58" s="2"/>
      <c r="AE58" s="2"/>
      <c r="AF58" s="2"/>
      <c r="AG58" s="2"/>
      <c r="AH58" s="2"/>
      <c r="AI58" s="2"/>
      <c r="AJ58" s="2"/>
    </row>
    <row r="59" spans="1:36" ht="17.25" customHeight="1" x14ac:dyDescent="0.2">
      <c r="A59" s="3" t="s">
        <v>0</v>
      </c>
      <c r="B59" s="3" t="s">
        <v>25</v>
      </c>
      <c r="C59" s="3" t="s">
        <v>4182</v>
      </c>
      <c r="D59" s="3" t="s">
        <v>638</v>
      </c>
      <c r="E59" s="3" t="s">
        <v>639</v>
      </c>
      <c r="F59" s="2">
        <v>25</v>
      </c>
      <c r="G59" s="4" t="s">
        <v>70</v>
      </c>
      <c r="H59" s="2">
        <v>2008</v>
      </c>
      <c r="I59" s="2" t="s">
        <v>667</v>
      </c>
      <c r="J59" s="2" t="s">
        <v>664</v>
      </c>
      <c r="K59" s="2" t="s">
        <v>642</v>
      </c>
      <c r="L59" s="2"/>
      <c r="M59" s="2"/>
      <c r="N59" s="2"/>
      <c r="O59" s="2"/>
      <c r="P59" s="2" t="s">
        <v>2175</v>
      </c>
      <c r="Q59" s="2" t="s">
        <v>4181</v>
      </c>
      <c r="R59" s="2"/>
      <c r="S59" s="2"/>
      <c r="T59" s="2"/>
      <c r="U59" s="2"/>
      <c r="V59" s="2"/>
      <c r="W59" s="2"/>
      <c r="X59" s="2"/>
      <c r="Y59" s="2"/>
      <c r="Z59" s="2"/>
      <c r="AA59" s="2"/>
      <c r="AB59" s="2"/>
      <c r="AC59" s="2"/>
      <c r="AD59" s="2"/>
      <c r="AE59" s="2"/>
      <c r="AF59" s="2"/>
      <c r="AG59" s="2"/>
      <c r="AH59" s="2"/>
      <c r="AI59" s="2"/>
      <c r="AJ59" s="2"/>
    </row>
    <row r="60" spans="1:36" ht="17.25" customHeight="1" x14ac:dyDescent="0.2">
      <c r="A60" s="3" t="s">
        <v>0</v>
      </c>
      <c r="B60" s="3" t="s">
        <v>25</v>
      </c>
      <c r="C60" s="3" t="s">
        <v>4182</v>
      </c>
      <c r="D60" s="3" t="s">
        <v>638</v>
      </c>
      <c r="E60" s="3" t="s">
        <v>639</v>
      </c>
      <c r="F60" s="2">
        <v>26</v>
      </c>
      <c r="G60" s="4" t="s">
        <v>16</v>
      </c>
      <c r="H60" s="2">
        <v>2009</v>
      </c>
      <c r="I60" s="2" t="s">
        <v>668</v>
      </c>
      <c r="J60" s="2" t="s">
        <v>664</v>
      </c>
      <c r="K60" s="2" t="s">
        <v>642</v>
      </c>
      <c r="L60" s="2"/>
      <c r="M60" s="2"/>
      <c r="N60" s="2"/>
      <c r="O60" s="2"/>
      <c r="P60" s="2" t="s">
        <v>2175</v>
      </c>
      <c r="Q60" s="2" t="s">
        <v>4181</v>
      </c>
      <c r="R60" s="2"/>
      <c r="S60" s="2"/>
      <c r="T60" s="2"/>
      <c r="U60" s="2"/>
      <c r="V60" s="2"/>
      <c r="W60" s="2"/>
      <c r="X60" s="2"/>
      <c r="Y60" s="2"/>
      <c r="Z60" s="2"/>
      <c r="AA60" s="2"/>
      <c r="AB60" s="2"/>
      <c r="AC60" s="2"/>
      <c r="AD60" s="2"/>
      <c r="AE60" s="2"/>
      <c r="AF60" s="2"/>
      <c r="AG60" s="2"/>
      <c r="AH60" s="2"/>
      <c r="AI60" s="2"/>
      <c r="AJ60" s="2"/>
    </row>
    <row r="61" spans="1:36" ht="17.25" customHeight="1" x14ac:dyDescent="0.2">
      <c r="A61" s="3" t="s">
        <v>0</v>
      </c>
      <c r="B61" s="3" t="s">
        <v>25</v>
      </c>
      <c r="C61" s="3" t="s">
        <v>4182</v>
      </c>
      <c r="D61" s="3" t="s">
        <v>638</v>
      </c>
      <c r="E61" s="3" t="s">
        <v>639</v>
      </c>
      <c r="F61" s="2">
        <v>27</v>
      </c>
      <c r="G61" s="4" t="s">
        <v>34</v>
      </c>
      <c r="H61" s="2">
        <v>2010</v>
      </c>
      <c r="I61" s="2" t="s">
        <v>669</v>
      </c>
      <c r="J61" s="2" t="s">
        <v>664</v>
      </c>
      <c r="K61" s="2" t="s">
        <v>642</v>
      </c>
      <c r="L61" s="2"/>
      <c r="M61" s="2"/>
      <c r="N61" s="2"/>
      <c r="O61" s="2"/>
      <c r="P61" s="2" t="s">
        <v>2175</v>
      </c>
      <c r="Q61" s="2" t="s">
        <v>4181</v>
      </c>
      <c r="R61" s="2"/>
      <c r="S61" s="2"/>
      <c r="T61" s="2"/>
      <c r="U61" s="2"/>
      <c r="V61" s="2"/>
      <c r="W61" s="2"/>
      <c r="X61" s="2"/>
      <c r="Y61" s="2"/>
      <c r="Z61" s="2"/>
      <c r="AA61" s="2"/>
      <c r="AB61" s="2"/>
      <c r="AC61" s="2"/>
      <c r="AD61" s="2"/>
      <c r="AE61" s="2"/>
      <c r="AF61" s="2"/>
      <c r="AG61" s="2"/>
      <c r="AH61" s="2"/>
      <c r="AI61" s="2"/>
      <c r="AJ61" s="2"/>
    </row>
    <row r="62" spans="1:36" ht="17.25" customHeight="1" x14ac:dyDescent="0.2">
      <c r="A62" s="3" t="s">
        <v>0</v>
      </c>
      <c r="B62" s="3" t="s">
        <v>25</v>
      </c>
      <c r="C62" s="3" t="s">
        <v>4182</v>
      </c>
      <c r="D62" s="3" t="s">
        <v>638</v>
      </c>
      <c r="E62" s="3" t="s">
        <v>639</v>
      </c>
      <c r="F62" s="2">
        <v>28</v>
      </c>
      <c r="G62" s="4" t="s">
        <v>46</v>
      </c>
      <c r="H62" s="2">
        <v>2011</v>
      </c>
      <c r="I62" s="2" t="s">
        <v>670</v>
      </c>
      <c r="J62" s="2" t="s">
        <v>664</v>
      </c>
      <c r="K62" s="2" t="s">
        <v>642</v>
      </c>
      <c r="L62" s="2"/>
      <c r="M62" s="2"/>
      <c r="N62" s="2"/>
      <c r="O62" s="2"/>
      <c r="P62" s="2" t="s">
        <v>2175</v>
      </c>
      <c r="Q62" s="2" t="s">
        <v>4181</v>
      </c>
      <c r="R62" s="2"/>
      <c r="S62" s="2"/>
      <c r="T62" s="2"/>
      <c r="U62" s="2"/>
      <c r="V62" s="2"/>
      <c r="W62" s="2"/>
      <c r="X62" s="2"/>
      <c r="Y62" s="2"/>
      <c r="Z62" s="2"/>
      <c r="AA62" s="2"/>
      <c r="AB62" s="2"/>
      <c r="AC62" s="2"/>
      <c r="AD62" s="2"/>
      <c r="AE62" s="2"/>
      <c r="AF62" s="2"/>
      <c r="AG62" s="2"/>
      <c r="AH62" s="2"/>
      <c r="AI62" s="2"/>
      <c r="AJ62" s="2"/>
    </row>
    <row r="63" spans="1:36" ht="17.25" customHeight="1" x14ac:dyDescent="0.2">
      <c r="A63" s="3" t="s">
        <v>0</v>
      </c>
      <c r="B63" s="3" t="s">
        <v>25</v>
      </c>
      <c r="C63" s="3" t="s">
        <v>4182</v>
      </c>
      <c r="D63" s="3" t="s">
        <v>638</v>
      </c>
      <c r="E63" s="3" t="s">
        <v>639</v>
      </c>
      <c r="F63" s="2">
        <v>29</v>
      </c>
      <c r="G63" s="4" t="s">
        <v>61</v>
      </c>
      <c r="H63" s="2">
        <v>2012</v>
      </c>
      <c r="I63" s="2" t="s">
        <v>671</v>
      </c>
      <c r="J63" s="2" t="s">
        <v>664</v>
      </c>
      <c r="K63" s="2" t="s">
        <v>642</v>
      </c>
      <c r="L63" s="2"/>
      <c r="M63" s="2"/>
      <c r="N63" s="2"/>
      <c r="O63" s="2"/>
      <c r="P63" s="2" t="s">
        <v>2175</v>
      </c>
      <c r="Q63" s="2" t="s">
        <v>4181</v>
      </c>
      <c r="R63" s="2"/>
      <c r="S63" s="2"/>
      <c r="T63" s="2"/>
      <c r="U63" s="2"/>
      <c r="V63" s="2"/>
      <c r="W63" s="2"/>
      <c r="X63" s="2"/>
      <c r="Y63" s="2"/>
      <c r="Z63" s="2"/>
      <c r="AA63" s="2"/>
      <c r="AB63" s="2"/>
      <c r="AC63" s="2"/>
      <c r="AD63" s="2"/>
      <c r="AE63" s="2"/>
      <c r="AF63" s="2"/>
      <c r="AG63" s="2"/>
      <c r="AH63" s="2"/>
      <c r="AI63" s="2"/>
      <c r="AJ63" s="2"/>
    </row>
    <row r="64" spans="1:36" ht="17.25" customHeight="1" x14ac:dyDescent="0.2">
      <c r="A64" s="3" t="s">
        <v>0</v>
      </c>
      <c r="B64" s="3" t="s">
        <v>25</v>
      </c>
      <c r="C64" s="3" t="s">
        <v>4182</v>
      </c>
      <c r="D64" s="3" t="s">
        <v>638</v>
      </c>
      <c r="E64" s="3" t="s">
        <v>639</v>
      </c>
      <c r="F64" s="2">
        <v>30</v>
      </c>
      <c r="G64" s="4" t="s">
        <v>86</v>
      </c>
      <c r="H64" s="2">
        <v>2013</v>
      </c>
      <c r="I64" s="2" t="s">
        <v>672</v>
      </c>
      <c r="J64" s="2" t="s">
        <v>664</v>
      </c>
      <c r="K64" s="2" t="s">
        <v>642</v>
      </c>
      <c r="L64" s="2"/>
      <c r="M64" s="2"/>
      <c r="N64" s="2"/>
      <c r="O64" s="2"/>
      <c r="P64" s="2" t="s">
        <v>2175</v>
      </c>
      <c r="Q64" s="2" t="s">
        <v>4181</v>
      </c>
      <c r="R64" s="2"/>
      <c r="S64" s="2"/>
      <c r="T64" s="2"/>
      <c r="U64" s="2"/>
      <c r="V64" s="2"/>
      <c r="W64" s="2"/>
      <c r="X64" s="2"/>
      <c r="Y64" s="2"/>
      <c r="Z64" s="2"/>
      <c r="AA64" s="2"/>
      <c r="AB64" s="2"/>
      <c r="AC64" s="2"/>
      <c r="AD64" s="2"/>
      <c r="AE64" s="2"/>
      <c r="AF64" s="2"/>
      <c r="AG64" s="2"/>
      <c r="AH64" s="2"/>
      <c r="AI64" s="2"/>
      <c r="AJ64" s="2"/>
    </row>
    <row r="65" spans="1:36" ht="17.25" customHeight="1" x14ac:dyDescent="0.2">
      <c r="A65" s="3" t="s">
        <v>0</v>
      </c>
      <c r="B65" s="3" t="s">
        <v>25</v>
      </c>
      <c r="C65" s="3" t="s">
        <v>4182</v>
      </c>
      <c r="D65" s="3" t="s">
        <v>638</v>
      </c>
      <c r="E65" s="3" t="s">
        <v>639</v>
      </c>
      <c r="F65" s="2">
        <v>31</v>
      </c>
      <c r="G65" s="4" t="s">
        <v>22</v>
      </c>
      <c r="H65" s="2">
        <v>2014</v>
      </c>
      <c r="I65" s="2" t="s">
        <v>673</v>
      </c>
      <c r="J65" s="2" t="s">
        <v>664</v>
      </c>
      <c r="K65" s="2" t="s">
        <v>642</v>
      </c>
      <c r="L65" s="2"/>
      <c r="M65" s="2"/>
      <c r="N65" s="2"/>
      <c r="O65" s="2"/>
      <c r="P65" s="2" t="s">
        <v>2175</v>
      </c>
      <c r="Q65" s="2" t="s">
        <v>4181</v>
      </c>
      <c r="R65" s="2"/>
      <c r="S65" s="2"/>
      <c r="T65" s="2"/>
      <c r="U65" s="2"/>
      <c r="V65" s="2"/>
      <c r="W65" s="2"/>
      <c r="X65" s="2"/>
      <c r="Y65" s="2"/>
      <c r="Z65" s="2"/>
      <c r="AA65" s="2"/>
      <c r="AB65" s="2"/>
      <c r="AC65" s="2"/>
      <c r="AD65" s="2"/>
      <c r="AE65" s="2"/>
      <c r="AF65" s="2"/>
      <c r="AG65" s="2"/>
      <c r="AH65" s="2"/>
      <c r="AI65" s="2"/>
      <c r="AJ65" s="2"/>
    </row>
    <row r="66" spans="1:36" ht="17.25" customHeight="1" x14ac:dyDescent="0.2">
      <c r="A66" s="3" t="s">
        <v>0</v>
      </c>
      <c r="B66" s="3" t="s">
        <v>25</v>
      </c>
      <c r="C66" s="3" t="s">
        <v>4182</v>
      </c>
      <c r="D66" s="3" t="s">
        <v>638</v>
      </c>
      <c r="E66" s="3" t="s">
        <v>639</v>
      </c>
      <c r="F66" s="2">
        <v>32</v>
      </c>
      <c r="G66" s="4" t="s">
        <v>28</v>
      </c>
      <c r="H66" s="2">
        <v>2015</v>
      </c>
      <c r="I66" s="2" t="s">
        <v>674</v>
      </c>
      <c r="J66" s="2" t="s">
        <v>664</v>
      </c>
      <c r="K66" s="2" t="s">
        <v>642</v>
      </c>
      <c r="L66" s="2"/>
      <c r="M66" s="2"/>
      <c r="N66" s="2"/>
      <c r="O66" s="2"/>
      <c r="P66" s="2" t="s">
        <v>2175</v>
      </c>
      <c r="Q66" s="2" t="s">
        <v>4181</v>
      </c>
      <c r="R66" s="2"/>
      <c r="S66" s="2"/>
      <c r="T66" s="2"/>
      <c r="U66" s="2"/>
      <c r="V66" s="2"/>
      <c r="W66" s="2"/>
      <c r="X66" s="2"/>
      <c r="Y66" s="2"/>
      <c r="Z66" s="2"/>
      <c r="AA66" s="2"/>
      <c r="AB66" s="2"/>
      <c r="AC66" s="2"/>
      <c r="AD66" s="2"/>
      <c r="AE66" s="2"/>
      <c r="AF66" s="2"/>
      <c r="AG66" s="2"/>
      <c r="AH66" s="2"/>
      <c r="AI66" s="2"/>
      <c r="AJ66" s="2"/>
    </row>
    <row r="67" spans="1:36" ht="17.25" customHeight="1" x14ac:dyDescent="0.2">
      <c r="A67" s="1" t="s">
        <v>0</v>
      </c>
      <c r="B67" s="1" t="s">
        <v>39</v>
      </c>
      <c r="C67" s="1" t="s">
        <v>3</v>
      </c>
      <c r="D67" s="1" t="s">
        <v>675</v>
      </c>
      <c r="E67" s="1" t="s">
        <v>3</v>
      </c>
      <c r="F67" s="2">
        <v>1</v>
      </c>
      <c r="G67" s="2" t="s">
        <v>40</v>
      </c>
      <c r="H67" s="2">
        <v>1984</v>
      </c>
      <c r="I67" s="2" t="s">
        <v>41</v>
      </c>
      <c r="J67" s="2" t="s">
        <v>6</v>
      </c>
      <c r="K67" s="2" t="s">
        <v>7</v>
      </c>
      <c r="L67" s="2" t="s">
        <v>398</v>
      </c>
      <c r="M67" s="2" t="s">
        <v>8</v>
      </c>
      <c r="N67" s="2">
        <v>0</v>
      </c>
      <c r="O67" s="2">
        <v>10</v>
      </c>
      <c r="P67" s="2"/>
      <c r="Q67" s="2"/>
      <c r="R67" s="2"/>
      <c r="S67" s="2"/>
      <c r="T67" s="2"/>
      <c r="U67" s="2"/>
      <c r="V67" s="2"/>
      <c r="W67" s="2"/>
      <c r="X67" s="2"/>
      <c r="Y67" s="2"/>
      <c r="Z67" s="2"/>
      <c r="AA67" s="2"/>
      <c r="AB67" s="2"/>
      <c r="AC67" s="2"/>
      <c r="AD67" s="2"/>
      <c r="AE67" s="2"/>
      <c r="AF67" s="2"/>
      <c r="AG67" s="2"/>
      <c r="AH67" s="2"/>
      <c r="AI67" s="2"/>
      <c r="AJ67" s="2"/>
    </row>
    <row r="68" spans="1:36" ht="17.25" customHeight="1" x14ac:dyDescent="0.2">
      <c r="A68" s="1" t="s">
        <v>0</v>
      </c>
      <c r="B68" s="1" t="s">
        <v>36</v>
      </c>
      <c r="C68" s="1" t="s">
        <v>3</v>
      </c>
      <c r="D68" s="1" t="s">
        <v>675</v>
      </c>
      <c r="E68" s="1" t="s">
        <v>3</v>
      </c>
      <c r="F68" s="2">
        <v>2</v>
      </c>
      <c r="G68" s="2" t="s">
        <v>37</v>
      </c>
      <c r="H68" s="2">
        <v>1985</v>
      </c>
      <c r="I68" s="2" t="s">
        <v>38</v>
      </c>
      <c r="J68" s="2" t="s">
        <v>6</v>
      </c>
      <c r="K68" s="2" t="s">
        <v>7</v>
      </c>
      <c r="L68" s="2" t="s">
        <v>398</v>
      </c>
      <c r="M68" s="2" t="s">
        <v>8</v>
      </c>
      <c r="N68" s="2">
        <v>0</v>
      </c>
      <c r="O68" s="2">
        <v>10</v>
      </c>
      <c r="P68" s="2"/>
      <c r="Q68" s="2"/>
      <c r="R68" s="2"/>
      <c r="S68" s="2"/>
      <c r="T68" s="2"/>
      <c r="U68" s="2"/>
      <c r="V68" s="2"/>
      <c r="W68" s="2"/>
      <c r="X68" s="2"/>
      <c r="Y68" s="2"/>
      <c r="Z68" s="2"/>
      <c r="AA68" s="2"/>
      <c r="AB68" s="2"/>
      <c r="AC68" s="2"/>
      <c r="AD68" s="2"/>
      <c r="AE68" s="2"/>
      <c r="AF68" s="2"/>
      <c r="AG68" s="2"/>
      <c r="AH68" s="2"/>
      <c r="AI68" s="2"/>
      <c r="AJ68" s="2"/>
    </row>
    <row r="69" spans="1:36" ht="17.25" customHeight="1" x14ac:dyDescent="0.2">
      <c r="A69" s="1" t="s">
        <v>0</v>
      </c>
      <c r="B69" s="1" t="s">
        <v>79</v>
      </c>
      <c r="C69" s="1" t="s">
        <v>3</v>
      </c>
      <c r="D69" s="1" t="s">
        <v>675</v>
      </c>
      <c r="E69" s="1" t="s">
        <v>3</v>
      </c>
      <c r="F69" s="2">
        <v>3</v>
      </c>
      <c r="G69" s="2" t="s">
        <v>80</v>
      </c>
      <c r="H69" s="2">
        <v>1986</v>
      </c>
      <c r="I69" s="2" t="s">
        <v>81</v>
      </c>
      <c r="J69" s="2" t="s">
        <v>6</v>
      </c>
      <c r="K69" s="2" t="s">
        <v>7</v>
      </c>
      <c r="L69" s="2" t="s">
        <v>398</v>
      </c>
      <c r="M69" s="2" t="s">
        <v>8</v>
      </c>
      <c r="N69" s="2">
        <v>0</v>
      </c>
      <c r="O69" s="2">
        <v>10</v>
      </c>
      <c r="P69" s="2"/>
      <c r="Q69" s="2"/>
      <c r="R69" s="2"/>
      <c r="S69" s="2"/>
      <c r="T69" s="2"/>
      <c r="U69" s="2"/>
      <c r="V69" s="2"/>
      <c r="W69" s="2"/>
      <c r="X69" s="2"/>
      <c r="Y69" s="2"/>
      <c r="Z69" s="2"/>
      <c r="AA69" s="2"/>
      <c r="AB69" s="2"/>
      <c r="AC69" s="2"/>
      <c r="AD69" s="2"/>
      <c r="AE69" s="2"/>
      <c r="AF69" s="2"/>
      <c r="AG69" s="2"/>
      <c r="AH69" s="2"/>
      <c r="AI69" s="2"/>
      <c r="AJ69" s="2"/>
    </row>
    <row r="70" spans="1:36" ht="17.25" customHeight="1" x14ac:dyDescent="0.2">
      <c r="A70" s="1" t="s">
        <v>0</v>
      </c>
      <c r="B70" s="1" t="s">
        <v>30</v>
      </c>
      <c r="C70" s="1" t="s">
        <v>3</v>
      </c>
      <c r="D70" s="1" t="s">
        <v>675</v>
      </c>
      <c r="E70" s="1" t="s">
        <v>3</v>
      </c>
      <c r="F70" s="2">
        <v>4</v>
      </c>
      <c r="G70" s="2" t="s">
        <v>31</v>
      </c>
      <c r="H70" s="2">
        <v>1987</v>
      </c>
      <c r="I70" s="2" t="s">
        <v>32</v>
      </c>
      <c r="J70" s="2" t="s">
        <v>6</v>
      </c>
      <c r="K70" s="2" t="s">
        <v>7</v>
      </c>
      <c r="L70" s="2" t="s">
        <v>398</v>
      </c>
      <c r="M70" s="2" t="s">
        <v>8</v>
      </c>
      <c r="N70" s="2">
        <v>0</v>
      </c>
      <c r="O70" s="2">
        <v>10</v>
      </c>
      <c r="P70" s="2"/>
      <c r="Q70" s="2"/>
      <c r="R70" s="2"/>
      <c r="S70" s="2"/>
      <c r="T70" s="2"/>
      <c r="U70" s="2"/>
      <c r="V70" s="2"/>
      <c r="W70" s="2"/>
      <c r="X70" s="2"/>
      <c r="Y70" s="2"/>
      <c r="Z70" s="2"/>
      <c r="AA70" s="2"/>
      <c r="AB70" s="2"/>
      <c r="AC70" s="2"/>
      <c r="AD70" s="2"/>
      <c r="AE70" s="2"/>
      <c r="AF70" s="2"/>
      <c r="AG70" s="2"/>
      <c r="AH70" s="2"/>
      <c r="AI70" s="2"/>
      <c r="AJ70" s="2"/>
    </row>
    <row r="71" spans="1:36" ht="17.25" customHeight="1" x14ac:dyDescent="0.2">
      <c r="A71" s="1" t="s">
        <v>0</v>
      </c>
      <c r="B71" s="1" t="s">
        <v>12</v>
      </c>
      <c r="C71" s="1" t="s">
        <v>3</v>
      </c>
      <c r="D71" s="1" t="s">
        <v>675</v>
      </c>
      <c r="E71" s="1" t="s">
        <v>3</v>
      </c>
      <c r="F71" s="2">
        <v>5</v>
      </c>
      <c r="G71" s="2" t="s">
        <v>13</v>
      </c>
      <c r="H71" s="2">
        <v>1988</v>
      </c>
      <c r="I71" s="2" t="s">
        <v>14</v>
      </c>
      <c r="J71" s="2" t="s">
        <v>6</v>
      </c>
      <c r="K71" s="2" t="s">
        <v>7</v>
      </c>
      <c r="L71" s="2" t="s">
        <v>398</v>
      </c>
      <c r="M71" s="2" t="s">
        <v>8</v>
      </c>
      <c r="N71" s="2">
        <v>0</v>
      </c>
      <c r="O71" s="2">
        <v>10</v>
      </c>
      <c r="P71" s="2"/>
      <c r="Q71" s="2"/>
      <c r="R71" s="2"/>
      <c r="S71" s="2"/>
      <c r="T71" s="2"/>
      <c r="U71" s="2"/>
      <c r="V71" s="2"/>
      <c r="W71" s="2"/>
      <c r="X71" s="2"/>
      <c r="Y71" s="2"/>
      <c r="Z71" s="2"/>
      <c r="AA71" s="2"/>
      <c r="AB71" s="2"/>
      <c r="AC71" s="2"/>
      <c r="AD71" s="2"/>
      <c r="AE71" s="2"/>
      <c r="AF71" s="2"/>
      <c r="AG71" s="2"/>
      <c r="AH71" s="2"/>
      <c r="AI71" s="2"/>
      <c r="AJ71" s="2"/>
    </row>
    <row r="72" spans="1:36" ht="17.25" customHeight="1" x14ac:dyDescent="0.2">
      <c r="A72" s="1" t="s">
        <v>0</v>
      </c>
      <c r="B72" s="1" t="s">
        <v>48</v>
      </c>
      <c r="C72" s="1" t="s">
        <v>3</v>
      </c>
      <c r="D72" s="1" t="s">
        <v>675</v>
      </c>
      <c r="E72" s="1" t="s">
        <v>3</v>
      </c>
      <c r="F72" s="2">
        <v>6</v>
      </c>
      <c r="G72" s="2" t="s">
        <v>49</v>
      </c>
      <c r="H72" s="2">
        <v>1989</v>
      </c>
      <c r="I72" s="2" t="s">
        <v>50</v>
      </c>
      <c r="J72" s="2" t="s">
        <v>6</v>
      </c>
      <c r="K72" s="2" t="s">
        <v>7</v>
      </c>
      <c r="L72" s="2" t="s">
        <v>398</v>
      </c>
      <c r="M72" s="2" t="s">
        <v>8</v>
      </c>
      <c r="N72" s="2">
        <v>0</v>
      </c>
      <c r="O72" s="2">
        <v>10</v>
      </c>
      <c r="P72" s="2"/>
      <c r="Q72" s="2"/>
      <c r="R72" s="2"/>
      <c r="S72" s="2"/>
      <c r="T72" s="2"/>
      <c r="U72" s="2"/>
      <c r="V72" s="2"/>
      <c r="W72" s="2"/>
      <c r="X72" s="2"/>
      <c r="Y72" s="2"/>
      <c r="Z72" s="2"/>
      <c r="AA72" s="2"/>
      <c r="AB72" s="2"/>
      <c r="AC72" s="2"/>
      <c r="AD72" s="2"/>
      <c r="AE72" s="2"/>
      <c r="AF72" s="2"/>
      <c r="AG72" s="2"/>
      <c r="AH72" s="2"/>
      <c r="AI72" s="2"/>
      <c r="AJ72" s="2"/>
    </row>
    <row r="73" spans="1:36" ht="17.25" customHeight="1" x14ac:dyDescent="0.2">
      <c r="A73" s="1" t="s">
        <v>0</v>
      </c>
      <c r="B73" s="1" t="s">
        <v>100</v>
      </c>
      <c r="C73" s="1" t="s">
        <v>3</v>
      </c>
      <c r="D73" s="1" t="s">
        <v>675</v>
      </c>
      <c r="E73" s="1" t="s">
        <v>3</v>
      </c>
      <c r="F73" s="2">
        <v>7</v>
      </c>
      <c r="G73" s="2" t="s">
        <v>101</v>
      </c>
      <c r="H73" s="2">
        <v>1990</v>
      </c>
      <c r="I73" s="2" t="s">
        <v>102</v>
      </c>
      <c r="J73" s="2" t="s">
        <v>6</v>
      </c>
      <c r="K73" s="2" t="s">
        <v>7</v>
      </c>
      <c r="L73" s="2" t="s">
        <v>398</v>
      </c>
      <c r="M73" s="2" t="s">
        <v>8</v>
      </c>
      <c r="N73" s="2">
        <v>0</v>
      </c>
      <c r="O73" s="2">
        <v>10</v>
      </c>
      <c r="P73" s="2"/>
      <c r="Q73" s="2"/>
      <c r="R73" s="2"/>
      <c r="S73" s="2"/>
      <c r="T73" s="2"/>
      <c r="U73" s="2"/>
      <c r="V73" s="2"/>
      <c r="W73" s="2"/>
      <c r="X73" s="2"/>
      <c r="Y73" s="2"/>
      <c r="Z73" s="2"/>
      <c r="AA73" s="2"/>
      <c r="AB73" s="2"/>
      <c r="AC73" s="2"/>
      <c r="AD73" s="2"/>
      <c r="AE73" s="2"/>
      <c r="AF73" s="2"/>
      <c r="AG73" s="2"/>
      <c r="AH73" s="2"/>
      <c r="AI73" s="2"/>
      <c r="AJ73" s="2"/>
    </row>
    <row r="74" spans="1:36" ht="17.25" customHeight="1" x14ac:dyDescent="0.2">
      <c r="A74" s="1" t="s">
        <v>0</v>
      </c>
      <c r="B74" s="1" t="s">
        <v>9</v>
      </c>
      <c r="C74" s="1" t="s">
        <v>3</v>
      </c>
      <c r="D74" s="1" t="s">
        <v>675</v>
      </c>
      <c r="E74" s="1" t="s">
        <v>3</v>
      </c>
      <c r="F74" s="2">
        <v>8</v>
      </c>
      <c r="G74" s="2" t="s">
        <v>10</v>
      </c>
      <c r="H74" s="2">
        <v>1991</v>
      </c>
      <c r="I74" s="2" t="s">
        <v>11</v>
      </c>
      <c r="J74" s="2" t="s">
        <v>6</v>
      </c>
      <c r="K74" s="2" t="s">
        <v>7</v>
      </c>
      <c r="L74" s="2" t="s">
        <v>398</v>
      </c>
      <c r="M74" s="2" t="s">
        <v>8</v>
      </c>
      <c r="N74" s="2">
        <v>0</v>
      </c>
      <c r="O74" s="2">
        <v>10</v>
      </c>
      <c r="P74" s="2"/>
      <c r="Q74" s="2"/>
      <c r="R74" s="2"/>
      <c r="S74" s="2"/>
      <c r="T74" s="2"/>
      <c r="U74" s="2"/>
      <c r="V74" s="2"/>
      <c r="W74" s="2"/>
      <c r="X74" s="2"/>
      <c r="Y74" s="2"/>
      <c r="Z74" s="2"/>
      <c r="AA74" s="2"/>
      <c r="AB74" s="2"/>
      <c r="AC74" s="2"/>
      <c r="AD74" s="2"/>
      <c r="AE74" s="2"/>
      <c r="AF74" s="2"/>
      <c r="AG74" s="2"/>
      <c r="AH74" s="2"/>
      <c r="AI74" s="2"/>
      <c r="AJ74" s="2"/>
    </row>
    <row r="75" spans="1:36" ht="17.25" customHeight="1" x14ac:dyDescent="0.2">
      <c r="A75" s="1" t="s">
        <v>0</v>
      </c>
      <c r="B75" s="1" t="s">
        <v>54</v>
      </c>
      <c r="C75" s="1" t="s">
        <v>3</v>
      </c>
      <c r="D75" s="1" t="s">
        <v>675</v>
      </c>
      <c r="E75" s="1" t="s">
        <v>3</v>
      </c>
      <c r="F75" s="2">
        <v>9</v>
      </c>
      <c r="G75" s="2" t="s">
        <v>55</v>
      </c>
      <c r="H75" s="2">
        <v>1992</v>
      </c>
      <c r="I75" s="2" t="s">
        <v>56</v>
      </c>
      <c r="J75" s="2" t="s">
        <v>6</v>
      </c>
      <c r="K75" s="2" t="s">
        <v>7</v>
      </c>
      <c r="L75" s="2" t="s">
        <v>398</v>
      </c>
      <c r="M75" s="2" t="s">
        <v>8</v>
      </c>
      <c r="N75" s="2">
        <v>0</v>
      </c>
      <c r="O75" s="2">
        <v>10</v>
      </c>
      <c r="P75" s="2"/>
      <c r="Q75" s="2"/>
      <c r="R75" s="2"/>
      <c r="S75" s="2"/>
      <c r="T75" s="2"/>
      <c r="U75" s="2"/>
      <c r="V75" s="2"/>
      <c r="W75" s="2"/>
      <c r="X75" s="2"/>
      <c r="Y75" s="2"/>
      <c r="Z75" s="2"/>
      <c r="AA75" s="2"/>
      <c r="AB75" s="2"/>
      <c r="AC75" s="2"/>
      <c r="AD75" s="2"/>
      <c r="AE75" s="2"/>
      <c r="AF75" s="2"/>
      <c r="AG75" s="2"/>
      <c r="AH75" s="2"/>
      <c r="AI75" s="2"/>
      <c r="AJ75" s="2"/>
    </row>
    <row r="76" spans="1:36" ht="17.25" customHeight="1" x14ac:dyDescent="0.2">
      <c r="A76" s="1" t="s">
        <v>0</v>
      </c>
      <c r="B76" s="1" t="s">
        <v>97</v>
      </c>
      <c r="C76" s="1" t="s">
        <v>3</v>
      </c>
      <c r="D76" s="1" t="s">
        <v>675</v>
      </c>
      <c r="E76" s="1" t="s">
        <v>3</v>
      </c>
      <c r="F76" s="2">
        <v>10</v>
      </c>
      <c r="G76" s="2" t="s">
        <v>98</v>
      </c>
      <c r="H76" s="2">
        <v>1993</v>
      </c>
      <c r="I76" s="2" t="s">
        <v>99</v>
      </c>
      <c r="J76" s="2" t="s">
        <v>6</v>
      </c>
      <c r="K76" s="2" t="s">
        <v>7</v>
      </c>
      <c r="L76" s="2" t="s">
        <v>398</v>
      </c>
      <c r="M76" s="2" t="s">
        <v>8</v>
      </c>
      <c r="N76" s="2">
        <v>0</v>
      </c>
      <c r="O76" s="2">
        <v>10</v>
      </c>
      <c r="P76" s="2"/>
      <c r="Q76" s="2"/>
      <c r="R76" s="2"/>
      <c r="S76" s="2"/>
      <c r="T76" s="2"/>
      <c r="U76" s="2"/>
      <c r="V76" s="2"/>
      <c r="W76" s="2"/>
      <c r="X76" s="2"/>
      <c r="Y76" s="2"/>
      <c r="Z76" s="2"/>
      <c r="AA76" s="2"/>
      <c r="AB76" s="2"/>
      <c r="AC76" s="2"/>
      <c r="AD76" s="2"/>
      <c r="AE76" s="2"/>
      <c r="AF76" s="2"/>
      <c r="AG76" s="2"/>
      <c r="AH76" s="2"/>
      <c r="AI76" s="2"/>
      <c r="AJ76" s="2"/>
    </row>
    <row r="77" spans="1:36" ht="17.25" customHeight="1" x14ac:dyDescent="0.2">
      <c r="A77" s="1" t="s">
        <v>0</v>
      </c>
      <c r="B77" s="1" t="s">
        <v>103</v>
      </c>
      <c r="C77" s="1" t="s">
        <v>3</v>
      </c>
      <c r="D77" s="1" t="s">
        <v>675</v>
      </c>
      <c r="E77" s="1" t="s">
        <v>3</v>
      </c>
      <c r="F77" s="2">
        <v>11</v>
      </c>
      <c r="G77" s="2" t="s">
        <v>104</v>
      </c>
      <c r="H77" s="2">
        <v>1994</v>
      </c>
      <c r="I77" s="2" t="s">
        <v>105</v>
      </c>
      <c r="J77" s="2" t="s">
        <v>6</v>
      </c>
      <c r="K77" s="2" t="s">
        <v>7</v>
      </c>
      <c r="L77" s="2" t="s">
        <v>398</v>
      </c>
      <c r="M77" s="2" t="s">
        <v>8</v>
      </c>
      <c r="N77" s="2">
        <v>0</v>
      </c>
      <c r="O77" s="2">
        <v>10</v>
      </c>
      <c r="P77" s="2"/>
      <c r="Q77" s="2"/>
      <c r="R77" s="2"/>
      <c r="S77" s="2"/>
      <c r="T77" s="2"/>
      <c r="U77" s="2"/>
      <c r="V77" s="2"/>
      <c r="W77" s="2"/>
      <c r="X77" s="2"/>
      <c r="Y77" s="2"/>
      <c r="Z77" s="2"/>
      <c r="AA77" s="2"/>
      <c r="AB77" s="2"/>
      <c r="AC77" s="2"/>
      <c r="AD77" s="2"/>
      <c r="AE77" s="2"/>
      <c r="AF77" s="2"/>
      <c r="AG77" s="2"/>
      <c r="AH77" s="2"/>
      <c r="AI77" s="2"/>
      <c r="AJ77" s="2"/>
    </row>
    <row r="78" spans="1:36" ht="17.25" customHeight="1" x14ac:dyDescent="0.2">
      <c r="A78" s="1" t="s">
        <v>0</v>
      </c>
      <c r="B78" s="1" t="s">
        <v>88</v>
      </c>
      <c r="C78" s="1" t="s">
        <v>3</v>
      </c>
      <c r="D78" s="1" t="s">
        <v>675</v>
      </c>
      <c r="E78" s="1" t="s">
        <v>3</v>
      </c>
      <c r="F78" s="2">
        <v>12</v>
      </c>
      <c r="G78" s="2" t="s">
        <v>89</v>
      </c>
      <c r="H78" s="2">
        <v>1995</v>
      </c>
      <c r="I78" s="2" t="s">
        <v>90</v>
      </c>
      <c r="J78" s="2" t="s">
        <v>6</v>
      </c>
      <c r="K78" s="2" t="s">
        <v>7</v>
      </c>
      <c r="L78" s="2" t="s">
        <v>398</v>
      </c>
      <c r="M78" s="2" t="s">
        <v>8</v>
      </c>
      <c r="N78" s="2">
        <v>0</v>
      </c>
      <c r="O78" s="2">
        <v>10</v>
      </c>
      <c r="P78" s="2"/>
      <c r="Q78" s="2"/>
      <c r="R78" s="2"/>
      <c r="S78" s="2"/>
      <c r="T78" s="2"/>
      <c r="U78" s="2"/>
      <c r="V78" s="2"/>
      <c r="W78" s="2"/>
      <c r="X78" s="2"/>
      <c r="Y78" s="2"/>
      <c r="Z78" s="2"/>
      <c r="AA78" s="2"/>
      <c r="AB78" s="2"/>
      <c r="AC78" s="2"/>
      <c r="AD78" s="2"/>
      <c r="AE78" s="2"/>
      <c r="AF78" s="2"/>
      <c r="AG78" s="2"/>
      <c r="AH78" s="2"/>
      <c r="AI78" s="2"/>
      <c r="AJ78" s="2"/>
    </row>
    <row r="79" spans="1:36" ht="17.25" customHeight="1" x14ac:dyDescent="0.2">
      <c r="A79" s="1" t="s">
        <v>0</v>
      </c>
      <c r="B79" s="1" t="s">
        <v>106</v>
      </c>
      <c r="C79" s="1" t="s">
        <v>3</v>
      </c>
      <c r="D79" s="1" t="s">
        <v>675</v>
      </c>
      <c r="E79" s="1" t="s">
        <v>3</v>
      </c>
      <c r="F79" s="2">
        <v>13</v>
      </c>
      <c r="G79" s="2" t="s">
        <v>107</v>
      </c>
      <c r="H79" s="2">
        <v>1996</v>
      </c>
      <c r="I79" s="2" t="s">
        <v>108</v>
      </c>
      <c r="J79" s="2" t="s">
        <v>6</v>
      </c>
      <c r="K79" s="2" t="s">
        <v>7</v>
      </c>
      <c r="L79" s="2" t="s">
        <v>398</v>
      </c>
      <c r="M79" s="2" t="s">
        <v>8</v>
      </c>
      <c r="N79" s="2">
        <v>0</v>
      </c>
      <c r="O79" s="2">
        <v>10</v>
      </c>
      <c r="P79" s="2"/>
      <c r="Q79" s="2"/>
      <c r="R79" s="2"/>
      <c r="S79" s="2"/>
      <c r="T79" s="2"/>
      <c r="U79" s="2"/>
      <c r="V79" s="2"/>
      <c r="W79" s="2"/>
      <c r="X79" s="2"/>
      <c r="Y79" s="2"/>
      <c r="Z79" s="2"/>
      <c r="AA79" s="2"/>
      <c r="AB79" s="2"/>
      <c r="AC79" s="2"/>
      <c r="AD79" s="2"/>
      <c r="AE79" s="2"/>
      <c r="AF79" s="2"/>
      <c r="AG79" s="2"/>
      <c r="AH79" s="2"/>
      <c r="AI79" s="2"/>
      <c r="AJ79" s="2"/>
    </row>
    <row r="80" spans="1:36" ht="17.25" customHeight="1" x14ac:dyDescent="0.2">
      <c r="A80" s="1" t="s">
        <v>0</v>
      </c>
      <c r="B80" s="1" t="s">
        <v>42</v>
      </c>
      <c r="C80" s="1" t="s">
        <v>3</v>
      </c>
      <c r="D80" s="1" t="s">
        <v>675</v>
      </c>
      <c r="E80" s="1" t="s">
        <v>3</v>
      </c>
      <c r="F80" s="2">
        <v>14</v>
      </c>
      <c r="G80" s="2" t="s">
        <v>43</v>
      </c>
      <c r="H80" s="2">
        <v>1997</v>
      </c>
      <c r="I80" s="2" t="s">
        <v>44</v>
      </c>
      <c r="J80" s="2" t="s">
        <v>6</v>
      </c>
      <c r="K80" s="2" t="s">
        <v>7</v>
      </c>
      <c r="L80" s="2" t="s">
        <v>398</v>
      </c>
      <c r="M80" s="2" t="s">
        <v>8</v>
      </c>
      <c r="N80" s="2">
        <v>0</v>
      </c>
      <c r="O80" s="2">
        <v>10</v>
      </c>
      <c r="P80" s="2"/>
      <c r="Q80" s="2"/>
      <c r="R80" s="2"/>
      <c r="S80" s="2"/>
      <c r="T80" s="2"/>
      <c r="U80" s="2"/>
      <c r="V80" s="2"/>
      <c r="W80" s="2"/>
      <c r="X80" s="2"/>
      <c r="Y80" s="2"/>
      <c r="Z80" s="2"/>
      <c r="AA80" s="2"/>
      <c r="AB80" s="2"/>
      <c r="AC80" s="2"/>
      <c r="AD80" s="2"/>
      <c r="AE80" s="2"/>
      <c r="AF80" s="2"/>
      <c r="AG80" s="2"/>
      <c r="AH80" s="2"/>
      <c r="AI80" s="2"/>
      <c r="AJ80" s="2"/>
    </row>
    <row r="81" spans="1:36" ht="17.25" customHeight="1" x14ac:dyDescent="0.2">
      <c r="A81" s="1" t="s">
        <v>0</v>
      </c>
      <c r="B81" s="1" t="s">
        <v>18</v>
      </c>
      <c r="C81" s="1" t="s">
        <v>3</v>
      </c>
      <c r="D81" s="1" t="s">
        <v>675</v>
      </c>
      <c r="E81" s="1" t="s">
        <v>3</v>
      </c>
      <c r="F81" s="2">
        <v>15</v>
      </c>
      <c r="G81" s="2" t="s">
        <v>19</v>
      </c>
      <c r="H81" s="2">
        <v>1998</v>
      </c>
      <c r="I81" s="2" t="s">
        <v>20</v>
      </c>
      <c r="J81" s="2" t="s">
        <v>6</v>
      </c>
      <c r="K81" s="2" t="s">
        <v>7</v>
      </c>
      <c r="L81" s="2" t="s">
        <v>398</v>
      </c>
      <c r="M81" s="2" t="s">
        <v>8</v>
      </c>
      <c r="N81" s="2">
        <v>0</v>
      </c>
      <c r="O81" s="2">
        <v>10</v>
      </c>
      <c r="P81" s="2"/>
      <c r="Q81" s="2"/>
      <c r="R81" s="2"/>
      <c r="S81" s="2"/>
      <c r="T81" s="2"/>
      <c r="U81" s="2"/>
      <c r="V81" s="2"/>
      <c r="W81" s="2"/>
      <c r="X81" s="2"/>
      <c r="Y81" s="2"/>
      <c r="Z81" s="2"/>
      <c r="AA81" s="2"/>
      <c r="AB81" s="2"/>
      <c r="AC81" s="2"/>
      <c r="AD81" s="2"/>
      <c r="AE81" s="2"/>
      <c r="AF81" s="2"/>
      <c r="AG81" s="2"/>
      <c r="AH81" s="2"/>
      <c r="AI81" s="2"/>
      <c r="AJ81" s="2"/>
    </row>
    <row r="82" spans="1:36" ht="17.25" customHeight="1" x14ac:dyDescent="0.2">
      <c r="A82" s="1" t="s">
        <v>0</v>
      </c>
      <c r="B82" s="1" t="s">
        <v>24</v>
      </c>
      <c r="C82" s="1" t="s">
        <v>3</v>
      </c>
      <c r="D82" s="1" t="s">
        <v>675</v>
      </c>
      <c r="E82" s="1" t="s">
        <v>3</v>
      </c>
      <c r="F82" s="2">
        <v>16</v>
      </c>
      <c r="G82" s="2" t="s">
        <v>25</v>
      </c>
      <c r="H82" s="2">
        <v>1999</v>
      </c>
      <c r="I82" s="2" t="s">
        <v>26</v>
      </c>
      <c r="J82" s="2" t="s">
        <v>6</v>
      </c>
      <c r="K82" s="2" t="s">
        <v>7</v>
      </c>
      <c r="L82" s="2" t="s">
        <v>398</v>
      </c>
      <c r="M82" s="2" t="s">
        <v>8</v>
      </c>
      <c r="N82" s="2">
        <v>0</v>
      </c>
      <c r="O82" s="2">
        <v>10</v>
      </c>
      <c r="P82" s="2"/>
      <c r="Q82" s="2"/>
      <c r="R82" s="2"/>
      <c r="S82" s="2"/>
      <c r="T82" s="2"/>
      <c r="U82" s="2"/>
      <c r="V82" s="2"/>
      <c r="W82" s="2"/>
      <c r="X82" s="2"/>
      <c r="Y82" s="2"/>
      <c r="Z82" s="2"/>
      <c r="AA82" s="2"/>
      <c r="AB82" s="2"/>
      <c r="AC82" s="2"/>
      <c r="AD82" s="2"/>
      <c r="AE82" s="2"/>
      <c r="AF82" s="2"/>
      <c r="AG82" s="2"/>
      <c r="AH82" s="2"/>
      <c r="AI82" s="2"/>
      <c r="AJ82" s="2"/>
    </row>
    <row r="83" spans="1:36" ht="17.25" customHeight="1" x14ac:dyDescent="0.2">
      <c r="A83" s="1" t="s">
        <v>0</v>
      </c>
      <c r="B83" s="1" t="s">
        <v>24</v>
      </c>
      <c r="C83" s="1" t="s">
        <v>3</v>
      </c>
      <c r="D83" s="1" t="s">
        <v>675</v>
      </c>
      <c r="E83" s="1" t="s">
        <v>3</v>
      </c>
      <c r="F83" s="2">
        <v>16</v>
      </c>
      <c r="G83" s="2" t="s">
        <v>25</v>
      </c>
      <c r="H83" s="2">
        <v>1999</v>
      </c>
      <c r="I83" s="2" t="s">
        <v>78</v>
      </c>
      <c r="J83" s="2" t="s">
        <v>6</v>
      </c>
      <c r="K83" s="2" t="s">
        <v>7</v>
      </c>
      <c r="L83" s="2" t="s">
        <v>398</v>
      </c>
      <c r="M83" s="2" t="s">
        <v>8</v>
      </c>
      <c r="N83" s="2">
        <v>0</v>
      </c>
      <c r="O83" s="2">
        <v>10</v>
      </c>
      <c r="P83" s="2"/>
      <c r="Q83" s="2"/>
      <c r="R83" s="2"/>
      <c r="S83" s="2"/>
      <c r="T83" s="2"/>
      <c r="U83" s="2"/>
      <c r="V83" s="2"/>
      <c r="W83" s="2"/>
      <c r="X83" s="2"/>
      <c r="Y83" s="2"/>
      <c r="Z83" s="2"/>
      <c r="AA83" s="2"/>
      <c r="AB83" s="2"/>
      <c r="AC83" s="2"/>
      <c r="AD83" s="2"/>
      <c r="AE83" s="2"/>
      <c r="AF83" s="2"/>
      <c r="AG83" s="2"/>
      <c r="AH83" s="2"/>
      <c r="AI83" s="2"/>
      <c r="AJ83" s="2"/>
    </row>
    <row r="84" spans="1:36" ht="17.25" customHeight="1" x14ac:dyDescent="0.2">
      <c r="A84" s="1" t="s">
        <v>0</v>
      </c>
      <c r="B84" s="1" t="s">
        <v>72</v>
      </c>
      <c r="C84" s="1" t="s">
        <v>3</v>
      </c>
      <c r="D84" s="1" t="s">
        <v>675</v>
      </c>
      <c r="E84" s="1" t="s">
        <v>3</v>
      </c>
      <c r="F84" s="2">
        <v>17</v>
      </c>
      <c r="G84" s="2" t="s">
        <v>73</v>
      </c>
      <c r="H84" s="2">
        <v>2000</v>
      </c>
      <c r="I84" s="2" t="s">
        <v>74</v>
      </c>
      <c r="J84" s="2" t="s">
        <v>6</v>
      </c>
      <c r="K84" s="2" t="s">
        <v>7</v>
      </c>
      <c r="L84" s="2" t="s">
        <v>398</v>
      </c>
      <c r="M84" s="2" t="s">
        <v>8</v>
      </c>
      <c r="N84" s="2">
        <v>0</v>
      </c>
      <c r="O84" s="2">
        <v>10</v>
      </c>
      <c r="P84" s="2"/>
      <c r="Q84" s="2"/>
      <c r="R84" s="2"/>
      <c r="S84" s="2"/>
      <c r="T84" s="2"/>
      <c r="U84" s="2"/>
      <c r="V84" s="2"/>
      <c r="W84" s="2"/>
      <c r="X84" s="2"/>
      <c r="Y84" s="2"/>
      <c r="Z84" s="2"/>
      <c r="AA84" s="2"/>
      <c r="AB84" s="2"/>
      <c r="AC84" s="2"/>
      <c r="AD84" s="2"/>
      <c r="AE84" s="2"/>
      <c r="AF84" s="2"/>
      <c r="AG84" s="2"/>
      <c r="AH84" s="2"/>
      <c r="AI84" s="2"/>
      <c r="AJ84" s="2"/>
    </row>
    <row r="85" spans="1:36" ht="17.25" customHeight="1" x14ac:dyDescent="0.2">
      <c r="A85" s="1" t="s">
        <v>0</v>
      </c>
      <c r="B85" s="1" t="s">
        <v>57</v>
      </c>
      <c r="C85" s="1" t="s">
        <v>3</v>
      </c>
      <c r="D85" s="1" t="s">
        <v>675</v>
      </c>
      <c r="E85" s="1" t="s">
        <v>3</v>
      </c>
      <c r="F85" s="2">
        <v>18</v>
      </c>
      <c r="G85" s="2" t="s">
        <v>58</v>
      </c>
      <c r="H85" s="2">
        <v>2001</v>
      </c>
      <c r="I85" s="2" t="s">
        <v>59</v>
      </c>
      <c r="J85" s="2" t="s">
        <v>6</v>
      </c>
      <c r="K85" s="2" t="s">
        <v>7</v>
      </c>
      <c r="L85" s="2" t="s">
        <v>398</v>
      </c>
      <c r="M85" s="2" t="s">
        <v>8</v>
      </c>
      <c r="N85" s="2">
        <v>0</v>
      </c>
      <c r="O85" s="2">
        <v>10</v>
      </c>
      <c r="P85" s="2"/>
      <c r="Q85" s="2"/>
      <c r="R85" s="2"/>
      <c r="S85" s="2"/>
      <c r="T85" s="2"/>
      <c r="U85" s="2"/>
      <c r="V85" s="2"/>
      <c r="W85" s="2"/>
      <c r="X85" s="2"/>
      <c r="Y85" s="2"/>
      <c r="Z85" s="2"/>
      <c r="AA85" s="2"/>
      <c r="AB85" s="2"/>
      <c r="AC85" s="2"/>
      <c r="AD85" s="2"/>
      <c r="AE85" s="2"/>
      <c r="AF85" s="2"/>
      <c r="AG85" s="2"/>
      <c r="AH85" s="2"/>
      <c r="AI85" s="2"/>
      <c r="AJ85" s="2"/>
    </row>
    <row r="86" spans="1:36" ht="17.25" customHeight="1" x14ac:dyDescent="0.2">
      <c r="A86" s="1" t="s">
        <v>0</v>
      </c>
      <c r="B86" s="1" t="s">
        <v>1</v>
      </c>
      <c r="C86" s="1" t="s">
        <v>3</v>
      </c>
      <c r="D86" s="1" t="s">
        <v>675</v>
      </c>
      <c r="E86" s="1" t="s">
        <v>3</v>
      </c>
      <c r="F86" s="2">
        <v>19</v>
      </c>
      <c r="G86" s="2" t="s">
        <v>4</v>
      </c>
      <c r="H86" s="2">
        <v>2002</v>
      </c>
      <c r="I86" s="2" t="s">
        <v>5</v>
      </c>
      <c r="J86" s="2" t="s">
        <v>6</v>
      </c>
      <c r="K86" s="2" t="s">
        <v>7</v>
      </c>
      <c r="L86" s="2" t="s">
        <v>398</v>
      </c>
      <c r="M86" s="2" t="s">
        <v>8</v>
      </c>
      <c r="N86" s="2">
        <v>0</v>
      </c>
      <c r="O86" s="2">
        <v>10</v>
      </c>
      <c r="P86" s="2"/>
      <c r="Q86" s="2"/>
      <c r="R86" s="2"/>
      <c r="S86" s="2"/>
      <c r="T86" s="2"/>
      <c r="U86" s="2"/>
      <c r="V86" s="2"/>
      <c r="W86" s="2"/>
      <c r="X86" s="2"/>
      <c r="Y86" s="2"/>
      <c r="Z86" s="2"/>
      <c r="AA86" s="2"/>
      <c r="AB86" s="2"/>
      <c r="AC86" s="2"/>
      <c r="AD86" s="2"/>
      <c r="AE86" s="2"/>
      <c r="AF86" s="2"/>
      <c r="AG86" s="2"/>
      <c r="AH86" s="2"/>
      <c r="AI86" s="2"/>
      <c r="AJ86" s="2"/>
    </row>
    <row r="87" spans="1:36" ht="17.25" customHeight="1" x14ac:dyDescent="0.2">
      <c r="A87" s="1" t="s">
        <v>0</v>
      </c>
      <c r="B87" s="1" t="s">
        <v>82</v>
      </c>
      <c r="C87" s="1" t="s">
        <v>3</v>
      </c>
      <c r="D87" s="1" t="s">
        <v>675</v>
      </c>
      <c r="E87" s="1" t="s">
        <v>3</v>
      </c>
      <c r="F87" s="2">
        <v>20</v>
      </c>
      <c r="G87" s="2" t="s">
        <v>83</v>
      </c>
      <c r="H87" s="2">
        <v>2003</v>
      </c>
      <c r="I87" s="2" t="s">
        <v>84</v>
      </c>
      <c r="J87" s="2" t="s">
        <v>6</v>
      </c>
      <c r="K87" s="2" t="s">
        <v>7</v>
      </c>
      <c r="L87" s="2" t="s">
        <v>398</v>
      </c>
      <c r="M87" s="2" t="s">
        <v>8</v>
      </c>
      <c r="N87" s="2">
        <v>0</v>
      </c>
      <c r="O87" s="2">
        <v>10</v>
      </c>
      <c r="P87" s="2"/>
      <c r="Q87" s="2"/>
      <c r="R87" s="2"/>
      <c r="S87" s="2"/>
      <c r="T87" s="2"/>
      <c r="U87" s="2"/>
      <c r="V87" s="2"/>
      <c r="W87" s="2"/>
      <c r="X87" s="2"/>
      <c r="Y87" s="2"/>
      <c r="Z87" s="2"/>
      <c r="AA87" s="2"/>
      <c r="AB87" s="2"/>
      <c r="AC87" s="2"/>
      <c r="AD87" s="2"/>
      <c r="AE87" s="2"/>
      <c r="AF87" s="2"/>
      <c r="AG87" s="2"/>
      <c r="AH87" s="2"/>
      <c r="AI87" s="2"/>
      <c r="AJ87" s="2"/>
    </row>
    <row r="88" spans="1:36" ht="17.25" customHeight="1" x14ac:dyDescent="0.2">
      <c r="A88" s="1" t="s">
        <v>0</v>
      </c>
      <c r="B88" s="1" t="s">
        <v>63</v>
      </c>
      <c r="C88" s="1" t="s">
        <v>3</v>
      </c>
      <c r="D88" s="1" t="s">
        <v>675</v>
      </c>
      <c r="E88" s="1" t="s">
        <v>3</v>
      </c>
      <c r="F88" s="2">
        <v>21</v>
      </c>
      <c r="G88" s="2" t="s">
        <v>64</v>
      </c>
      <c r="H88" s="2">
        <v>2004</v>
      </c>
      <c r="I88" s="2" t="s">
        <v>65</v>
      </c>
      <c r="J88" s="2" t="s">
        <v>6</v>
      </c>
      <c r="K88" s="2" t="s">
        <v>7</v>
      </c>
      <c r="L88" s="2" t="s">
        <v>398</v>
      </c>
      <c r="M88" s="2" t="s">
        <v>8</v>
      </c>
      <c r="N88" s="2">
        <v>0</v>
      </c>
      <c r="O88" s="2">
        <v>10</v>
      </c>
      <c r="P88" s="2"/>
      <c r="Q88" s="2"/>
      <c r="R88" s="2"/>
      <c r="S88" s="2"/>
      <c r="T88" s="2"/>
      <c r="U88" s="2"/>
      <c r="V88" s="2"/>
      <c r="W88" s="2"/>
      <c r="X88" s="2"/>
      <c r="Y88" s="2"/>
      <c r="Z88" s="2"/>
      <c r="AA88" s="2"/>
      <c r="AB88" s="2"/>
      <c r="AC88" s="2"/>
      <c r="AD88" s="2"/>
      <c r="AE88" s="2"/>
      <c r="AF88" s="2"/>
      <c r="AG88" s="2"/>
      <c r="AH88" s="2"/>
      <c r="AI88" s="2"/>
      <c r="AJ88" s="2"/>
    </row>
    <row r="89" spans="1:36" ht="17.25" customHeight="1" x14ac:dyDescent="0.2">
      <c r="A89" s="1" t="s">
        <v>0</v>
      </c>
      <c r="B89" s="1" t="s">
        <v>91</v>
      </c>
      <c r="C89" s="1" t="s">
        <v>3</v>
      </c>
      <c r="D89" s="1" t="s">
        <v>675</v>
      </c>
      <c r="E89" s="1" t="s">
        <v>3</v>
      </c>
      <c r="F89" s="2">
        <v>22</v>
      </c>
      <c r="G89" s="2" t="s">
        <v>92</v>
      </c>
      <c r="H89" s="2">
        <v>2005</v>
      </c>
      <c r="I89" s="2" t="s">
        <v>93</v>
      </c>
      <c r="J89" s="2" t="s">
        <v>6</v>
      </c>
      <c r="K89" s="2" t="s">
        <v>7</v>
      </c>
      <c r="L89" s="2" t="s">
        <v>398</v>
      </c>
      <c r="M89" s="2" t="s">
        <v>8</v>
      </c>
      <c r="N89" s="2">
        <v>0</v>
      </c>
      <c r="O89" s="2">
        <v>10</v>
      </c>
      <c r="P89" s="2"/>
      <c r="Q89" s="2"/>
      <c r="R89" s="2"/>
      <c r="S89" s="2"/>
      <c r="T89" s="2"/>
      <c r="U89" s="2"/>
      <c r="V89" s="2"/>
      <c r="W89" s="2"/>
      <c r="X89" s="2"/>
      <c r="Y89" s="2"/>
      <c r="Z89" s="2"/>
      <c r="AA89" s="2"/>
      <c r="AB89" s="2"/>
      <c r="AC89" s="2"/>
      <c r="AD89" s="2"/>
      <c r="AE89" s="2"/>
      <c r="AF89" s="2"/>
      <c r="AG89" s="2"/>
      <c r="AH89" s="2"/>
      <c r="AI89" s="2"/>
      <c r="AJ89" s="2"/>
    </row>
    <row r="90" spans="1:36" ht="17.25" customHeight="1" x14ac:dyDescent="0.2">
      <c r="A90" s="1" t="s">
        <v>0</v>
      </c>
      <c r="B90" s="1" t="s">
        <v>51</v>
      </c>
      <c r="C90" s="1" t="s">
        <v>3</v>
      </c>
      <c r="D90" s="1" t="s">
        <v>675</v>
      </c>
      <c r="E90" s="1" t="s">
        <v>3</v>
      </c>
      <c r="F90" s="2">
        <v>23</v>
      </c>
      <c r="G90" s="2" t="s">
        <v>52</v>
      </c>
      <c r="H90" s="2">
        <v>2006</v>
      </c>
      <c r="I90" s="2" t="s">
        <v>53</v>
      </c>
      <c r="J90" s="2" t="s">
        <v>6</v>
      </c>
      <c r="K90" s="2" t="s">
        <v>7</v>
      </c>
      <c r="L90" s="2" t="s">
        <v>398</v>
      </c>
      <c r="M90" s="2" t="s">
        <v>8</v>
      </c>
      <c r="N90" s="2">
        <v>0</v>
      </c>
      <c r="O90" s="2">
        <v>10</v>
      </c>
      <c r="P90" s="2"/>
      <c r="Q90" s="2"/>
      <c r="R90" s="2"/>
      <c r="S90" s="2"/>
      <c r="T90" s="2"/>
      <c r="U90" s="2"/>
      <c r="V90" s="2"/>
      <c r="W90" s="2"/>
      <c r="X90" s="2"/>
      <c r="Y90" s="2"/>
      <c r="Z90" s="2"/>
      <c r="AA90" s="2"/>
      <c r="AB90" s="2"/>
      <c r="AC90" s="2"/>
      <c r="AD90" s="2"/>
      <c r="AE90" s="2"/>
      <c r="AF90" s="2"/>
      <c r="AG90" s="2"/>
      <c r="AH90" s="2"/>
      <c r="AI90" s="2"/>
      <c r="AJ90" s="2"/>
    </row>
    <row r="91" spans="1:36" ht="17.25" customHeight="1" x14ac:dyDescent="0.2">
      <c r="A91" s="1" t="s">
        <v>0</v>
      </c>
      <c r="B91" s="1" t="s">
        <v>94</v>
      </c>
      <c r="C91" s="1" t="s">
        <v>3</v>
      </c>
      <c r="D91" s="1" t="s">
        <v>675</v>
      </c>
      <c r="E91" s="1" t="s">
        <v>3</v>
      </c>
      <c r="F91" s="2">
        <v>24</v>
      </c>
      <c r="G91" s="2" t="s">
        <v>95</v>
      </c>
      <c r="H91" s="2">
        <v>2007</v>
      </c>
      <c r="I91" s="2" t="s">
        <v>96</v>
      </c>
      <c r="J91" s="2" t="s">
        <v>6</v>
      </c>
      <c r="K91" s="2" t="s">
        <v>7</v>
      </c>
      <c r="L91" s="2" t="s">
        <v>398</v>
      </c>
      <c r="M91" s="2" t="s">
        <v>8</v>
      </c>
      <c r="N91" s="2">
        <v>0</v>
      </c>
      <c r="O91" s="2">
        <v>10</v>
      </c>
      <c r="P91" s="2"/>
      <c r="Q91" s="2"/>
      <c r="R91" s="2"/>
      <c r="S91" s="2"/>
      <c r="T91" s="2"/>
      <c r="U91" s="2"/>
      <c r="V91" s="2"/>
      <c r="W91" s="2"/>
      <c r="X91" s="2"/>
      <c r="Y91" s="2"/>
      <c r="Z91" s="2"/>
      <c r="AA91" s="2"/>
      <c r="AB91" s="2"/>
      <c r="AC91" s="2"/>
      <c r="AD91" s="2"/>
      <c r="AE91" s="2"/>
      <c r="AF91" s="2"/>
      <c r="AG91" s="2"/>
      <c r="AH91" s="2"/>
      <c r="AI91" s="2"/>
      <c r="AJ91" s="2"/>
    </row>
    <row r="92" spans="1:36" ht="17.25" customHeight="1" x14ac:dyDescent="0.2">
      <c r="A92" s="1" t="s">
        <v>0</v>
      </c>
      <c r="B92" s="1" t="s">
        <v>69</v>
      </c>
      <c r="C92" s="1" t="s">
        <v>3</v>
      </c>
      <c r="D92" s="1" t="s">
        <v>675</v>
      </c>
      <c r="E92" s="1" t="s">
        <v>3</v>
      </c>
      <c r="F92" s="2">
        <v>25</v>
      </c>
      <c r="G92" s="2" t="s">
        <v>70</v>
      </c>
      <c r="H92" s="2">
        <v>2008</v>
      </c>
      <c r="I92" s="2" t="s">
        <v>71</v>
      </c>
      <c r="J92" s="2" t="s">
        <v>6</v>
      </c>
      <c r="K92" s="2" t="s">
        <v>7</v>
      </c>
      <c r="L92" s="2" t="s">
        <v>398</v>
      </c>
      <c r="M92" s="2" t="s">
        <v>8</v>
      </c>
      <c r="N92" s="2">
        <v>0</v>
      </c>
      <c r="O92" s="2">
        <v>10</v>
      </c>
      <c r="P92" s="2"/>
      <c r="Q92" s="2"/>
      <c r="R92" s="2"/>
      <c r="S92" s="2"/>
      <c r="T92" s="2"/>
      <c r="U92" s="2"/>
      <c r="V92" s="2"/>
      <c r="W92" s="2"/>
      <c r="X92" s="2"/>
      <c r="Y92" s="2"/>
      <c r="Z92" s="2"/>
      <c r="AA92" s="2"/>
      <c r="AB92" s="2"/>
      <c r="AC92" s="2"/>
      <c r="AD92" s="2"/>
      <c r="AE92" s="2"/>
      <c r="AF92" s="2"/>
      <c r="AG92" s="2"/>
      <c r="AH92" s="2"/>
      <c r="AI92" s="2"/>
      <c r="AJ92" s="2"/>
    </row>
    <row r="93" spans="1:36" ht="17.25" customHeight="1" x14ac:dyDescent="0.2">
      <c r="A93" s="1" t="s">
        <v>0</v>
      </c>
      <c r="B93" s="1" t="s">
        <v>15</v>
      </c>
      <c r="C93" s="1" t="s">
        <v>3</v>
      </c>
      <c r="D93" s="1" t="s">
        <v>675</v>
      </c>
      <c r="E93" s="1" t="s">
        <v>3</v>
      </c>
      <c r="F93" s="2">
        <v>26</v>
      </c>
      <c r="G93" s="2" t="s">
        <v>16</v>
      </c>
      <c r="H93" s="2">
        <v>2009</v>
      </c>
      <c r="I93" s="2" t="s">
        <v>17</v>
      </c>
      <c r="J93" s="2" t="s">
        <v>6</v>
      </c>
      <c r="K93" s="2" t="s">
        <v>7</v>
      </c>
      <c r="L93" s="2" t="s">
        <v>398</v>
      </c>
      <c r="M93" s="2" t="s">
        <v>8</v>
      </c>
      <c r="N93" s="2">
        <v>0</v>
      </c>
      <c r="O93" s="2">
        <v>10</v>
      </c>
      <c r="P93" s="2"/>
      <c r="Q93" s="2"/>
      <c r="R93" s="2"/>
      <c r="S93" s="2"/>
      <c r="T93" s="2"/>
      <c r="U93" s="2"/>
      <c r="V93" s="2"/>
      <c r="W93" s="2"/>
      <c r="X93" s="2"/>
      <c r="Y93" s="2"/>
      <c r="Z93" s="2"/>
      <c r="AA93" s="2"/>
      <c r="AB93" s="2"/>
      <c r="AC93" s="2"/>
      <c r="AD93" s="2"/>
      <c r="AE93" s="2"/>
      <c r="AF93" s="2"/>
      <c r="AG93" s="2"/>
      <c r="AH93" s="2"/>
      <c r="AI93" s="2"/>
      <c r="AJ93" s="2"/>
    </row>
    <row r="94" spans="1:36" ht="17.25" customHeight="1" x14ac:dyDescent="0.2">
      <c r="A94" s="1" t="s">
        <v>0</v>
      </c>
      <c r="B94" s="1" t="s">
        <v>33</v>
      </c>
      <c r="C94" s="1" t="s">
        <v>3</v>
      </c>
      <c r="D94" s="1" t="s">
        <v>675</v>
      </c>
      <c r="E94" s="1" t="s">
        <v>3</v>
      </c>
      <c r="F94" s="2">
        <v>27</v>
      </c>
      <c r="G94" s="2" t="s">
        <v>34</v>
      </c>
      <c r="H94" s="2">
        <v>2010</v>
      </c>
      <c r="I94" s="2" t="s">
        <v>35</v>
      </c>
      <c r="J94" s="2" t="s">
        <v>6</v>
      </c>
      <c r="K94" s="2" t="s">
        <v>7</v>
      </c>
      <c r="L94" s="2" t="s">
        <v>398</v>
      </c>
      <c r="M94" s="2" t="s">
        <v>8</v>
      </c>
      <c r="N94" s="2">
        <v>0</v>
      </c>
      <c r="O94" s="2">
        <v>10</v>
      </c>
      <c r="P94" s="2"/>
      <c r="Q94" s="2"/>
      <c r="R94" s="2"/>
      <c r="S94" s="2"/>
      <c r="T94" s="2"/>
      <c r="U94" s="2"/>
      <c r="V94" s="2"/>
      <c r="W94" s="2"/>
      <c r="X94" s="2"/>
      <c r="Y94" s="2"/>
      <c r="Z94" s="2"/>
      <c r="AA94" s="2"/>
      <c r="AB94" s="2"/>
      <c r="AC94" s="2"/>
      <c r="AD94" s="2"/>
      <c r="AE94" s="2"/>
      <c r="AF94" s="2"/>
      <c r="AG94" s="2"/>
      <c r="AH94" s="2"/>
      <c r="AI94" s="2"/>
      <c r="AJ94" s="2"/>
    </row>
    <row r="95" spans="1:36" ht="17.25" customHeight="1" x14ac:dyDescent="0.2">
      <c r="A95" s="1" t="s">
        <v>0</v>
      </c>
      <c r="B95" s="1" t="s">
        <v>45</v>
      </c>
      <c r="C95" s="1" t="s">
        <v>3</v>
      </c>
      <c r="D95" s="1" t="s">
        <v>675</v>
      </c>
      <c r="E95" s="1" t="s">
        <v>3</v>
      </c>
      <c r="F95" s="2">
        <v>28</v>
      </c>
      <c r="G95" s="2" t="s">
        <v>46</v>
      </c>
      <c r="H95" s="2">
        <v>2011</v>
      </c>
      <c r="I95" s="2" t="s">
        <v>47</v>
      </c>
      <c r="J95" s="2" t="s">
        <v>6</v>
      </c>
      <c r="K95" s="2" t="s">
        <v>7</v>
      </c>
      <c r="L95" s="2" t="s">
        <v>398</v>
      </c>
      <c r="M95" s="2" t="s">
        <v>8</v>
      </c>
      <c r="N95" s="2">
        <v>0</v>
      </c>
      <c r="O95" s="2">
        <v>10</v>
      </c>
      <c r="P95" s="2"/>
      <c r="Q95" s="2"/>
      <c r="R95" s="2"/>
      <c r="S95" s="2"/>
      <c r="T95" s="2"/>
      <c r="U95" s="2"/>
      <c r="V95" s="2"/>
      <c r="W95" s="2"/>
      <c r="X95" s="2"/>
      <c r="Y95" s="2"/>
      <c r="Z95" s="2"/>
      <c r="AA95" s="2"/>
      <c r="AB95" s="2"/>
      <c r="AC95" s="2"/>
      <c r="AD95" s="2"/>
      <c r="AE95" s="2"/>
      <c r="AF95" s="2"/>
      <c r="AG95" s="2"/>
      <c r="AH95" s="2"/>
      <c r="AI95" s="2"/>
      <c r="AJ95" s="2"/>
    </row>
    <row r="96" spans="1:36" ht="17.25" customHeight="1" x14ac:dyDescent="0.2">
      <c r="A96" s="1" t="s">
        <v>0</v>
      </c>
      <c r="B96" s="1" t="s">
        <v>60</v>
      </c>
      <c r="C96" s="1" t="s">
        <v>3</v>
      </c>
      <c r="D96" s="1" t="s">
        <v>675</v>
      </c>
      <c r="E96" s="1" t="s">
        <v>3</v>
      </c>
      <c r="F96" s="2">
        <v>29</v>
      </c>
      <c r="G96" s="2" t="s">
        <v>61</v>
      </c>
      <c r="H96" s="2">
        <v>2012</v>
      </c>
      <c r="I96" s="2" t="s">
        <v>62</v>
      </c>
      <c r="J96" s="2" t="s">
        <v>6</v>
      </c>
      <c r="K96" s="2" t="s">
        <v>7</v>
      </c>
      <c r="L96" s="2" t="s">
        <v>398</v>
      </c>
      <c r="M96" s="2" t="s">
        <v>8</v>
      </c>
      <c r="N96" s="2">
        <v>0</v>
      </c>
      <c r="O96" s="2">
        <v>10</v>
      </c>
      <c r="P96" s="2"/>
      <c r="Q96" s="2"/>
      <c r="R96" s="2"/>
      <c r="S96" s="2"/>
      <c r="T96" s="2"/>
      <c r="U96" s="2"/>
      <c r="V96" s="2"/>
      <c r="W96" s="2"/>
      <c r="X96" s="2"/>
      <c r="Y96" s="2"/>
      <c r="Z96" s="2"/>
      <c r="AA96" s="2"/>
      <c r="AB96" s="2"/>
      <c r="AC96" s="2"/>
      <c r="AD96" s="2"/>
      <c r="AE96" s="2"/>
      <c r="AF96" s="2"/>
      <c r="AG96" s="2"/>
      <c r="AH96" s="2"/>
      <c r="AI96" s="2"/>
      <c r="AJ96" s="2"/>
    </row>
    <row r="97" spans="1:36" ht="17.25" customHeight="1" x14ac:dyDescent="0.2">
      <c r="A97" s="1" t="s">
        <v>0</v>
      </c>
      <c r="B97" s="1" t="s">
        <v>85</v>
      </c>
      <c r="C97" s="1" t="s">
        <v>3</v>
      </c>
      <c r="D97" s="1" t="s">
        <v>675</v>
      </c>
      <c r="E97" s="1" t="s">
        <v>3</v>
      </c>
      <c r="F97" s="2">
        <v>30</v>
      </c>
      <c r="G97" s="2" t="s">
        <v>86</v>
      </c>
      <c r="H97" s="2">
        <v>2013</v>
      </c>
      <c r="I97" s="2" t="s">
        <v>87</v>
      </c>
      <c r="J97" s="2" t="s">
        <v>6</v>
      </c>
      <c r="K97" s="2" t="s">
        <v>7</v>
      </c>
      <c r="L97" s="2" t="s">
        <v>398</v>
      </c>
      <c r="M97" s="2" t="s">
        <v>8</v>
      </c>
      <c r="N97" s="2">
        <v>0</v>
      </c>
      <c r="O97" s="2">
        <v>10</v>
      </c>
      <c r="P97" s="2"/>
      <c r="Q97" s="2"/>
      <c r="R97" s="2"/>
      <c r="S97" s="2"/>
      <c r="T97" s="2"/>
      <c r="U97" s="2"/>
      <c r="V97" s="2"/>
      <c r="W97" s="2"/>
      <c r="X97" s="2"/>
      <c r="Y97" s="2"/>
      <c r="Z97" s="2"/>
      <c r="AA97" s="2"/>
      <c r="AB97" s="2"/>
      <c r="AC97" s="2"/>
      <c r="AD97" s="2"/>
      <c r="AE97" s="2"/>
      <c r="AF97" s="2"/>
      <c r="AG97" s="2"/>
      <c r="AH97" s="2"/>
      <c r="AI97" s="2"/>
      <c r="AJ97" s="2"/>
    </row>
    <row r="98" spans="1:36" ht="17.25" customHeight="1" x14ac:dyDescent="0.2">
      <c r="A98" s="1" t="s">
        <v>0</v>
      </c>
      <c r="B98" s="1" t="s">
        <v>21</v>
      </c>
      <c r="C98" s="1" t="s">
        <v>3</v>
      </c>
      <c r="D98" s="1" t="s">
        <v>675</v>
      </c>
      <c r="E98" s="1" t="s">
        <v>3</v>
      </c>
      <c r="F98" s="2">
        <v>31</v>
      </c>
      <c r="G98" s="2" t="s">
        <v>22</v>
      </c>
      <c r="H98" s="2">
        <v>2014</v>
      </c>
      <c r="I98" s="2" t="s">
        <v>23</v>
      </c>
      <c r="J98" s="2" t="s">
        <v>6</v>
      </c>
      <c r="K98" s="2" t="s">
        <v>7</v>
      </c>
      <c r="L98" s="2" t="s">
        <v>398</v>
      </c>
      <c r="M98" s="2" t="s">
        <v>8</v>
      </c>
      <c r="N98" s="2">
        <v>0</v>
      </c>
      <c r="O98" s="2">
        <v>10</v>
      </c>
      <c r="P98" s="2"/>
      <c r="Q98" s="2"/>
      <c r="R98" s="2"/>
      <c r="S98" s="2"/>
      <c r="T98" s="2"/>
      <c r="U98" s="2"/>
      <c r="V98" s="2"/>
      <c r="W98" s="2"/>
      <c r="X98" s="2"/>
      <c r="Y98" s="2"/>
      <c r="Z98" s="2"/>
      <c r="AA98" s="2"/>
      <c r="AB98" s="2"/>
      <c r="AC98" s="2"/>
      <c r="AD98" s="2"/>
      <c r="AE98" s="2"/>
      <c r="AF98" s="2"/>
      <c r="AG98" s="2"/>
      <c r="AH98" s="2"/>
      <c r="AI98" s="2"/>
      <c r="AJ98" s="2"/>
    </row>
    <row r="99" spans="1:36" ht="17.25" customHeight="1" x14ac:dyDescent="0.2">
      <c r="A99" s="1" t="s">
        <v>0</v>
      </c>
      <c r="B99" s="1" t="s">
        <v>27</v>
      </c>
      <c r="C99" s="1" t="s">
        <v>3</v>
      </c>
      <c r="D99" s="1" t="s">
        <v>675</v>
      </c>
      <c r="E99" s="1" t="s">
        <v>3</v>
      </c>
      <c r="F99" s="2">
        <v>32</v>
      </c>
      <c r="G99" s="2" t="s">
        <v>28</v>
      </c>
      <c r="H99" s="2">
        <v>2015</v>
      </c>
      <c r="I99" s="2" t="s">
        <v>29</v>
      </c>
      <c r="J99" s="2" t="s">
        <v>6</v>
      </c>
      <c r="K99" s="2" t="s">
        <v>7</v>
      </c>
      <c r="L99" s="2" t="s">
        <v>398</v>
      </c>
      <c r="M99" s="2" t="s">
        <v>8</v>
      </c>
      <c r="N99" s="2">
        <v>0</v>
      </c>
      <c r="O99" s="2">
        <v>10</v>
      </c>
      <c r="P99" s="2"/>
      <c r="Q99" s="2"/>
      <c r="R99" s="2"/>
      <c r="S99" s="2"/>
      <c r="T99" s="2"/>
      <c r="U99" s="2"/>
      <c r="V99" s="2"/>
      <c r="W99" s="2"/>
      <c r="X99" s="2"/>
      <c r="Y99" s="2"/>
      <c r="Z99" s="2"/>
      <c r="AA99" s="2"/>
      <c r="AB99" s="2"/>
      <c r="AC99" s="2"/>
      <c r="AD99" s="2"/>
      <c r="AE99" s="2"/>
      <c r="AF99" s="2"/>
      <c r="AG99" s="2"/>
      <c r="AH99" s="2"/>
      <c r="AI99" s="2"/>
      <c r="AJ99" s="2"/>
    </row>
    <row r="100" spans="1:36" ht="17.25" customHeight="1" x14ac:dyDescent="0.2">
      <c r="A100" s="1" t="s">
        <v>0</v>
      </c>
      <c r="B100" s="1" t="s">
        <v>75</v>
      </c>
      <c r="C100" s="1" t="s">
        <v>3</v>
      </c>
      <c r="D100" s="1" t="s">
        <v>675</v>
      </c>
      <c r="E100" s="1" t="s">
        <v>3</v>
      </c>
      <c r="F100" s="2">
        <v>33</v>
      </c>
      <c r="G100" s="2" t="s">
        <v>76</v>
      </c>
      <c r="H100" s="2">
        <v>2016</v>
      </c>
      <c r="I100" s="2" t="s">
        <v>77</v>
      </c>
      <c r="J100" s="2" t="s">
        <v>6</v>
      </c>
      <c r="K100" s="2" t="s">
        <v>7</v>
      </c>
      <c r="L100" s="2" t="s">
        <v>398</v>
      </c>
      <c r="M100" s="2" t="s">
        <v>8</v>
      </c>
      <c r="N100" s="2">
        <v>0</v>
      </c>
      <c r="O100" s="2">
        <v>10</v>
      </c>
      <c r="P100" s="2"/>
      <c r="Q100" s="2"/>
      <c r="R100" s="2"/>
      <c r="S100" s="2"/>
      <c r="T100" s="2"/>
      <c r="U100" s="2"/>
      <c r="V100" s="2"/>
      <c r="W100" s="2"/>
      <c r="X100" s="2"/>
      <c r="Y100" s="2"/>
      <c r="Z100" s="2"/>
      <c r="AA100" s="2"/>
      <c r="AB100" s="2"/>
      <c r="AC100" s="2"/>
      <c r="AD100" s="2"/>
      <c r="AE100" s="2"/>
      <c r="AF100" s="2"/>
      <c r="AG100" s="2"/>
      <c r="AH100" s="2"/>
      <c r="AI100" s="2"/>
      <c r="AJ100" s="2"/>
    </row>
    <row r="101" spans="1:36" ht="17.25" customHeight="1" x14ac:dyDescent="0.2">
      <c r="A101" s="1" t="s">
        <v>0</v>
      </c>
      <c r="B101" s="1" t="s">
        <v>66</v>
      </c>
      <c r="C101" s="1" t="s">
        <v>3</v>
      </c>
      <c r="D101" s="1" t="s">
        <v>675</v>
      </c>
      <c r="E101" s="1" t="s">
        <v>3</v>
      </c>
      <c r="F101" s="2">
        <v>34</v>
      </c>
      <c r="G101" s="2" t="s">
        <v>67</v>
      </c>
      <c r="H101" s="2">
        <v>2017</v>
      </c>
      <c r="I101" s="2" t="s">
        <v>68</v>
      </c>
      <c r="J101" s="2" t="s">
        <v>6</v>
      </c>
      <c r="K101" s="2" t="s">
        <v>7</v>
      </c>
      <c r="L101" s="2" t="s">
        <v>398</v>
      </c>
      <c r="M101" s="2" t="s">
        <v>8</v>
      </c>
      <c r="N101" s="2">
        <v>0</v>
      </c>
      <c r="O101" s="2">
        <v>10</v>
      </c>
      <c r="P101" s="2"/>
      <c r="Q101" s="2"/>
      <c r="R101" s="2"/>
      <c r="S101" s="2"/>
      <c r="T101" s="2"/>
      <c r="U101" s="2"/>
      <c r="V101" s="2"/>
      <c r="W101" s="2"/>
      <c r="X101" s="2"/>
      <c r="Y101" s="2"/>
      <c r="Z101" s="2"/>
      <c r="AA101" s="2"/>
      <c r="AB101" s="2"/>
      <c r="AC101" s="2"/>
      <c r="AD101" s="2"/>
      <c r="AE101" s="2"/>
      <c r="AF101" s="2"/>
      <c r="AG101" s="2"/>
      <c r="AH101" s="2"/>
      <c r="AI101" s="2"/>
      <c r="AJ101" s="2"/>
    </row>
    <row r="102" spans="1:36" ht="17.25" customHeight="1" x14ac:dyDescent="0.2">
      <c r="A102" s="3" t="s">
        <v>0</v>
      </c>
      <c r="B102" s="3" t="s">
        <v>124</v>
      </c>
      <c r="C102" s="3" t="s">
        <v>274</v>
      </c>
      <c r="D102" s="3" t="s">
        <v>238</v>
      </c>
      <c r="E102" s="3" t="s">
        <v>125</v>
      </c>
      <c r="F102" s="2">
        <v>1</v>
      </c>
      <c r="G102" s="4" t="s">
        <v>40</v>
      </c>
      <c r="H102" s="2">
        <v>1984</v>
      </c>
      <c r="I102" s="2" t="s">
        <v>126</v>
      </c>
      <c r="J102" s="2" t="s">
        <v>127</v>
      </c>
      <c r="K102" s="2" t="s">
        <v>128</v>
      </c>
      <c r="L102" s="2" t="s">
        <v>398</v>
      </c>
      <c r="M102" s="2" t="s">
        <v>8</v>
      </c>
      <c r="N102" s="2">
        <v>0</v>
      </c>
      <c r="O102" s="2">
        <v>10</v>
      </c>
      <c r="P102" s="2"/>
      <c r="Q102" s="2"/>
      <c r="R102" s="2"/>
      <c r="S102" s="2"/>
      <c r="T102" s="2"/>
      <c r="U102" s="2"/>
      <c r="V102" s="2"/>
      <c r="W102" s="2"/>
      <c r="X102" s="2"/>
      <c r="Y102" s="2"/>
      <c r="Z102" s="2"/>
      <c r="AA102" s="2"/>
      <c r="AB102" s="2"/>
      <c r="AC102" s="2"/>
      <c r="AD102" s="2"/>
      <c r="AE102" s="2"/>
      <c r="AF102" s="2"/>
      <c r="AG102" s="2"/>
      <c r="AH102" s="2"/>
      <c r="AI102" s="2"/>
      <c r="AJ102" s="2"/>
    </row>
    <row r="103" spans="1:36" ht="17.25" customHeight="1" x14ac:dyDescent="0.2">
      <c r="A103" s="3" t="s">
        <v>0</v>
      </c>
      <c r="B103" s="3" t="s">
        <v>129</v>
      </c>
      <c r="C103" s="3" t="s">
        <v>274</v>
      </c>
      <c r="D103" s="3" t="s">
        <v>238</v>
      </c>
      <c r="E103" s="3" t="s">
        <v>125</v>
      </c>
      <c r="F103" s="2">
        <v>2</v>
      </c>
      <c r="G103" s="4" t="s">
        <v>37</v>
      </c>
      <c r="H103" s="2">
        <v>1985</v>
      </c>
      <c r="I103" s="2" t="s">
        <v>130</v>
      </c>
      <c r="J103" s="2" t="s">
        <v>127</v>
      </c>
      <c r="K103" s="2" t="s">
        <v>128</v>
      </c>
      <c r="L103" s="2" t="s">
        <v>398</v>
      </c>
      <c r="M103" s="2" t="s">
        <v>8</v>
      </c>
      <c r="N103" s="2">
        <v>0</v>
      </c>
      <c r="O103" s="2">
        <v>10</v>
      </c>
      <c r="P103" s="2"/>
      <c r="Q103" s="2"/>
      <c r="R103" s="2"/>
      <c r="S103" s="2"/>
      <c r="T103" s="2"/>
      <c r="U103" s="2"/>
      <c r="V103" s="2"/>
      <c r="W103" s="2"/>
      <c r="X103" s="2"/>
      <c r="Y103" s="2"/>
      <c r="Z103" s="2"/>
      <c r="AA103" s="2"/>
      <c r="AB103" s="2"/>
      <c r="AC103" s="2"/>
      <c r="AD103" s="2"/>
      <c r="AE103" s="2"/>
      <c r="AF103" s="2"/>
      <c r="AG103" s="2"/>
      <c r="AH103" s="2"/>
      <c r="AI103" s="2"/>
      <c r="AJ103" s="2"/>
    </row>
    <row r="104" spans="1:36" ht="17.25" customHeight="1" x14ac:dyDescent="0.2">
      <c r="A104" s="3" t="s">
        <v>0</v>
      </c>
      <c r="B104" s="3" t="s">
        <v>131</v>
      </c>
      <c r="C104" s="3" t="s">
        <v>274</v>
      </c>
      <c r="D104" s="3" t="s">
        <v>238</v>
      </c>
      <c r="E104" s="3" t="s">
        <v>125</v>
      </c>
      <c r="F104" s="2">
        <v>3</v>
      </c>
      <c r="G104" s="4" t="s">
        <v>80</v>
      </c>
      <c r="H104" s="2">
        <v>1986</v>
      </c>
      <c r="I104" s="2" t="s">
        <v>132</v>
      </c>
      <c r="J104" s="2" t="s">
        <v>127</v>
      </c>
      <c r="K104" s="2" t="s">
        <v>128</v>
      </c>
      <c r="L104" s="2" t="s">
        <v>398</v>
      </c>
      <c r="M104" s="2" t="s">
        <v>8</v>
      </c>
      <c r="N104" s="2">
        <v>0</v>
      </c>
      <c r="O104" s="2">
        <v>10</v>
      </c>
      <c r="P104" s="2"/>
      <c r="Q104" s="2"/>
      <c r="R104" s="2"/>
      <c r="S104" s="2"/>
      <c r="T104" s="2"/>
      <c r="U104" s="2"/>
      <c r="V104" s="2"/>
      <c r="W104" s="2"/>
      <c r="X104" s="2"/>
      <c r="Y104" s="2"/>
      <c r="Z104" s="2"/>
      <c r="AA104" s="2"/>
      <c r="AB104" s="2"/>
      <c r="AC104" s="2"/>
      <c r="AD104" s="2"/>
      <c r="AE104" s="2"/>
      <c r="AF104" s="2"/>
      <c r="AG104" s="2"/>
      <c r="AH104" s="2"/>
      <c r="AI104" s="2"/>
      <c r="AJ104" s="2"/>
    </row>
    <row r="105" spans="1:36" ht="17.25" customHeight="1" x14ac:dyDescent="0.2">
      <c r="A105" s="3" t="s">
        <v>0</v>
      </c>
      <c r="B105" s="3" t="s">
        <v>133</v>
      </c>
      <c r="C105" s="3" t="s">
        <v>274</v>
      </c>
      <c r="D105" s="3" t="s">
        <v>238</v>
      </c>
      <c r="E105" s="3" t="s">
        <v>125</v>
      </c>
      <c r="F105" s="2">
        <v>4</v>
      </c>
      <c r="G105" s="4" t="s">
        <v>31</v>
      </c>
      <c r="H105" s="2">
        <v>1987</v>
      </c>
      <c r="I105" s="2" t="s">
        <v>134</v>
      </c>
      <c r="J105" s="2" t="s">
        <v>127</v>
      </c>
      <c r="K105" s="2" t="s">
        <v>128</v>
      </c>
      <c r="L105" s="2" t="s">
        <v>398</v>
      </c>
      <c r="M105" s="2" t="s">
        <v>8</v>
      </c>
      <c r="N105" s="2">
        <v>0</v>
      </c>
      <c r="O105" s="2">
        <v>10</v>
      </c>
      <c r="P105" s="2"/>
      <c r="Q105" s="2"/>
      <c r="R105" s="2"/>
      <c r="S105" s="2"/>
      <c r="T105" s="2"/>
      <c r="U105" s="2"/>
      <c r="V105" s="2"/>
      <c r="W105" s="2"/>
      <c r="X105" s="2"/>
      <c r="Y105" s="2"/>
      <c r="Z105" s="2"/>
      <c r="AA105" s="2"/>
      <c r="AB105" s="2"/>
      <c r="AC105" s="2"/>
      <c r="AD105" s="2"/>
      <c r="AE105" s="2"/>
      <c r="AF105" s="2"/>
      <c r="AG105" s="2"/>
      <c r="AH105" s="2"/>
      <c r="AI105" s="2"/>
      <c r="AJ105" s="2"/>
    </row>
    <row r="106" spans="1:36" ht="17.25" customHeight="1" x14ac:dyDescent="0.2">
      <c r="A106" s="3" t="s">
        <v>0</v>
      </c>
      <c r="B106" s="3" t="s">
        <v>135</v>
      </c>
      <c r="C106" s="3" t="s">
        <v>274</v>
      </c>
      <c r="D106" s="3" t="s">
        <v>238</v>
      </c>
      <c r="E106" s="3" t="s">
        <v>125</v>
      </c>
      <c r="F106" s="2">
        <v>5</v>
      </c>
      <c r="G106" s="4" t="s">
        <v>13</v>
      </c>
      <c r="H106" s="2">
        <v>1988</v>
      </c>
      <c r="I106" s="2" t="s">
        <v>136</v>
      </c>
      <c r="J106" s="2" t="s">
        <v>127</v>
      </c>
      <c r="K106" s="2" t="s">
        <v>128</v>
      </c>
      <c r="L106" s="2" t="s">
        <v>398</v>
      </c>
      <c r="M106" s="2" t="s">
        <v>8</v>
      </c>
      <c r="N106" s="2">
        <v>0</v>
      </c>
      <c r="O106" s="2">
        <v>10</v>
      </c>
      <c r="P106" s="2"/>
      <c r="Q106" s="2"/>
      <c r="R106" s="2"/>
      <c r="S106" s="2"/>
      <c r="T106" s="2"/>
      <c r="U106" s="2"/>
      <c r="V106" s="2"/>
      <c r="W106" s="2"/>
      <c r="X106" s="2"/>
      <c r="Y106" s="2"/>
      <c r="Z106" s="2"/>
      <c r="AA106" s="2"/>
      <c r="AB106" s="2"/>
      <c r="AC106" s="2"/>
      <c r="AD106" s="2"/>
      <c r="AE106" s="2"/>
      <c r="AF106" s="2"/>
      <c r="AG106" s="2"/>
      <c r="AH106" s="2"/>
      <c r="AI106" s="2"/>
      <c r="AJ106" s="2"/>
    </row>
    <row r="107" spans="1:36" ht="17.25" customHeight="1" x14ac:dyDescent="0.2">
      <c r="A107" s="3" t="s">
        <v>0</v>
      </c>
      <c r="B107" s="3" t="s">
        <v>137</v>
      </c>
      <c r="C107" s="3" t="s">
        <v>274</v>
      </c>
      <c r="D107" s="3" t="s">
        <v>238</v>
      </c>
      <c r="E107" s="3" t="s">
        <v>125</v>
      </c>
      <c r="F107" s="2">
        <v>6</v>
      </c>
      <c r="G107" s="4" t="s">
        <v>49</v>
      </c>
      <c r="H107" s="2">
        <v>1989</v>
      </c>
      <c r="I107" s="2" t="s">
        <v>138</v>
      </c>
      <c r="J107" s="2" t="s">
        <v>127</v>
      </c>
      <c r="K107" s="2" t="s">
        <v>128</v>
      </c>
      <c r="L107" s="2" t="s">
        <v>398</v>
      </c>
      <c r="M107" s="2" t="s">
        <v>8</v>
      </c>
      <c r="N107" s="2">
        <v>0</v>
      </c>
      <c r="O107" s="2">
        <v>10</v>
      </c>
      <c r="P107" s="2"/>
      <c r="Q107" s="2"/>
      <c r="R107" s="2"/>
      <c r="S107" s="2"/>
      <c r="T107" s="2"/>
      <c r="U107" s="2"/>
      <c r="V107" s="2"/>
      <c r="W107" s="2"/>
      <c r="X107" s="2"/>
      <c r="Y107" s="2"/>
      <c r="Z107" s="2"/>
      <c r="AA107" s="2"/>
      <c r="AB107" s="2"/>
      <c r="AC107" s="2"/>
      <c r="AD107" s="2"/>
      <c r="AE107" s="2"/>
      <c r="AF107" s="2"/>
      <c r="AG107" s="2"/>
      <c r="AH107" s="2"/>
      <c r="AI107" s="2"/>
      <c r="AJ107" s="2"/>
    </row>
    <row r="108" spans="1:36" ht="17.25" customHeight="1" x14ac:dyDescent="0.2">
      <c r="A108" s="3" t="s">
        <v>0</v>
      </c>
      <c r="B108" s="3" t="s">
        <v>139</v>
      </c>
      <c r="C108" s="3" t="s">
        <v>274</v>
      </c>
      <c r="D108" s="3" t="s">
        <v>238</v>
      </c>
      <c r="E108" s="3" t="s">
        <v>125</v>
      </c>
      <c r="F108" s="2">
        <v>7</v>
      </c>
      <c r="G108" s="4" t="s">
        <v>101</v>
      </c>
      <c r="H108" s="2">
        <v>1990</v>
      </c>
      <c r="I108" s="2" t="s">
        <v>140</v>
      </c>
      <c r="J108" s="2" t="s">
        <v>127</v>
      </c>
      <c r="K108" s="2" t="s">
        <v>128</v>
      </c>
      <c r="L108" s="2" t="s">
        <v>398</v>
      </c>
      <c r="M108" s="2" t="s">
        <v>8</v>
      </c>
      <c r="N108" s="2">
        <v>0</v>
      </c>
      <c r="O108" s="2">
        <v>10</v>
      </c>
      <c r="P108" s="2"/>
      <c r="Q108" s="2"/>
      <c r="R108" s="2"/>
      <c r="S108" s="2"/>
      <c r="T108" s="2"/>
      <c r="U108" s="2"/>
      <c r="V108" s="2"/>
      <c r="W108" s="2"/>
      <c r="X108" s="2"/>
      <c r="Y108" s="2"/>
      <c r="Z108" s="2"/>
      <c r="AA108" s="2"/>
      <c r="AB108" s="2"/>
      <c r="AC108" s="2"/>
      <c r="AD108" s="2"/>
      <c r="AE108" s="2"/>
      <c r="AF108" s="2"/>
      <c r="AG108" s="2"/>
      <c r="AH108" s="2"/>
      <c r="AI108" s="2"/>
      <c r="AJ108" s="2"/>
    </row>
    <row r="109" spans="1:36" ht="17.25" customHeight="1" x14ac:dyDescent="0.2">
      <c r="A109" s="3" t="s">
        <v>0</v>
      </c>
      <c r="B109" s="3" t="s">
        <v>141</v>
      </c>
      <c r="C109" s="3" t="s">
        <v>274</v>
      </c>
      <c r="D109" s="3" t="s">
        <v>238</v>
      </c>
      <c r="E109" s="3" t="s">
        <v>125</v>
      </c>
      <c r="F109" s="2">
        <v>8</v>
      </c>
      <c r="G109" s="4" t="s">
        <v>10</v>
      </c>
      <c r="H109" s="2">
        <v>1991</v>
      </c>
      <c r="I109" s="2" t="s">
        <v>142</v>
      </c>
      <c r="J109" s="2" t="s">
        <v>127</v>
      </c>
      <c r="K109" s="2" t="s">
        <v>128</v>
      </c>
      <c r="L109" s="2" t="s">
        <v>398</v>
      </c>
      <c r="M109" s="2" t="s">
        <v>8</v>
      </c>
      <c r="N109" s="2">
        <v>0</v>
      </c>
      <c r="O109" s="2">
        <v>10</v>
      </c>
      <c r="P109" s="2"/>
      <c r="Q109" s="2"/>
      <c r="R109" s="2"/>
      <c r="S109" s="2"/>
      <c r="T109" s="2"/>
      <c r="U109" s="2"/>
      <c r="V109" s="2"/>
      <c r="W109" s="2"/>
      <c r="X109" s="2"/>
      <c r="Y109" s="2"/>
      <c r="Z109" s="2"/>
      <c r="AA109" s="2"/>
      <c r="AB109" s="2"/>
      <c r="AC109" s="2"/>
      <c r="AD109" s="2"/>
      <c r="AE109" s="2"/>
      <c r="AF109" s="2"/>
      <c r="AG109" s="2"/>
      <c r="AH109" s="2"/>
      <c r="AI109" s="2"/>
      <c r="AJ109" s="2"/>
    </row>
    <row r="110" spans="1:36" ht="17.25" customHeight="1" x14ac:dyDescent="0.2">
      <c r="A110" s="3" t="s">
        <v>0</v>
      </c>
      <c r="B110" s="3" t="s">
        <v>143</v>
      </c>
      <c r="C110" s="3" t="s">
        <v>274</v>
      </c>
      <c r="D110" s="3" t="s">
        <v>238</v>
      </c>
      <c r="E110" s="3" t="s">
        <v>125</v>
      </c>
      <c r="F110" s="2">
        <v>9</v>
      </c>
      <c r="G110" s="4" t="s">
        <v>55</v>
      </c>
      <c r="H110" s="2">
        <v>1992</v>
      </c>
      <c r="I110" s="2" t="s">
        <v>144</v>
      </c>
      <c r="J110" s="2" t="s">
        <v>127</v>
      </c>
      <c r="K110" s="2" t="s">
        <v>128</v>
      </c>
      <c r="L110" s="2" t="s">
        <v>398</v>
      </c>
      <c r="M110" s="2" t="s">
        <v>8</v>
      </c>
      <c r="N110" s="2">
        <v>0</v>
      </c>
      <c r="O110" s="2">
        <v>10</v>
      </c>
      <c r="P110" s="2"/>
      <c r="Q110" s="2"/>
      <c r="R110" s="2"/>
      <c r="S110" s="2"/>
      <c r="T110" s="2"/>
      <c r="U110" s="2"/>
      <c r="V110" s="2"/>
      <c r="W110" s="2"/>
      <c r="X110" s="2"/>
      <c r="Y110" s="2"/>
      <c r="Z110" s="2"/>
      <c r="AA110" s="2"/>
      <c r="AB110" s="2"/>
      <c r="AC110" s="2"/>
      <c r="AD110" s="2"/>
      <c r="AE110" s="2"/>
      <c r="AF110" s="2"/>
      <c r="AG110" s="2"/>
      <c r="AH110" s="2"/>
      <c r="AI110" s="2"/>
      <c r="AJ110" s="2"/>
    </row>
    <row r="111" spans="1:36" ht="17.25" customHeight="1" x14ac:dyDescent="0.2">
      <c r="A111" s="3" t="s">
        <v>0</v>
      </c>
      <c r="B111" s="3" t="s">
        <v>145</v>
      </c>
      <c r="C111" s="3" t="s">
        <v>274</v>
      </c>
      <c r="D111" s="3" t="s">
        <v>238</v>
      </c>
      <c r="E111" s="3" t="s">
        <v>125</v>
      </c>
      <c r="F111" s="2">
        <v>10</v>
      </c>
      <c r="G111" s="4" t="s">
        <v>98</v>
      </c>
      <c r="H111" s="2">
        <v>1993</v>
      </c>
      <c r="I111" s="2" t="s">
        <v>146</v>
      </c>
      <c r="J111" s="2" t="s">
        <v>127</v>
      </c>
      <c r="K111" s="2" t="s">
        <v>128</v>
      </c>
      <c r="L111" s="2" t="s">
        <v>398</v>
      </c>
      <c r="M111" s="2" t="s">
        <v>8</v>
      </c>
      <c r="N111" s="2">
        <v>0</v>
      </c>
      <c r="O111" s="2">
        <v>10</v>
      </c>
      <c r="P111" s="2"/>
      <c r="Q111" s="2"/>
      <c r="R111" s="2"/>
      <c r="S111" s="2"/>
      <c r="T111" s="2"/>
      <c r="U111" s="2"/>
      <c r="V111" s="2"/>
      <c r="W111" s="2"/>
      <c r="X111" s="2"/>
      <c r="Y111" s="2"/>
      <c r="Z111" s="2"/>
      <c r="AA111" s="2"/>
      <c r="AB111" s="2"/>
      <c r="AC111" s="2"/>
      <c r="AD111" s="2"/>
      <c r="AE111" s="2"/>
      <c r="AF111" s="2"/>
      <c r="AG111" s="2"/>
      <c r="AH111" s="2"/>
      <c r="AI111" s="2"/>
      <c r="AJ111" s="2"/>
    </row>
    <row r="112" spans="1:36" ht="17.25" customHeight="1" x14ac:dyDescent="0.2">
      <c r="A112" s="3" t="s">
        <v>0</v>
      </c>
      <c r="B112" s="3" t="s">
        <v>147</v>
      </c>
      <c r="C112" s="3" t="s">
        <v>274</v>
      </c>
      <c r="D112" s="3" t="s">
        <v>238</v>
      </c>
      <c r="E112" s="3" t="s">
        <v>125</v>
      </c>
      <c r="F112" s="2">
        <v>11</v>
      </c>
      <c r="G112" s="4" t="s">
        <v>104</v>
      </c>
      <c r="H112" s="2">
        <v>1994</v>
      </c>
      <c r="I112" s="2" t="s">
        <v>148</v>
      </c>
      <c r="J112" s="2" t="s">
        <v>127</v>
      </c>
      <c r="K112" s="2" t="s">
        <v>128</v>
      </c>
      <c r="L112" s="2" t="s">
        <v>398</v>
      </c>
      <c r="M112" s="2" t="s">
        <v>8</v>
      </c>
      <c r="N112" s="2">
        <v>0</v>
      </c>
      <c r="O112" s="2">
        <v>10</v>
      </c>
      <c r="P112" s="2"/>
      <c r="Q112" s="2"/>
      <c r="R112" s="2"/>
      <c r="S112" s="2"/>
      <c r="T112" s="2"/>
      <c r="U112" s="2"/>
      <c r="V112" s="2"/>
      <c r="W112" s="2"/>
      <c r="X112" s="2"/>
      <c r="Y112" s="2"/>
      <c r="Z112" s="2"/>
      <c r="AA112" s="2"/>
      <c r="AB112" s="2"/>
      <c r="AC112" s="2"/>
      <c r="AD112" s="2"/>
      <c r="AE112" s="2"/>
      <c r="AF112" s="2"/>
      <c r="AG112" s="2"/>
      <c r="AH112" s="2"/>
      <c r="AI112" s="2"/>
      <c r="AJ112" s="2"/>
    </row>
    <row r="113" spans="1:36" ht="17.25" customHeight="1" x14ac:dyDescent="0.2">
      <c r="A113" s="3" t="s">
        <v>0</v>
      </c>
      <c r="B113" s="3" t="s">
        <v>149</v>
      </c>
      <c r="C113" s="3" t="s">
        <v>274</v>
      </c>
      <c r="D113" s="3" t="s">
        <v>238</v>
      </c>
      <c r="E113" s="3" t="s">
        <v>125</v>
      </c>
      <c r="F113" s="2">
        <v>12</v>
      </c>
      <c r="G113" s="4" t="s">
        <v>89</v>
      </c>
      <c r="H113" s="2">
        <v>1995</v>
      </c>
      <c r="I113" s="2" t="s">
        <v>150</v>
      </c>
      <c r="J113" s="2" t="s">
        <v>127</v>
      </c>
      <c r="K113" s="2" t="s">
        <v>128</v>
      </c>
      <c r="L113" s="2" t="s">
        <v>398</v>
      </c>
      <c r="M113" s="2" t="s">
        <v>8</v>
      </c>
      <c r="N113" s="2">
        <v>0</v>
      </c>
      <c r="O113" s="2">
        <v>10</v>
      </c>
      <c r="P113" s="2"/>
      <c r="Q113" s="2"/>
      <c r="R113" s="2"/>
      <c r="S113" s="2"/>
      <c r="T113" s="2"/>
      <c r="U113" s="2"/>
      <c r="V113" s="2"/>
      <c r="W113" s="2"/>
      <c r="X113" s="2"/>
      <c r="Y113" s="2"/>
      <c r="Z113" s="2"/>
      <c r="AA113" s="2"/>
      <c r="AB113" s="2"/>
      <c r="AC113" s="2"/>
      <c r="AD113" s="2"/>
      <c r="AE113" s="2"/>
      <c r="AF113" s="2"/>
      <c r="AG113" s="2"/>
      <c r="AH113" s="2"/>
      <c r="AI113" s="2"/>
      <c r="AJ113" s="2"/>
    </row>
    <row r="114" spans="1:36" ht="17.25" customHeight="1" x14ac:dyDescent="0.2">
      <c r="A114" s="3" t="s">
        <v>0</v>
      </c>
      <c r="B114" s="3" t="s">
        <v>151</v>
      </c>
      <c r="C114" s="3" t="s">
        <v>274</v>
      </c>
      <c r="D114" s="3" t="s">
        <v>238</v>
      </c>
      <c r="E114" s="3" t="s">
        <v>125</v>
      </c>
      <c r="F114" s="2">
        <v>13</v>
      </c>
      <c r="G114" s="4" t="s">
        <v>107</v>
      </c>
      <c r="H114" s="2">
        <v>1996</v>
      </c>
      <c r="I114" s="2" t="s">
        <v>152</v>
      </c>
      <c r="J114" s="2" t="s">
        <v>127</v>
      </c>
      <c r="K114" s="2" t="s">
        <v>128</v>
      </c>
      <c r="L114" s="2" t="s">
        <v>398</v>
      </c>
      <c r="M114" s="2" t="s">
        <v>8</v>
      </c>
      <c r="N114" s="2">
        <v>0</v>
      </c>
      <c r="O114" s="2">
        <v>10</v>
      </c>
      <c r="P114" s="2"/>
      <c r="Q114" s="2"/>
      <c r="R114" s="2"/>
      <c r="S114" s="2"/>
      <c r="T114" s="2"/>
      <c r="U114" s="2"/>
      <c r="V114" s="2"/>
      <c r="W114" s="2"/>
      <c r="X114" s="2"/>
      <c r="Y114" s="2"/>
      <c r="Z114" s="2"/>
      <c r="AA114" s="2"/>
      <c r="AB114" s="2"/>
      <c r="AC114" s="2"/>
      <c r="AD114" s="2"/>
      <c r="AE114" s="2"/>
      <c r="AF114" s="2"/>
      <c r="AG114" s="2"/>
      <c r="AH114" s="2"/>
      <c r="AI114" s="2"/>
      <c r="AJ114" s="2"/>
    </row>
    <row r="115" spans="1:36" ht="17.25" customHeight="1" x14ac:dyDescent="0.2">
      <c r="A115" s="3" t="s">
        <v>0</v>
      </c>
      <c r="B115" s="3" t="s">
        <v>153</v>
      </c>
      <c r="C115" s="3" t="s">
        <v>274</v>
      </c>
      <c r="D115" s="3" t="s">
        <v>238</v>
      </c>
      <c r="E115" s="3" t="s">
        <v>125</v>
      </c>
      <c r="F115" s="2">
        <v>14</v>
      </c>
      <c r="G115" s="4" t="s">
        <v>43</v>
      </c>
      <c r="H115" s="2">
        <v>1997</v>
      </c>
      <c r="I115" s="2" t="s">
        <v>154</v>
      </c>
      <c r="J115" s="2" t="s">
        <v>127</v>
      </c>
      <c r="K115" s="2" t="s">
        <v>128</v>
      </c>
      <c r="L115" s="2" t="s">
        <v>398</v>
      </c>
      <c r="M115" s="2" t="s">
        <v>8</v>
      </c>
      <c r="N115" s="2">
        <v>0</v>
      </c>
      <c r="O115" s="2">
        <v>10</v>
      </c>
      <c r="P115" s="2"/>
      <c r="Q115" s="2"/>
      <c r="R115" s="2"/>
      <c r="S115" s="2"/>
      <c r="T115" s="2"/>
      <c r="U115" s="2"/>
      <c r="V115" s="2"/>
      <c r="W115" s="2"/>
      <c r="X115" s="2"/>
      <c r="Y115" s="2"/>
      <c r="Z115" s="2"/>
      <c r="AA115" s="2"/>
      <c r="AB115" s="2"/>
      <c r="AC115" s="2"/>
      <c r="AD115" s="2"/>
      <c r="AE115" s="2"/>
      <c r="AF115" s="2"/>
      <c r="AG115" s="2"/>
      <c r="AH115" s="2"/>
      <c r="AI115" s="2"/>
      <c r="AJ115" s="2"/>
    </row>
    <row r="116" spans="1:36" ht="17.25" customHeight="1" x14ac:dyDescent="0.2">
      <c r="A116" s="3" t="s">
        <v>0</v>
      </c>
      <c r="B116" s="3" t="s">
        <v>155</v>
      </c>
      <c r="C116" s="3" t="s">
        <v>274</v>
      </c>
      <c r="D116" s="3" t="s">
        <v>238</v>
      </c>
      <c r="E116" s="3" t="s">
        <v>125</v>
      </c>
      <c r="F116" s="2">
        <v>15</v>
      </c>
      <c r="G116" s="4" t="s">
        <v>19</v>
      </c>
      <c r="H116" s="2">
        <v>1998</v>
      </c>
      <c r="I116" s="2" t="s">
        <v>156</v>
      </c>
      <c r="J116" s="2" t="s">
        <v>127</v>
      </c>
      <c r="K116" s="2" t="s">
        <v>128</v>
      </c>
      <c r="L116" s="2" t="s">
        <v>398</v>
      </c>
      <c r="M116" s="2" t="s">
        <v>8</v>
      </c>
      <c r="N116" s="2">
        <v>0</v>
      </c>
      <c r="O116" s="2">
        <v>10</v>
      </c>
      <c r="P116" s="2"/>
      <c r="Q116" s="2"/>
      <c r="R116" s="2"/>
      <c r="S116" s="2"/>
      <c r="T116" s="2"/>
      <c r="U116" s="2"/>
      <c r="V116" s="2"/>
      <c r="W116" s="2"/>
      <c r="X116" s="2"/>
      <c r="Y116" s="2"/>
      <c r="Z116" s="2"/>
      <c r="AA116" s="2"/>
      <c r="AB116" s="2"/>
      <c r="AC116" s="2"/>
      <c r="AD116" s="2"/>
      <c r="AE116" s="2"/>
      <c r="AF116" s="2"/>
      <c r="AG116" s="2"/>
      <c r="AH116" s="2"/>
      <c r="AI116" s="2"/>
      <c r="AJ116" s="2"/>
    </row>
    <row r="117" spans="1:36" ht="17.25" customHeight="1" x14ac:dyDescent="0.2">
      <c r="A117" s="3" t="s">
        <v>0</v>
      </c>
      <c r="B117" s="3" t="s">
        <v>157</v>
      </c>
      <c r="C117" s="3" t="s">
        <v>274</v>
      </c>
      <c r="D117" s="3" t="s">
        <v>238</v>
      </c>
      <c r="E117" s="3" t="s">
        <v>125</v>
      </c>
      <c r="F117" s="2">
        <v>16</v>
      </c>
      <c r="G117" s="4" t="s">
        <v>25</v>
      </c>
      <c r="H117" s="2">
        <v>1999</v>
      </c>
      <c r="I117" s="2" t="s">
        <v>158</v>
      </c>
      <c r="J117" s="2" t="s">
        <v>127</v>
      </c>
      <c r="K117" s="2" t="s">
        <v>128</v>
      </c>
      <c r="L117" s="2" t="s">
        <v>398</v>
      </c>
      <c r="M117" s="2" t="s">
        <v>8</v>
      </c>
      <c r="N117" s="2">
        <v>0</v>
      </c>
      <c r="O117" s="2">
        <v>10</v>
      </c>
      <c r="P117" s="2"/>
      <c r="Q117" s="2"/>
      <c r="R117" s="2"/>
      <c r="S117" s="2"/>
      <c r="T117" s="2"/>
      <c r="U117" s="2"/>
      <c r="V117" s="2"/>
      <c r="W117" s="2"/>
      <c r="X117" s="2"/>
      <c r="Y117" s="2"/>
      <c r="Z117" s="2"/>
      <c r="AA117" s="2"/>
      <c r="AB117" s="2"/>
      <c r="AC117" s="2"/>
      <c r="AD117" s="2"/>
      <c r="AE117" s="2"/>
      <c r="AF117" s="2"/>
      <c r="AG117" s="2"/>
      <c r="AH117" s="2"/>
      <c r="AI117" s="2"/>
      <c r="AJ117" s="2"/>
    </row>
    <row r="118" spans="1:36" ht="17.25" customHeight="1" x14ac:dyDescent="0.2">
      <c r="A118" s="3" t="s">
        <v>0</v>
      </c>
      <c r="B118" s="3" t="s">
        <v>159</v>
      </c>
      <c r="C118" s="3" t="s">
        <v>274</v>
      </c>
      <c r="D118" s="3" t="s">
        <v>238</v>
      </c>
      <c r="E118" s="3" t="s">
        <v>125</v>
      </c>
      <c r="F118" s="2">
        <v>17</v>
      </c>
      <c r="G118" s="4" t="s">
        <v>73</v>
      </c>
      <c r="H118" s="2">
        <v>2000</v>
      </c>
      <c r="I118" s="2" t="s">
        <v>160</v>
      </c>
      <c r="J118" s="2" t="s">
        <v>127</v>
      </c>
      <c r="K118" s="2" t="s">
        <v>128</v>
      </c>
      <c r="L118" s="2" t="s">
        <v>398</v>
      </c>
      <c r="M118" s="2" t="s">
        <v>8</v>
      </c>
      <c r="N118" s="2">
        <v>0</v>
      </c>
      <c r="O118" s="2">
        <v>10</v>
      </c>
      <c r="P118" s="2"/>
      <c r="Q118" s="2"/>
      <c r="R118" s="2"/>
      <c r="S118" s="2"/>
      <c r="T118" s="2"/>
      <c r="U118" s="2"/>
      <c r="V118" s="2"/>
      <c r="W118" s="2"/>
      <c r="X118" s="2"/>
      <c r="Y118" s="2"/>
      <c r="Z118" s="2"/>
      <c r="AA118" s="2"/>
      <c r="AB118" s="2"/>
      <c r="AC118" s="2"/>
      <c r="AD118" s="2"/>
      <c r="AE118" s="2"/>
      <c r="AF118" s="2"/>
      <c r="AG118" s="2"/>
      <c r="AH118" s="2"/>
      <c r="AI118" s="2"/>
      <c r="AJ118" s="2"/>
    </row>
    <row r="119" spans="1:36" ht="17.25" customHeight="1" x14ac:dyDescent="0.2">
      <c r="A119" s="3" t="s">
        <v>0</v>
      </c>
      <c r="B119" s="3" t="s">
        <v>161</v>
      </c>
      <c r="C119" s="3" t="s">
        <v>274</v>
      </c>
      <c r="D119" s="3" t="s">
        <v>238</v>
      </c>
      <c r="E119" s="3" t="s">
        <v>125</v>
      </c>
      <c r="F119" s="2">
        <v>18</v>
      </c>
      <c r="G119" s="4" t="s">
        <v>58</v>
      </c>
      <c r="H119" s="2">
        <v>2001</v>
      </c>
      <c r="I119" s="2" t="s">
        <v>162</v>
      </c>
      <c r="J119" s="2" t="s">
        <v>127</v>
      </c>
      <c r="K119" s="2" t="s">
        <v>128</v>
      </c>
      <c r="L119" s="2" t="s">
        <v>398</v>
      </c>
      <c r="M119" s="2" t="s">
        <v>8</v>
      </c>
      <c r="N119" s="2">
        <v>0</v>
      </c>
      <c r="O119" s="2">
        <v>10</v>
      </c>
      <c r="P119" s="2"/>
      <c r="Q119" s="2"/>
      <c r="R119" s="2"/>
      <c r="S119" s="2"/>
      <c r="T119" s="2"/>
      <c r="U119" s="2"/>
      <c r="V119" s="2"/>
      <c r="W119" s="2"/>
      <c r="X119" s="2"/>
      <c r="Y119" s="2"/>
      <c r="Z119" s="2"/>
      <c r="AA119" s="2"/>
      <c r="AB119" s="2"/>
      <c r="AC119" s="2"/>
      <c r="AD119" s="2"/>
      <c r="AE119" s="2"/>
      <c r="AF119" s="2"/>
      <c r="AG119" s="2"/>
      <c r="AH119" s="2"/>
      <c r="AI119" s="2"/>
      <c r="AJ119" s="2"/>
    </row>
    <row r="120" spans="1:36" ht="17.25" customHeight="1" x14ac:dyDescent="0.2">
      <c r="A120" s="3" t="s">
        <v>0</v>
      </c>
      <c r="B120" s="3" t="s">
        <v>163</v>
      </c>
      <c r="C120" s="3" t="s">
        <v>274</v>
      </c>
      <c r="D120" s="3" t="s">
        <v>238</v>
      </c>
      <c r="E120" s="3" t="s">
        <v>125</v>
      </c>
      <c r="F120" s="2">
        <v>19</v>
      </c>
      <c r="G120" s="4" t="s">
        <v>4</v>
      </c>
      <c r="H120" s="2">
        <v>2002</v>
      </c>
      <c r="I120" s="2" t="s">
        <v>164</v>
      </c>
      <c r="J120" s="2" t="s">
        <v>127</v>
      </c>
      <c r="K120" s="2" t="s">
        <v>128</v>
      </c>
      <c r="L120" s="2" t="s">
        <v>398</v>
      </c>
      <c r="M120" s="2" t="s">
        <v>8</v>
      </c>
      <c r="N120" s="2">
        <v>0</v>
      </c>
      <c r="O120" s="2">
        <v>10</v>
      </c>
      <c r="P120" s="2"/>
      <c r="Q120" s="2"/>
      <c r="R120" s="2"/>
      <c r="S120" s="2"/>
      <c r="T120" s="2"/>
      <c r="U120" s="2"/>
      <c r="V120" s="2"/>
      <c r="W120" s="2"/>
      <c r="X120" s="2"/>
      <c r="Y120" s="2"/>
      <c r="Z120" s="2"/>
      <c r="AA120" s="2"/>
      <c r="AB120" s="2"/>
      <c r="AC120" s="2"/>
      <c r="AD120" s="2"/>
      <c r="AE120" s="2"/>
      <c r="AF120" s="2"/>
      <c r="AG120" s="2"/>
      <c r="AH120" s="2"/>
      <c r="AI120" s="2"/>
      <c r="AJ120" s="2"/>
    </row>
    <row r="121" spans="1:36" ht="17.25" customHeight="1" x14ac:dyDescent="0.2">
      <c r="A121" s="3" t="s">
        <v>0</v>
      </c>
      <c r="B121" s="3" t="s">
        <v>165</v>
      </c>
      <c r="C121" s="3" t="s">
        <v>274</v>
      </c>
      <c r="D121" s="3" t="s">
        <v>238</v>
      </c>
      <c r="E121" s="3" t="s">
        <v>125</v>
      </c>
      <c r="F121" s="2">
        <v>20</v>
      </c>
      <c r="G121" s="4" t="s">
        <v>83</v>
      </c>
      <c r="H121" s="2">
        <v>2003</v>
      </c>
      <c r="I121" s="2" t="s">
        <v>166</v>
      </c>
      <c r="J121" s="2" t="s">
        <v>127</v>
      </c>
      <c r="K121" s="2" t="s">
        <v>128</v>
      </c>
      <c r="L121" s="2" t="s">
        <v>398</v>
      </c>
      <c r="M121" s="2" t="s">
        <v>8</v>
      </c>
      <c r="N121" s="2">
        <v>0</v>
      </c>
      <c r="O121" s="2">
        <v>10</v>
      </c>
      <c r="P121" s="2"/>
      <c r="Q121" s="2"/>
      <c r="R121" s="2"/>
      <c r="S121" s="2"/>
      <c r="T121" s="2"/>
      <c r="U121" s="2"/>
      <c r="V121" s="2"/>
      <c r="W121" s="2"/>
      <c r="X121" s="2"/>
      <c r="Y121" s="2"/>
      <c r="Z121" s="2"/>
      <c r="AA121" s="2"/>
      <c r="AB121" s="2"/>
      <c r="AC121" s="2"/>
      <c r="AD121" s="2"/>
      <c r="AE121" s="2"/>
      <c r="AF121" s="2"/>
      <c r="AG121" s="2"/>
      <c r="AH121" s="2"/>
      <c r="AI121" s="2"/>
      <c r="AJ121" s="2"/>
    </row>
    <row r="122" spans="1:36" ht="17.25" customHeight="1" x14ac:dyDescent="0.2">
      <c r="A122" s="3" t="s">
        <v>0</v>
      </c>
      <c r="B122" s="3" t="s">
        <v>167</v>
      </c>
      <c r="C122" s="3" t="s">
        <v>274</v>
      </c>
      <c r="D122" s="3" t="s">
        <v>238</v>
      </c>
      <c r="E122" s="3" t="s">
        <v>125</v>
      </c>
      <c r="F122" s="2">
        <v>21</v>
      </c>
      <c r="G122" s="4" t="s">
        <v>64</v>
      </c>
      <c r="H122" s="2">
        <v>2004</v>
      </c>
      <c r="I122" s="2" t="s">
        <v>168</v>
      </c>
      <c r="J122" s="2" t="s">
        <v>127</v>
      </c>
      <c r="K122" s="2" t="s">
        <v>128</v>
      </c>
      <c r="L122" s="2" t="s">
        <v>398</v>
      </c>
      <c r="M122" s="2" t="s">
        <v>8</v>
      </c>
      <c r="N122" s="2">
        <v>0</v>
      </c>
      <c r="O122" s="2">
        <v>10</v>
      </c>
      <c r="P122" s="2"/>
      <c r="Q122" s="2"/>
      <c r="R122" s="2"/>
      <c r="S122" s="2"/>
      <c r="T122" s="2"/>
      <c r="U122" s="2"/>
      <c r="V122" s="2"/>
      <c r="W122" s="2"/>
      <c r="X122" s="2"/>
      <c r="Y122" s="2"/>
      <c r="Z122" s="2"/>
      <c r="AA122" s="2"/>
      <c r="AB122" s="2"/>
      <c r="AC122" s="2"/>
      <c r="AD122" s="2"/>
      <c r="AE122" s="2"/>
      <c r="AF122" s="2"/>
      <c r="AG122" s="2"/>
      <c r="AH122" s="2"/>
      <c r="AI122" s="2"/>
      <c r="AJ122" s="2"/>
    </row>
    <row r="123" spans="1:36" ht="17.25" customHeight="1" x14ac:dyDescent="0.2">
      <c r="A123" s="3" t="s">
        <v>0</v>
      </c>
      <c r="B123" s="3" t="s">
        <v>169</v>
      </c>
      <c r="C123" s="3" t="s">
        <v>274</v>
      </c>
      <c r="D123" s="3" t="s">
        <v>238</v>
      </c>
      <c r="E123" s="3" t="s">
        <v>125</v>
      </c>
      <c r="F123" s="2">
        <v>22</v>
      </c>
      <c r="G123" s="4" t="s">
        <v>92</v>
      </c>
      <c r="H123" s="2">
        <v>2005</v>
      </c>
      <c r="I123" s="2" t="s">
        <v>170</v>
      </c>
      <c r="J123" s="2" t="s">
        <v>127</v>
      </c>
      <c r="K123" s="2" t="s">
        <v>128</v>
      </c>
      <c r="L123" s="2" t="s">
        <v>398</v>
      </c>
      <c r="M123" s="2" t="s">
        <v>8</v>
      </c>
      <c r="N123" s="2">
        <v>0</v>
      </c>
      <c r="O123" s="2">
        <v>10</v>
      </c>
      <c r="P123" s="2"/>
      <c r="Q123" s="2"/>
      <c r="R123" s="2"/>
      <c r="S123" s="2"/>
      <c r="T123" s="2"/>
      <c r="U123" s="2"/>
      <c r="V123" s="2"/>
      <c r="W123" s="2"/>
      <c r="X123" s="2"/>
      <c r="Y123" s="2"/>
      <c r="Z123" s="2"/>
      <c r="AA123" s="2"/>
      <c r="AB123" s="2"/>
      <c r="AC123" s="2"/>
      <c r="AD123" s="2"/>
      <c r="AE123" s="2"/>
      <c r="AF123" s="2"/>
      <c r="AG123" s="2"/>
      <c r="AH123" s="2"/>
      <c r="AI123" s="2"/>
      <c r="AJ123" s="2"/>
    </row>
    <row r="124" spans="1:36" ht="17.25" customHeight="1" x14ac:dyDescent="0.2">
      <c r="A124" s="3" t="s">
        <v>0</v>
      </c>
      <c r="B124" s="3" t="s">
        <v>171</v>
      </c>
      <c r="C124" s="3" t="s">
        <v>274</v>
      </c>
      <c r="D124" s="3" t="s">
        <v>238</v>
      </c>
      <c r="E124" s="3" t="s">
        <v>125</v>
      </c>
      <c r="F124" s="2">
        <v>23</v>
      </c>
      <c r="G124" s="4" t="s">
        <v>52</v>
      </c>
      <c r="H124" s="2">
        <v>2006</v>
      </c>
      <c r="I124" s="2" t="s">
        <v>172</v>
      </c>
      <c r="J124" s="2" t="s">
        <v>127</v>
      </c>
      <c r="K124" s="2" t="s">
        <v>128</v>
      </c>
      <c r="L124" s="2" t="s">
        <v>398</v>
      </c>
      <c r="M124" s="2" t="s">
        <v>8</v>
      </c>
      <c r="N124" s="2">
        <v>0</v>
      </c>
      <c r="O124" s="2">
        <v>10</v>
      </c>
      <c r="P124" s="2"/>
      <c r="Q124" s="2"/>
      <c r="R124" s="2"/>
      <c r="S124" s="2"/>
      <c r="T124" s="2"/>
      <c r="U124" s="2"/>
      <c r="V124" s="2"/>
      <c r="W124" s="2"/>
      <c r="X124" s="2"/>
      <c r="Y124" s="2"/>
      <c r="Z124" s="2"/>
      <c r="AA124" s="2"/>
      <c r="AB124" s="2"/>
      <c r="AC124" s="2"/>
      <c r="AD124" s="2"/>
      <c r="AE124" s="2"/>
      <c r="AF124" s="2"/>
      <c r="AG124" s="2"/>
      <c r="AH124" s="2"/>
      <c r="AI124" s="2"/>
      <c r="AJ124" s="2"/>
    </row>
    <row r="125" spans="1:36" ht="17.25" customHeight="1" x14ac:dyDescent="0.2">
      <c r="A125" s="3" t="s">
        <v>0</v>
      </c>
      <c r="B125" s="3" t="s">
        <v>173</v>
      </c>
      <c r="C125" s="3" t="s">
        <v>274</v>
      </c>
      <c r="D125" s="3" t="s">
        <v>238</v>
      </c>
      <c r="E125" s="3" t="s">
        <v>125</v>
      </c>
      <c r="F125" s="2">
        <v>24</v>
      </c>
      <c r="G125" s="4" t="s">
        <v>95</v>
      </c>
      <c r="H125" s="2">
        <v>2007</v>
      </c>
      <c r="I125" s="2" t="s">
        <v>174</v>
      </c>
      <c r="J125" s="2" t="s">
        <v>127</v>
      </c>
      <c r="K125" s="2" t="s">
        <v>128</v>
      </c>
      <c r="L125" s="2" t="s">
        <v>398</v>
      </c>
      <c r="M125" s="2" t="s">
        <v>8</v>
      </c>
      <c r="N125" s="2">
        <v>0</v>
      </c>
      <c r="O125" s="2">
        <v>10</v>
      </c>
      <c r="P125" s="2"/>
      <c r="Q125" s="2"/>
      <c r="R125" s="2"/>
      <c r="S125" s="2"/>
      <c r="T125" s="2"/>
      <c r="U125" s="2"/>
      <c r="V125" s="2"/>
      <c r="W125" s="2"/>
      <c r="X125" s="2"/>
      <c r="Y125" s="2"/>
      <c r="Z125" s="2"/>
      <c r="AA125" s="2"/>
      <c r="AB125" s="2"/>
      <c r="AC125" s="2"/>
      <c r="AD125" s="2"/>
      <c r="AE125" s="2"/>
      <c r="AF125" s="2"/>
      <c r="AG125" s="2"/>
      <c r="AH125" s="2"/>
      <c r="AI125" s="2"/>
      <c r="AJ125" s="2"/>
    </row>
    <row r="126" spans="1:36" ht="17.25" customHeight="1" x14ac:dyDescent="0.2">
      <c r="A126" s="3" t="s">
        <v>0</v>
      </c>
      <c r="B126" s="3" t="s">
        <v>175</v>
      </c>
      <c r="C126" s="3" t="s">
        <v>274</v>
      </c>
      <c r="D126" s="3" t="s">
        <v>238</v>
      </c>
      <c r="E126" s="3" t="s">
        <v>125</v>
      </c>
      <c r="F126" s="2">
        <v>25</v>
      </c>
      <c r="G126" s="4" t="s">
        <v>70</v>
      </c>
      <c r="H126" s="2">
        <v>2008</v>
      </c>
      <c r="I126" s="2" t="s">
        <v>176</v>
      </c>
      <c r="J126" s="2" t="s">
        <v>127</v>
      </c>
      <c r="K126" s="2" t="s">
        <v>128</v>
      </c>
      <c r="L126" s="2" t="s">
        <v>398</v>
      </c>
      <c r="M126" s="2" t="s">
        <v>8</v>
      </c>
      <c r="N126" s="2">
        <v>0</v>
      </c>
      <c r="O126" s="2">
        <v>10</v>
      </c>
      <c r="P126" s="2"/>
      <c r="Q126" s="2"/>
      <c r="R126" s="2"/>
      <c r="S126" s="2"/>
      <c r="T126" s="2"/>
      <c r="U126" s="2"/>
      <c r="V126" s="2"/>
      <c r="W126" s="2"/>
      <c r="X126" s="2"/>
      <c r="Y126" s="2"/>
      <c r="Z126" s="2"/>
      <c r="AA126" s="2"/>
      <c r="AB126" s="2"/>
      <c r="AC126" s="2"/>
      <c r="AD126" s="2"/>
      <c r="AE126" s="2"/>
      <c r="AF126" s="2"/>
      <c r="AG126" s="2"/>
      <c r="AH126" s="2"/>
      <c r="AI126" s="2"/>
      <c r="AJ126" s="2"/>
    </row>
    <row r="127" spans="1:36" ht="17.25" customHeight="1" x14ac:dyDescent="0.2">
      <c r="A127" s="3" t="s">
        <v>0</v>
      </c>
      <c r="B127" s="3" t="s">
        <v>177</v>
      </c>
      <c r="C127" s="3" t="s">
        <v>274</v>
      </c>
      <c r="D127" s="3" t="s">
        <v>238</v>
      </c>
      <c r="E127" s="3" t="s">
        <v>125</v>
      </c>
      <c r="F127" s="2">
        <v>26</v>
      </c>
      <c r="G127" s="4" t="s">
        <v>16</v>
      </c>
      <c r="H127" s="2">
        <v>2009</v>
      </c>
      <c r="I127" s="2" t="s">
        <v>178</v>
      </c>
      <c r="J127" s="2" t="s">
        <v>127</v>
      </c>
      <c r="K127" s="2" t="s">
        <v>128</v>
      </c>
      <c r="L127" s="2" t="s">
        <v>398</v>
      </c>
      <c r="M127" s="2" t="s">
        <v>8</v>
      </c>
      <c r="N127" s="2">
        <v>0</v>
      </c>
      <c r="O127" s="2">
        <v>10</v>
      </c>
      <c r="P127" s="2"/>
      <c r="Q127" s="2"/>
      <c r="R127" s="2"/>
      <c r="S127" s="2"/>
      <c r="T127" s="2"/>
      <c r="U127" s="2"/>
      <c r="V127" s="2"/>
      <c r="W127" s="2"/>
      <c r="X127" s="2"/>
      <c r="Y127" s="2"/>
      <c r="Z127" s="2"/>
      <c r="AA127" s="2"/>
      <c r="AB127" s="2"/>
      <c r="AC127" s="2"/>
      <c r="AD127" s="2"/>
      <c r="AE127" s="2"/>
      <c r="AF127" s="2"/>
      <c r="AG127" s="2"/>
      <c r="AH127" s="2"/>
      <c r="AI127" s="2"/>
      <c r="AJ127" s="2"/>
    </row>
    <row r="128" spans="1:36" ht="17.25" customHeight="1" x14ac:dyDescent="0.2">
      <c r="A128" s="3" t="s">
        <v>0</v>
      </c>
      <c r="B128" s="3" t="s">
        <v>179</v>
      </c>
      <c r="C128" s="3" t="s">
        <v>274</v>
      </c>
      <c r="D128" s="3" t="s">
        <v>238</v>
      </c>
      <c r="E128" s="3" t="s">
        <v>125</v>
      </c>
      <c r="F128" s="2">
        <v>27</v>
      </c>
      <c r="G128" s="4" t="s">
        <v>34</v>
      </c>
      <c r="H128" s="2">
        <v>2010</v>
      </c>
      <c r="I128" s="2" t="s">
        <v>180</v>
      </c>
      <c r="J128" s="2" t="s">
        <v>127</v>
      </c>
      <c r="K128" s="2" t="s">
        <v>128</v>
      </c>
      <c r="L128" s="2" t="s">
        <v>398</v>
      </c>
      <c r="M128" s="2" t="s">
        <v>8</v>
      </c>
      <c r="N128" s="2">
        <v>0</v>
      </c>
      <c r="O128" s="2">
        <v>10</v>
      </c>
      <c r="P128" s="2"/>
      <c r="Q128" s="2"/>
      <c r="R128" s="2"/>
      <c r="S128" s="2"/>
      <c r="T128" s="2"/>
      <c r="U128" s="2"/>
      <c r="V128" s="2"/>
      <c r="W128" s="2"/>
      <c r="X128" s="2"/>
      <c r="Y128" s="2"/>
      <c r="Z128" s="2"/>
      <c r="AA128" s="2"/>
      <c r="AB128" s="2"/>
      <c r="AC128" s="2"/>
      <c r="AD128" s="2"/>
      <c r="AE128" s="2"/>
      <c r="AF128" s="2"/>
      <c r="AG128" s="2"/>
      <c r="AH128" s="2"/>
      <c r="AI128" s="2"/>
      <c r="AJ128" s="2"/>
    </row>
    <row r="129" spans="1:36" ht="17.25" customHeight="1" x14ac:dyDescent="0.2">
      <c r="A129" s="3" t="s">
        <v>0</v>
      </c>
      <c r="B129" s="3" t="s">
        <v>181</v>
      </c>
      <c r="C129" s="3" t="s">
        <v>274</v>
      </c>
      <c r="D129" s="3" t="s">
        <v>238</v>
      </c>
      <c r="E129" s="3" t="s">
        <v>125</v>
      </c>
      <c r="F129" s="2">
        <v>28</v>
      </c>
      <c r="G129" s="4" t="s">
        <v>46</v>
      </c>
      <c r="H129" s="2">
        <v>2011</v>
      </c>
      <c r="I129" s="2" t="s">
        <v>182</v>
      </c>
      <c r="J129" s="2" t="s">
        <v>127</v>
      </c>
      <c r="K129" s="2" t="s">
        <v>128</v>
      </c>
      <c r="L129" s="2" t="s">
        <v>398</v>
      </c>
      <c r="M129" s="2" t="s">
        <v>8</v>
      </c>
      <c r="N129" s="2">
        <v>0</v>
      </c>
      <c r="O129" s="2">
        <v>10</v>
      </c>
      <c r="P129" s="2"/>
      <c r="Q129" s="2"/>
      <c r="R129" s="2"/>
      <c r="S129" s="2"/>
      <c r="T129" s="2"/>
      <c r="U129" s="2"/>
      <c r="V129" s="2"/>
      <c r="W129" s="2"/>
      <c r="X129" s="2"/>
      <c r="Y129" s="2"/>
      <c r="Z129" s="2"/>
      <c r="AA129" s="2"/>
      <c r="AB129" s="2"/>
      <c r="AC129" s="2"/>
      <c r="AD129" s="2"/>
      <c r="AE129" s="2"/>
      <c r="AF129" s="2"/>
      <c r="AG129" s="2"/>
      <c r="AH129" s="2"/>
      <c r="AI129" s="2"/>
      <c r="AJ129" s="2"/>
    </row>
    <row r="130" spans="1:36" ht="17.25" customHeight="1" x14ac:dyDescent="0.2">
      <c r="A130" s="3" t="s">
        <v>0</v>
      </c>
      <c r="B130" s="3" t="s">
        <v>183</v>
      </c>
      <c r="C130" s="3" t="s">
        <v>274</v>
      </c>
      <c r="D130" s="3" t="s">
        <v>238</v>
      </c>
      <c r="E130" s="3" t="s">
        <v>125</v>
      </c>
      <c r="F130" s="2">
        <v>29</v>
      </c>
      <c r="G130" s="4" t="s">
        <v>61</v>
      </c>
      <c r="H130" s="2">
        <v>2012</v>
      </c>
      <c r="I130" s="2" t="s">
        <v>184</v>
      </c>
      <c r="J130" s="2" t="s">
        <v>127</v>
      </c>
      <c r="K130" s="2" t="s">
        <v>128</v>
      </c>
      <c r="L130" s="2" t="s">
        <v>398</v>
      </c>
      <c r="M130" s="2" t="s">
        <v>8</v>
      </c>
      <c r="N130" s="2">
        <v>0</v>
      </c>
      <c r="O130" s="2">
        <v>10</v>
      </c>
      <c r="P130" s="2"/>
      <c r="Q130" s="2"/>
      <c r="R130" s="2"/>
      <c r="S130" s="2"/>
      <c r="T130" s="2"/>
      <c r="U130" s="2"/>
      <c r="V130" s="2"/>
      <c r="W130" s="2"/>
      <c r="X130" s="2"/>
      <c r="Y130" s="2"/>
      <c r="Z130" s="2"/>
      <c r="AA130" s="2"/>
      <c r="AB130" s="2"/>
      <c r="AC130" s="2"/>
      <c r="AD130" s="2"/>
      <c r="AE130" s="2"/>
      <c r="AF130" s="2"/>
      <c r="AG130" s="2"/>
      <c r="AH130" s="2"/>
      <c r="AI130" s="2"/>
      <c r="AJ130" s="2"/>
    </row>
    <row r="131" spans="1:36" ht="17.25" customHeight="1" x14ac:dyDescent="0.2">
      <c r="A131" s="3" t="s">
        <v>0</v>
      </c>
      <c r="B131" s="3" t="s">
        <v>185</v>
      </c>
      <c r="C131" s="3" t="s">
        <v>274</v>
      </c>
      <c r="D131" s="3" t="s">
        <v>238</v>
      </c>
      <c r="E131" s="3" t="s">
        <v>125</v>
      </c>
      <c r="F131" s="2">
        <v>30</v>
      </c>
      <c r="G131" s="4" t="s">
        <v>86</v>
      </c>
      <c r="H131" s="2">
        <v>2013</v>
      </c>
      <c r="I131" s="2" t="s">
        <v>186</v>
      </c>
      <c r="J131" s="2" t="s">
        <v>127</v>
      </c>
      <c r="K131" s="2" t="s">
        <v>128</v>
      </c>
      <c r="L131" s="2" t="s">
        <v>398</v>
      </c>
      <c r="M131" s="2" t="s">
        <v>8</v>
      </c>
      <c r="N131" s="2">
        <v>0</v>
      </c>
      <c r="O131" s="2">
        <v>10</v>
      </c>
      <c r="P131" s="2"/>
      <c r="Q131" s="2"/>
      <c r="R131" s="2"/>
      <c r="S131" s="2"/>
      <c r="T131" s="2"/>
      <c r="U131" s="2"/>
      <c r="V131" s="2"/>
      <c r="W131" s="2"/>
      <c r="X131" s="2"/>
      <c r="Y131" s="2"/>
      <c r="Z131" s="2"/>
      <c r="AA131" s="2"/>
      <c r="AB131" s="2"/>
      <c r="AC131" s="2"/>
      <c r="AD131" s="2"/>
      <c r="AE131" s="2"/>
      <c r="AF131" s="2"/>
      <c r="AG131" s="2"/>
      <c r="AH131" s="2"/>
      <c r="AI131" s="2"/>
      <c r="AJ131" s="2"/>
    </row>
    <row r="132" spans="1:36" ht="17.25" customHeight="1" x14ac:dyDescent="0.2">
      <c r="A132" s="3" t="s">
        <v>0</v>
      </c>
      <c r="B132" s="3" t="s">
        <v>187</v>
      </c>
      <c r="C132" s="3" t="s">
        <v>274</v>
      </c>
      <c r="D132" s="3" t="s">
        <v>238</v>
      </c>
      <c r="E132" s="3" t="s">
        <v>125</v>
      </c>
      <c r="F132" s="2">
        <v>31</v>
      </c>
      <c r="G132" s="4" t="s">
        <v>22</v>
      </c>
      <c r="H132" s="2">
        <v>2014</v>
      </c>
      <c r="I132" s="2" t="s">
        <v>188</v>
      </c>
      <c r="J132" s="2" t="s">
        <v>127</v>
      </c>
      <c r="K132" s="2" t="s">
        <v>128</v>
      </c>
      <c r="L132" s="2" t="s">
        <v>398</v>
      </c>
      <c r="M132" s="2" t="s">
        <v>8</v>
      </c>
      <c r="N132" s="2">
        <v>0</v>
      </c>
      <c r="O132" s="2">
        <v>10</v>
      </c>
      <c r="P132" s="2"/>
      <c r="Q132" s="2"/>
      <c r="R132" s="2"/>
      <c r="S132" s="2"/>
      <c r="T132" s="2"/>
      <c r="U132" s="2"/>
      <c r="V132" s="2"/>
      <c r="W132" s="2"/>
      <c r="X132" s="2"/>
      <c r="Y132" s="2"/>
      <c r="Z132" s="2"/>
      <c r="AA132" s="2"/>
      <c r="AB132" s="2"/>
      <c r="AC132" s="2"/>
      <c r="AD132" s="2"/>
      <c r="AE132" s="2"/>
      <c r="AF132" s="2"/>
      <c r="AG132" s="2"/>
      <c r="AH132" s="2"/>
      <c r="AI132" s="2"/>
      <c r="AJ132" s="2"/>
    </row>
    <row r="133" spans="1:36" ht="17.25" customHeight="1" x14ac:dyDescent="0.2">
      <c r="A133" s="3" t="s">
        <v>0</v>
      </c>
      <c r="B133" s="3" t="s">
        <v>189</v>
      </c>
      <c r="C133" s="3" t="s">
        <v>274</v>
      </c>
      <c r="D133" s="3" t="s">
        <v>238</v>
      </c>
      <c r="E133" s="3" t="s">
        <v>125</v>
      </c>
      <c r="F133" s="2">
        <v>32</v>
      </c>
      <c r="G133" s="4" t="s">
        <v>28</v>
      </c>
      <c r="H133" s="2">
        <v>2015</v>
      </c>
      <c r="I133" s="2" t="s">
        <v>190</v>
      </c>
      <c r="J133" s="2" t="s">
        <v>127</v>
      </c>
      <c r="K133" s="2" t="s">
        <v>128</v>
      </c>
      <c r="L133" s="2" t="s">
        <v>398</v>
      </c>
      <c r="M133" s="2" t="s">
        <v>8</v>
      </c>
      <c r="N133" s="2">
        <v>0</v>
      </c>
      <c r="O133" s="2">
        <v>10</v>
      </c>
      <c r="P133" s="2"/>
      <c r="Q133" s="2"/>
      <c r="R133" s="2"/>
      <c r="S133" s="2"/>
      <c r="T133" s="2"/>
      <c r="U133" s="2"/>
      <c r="V133" s="2"/>
      <c r="W133" s="2"/>
      <c r="X133" s="2"/>
      <c r="Y133" s="2"/>
      <c r="Z133" s="2"/>
      <c r="AA133" s="2"/>
      <c r="AB133" s="2"/>
      <c r="AC133" s="2"/>
      <c r="AD133" s="2"/>
      <c r="AE133" s="2"/>
      <c r="AF133" s="2"/>
      <c r="AG133" s="2"/>
      <c r="AH133" s="2"/>
      <c r="AI133" s="2"/>
      <c r="AJ133" s="2"/>
    </row>
    <row r="134" spans="1:36" ht="17.25" customHeight="1" x14ac:dyDescent="0.2">
      <c r="A134" s="3" t="s">
        <v>0</v>
      </c>
      <c r="B134" s="3" t="str">
        <f>G134&amp;"p"</f>
        <v>bgp</v>
      </c>
      <c r="C134" s="3" t="s">
        <v>274</v>
      </c>
      <c r="D134" s="3" t="s">
        <v>238</v>
      </c>
      <c r="E134" s="3" t="s">
        <v>125</v>
      </c>
      <c r="F134" s="2">
        <v>33</v>
      </c>
      <c r="G134" s="4" t="s">
        <v>76</v>
      </c>
      <c r="H134">
        <v>2016</v>
      </c>
      <c r="I134" s="2" t="s">
        <v>321</v>
      </c>
      <c r="J134" s="2" t="s">
        <v>127</v>
      </c>
      <c r="K134" s="2" t="s">
        <v>128</v>
      </c>
      <c r="L134" s="2" t="s">
        <v>398</v>
      </c>
      <c r="M134" s="2" t="s">
        <v>8</v>
      </c>
      <c r="N134" s="2">
        <v>0</v>
      </c>
      <c r="O134" s="2">
        <v>10</v>
      </c>
      <c r="P134" s="2"/>
      <c r="Q134" s="2"/>
      <c r="R134" s="2"/>
      <c r="S134" s="2"/>
      <c r="T134" s="2"/>
      <c r="U134" s="2"/>
      <c r="V134" s="2"/>
      <c r="W134" s="2"/>
      <c r="X134" s="2"/>
      <c r="Y134" s="2"/>
      <c r="Z134" s="2"/>
      <c r="AA134" s="2"/>
      <c r="AB134" s="2"/>
      <c r="AC134" s="2"/>
      <c r="AD134" s="2"/>
      <c r="AE134" s="2"/>
      <c r="AF134" s="2"/>
      <c r="AG134" s="2"/>
      <c r="AH134" s="2"/>
      <c r="AI134" s="2"/>
      <c r="AJ134" s="2"/>
    </row>
    <row r="135" spans="1:36" ht="17.25" customHeight="1" x14ac:dyDescent="0.2">
      <c r="A135" s="3" t="s">
        <v>0</v>
      </c>
      <c r="B135" s="3" t="str">
        <f t="shared" ref="B135:B136" si="0">G135&amp;"p"</f>
        <v>bhp</v>
      </c>
      <c r="C135" s="3" t="s">
        <v>274</v>
      </c>
      <c r="D135" s="3" t="s">
        <v>238</v>
      </c>
      <c r="E135" s="3" t="s">
        <v>125</v>
      </c>
      <c r="F135" s="2">
        <v>34</v>
      </c>
      <c r="G135" s="4" t="s">
        <v>67</v>
      </c>
      <c r="H135">
        <v>2017</v>
      </c>
      <c r="I135" s="2" t="s">
        <v>322</v>
      </c>
      <c r="J135" s="2" t="s">
        <v>127</v>
      </c>
      <c r="K135" s="2" t="s">
        <v>128</v>
      </c>
      <c r="L135" s="2" t="s">
        <v>398</v>
      </c>
      <c r="M135" s="2" t="s">
        <v>8</v>
      </c>
      <c r="N135" s="2">
        <v>0</v>
      </c>
      <c r="O135" s="2">
        <v>10</v>
      </c>
      <c r="P135" s="2"/>
      <c r="Q135" s="2"/>
      <c r="R135" s="2"/>
      <c r="S135" s="2"/>
      <c r="T135" s="2"/>
      <c r="U135" s="2"/>
      <c r="V135" s="2"/>
      <c r="W135" s="2"/>
      <c r="X135" s="2"/>
      <c r="Y135" s="2"/>
      <c r="Z135" s="2"/>
      <c r="AA135" s="2"/>
      <c r="AB135" s="2"/>
      <c r="AC135" s="2"/>
      <c r="AD135" s="2"/>
      <c r="AE135" s="2"/>
      <c r="AF135" s="2"/>
      <c r="AG135" s="2"/>
      <c r="AH135" s="2"/>
      <c r="AI135" s="2"/>
      <c r="AJ135" s="2"/>
    </row>
    <row r="136" spans="1:36" ht="17.25" customHeight="1" x14ac:dyDescent="0.2">
      <c r="A136" s="3" t="s">
        <v>0</v>
      </c>
      <c r="B136" s="3" t="str">
        <f t="shared" si="0"/>
        <v>bip</v>
      </c>
      <c r="C136" s="3" t="s">
        <v>274</v>
      </c>
      <c r="D136" s="3" t="s">
        <v>238</v>
      </c>
      <c r="E136" s="3" t="s">
        <v>125</v>
      </c>
      <c r="F136" s="2">
        <v>35</v>
      </c>
      <c r="G136" s="4" t="s">
        <v>312</v>
      </c>
      <c r="H136">
        <v>2018</v>
      </c>
      <c r="I136" s="2" t="s">
        <v>323</v>
      </c>
      <c r="J136" s="2" t="s">
        <v>127</v>
      </c>
      <c r="K136" s="2" t="s">
        <v>128</v>
      </c>
      <c r="L136" s="2" t="s">
        <v>398</v>
      </c>
      <c r="M136" s="2" t="s">
        <v>8</v>
      </c>
      <c r="N136" s="2">
        <v>0</v>
      </c>
      <c r="O136" s="2">
        <v>10</v>
      </c>
      <c r="P136" s="2"/>
      <c r="Q136" s="2"/>
      <c r="R136" s="2"/>
      <c r="S136" s="2"/>
      <c r="T136" s="2"/>
      <c r="U136" s="2"/>
      <c r="V136" s="2"/>
      <c r="W136" s="2"/>
      <c r="X136" s="2"/>
      <c r="Y136" s="2"/>
      <c r="Z136" s="2"/>
      <c r="AA136" s="2"/>
      <c r="AB136" s="2"/>
      <c r="AC136" s="2"/>
      <c r="AD136" s="2"/>
      <c r="AE136" s="2"/>
      <c r="AF136" s="2"/>
      <c r="AG136" s="2"/>
      <c r="AH136" s="2"/>
      <c r="AI136" s="2"/>
      <c r="AJ136" s="2"/>
    </row>
    <row r="137" spans="1:36" ht="17.25" customHeight="1" x14ac:dyDescent="0.2">
      <c r="A137" s="11" t="s">
        <v>0</v>
      </c>
      <c r="B137" s="11" t="s">
        <v>171</v>
      </c>
      <c r="C137" s="11" t="s">
        <v>274</v>
      </c>
      <c r="D137" s="11" t="s">
        <v>239</v>
      </c>
      <c r="E137" s="11" t="s">
        <v>191</v>
      </c>
      <c r="F137" s="2">
        <v>23</v>
      </c>
      <c r="G137" s="4" t="s">
        <v>52</v>
      </c>
      <c r="H137" s="4">
        <v>2006</v>
      </c>
      <c r="I137" s="4" t="s">
        <v>192</v>
      </c>
      <c r="J137" s="4" t="s">
        <v>193</v>
      </c>
      <c r="K137" s="4" t="s">
        <v>194</v>
      </c>
      <c r="L137" s="2" t="s">
        <v>398</v>
      </c>
      <c r="M137" s="4" t="s">
        <v>8</v>
      </c>
      <c r="N137" s="2">
        <v>0</v>
      </c>
      <c r="O137" s="2">
        <v>10</v>
      </c>
      <c r="P137" s="4"/>
      <c r="Q137" s="4"/>
      <c r="R137" s="4"/>
      <c r="S137" s="4"/>
      <c r="T137" s="4"/>
      <c r="U137" s="4"/>
      <c r="V137" s="4"/>
      <c r="W137" s="4"/>
      <c r="X137" s="4"/>
      <c r="Y137" s="4"/>
      <c r="Z137" s="4"/>
      <c r="AA137" s="4"/>
      <c r="AB137" s="4"/>
      <c r="AC137" s="4"/>
      <c r="AD137" s="4"/>
      <c r="AE137" s="4"/>
      <c r="AF137" s="4"/>
      <c r="AG137" s="4"/>
      <c r="AH137" s="4"/>
      <c r="AI137" s="4"/>
      <c r="AJ137" s="4"/>
    </row>
    <row r="138" spans="1:36" ht="17.25" customHeight="1" x14ac:dyDescent="0.2">
      <c r="A138" s="11" t="s">
        <v>0</v>
      </c>
      <c r="B138" s="11" t="s">
        <v>173</v>
      </c>
      <c r="C138" s="11" t="s">
        <v>274</v>
      </c>
      <c r="D138" s="11" t="s">
        <v>239</v>
      </c>
      <c r="E138" s="11" t="s">
        <v>191</v>
      </c>
      <c r="F138" s="2">
        <v>24</v>
      </c>
      <c r="G138" s="4" t="s">
        <v>95</v>
      </c>
      <c r="H138" s="4">
        <v>2007</v>
      </c>
      <c r="I138" s="4" t="s">
        <v>195</v>
      </c>
      <c r="J138" s="4" t="s">
        <v>193</v>
      </c>
      <c r="K138" s="4" t="s">
        <v>194</v>
      </c>
      <c r="L138" s="2" t="s">
        <v>398</v>
      </c>
      <c r="M138" s="4" t="s">
        <v>8</v>
      </c>
      <c r="N138" s="2">
        <v>0</v>
      </c>
      <c r="O138" s="2">
        <v>10</v>
      </c>
      <c r="P138" s="4"/>
      <c r="Q138" s="4"/>
      <c r="R138" s="4"/>
      <c r="S138" s="4"/>
      <c r="T138" s="4"/>
      <c r="U138" s="4"/>
      <c r="V138" s="4"/>
      <c r="W138" s="4"/>
      <c r="X138" s="4"/>
      <c r="Y138" s="4"/>
      <c r="Z138" s="4"/>
      <c r="AA138" s="4"/>
      <c r="AB138" s="4"/>
      <c r="AC138" s="4"/>
      <c r="AD138" s="4"/>
      <c r="AE138" s="4"/>
      <c r="AF138" s="4"/>
      <c r="AG138" s="4"/>
      <c r="AH138" s="4"/>
      <c r="AI138" s="4"/>
      <c r="AJ138" s="4"/>
    </row>
    <row r="139" spans="1:36" ht="17.25" customHeight="1" x14ac:dyDescent="0.2">
      <c r="A139" s="11" t="s">
        <v>0</v>
      </c>
      <c r="B139" s="11" t="s">
        <v>175</v>
      </c>
      <c r="C139" s="11" t="s">
        <v>274</v>
      </c>
      <c r="D139" s="11" t="s">
        <v>239</v>
      </c>
      <c r="E139" s="11" t="s">
        <v>191</v>
      </c>
      <c r="F139" s="2">
        <v>25</v>
      </c>
      <c r="G139" s="4" t="s">
        <v>70</v>
      </c>
      <c r="H139" s="4">
        <v>2008</v>
      </c>
      <c r="I139" s="4" t="s">
        <v>196</v>
      </c>
      <c r="J139" s="4" t="s">
        <v>193</v>
      </c>
      <c r="K139" s="4" t="s">
        <v>194</v>
      </c>
      <c r="L139" s="2" t="s">
        <v>398</v>
      </c>
      <c r="M139" s="4" t="s">
        <v>8</v>
      </c>
      <c r="N139" s="2">
        <v>0</v>
      </c>
      <c r="O139" s="2">
        <v>10</v>
      </c>
      <c r="P139" s="4"/>
      <c r="Q139" s="4"/>
      <c r="R139" s="4"/>
      <c r="S139" s="4"/>
      <c r="T139" s="4"/>
      <c r="U139" s="4"/>
      <c r="V139" s="4"/>
      <c r="W139" s="4"/>
      <c r="X139" s="4"/>
      <c r="Y139" s="4"/>
      <c r="Z139" s="4"/>
      <c r="AA139" s="4"/>
      <c r="AB139" s="4"/>
      <c r="AC139" s="4"/>
      <c r="AD139" s="4"/>
      <c r="AE139" s="4"/>
      <c r="AF139" s="4"/>
      <c r="AG139" s="4"/>
      <c r="AH139" s="4"/>
      <c r="AI139" s="4"/>
      <c r="AJ139" s="4"/>
    </row>
    <row r="140" spans="1:36" ht="17.25" customHeight="1" x14ac:dyDescent="0.2">
      <c r="A140" s="11" t="s">
        <v>0</v>
      </c>
      <c r="B140" s="11" t="s">
        <v>177</v>
      </c>
      <c r="C140" s="11" t="s">
        <v>274</v>
      </c>
      <c r="D140" s="11" t="s">
        <v>239</v>
      </c>
      <c r="E140" s="11" t="s">
        <v>191</v>
      </c>
      <c r="F140" s="2">
        <v>26</v>
      </c>
      <c r="G140" s="4" t="s">
        <v>16</v>
      </c>
      <c r="H140" s="4">
        <v>2009</v>
      </c>
      <c r="I140" s="4" t="s">
        <v>197</v>
      </c>
      <c r="J140" s="4" t="s">
        <v>193</v>
      </c>
      <c r="K140" s="4" t="s">
        <v>194</v>
      </c>
      <c r="L140" s="2" t="s">
        <v>398</v>
      </c>
      <c r="M140" s="4" t="s">
        <v>8</v>
      </c>
      <c r="N140" s="2">
        <v>0</v>
      </c>
      <c r="O140" s="2">
        <v>10</v>
      </c>
      <c r="P140" s="4"/>
      <c r="Q140" s="4"/>
      <c r="R140" s="4"/>
      <c r="S140" s="4"/>
      <c r="T140" s="4"/>
      <c r="U140" s="4"/>
      <c r="V140" s="4"/>
      <c r="W140" s="4"/>
      <c r="X140" s="4"/>
      <c r="Y140" s="4"/>
      <c r="Z140" s="4"/>
      <c r="AA140" s="4"/>
      <c r="AB140" s="4"/>
      <c r="AC140" s="4"/>
      <c r="AD140" s="4"/>
      <c r="AE140" s="4"/>
      <c r="AF140" s="4"/>
      <c r="AG140" s="4"/>
      <c r="AH140" s="4"/>
      <c r="AI140" s="4"/>
      <c r="AJ140" s="4"/>
    </row>
    <row r="141" spans="1:36" ht="17.25" customHeight="1" x14ac:dyDescent="0.2">
      <c r="A141" s="11" t="s">
        <v>0</v>
      </c>
      <c r="B141" s="11" t="s">
        <v>179</v>
      </c>
      <c r="C141" s="11" t="s">
        <v>274</v>
      </c>
      <c r="D141" s="11" t="s">
        <v>239</v>
      </c>
      <c r="E141" s="11" t="s">
        <v>191</v>
      </c>
      <c r="F141" s="2">
        <v>27</v>
      </c>
      <c r="G141" s="4" t="s">
        <v>34</v>
      </c>
      <c r="H141" s="4">
        <v>2010</v>
      </c>
      <c r="I141" s="4" t="s">
        <v>198</v>
      </c>
      <c r="J141" s="4" t="s">
        <v>193</v>
      </c>
      <c r="K141" s="4" t="s">
        <v>194</v>
      </c>
      <c r="L141" s="2" t="s">
        <v>398</v>
      </c>
      <c r="M141" s="4" t="s">
        <v>8</v>
      </c>
      <c r="N141" s="2">
        <v>0</v>
      </c>
      <c r="O141" s="2">
        <v>10</v>
      </c>
      <c r="P141" s="4"/>
      <c r="Q141" s="4"/>
      <c r="R141" s="4"/>
      <c r="S141" s="4"/>
      <c r="T141" s="4"/>
      <c r="U141" s="4"/>
      <c r="V141" s="4"/>
      <c r="W141" s="4"/>
      <c r="X141" s="4"/>
      <c r="Y141" s="4"/>
      <c r="Z141" s="4"/>
      <c r="AA141" s="4"/>
      <c r="AB141" s="4"/>
      <c r="AC141" s="4"/>
      <c r="AD141" s="4"/>
      <c r="AE141" s="4"/>
      <c r="AF141" s="4"/>
      <c r="AG141" s="4"/>
      <c r="AH141" s="4"/>
      <c r="AI141" s="4"/>
      <c r="AJ141" s="4"/>
    </row>
    <row r="142" spans="1:36" ht="17.25" customHeight="1" x14ac:dyDescent="0.2">
      <c r="A142" s="11" t="s">
        <v>0</v>
      </c>
      <c r="B142" s="11" t="s">
        <v>181</v>
      </c>
      <c r="C142" s="11" t="s">
        <v>274</v>
      </c>
      <c r="D142" s="11" t="s">
        <v>239</v>
      </c>
      <c r="E142" s="11" t="s">
        <v>191</v>
      </c>
      <c r="F142" s="2">
        <v>28</v>
      </c>
      <c r="G142" s="4" t="s">
        <v>46</v>
      </c>
      <c r="H142" s="4">
        <v>2011</v>
      </c>
      <c r="I142" s="4" t="s">
        <v>199</v>
      </c>
      <c r="J142" s="4" t="s">
        <v>193</v>
      </c>
      <c r="K142" s="4" t="s">
        <v>194</v>
      </c>
      <c r="L142" s="2" t="s">
        <v>398</v>
      </c>
      <c r="M142" s="4" t="s">
        <v>8</v>
      </c>
      <c r="N142" s="2">
        <v>0</v>
      </c>
      <c r="O142" s="2">
        <v>10</v>
      </c>
      <c r="P142" s="4"/>
      <c r="Q142" s="4"/>
      <c r="R142" s="4"/>
      <c r="S142" s="4"/>
      <c r="T142" s="4"/>
      <c r="U142" s="4"/>
      <c r="V142" s="4"/>
      <c r="W142" s="4"/>
      <c r="X142" s="4"/>
      <c r="Y142" s="4"/>
      <c r="Z142" s="4"/>
      <c r="AA142" s="4"/>
      <c r="AB142" s="4"/>
      <c r="AC142" s="4"/>
      <c r="AD142" s="4"/>
      <c r="AE142" s="4"/>
      <c r="AF142" s="4"/>
      <c r="AG142" s="4"/>
      <c r="AH142" s="4"/>
      <c r="AI142" s="4"/>
      <c r="AJ142" s="4"/>
    </row>
    <row r="143" spans="1:36" ht="17.25" customHeight="1" x14ac:dyDescent="0.2">
      <c r="A143" s="11" t="s">
        <v>0</v>
      </c>
      <c r="B143" s="11" t="s">
        <v>183</v>
      </c>
      <c r="C143" s="11" t="s">
        <v>274</v>
      </c>
      <c r="D143" s="11" t="s">
        <v>239</v>
      </c>
      <c r="E143" s="11" t="s">
        <v>191</v>
      </c>
      <c r="F143" s="2">
        <v>29</v>
      </c>
      <c r="G143" s="4" t="s">
        <v>61</v>
      </c>
      <c r="H143" s="4">
        <v>2012</v>
      </c>
      <c r="I143" s="4" t="s">
        <v>200</v>
      </c>
      <c r="J143" s="4" t="s">
        <v>193</v>
      </c>
      <c r="K143" s="4" t="s">
        <v>194</v>
      </c>
      <c r="L143" s="2" t="s">
        <v>398</v>
      </c>
      <c r="M143" s="4" t="s">
        <v>8</v>
      </c>
      <c r="N143" s="2">
        <v>0</v>
      </c>
      <c r="O143" s="2">
        <v>10</v>
      </c>
      <c r="P143" s="4"/>
      <c r="Q143" s="4"/>
      <c r="R143" s="4"/>
      <c r="S143" s="4"/>
      <c r="T143" s="4"/>
      <c r="U143" s="4"/>
      <c r="V143" s="4"/>
      <c r="W143" s="4"/>
      <c r="X143" s="4"/>
      <c r="Y143" s="4"/>
      <c r="Z143" s="4"/>
      <c r="AA143" s="4"/>
      <c r="AB143" s="4"/>
      <c r="AC143" s="4"/>
      <c r="AD143" s="4"/>
      <c r="AE143" s="4"/>
      <c r="AF143" s="4"/>
      <c r="AG143" s="4"/>
      <c r="AH143" s="4"/>
      <c r="AI143" s="4"/>
      <c r="AJ143" s="4"/>
    </row>
    <row r="144" spans="1:36" ht="17.25" customHeight="1" x14ac:dyDescent="0.2">
      <c r="A144" s="11" t="s">
        <v>0</v>
      </c>
      <c r="B144" s="11" t="s">
        <v>185</v>
      </c>
      <c r="C144" s="11" t="s">
        <v>274</v>
      </c>
      <c r="D144" s="11" t="s">
        <v>239</v>
      </c>
      <c r="E144" s="11" t="s">
        <v>191</v>
      </c>
      <c r="F144" s="2">
        <v>30</v>
      </c>
      <c r="G144" s="4" t="s">
        <v>86</v>
      </c>
      <c r="H144" s="4">
        <v>2013</v>
      </c>
      <c r="I144" s="4" t="s">
        <v>201</v>
      </c>
      <c r="J144" s="4" t="s">
        <v>193</v>
      </c>
      <c r="K144" s="4" t="s">
        <v>194</v>
      </c>
      <c r="L144" s="2" t="s">
        <v>398</v>
      </c>
      <c r="M144" s="4" t="s">
        <v>8</v>
      </c>
      <c r="N144" s="2">
        <v>0</v>
      </c>
      <c r="O144" s="2">
        <v>10</v>
      </c>
      <c r="P144" s="4"/>
      <c r="Q144" s="4"/>
      <c r="R144" s="4"/>
      <c r="S144" s="4"/>
      <c r="T144" s="4"/>
      <c r="U144" s="4"/>
      <c r="V144" s="4"/>
      <c r="W144" s="4"/>
      <c r="X144" s="4"/>
      <c r="Y144" s="4"/>
      <c r="Z144" s="4"/>
      <c r="AA144" s="4"/>
      <c r="AB144" s="4"/>
      <c r="AC144" s="4"/>
      <c r="AD144" s="4"/>
      <c r="AE144" s="4"/>
      <c r="AF144" s="4"/>
      <c r="AG144" s="4"/>
      <c r="AH144" s="4"/>
      <c r="AI144" s="4"/>
      <c r="AJ144" s="4"/>
    </row>
    <row r="145" spans="1:36" ht="17.25" customHeight="1" x14ac:dyDescent="0.2">
      <c r="A145" s="11" t="s">
        <v>0</v>
      </c>
      <c r="B145" s="11" t="s">
        <v>187</v>
      </c>
      <c r="C145" s="11" t="s">
        <v>274</v>
      </c>
      <c r="D145" s="11" t="s">
        <v>239</v>
      </c>
      <c r="E145" s="11" t="s">
        <v>191</v>
      </c>
      <c r="F145" s="2">
        <v>31</v>
      </c>
      <c r="G145" s="4" t="s">
        <v>22</v>
      </c>
      <c r="H145" s="4">
        <v>2014</v>
      </c>
      <c r="I145" s="4" t="s">
        <v>202</v>
      </c>
      <c r="J145" s="4" t="s">
        <v>193</v>
      </c>
      <c r="K145" s="4" t="s">
        <v>194</v>
      </c>
      <c r="L145" s="2" t="s">
        <v>398</v>
      </c>
      <c r="M145" s="4" t="s">
        <v>8</v>
      </c>
      <c r="N145" s="2">
        <v>0</v>
      </c>
      <c r="O145" s="2">
        <v>10</v>
      </c>
      <c r="P145" s="4"/>
      <c r="Q145" s="4"/>
      <c r="R145" s="4"/>
      <c r="S145" s="4"/>
      <c r="T145" s="4"/>
      <c r="U145" s="4"/>
      <c r="V145" s="4"/>
      <c r="W145" s="4"/>
      <c r="X145" s="4"/>
      <c r="Y145" s="4"/>
      <c r="Z145" s="4"/>
      <c r="AA145" s="4"/>
      <c r="AB145" s="4"/>
      <c r="AC145" s="4"/>
      <c r="AD145" s="4"/>
      <c r="AE145" s="4"/>
      <c r="AF145" s="4"/>
      <c r="AG145" s="4"/>
      <c r="AH145" s="4"/>
      <c r="AI145" s="4"/>
      <c r="AJ145" s="4"/>
    </row>
    <row r="146" spans="1:36" ht="17.25" customHeight="1" x14ac:dyDescent="0.2">
      <c r="A146" s="11" t="s">
        <v>0</v>
      </c>
      <c r="B146" s="11" t="s">
        <v>189</v>
      </c>
      <c r="C146" s="11" t="s">
        <v>274</v>
      </c>
      <c r="D146" s="11" t="s">
        <v>239</v>
      </c>
      <c r="E146" s="11" t="s">
        <v>191</v>
      </c>
      <c r="F146" s="2">
        <v>32</v>
      </c>
      <c r="G146" s="4" t="s">
        <v>28</v>
      </c>
      <c r="H146" s="4">
        <v>2015</v>
      </c>
      <c r="I146" s="4" t="s">
        <v>203</v>
      </c>
      <c r="J146" s="4" t="s">
        <v>193</v>
      </c>
      <c r="K146" s="4" t="s">
        <v>194</v>
      </c>
      <c r="L146" s="2" t="s">
        <v>398</v>
      </c>
      <c r="M146" s="4" t="s">
        <v>8</v>
      </c>
      <c r="N146" s="2">
        <v>0</v>
      </c>
      <c r="O146" s="2">
        <v>10</v>
      </c>
      <c r="P146" s="4"/>
      <c r="Q146" s="4"/>
      <c r="R146" s="4"/>
      <c r="S146" s="4"/>
      <c r="T146" s="2"/>
      <c r="U146" s="2"/>
      <c r="V146" s="4"/>
      <c r="W146" s="4"/>
      <c r="X146" s="4"/>
      <c r="Y146" s="4"/>
      <c r="Z146" s="4"/>
      <c r="AA146" s="4"/>
      <c r="AB146" s="4"/>
      <c r="AC146" s="4"/>
      <c r="AD146" s="4"/>
      <c r="AE146" s="4"/>
      <c r="AF146" s="4"/>
      <c r="AG146" s="4"/>
      <c r="AH146" s="4"/>
      <c r="AI146" s="4"/>
      <c r="AJ146" s="4"/>
    </row>
    <row r="147" spans="1:36" ht="17.25" customHeight="1" x14ac:dyDescent="0.2">
      <c r="A147" s="11" t="s">
        <v>0</v>
      </c>
      <c r="B147" s="11" t="str">
        <f>G147&amp;"p"</f>
        <v>bgp</v>
      </c>
      <c r="C147" s="11" t="s">
        <v>274</v>
      </c>
      <c r="D147" s="11" t="s">
        <v>239</v>
      </c>
      <c r="E147" s="11" t="s">
        <v>191</v>
      </c>
      <c r="F147" s="2">
        <v>33</v>
      </c>
      <c r="G147" s="4" t="s">
        <v>76</v>
      </c>
      <c r="H147">
        <v>2016</v>
      </c>
      <c r="I147" s="4" t="s">
        <v>318</v>
      </c>
      <c r="J147" s="4" t="s">
        <v>193</v>
      </c>
      <c r="K147" s="4" t="s">
        <v>194</v>
      </c>
      <c r="L147" s="2" t="s">
        <v>398</v>
      </c>
      <c r="M147" s="4" t="s">
        <v>8</v>
      </c>
      <c r="N147" s="2">
        <v>0</v>
      </c>
      <c r="O147" s="2">
        <v>10</v>
      </c>
      <c r="P147" s="4"/>
      <c r="Q147" s="4"/>
      <c r="R147" s="4"/>
      <c r="S147" s="4"/>
      <c r="T147" s="2"/>
      <c r="U147" s="2"/>
      <c r="V147" s="4"/>
      <c r="W147" s="4"/>
      <c r="X147" s="4"/>
      <c r="Y147" s="4"/>
      <c r="Z147" s="4"/>
      <c r="AA147" s="4"/>
      <c r="AB147" s="4"/>
      <c r="AC147" s="4"/>
      <c r="AD147" s="4"/>
      <c r="AE147" s="4"/>
      <c r="AF147" s="4"/>
      <c r="AG147" s="4"/>
      <c r="AH147" s="4"/>
      <c r="AI147" s="4"/>
      <c r="AJ147" s="4"/>
    </row>
    <row r="148" spans="1:36" ht="17.25" customHeight="1" x14ac:dyDescent="0.2">
      <c r="A148" s="11" t="s">
        <v>0</v>
      </c>
      <c r="B148" s="11" t="str">
        <f t="shared" ref="B148:B149" si="1">G148&amp;"p"</f>
        <v>bhp</v>
      </c>
      <c r="C148" s="11" t="s">
        <v>274</v>
      </c>
      <c r="D148" s="11" t="s">
        <v>239</v>
      </c>
      <c r="E148" s="11" t="s">
        <v>191</v>
      </c>
      <c r="F148" s="2">
        <v>34</v>
      </c>
      <c r="G148" s="4" t="s">
        <v>67</v>
      </c>
      <c r="H148">
        <v>2017</v>
      </c>
      <c r="I148" s="4" t="s">
        <v>319</v>
      </c>
      <c r="J148" s="4" t="s">
        <v>193</v>
      </c>
      <c r="K148" s="4" t="s">
        <v>194</v>
      </c>
      <c r="L148" s="2" t="s">
        <v>398</v>
      </c>
      <c r="M148" s="4" t="s">
        <v>8</v>
      </c>
      <c r="N148" s="2">
        <v>0</v>
      </c>
      <c r="O148" s="2">
        <v>10</v>
      </c>
      <c r="P148" s="4"/>
      <c r="Q148" s="4"/>
      <c r="R148" s="4"/>
      <c r="S148" s="4"/>
      <c r="T148" s="2"/>
      <c r="U148" s="2"/>
      <c r="V148" s="4"/>
      <c r="W148" s="4"/>
      <c r="X148" s="4"/>
      <c r="Y148" s="4"/>
      <c r="Z148" s="4"/>
      <c r="AA148" s="4"/>
      <c r="AB148" s="4"/>
      <c r="AC148" s="4"/>
      <c r="AD148" s="4"/>
      <c r="AE148" s="4"/>
      <c r="AF148" s="4"/>
      <c r="AG148" s="4"/>
      <c r="AH148" s="4"/>
      <c r="AI148" s="4"/>
      <c r="AJ148" s="4"/>
    </row>
    <row r="149" spans="1:36" ht="17.25" customHeight="1" x14ac:dyDescent="0.2">
      <c r="A149" s="11" t="s">
        <v>0</v>
      </c>
      <c r="B149" s="11" t="str">
        <f t="shared" si="1"/>
        <v>bip</v>
      </c>
      <c r="C149" s="11" t="s">
        <v>274</v>
      </c>
      <c r="D149" s="11" t="s">
        <v>239</v>
      </c>
      <c r="E149" s="11" t="s">
        <v>191</v>
      </c>
      <c r="F149" s="2">
        <v>35</v>
      </c>
      <c r="G149" s="4" t="s">
        <v>312</v>
      </c>
      <c r="H149">
        <v>2018</v>
      </c>
      <c r="I149" s="4" t="s">
        <v>320</v>
      </c>
      <c r="J149" s="4" t="s">
        <v>193</v>
      </c>
      <c r="K149" s="4" t="s">
        <v>194</v>
      </c>
      <c r="L149" s="2" t="s">
        <v>398</v>
      </c>
      <c r="M149" s="4" t="s">
        <v>8</v>
      </c>
      <c r="N149" s="2">
        <v>0</v>
      </c>
      <c r="O149" s="2">
        <v>10</v>
      </c>
      <c r="P149" s="4"/>
      <c r="Q149" s="4"/>
      <c r="R149" s="4"/>
      <c r="S149" s="4"/>
      <c r="T149" s="2"/>
      <c r="U149" s="2"/>
      <c r="V149" s="4"/>
      <c r="W149" s="4"/>
      <c r="X149" s="4"/>
      <c r="Y149" s="4"/>
      <c r="Z149" s="4"/>
      <c r="AA149" s="4"/>
      <c r="AB149" s="4"/>
      <c r="AC149" s="4"/>
      <c r="AD149" s="4"/>
      <c r="AE149" s="4"/>
      <c r="AF149" s="4"/>
      <c r="AG149" s="4"/>
      <c r="AH149" s="4"/>
      <c r="AI149" s="4"/>
      <c r="AJ149" s="4"/>
    </row>
    <row r="150" spans="1:36" ht="17.25" customHeight="1" x14ac:dyDescent="0.2">
      <c r="A150" s="3" t="s">
        <v>0</v>
      </c>
      <c r="B150" s="3" t="s">
        <v>36</v>
      </c>
      <c r="C150" s="3" t="s">
        <v>274</v>
      </c>
      <c r="D150" s="3" t="s">
        <v>240</v>
      </c>
      <c r="E150" s="3" t="s">
        <v>204</v>
      </c>
      <c r="F150" s="2">
        <v>2</v>
      </c>
      <c r="G150" s="4" t="s">
        <v>37</v>
      </c>
      <c r="H150" s="2">
        <v>1985</v>
      </c>
      <c r="I150" s="2" t="s">
        <v>205</v>
      </c>
      <c r="J150" s="2" t="s">
        <v>206</v>
      </c>
      <c r="K150" s="2" t="s">
        <v>207</v>
      </c>
      <c r="L150" s="2" t="s">
        <v>398</v>
      </c>
      <c r="M150" s="2" t="s">
        <v>8</v>
      </c>
      <c r="N150" s="2">
        <v>0</v>
      </c>
      <c r="O150" s="2">
        <v>10</v>
      </c>
      <c r="P150" s="2"/>
      <c r="Q150" s="2"/>
      <c r="R150" s="2"/>
      <c r="S150" s="2"/>
      <c r="T150" s="2"/>
      <c r="U150" s="2"/>
      <c r="V150" s="2"/>
      <c r="W150" s="2"/>
      <c r="X150" s="2"/>
      <c r="Y150" s="2"/>
      <c r="Z150" s="2"/>
      <c r="AA150" s="2"/>
      <c r="AB150" s="2"/>
      <c r="AC150" s="2"/>
      <c r="AD150" s="2"/>
      <c r="AE150" s="2"/>
      <c r="AF150" s="2"/>
      <c r="AG150" s="2"/>
      <c r="AH150" s="2"/>
      <c r="AI150" s="2"/>
      <c r="AJ150" s="2"/>
    </row>
    <row r="151" spans="1:36" ht="17.25" customHeight="1" x14ac:dyDescent="0.2">
      <c r="A151" s="3" t="s">
        <v>0</v>
      </c>
      <c r="B151" s="3" t="s">
        <v>79</v>
      </c>
      <c r="C151" s="3" t="s">
        <v>274</v>
      </c>
      <c r="D151" s="3" t="s">
        <v>240</v>
      </c>
      <c r="E151" s="3" t="s">
        <v>204</v>
      </c>
      <c r="F151" s="2">
        <v>3</v>
      </c>
      <c r="G151" s="4" t="s">
        <v>80</v>
      </c>
      <c r="H151" s="2">
        <v>1986</v>
      </c>
      <c r="I151" s="2" t="s">
        <v>208</v>
      </c>
      <c r="J151" s="2" t="s">
        <v>206</v>
      </c>
      <c r="K151" s="2" t="s">
        <v>207</v>
      </c>
      <c r="L151" s="2" t="s">
        <v>398</v>
      </c>
      <c r="M151" s="2" t="s">
        <v>8</v>
      </c>
      <c r="N151" s="2">
        <v>0</v>
      </c>
      <c r="O151" s="2">
        <v>10</v>
      </c>
      <c r="P151" s="2"/>
      <c r="Q151" s="2"/>
      <c r="R151" s="2"/>
      <c r="S151" s="2"/>
      <c r="T151" s="2"/>
      <c r="U151" s="2"/>
      <c r="V151" s="2"/>
      <c r="W151" s="2"/>
      <c r="X151" s="2"/>
      <c r="Y151" s="2"/>
      <c r="Z151" s="2"/>
      <c r="AA151" s="2"/>
      <c r="AB151" s="2"/>
      <c r="AC151" s="2"/>
      <c r="AD151" s="2"/>
      <c r="AE151" s="2"/>
      <c r="AF151" s="2"/>
      <c r="AG151" s="2"/>
      <c r="AH151" s="2"/>
      <c r="AI151" s="2"/>
      <c r="AJ151" s="2"/>
    </row>
    <row r="152" spans="1:36" ht="17.25" customHeight="1" x14ac:dyDescent="0.2">
      <c r="A152" s="3" t="s">
        <v>0</v>
      </c>
      <c r="B152" s="3" t="s">
        <v>30</v>
      </c>
      <c r="C152" s="3" t="s">
        <v>274</v>
      </c>
      <c r="D152" s="3" t="s">
        <v>240</v>
      </c>
      <c r="E152" s="3" t="s">
        <v>204</v>
      </c>
      <c r="F152" s="2">
        <v>4</v>
      </c>
      <c r="G152" s="4" t="s">
        <v>31</v>
      </c>
      <c r="H152" s="2">
        <v>1987</v>
      </c>
      <c r="I152" s="2" t="s">
        <v>209</v>
      </c>
      <c r="J152" s="2" t="s">
        <v>206</v>
      </c>
      <c r="K152" s="2" t="s">
        <v>207</v>
      </c>
      <c r="L152" s="2" t="s">
        <v>398</v>
      </c>
      <c r="M152" s="2" t="s">
        <v>8</v>
      </c>
      <c r="N152" s="2">
        <v>0</v>
      </c>
      <c r="O152" s="2">
        <v>10</v>
      </c>
      <c r="P152" s="2"/>
      <c r="Q152" s="2"/>
      <c r="R152" s="2"/>
      <c r="S152" s="2"/>
      <c r="T152" s="2"/>
      <c r="U152" s="2"/>
      <c r="V152" s="2"/>
      <c r="W152" s="2"/>
      <c r="X152" s="2"/>
      <c r="Y152" s="2"/>
      <c r="Z152" s="2"/>
      <c r="AA152" s="2"/>
      <c r="AB152" s="2"/>
      <c r="AC152" s="2"/>
      <c r="AD152" s="2"/>
      <c r="AE152" s="2"/>
      <c r="AF152" s="2"/>
      <c r="AG152" s="2"/>
      <c r="AH152" s="2"/>
      <c r="AI152" s="2"/>
      <c r="AJ152" s="2"/>
    </row>
    <row r="153" spans="1:36" ht="17.25" customHeight="1" x14ac:dyDescent="0.2">
      <c r="A153" s="3" t="s">
        <v>0</v>
      </c>
      <c r="B153" s="3" t="s">
        <v>12</v>
      </c>
      <c r="C153" s="3" t="s">
        <v>274</v>
      </c>
      <c r="D153" s="3" t="s">
        <v>240</v>
      </c>
      <c r="E153" s="3" t="s">
        <v>204</v>
      </c>
      <c r="F153" s="2">
        <v>5</v>
      </c>
      <c r="G153" s="4" t="s">
        <v>13</v>
      </c>
      <c r="H153" s="2">
        <v>1988</v>
      </c>
      <c r="I153" s="2" t="s">
        <v>210</v>
      </c>
      <c r="J153" s="2" t="s">
        <v>206</v>
      </c>
      <c r="K153" s="2" t="s">
        <v>207</v>
      </c>
      <c r="L153" s="2" t="s">
        <v>398</v>
      </c>
      <c r="M153" s="2" t="s">
        <v>8</v>
      </c>
      <c r="N153" s="2">
        <v>0</v>
      </c>
      <c r="O153" s="2">
        <v>10</v>
      </c>
      <c r="P153" s="2"/>
      <c r="Q153" s="2"/>
      <c r="R153" s="2"/>
      <c r="S153" s="2"/>
      <c r="T153" s="2"/>
      <c r="U153" s="2"/>
      <c r="V153" s="2"/>
      <c r="W153" s="2"/>
      <c r="X153" s="2"/>
      <c r="Y153" s="2"/>
      <c r="Z153" s="2"/>
      <c r="AA153" s="2"/>
      <c r="AB153" s="2"/>
      <c r="AC153" s="2"/>
      <c r="AD153" s="2"/>
      <c r="AE153" s="2"/>
      <c r="AF153" s="2"/>
      <c r="AG153" s="2"/>
      <c r="AH153" s="2"/>
      <c r="AI153" s="2"/>
      <c r="AJ153" s="2"/>
    </row>
    <row r="154" spans="1:36" ht="17.25" customHeight="1" x14ac:dyDescent="0.2">
      <c r="A154" s="3" t="s">
        <v>0</v>
      </c>
      <c r="B154" s="3" t="s">
        <v>48</v>
      </c>
      <c r="C154" s="3" t="s">
        <v>274</v>
      </c>
      <c r="D154" s="3" t="s">
        <v>240</v>
      </c>
      <c r="E154" s="3" t="s">
        <v>204</v>
      </c>
      <c r="F154" s="2">
        <v>6</v>
      </c>
      <c r="G154" s="4" t="s">
        <v>49</v>
      </c>
      <c r="H154" s="2">
        <v>1989</v>
      </c>
      <c r="I154" s="2" t="s">
        <v>211</v>
      </c>
      <c r="J154" s="2" t="s">
        <v>206</v>
      </c>
      <c r="K154" s="2" t="s">
        <v>207</v>
      </c>
      <c r="L154" s="2" t="s">
        <v>398</v>
      </c>
      <c r="M154" s="2" t="s">
        <v>8</v>
      </c>
      <c r="N154" s="2">
        <v>0</v>
      </c>
      <c r="O154" s="2">
        <v>10</v>
      </c>
      <c r="P154" s="2"/>
      <c r="Q154" s="2"/>
      <c r="R154" s="2"/>
      <c r="S154" s="2"/>
      <c r="T154" s="2"/>
      <c r="U154" s="2"/>
      <c r="V154" s="2"/>
      <c r="W154" s="2"/>
      <c r="X154" s="2"/>
      <c r="Y154" s="2"/>
      <c r="Z154" s="2"/>
      <c r="AA154" s="2"/>
      <c r="AB154" s="2"/>
      <c r="AC154" s="2"/>
      <c r="AD154" s="2"/>
      <c r="AE154" s="2"/>
      <c r="AF154" s="2"/>
      <c r="AG154" s="2"/>
      <c r="AH154" s="2"/>
      <c r="AI154" s="2"/>
      <c r="AJ154" s="2"/>
    </row>
    <row r="155" spans="1:36" ht="17.25" customHeight="1" x14ac:dyDescent="0.2">
      <c r="A155" s="3" t="s">
        <v>0</v>
      </c>
      <c r="B155" s="3" t="s">
        <v>100</v>
      </c>
      <c r="C155" s="3" t="s">
        <v>274</v>
      </c>
      <c r="D155" s="3" t="s">
        <v>240</v>
      </c>
      <c r="E155" s="3" t="s">
        <v>204</v>
      </c>
      <c r="F155" s="2">
        <v>7</v>
      </c>
      <c r="G155" s="4" t="s">
        <v>101</v>
      </c>
      <c r="H155" s="2">
        <v>1990</v>
      </c>
      <c r="I155" s="2" t="s">
        <v>212</v>
      </c>
      <c r="J155" s="2" t="s">
        <v>206</v>
      </c>
      <c r="K155" s="2" t="s">
        <v>207</v>
      </c>
      <c r="L155" s="2" t="s">
        <v>398</v>
      </c>
      <c r="M155" s="2" t="s">
        <v>8</v>
      </c>
      <c r="N155" s="2">
        <v>0</v>
      </c>
      <c r="O155" s="2">
        <v>10</v>
      </c>
      <c r="P155" s="2"/>
      <c r="Q155" s="2"/>
      <c r="R155" s="2"/>
      <c r="S155" s="2"/>
      <c r="T155" s="2"/>
      <c r="U155" s="2"/>
      <c r="V155" s="2"/>
      <c r="W155" s="2"/>
      <c r="X155" s="2"/>
      <c r="Y155" s="2"/>
      <c r="Z155" s="2"/>
      <c r="AA155" s="2"/>
      <c r="AB155" s="2"/>
      <c r="AC155" s="2"/>
      <c r="AD155" s="2"/>
      <c r="AE155" s="2"/>
      <c r="AF155" s="2"/>
      <c r="AG155" s="2"/>
      <c r="AH155" s="2"/>
      <c r="AI155" s="2"/>
      <c r="AJ155" s="2"/>
    </row>
    <row r="156" spans="1:36" ht="17.25" customHeight="1" x14ac:dyDescent="0.2">
      <c r="A156" s="3" t="s">
        <v>0</v>
      </c>
      <c r="B156" s="3" t="s">
        <v>9</v>
      </c>
      <c r="C156" s="3" t="s">
        <v>274</v>
      </c>
      <c r="D156" s="3" t="s">
        <v>240</v>
      </c>
      <c r="E156" s="3" t="s">
        <v>204</v>
      </c>
      <c r="F156" s="2">
        <v>8</v>
      </c>
      <c r="G156" s="4" t="s">
        <v>10</v>
      </c>
      <c r="H156" s="2">
        <v>1991</v>
      </c>
      <c r="I156" s="2" t="s">
        <v>213</v>
      </c>
      <c r="J156" s="2" t="s">
        <v>206</v>
      </c>
      <c r="K156" s="2" t="s">
        <v>207</v>
      </c>
      <c r="L156" s="2" t="s">
        <v>398</v>
      </c>
      <c r="M156" s="2" t="s">
        <v>8</v>
      </c>
      <c r="N156" s="2">
        <v>0</v>
      </c>
      <c r="O156" s="2">
        <v>10</v>
      </c>
      <c r="P156" s="2"/>
      <c r="Q156" s="2"/>
      <c r="R156" s="2"/>
      <c r="S156" s="2"/>
      <c r="T156" s="2"/>
      <c r="U156" s="2"/>
      <c r="V156" s="2"/>
      <c r="W156" s="2"/>
      <c r="X156" s="2"/>
      <c r="Y156" s="2"/>
      <c r="Z156" s="2"/>
      <c r="AA156" s="2"/>
      <c r="AB156" s="2"/>
      <c r="AC156" s="2"/>
      <c r="AD156" s="2"/>
      <c r="AE156" s="2"/>
      <c r="AF156" s="2"/>
      <c r="AG156" s="2"/>
      <c r="AH156" s="2"/>
      <c r="AI156" s="2"/>
      <c r="AJ156" s="2"/>
    </row>
    <row r="157" spans="1:36" ht="17.25" customHeight="1" x14ac:dyDescent="0.2">
      <c r="A157" s="3" t="s">
        <v>0</v>
      </c>
      <c r="B157" s="3" t="s">
        <v>54</v>
      </c>
      <c r="C157" s="3" t="s">
        <v>274</v>
      </c>
      <c r="D157" s="3" t="s">
        <v>240</v>
      </c>
      <c r="E157" s="3" t="s">
        <v>204</v>
      </c>
      <c r="F157" s="2">
        <v>9</v>
      </c>
      <c r="G157" s="4" t="s">
        <v>55</v>
      </c>
      <c r="H157" s="2">
        <v>1992</v>
      </c>
      <c r="I157" s="2" t="s">
        <v>214</v>
      </c>
      <c r="J157" s="2" t="s">
        <v>206</v>
      </c>
      <c r="K157" s="2" t="s">
        <v>207</v>
      </c>
      <c r="L157" s="2" t="s">
        <v>398</v>
      </c>
      <c r="M157" s="2" t="s">
        <v>8</v>
      </c>
      <c r="N157" s="2">
        <v>0</v>
      </c>
      <c r="O157" s="2">
        <v>10</v>
      </c>
      <c r="P157" s="2"/>
      <c r="Q157" s="2"/>
      <c r="R157" s="2"/>
      <c r="S157" s="2"/>
      <c r="T157" s="2"/>
      <c r="U157" s="2"/>
      <c r="V157" s="2"/>
      <c r="W157" s="2"/>
      <c r="X157" s="2"/>
      <c r="Y157" s="2"/>
      <c r="Z157" s="2"/>
      <c r="AA157" s="2"/>
      <c r="AB157" s="2"/>
      <c r="AC157" s="2"/>
      <c r="AD157" s="2"/>
      <c r="AE157" s="2"/>
      <c r="AF157" s="2"/>
      <c r="AG157" s="2"/>
      <c r="AH157" s="2"/>
      <c r="AI157" s="2"/>
      <c r="AJ157" s="2"/>
    </row>
    <row r="158" spans="1:36" ht="17.25" customHeight="1" x14ac:dyDescent="0.2">
      <c r="A158" s="3" t="s">
        <v>0</v>
      </c>
      <c r="B158" s="3" t="s">
        <v>97</v>
      </c>
      <c r="C158" s="3" t="s">
        <v>274</v>
      </c>
      <c r="D158" s="3" t="s">
        <v>240</v>
      </c>
      <c r="E158" s="3" t="s">
        <v>204</v>
      </c>
      <c r="F158" s="2">
        <v>10</v>
      </c>
      <c r="G158" s="4" t="s">
        <v>98</v>
      </c>
      <c r="H158" s="2">
        <v>1993</v>
      </c>
      <c r="I158" s="2" t="s">
        <v>215</v>
      </c>
      <c r="J158" s="2" t="s">
        <v>206</v>
      </c>
      <c r="K158" s="2" t="s">
        <v>207</v>
      </c>
      <c r="L158" s="2" t="s">
        <v>398</v>
      </c>
      <c r="M158" s="2" t="s">
        <v>8</v>
      </c>
      <c r="N158" s="2">
        <v>0</v>
      </c>
      <c r="O158" s="2">
        <v>10</v>
      </c>
      <c r="P158" s="2"/>
      <c r="Q158" s="2"/>
      <c r="R158" s="2"/>
      <c r="S158" s="2"/>
      <c r="T158" s="2"/>
      <c r="U158" s="2"/>
      <c r="V158" s="2"/>
      <c r="W158" s="2"/>
      <c r="X158" s="2"/>
      <c r="Y158" s="2"/>
      <c r="Z158" s="2"/>
      <c r="AA158" s="2"/>
      <c r="AB158" s="2"/>
      <c r="AC158" s="2"/>
      <c r="AD158" s="2"/>
      <c r="AE158" s="2"/>
      <c r="AF158" s="2"/>
      <c r="AG158" s="2"/>
      <c r="AH158" s="2"/>
      <c r="AI158" s="2"/>
      <c r="AJ158" s="2"/>
    </row>
    <row r="159" spans="1:36" ht="17.25" customHeight="1" x14ac:dyDescent="0.2">
      <c r="A159" s="3" t="s">
        <v>0</v>
      </c>
      <c r="B159" s="3" t="s">
        <v>103</v>
      </c>
      <c r="C159" s="3" t="s">
        <v>274</v>
      </c>
      <c r="D159" s="3" t="s">
        <v>240</v>
      </c>
      <c r="E159" s="3" t="s">
        <v>204</v>
      </c>
      <c r="F159" s="2">
        <v>11</v>
      </c>
      <c r="G159" s="4" t="s">
        <v>104</v>
      </c>
      <c r="H159" s="2">
        <v>1994</v>
      </c>
      <c r="I159" s="2" t="s">
        <v>216</v>
      </c>
      <c r="J159" s="2" t="s">
        <v>206</v>
      </c>
      <c r="K159" s="2" t="s">
        <v>207</v>
      </c>
      <c r="L159" s="2" t="s">
        <v>398</v>
      </c>
      <c r="M159" s="2" t="s">
        <v>8</v>
      </c>
      <c r="N159" s="2">
        <v>0</v>
      </c>
      <c r="O159" s="2">
        <v>10</v>
      </c>
      <c r="P159" s="2"/>
      <c r="Q159" s="2"/>
      <c r="R159" s="2"/>
      <c r="S159" s="2"/>
      <c r="T159" s="2"/>
      <c r="U159" s="2"/>
      <c r="V159" s="2"/>
      <c r="W159" s="2"/>
      <c r="X159" s="2"/>
      <c r="Y159" s="2"/>
      <c r="Z159" s="2"/>
      <c r="AA159" s="2"/>
      <c r="AB159" s="2"/>
      <c r="AC159" s="2"/>
      <c r="AD159" s="2"/>
      <c r="AE159" s="2"/>
      <c r="AF159" s="2"/>
      <c r="AG159" s="2"/>
      <c r="AH159" s="2"/>
      <c r="AI159" s="2"/>
      <c r="AJ159" s="2"/>
    </row>
    <row r="160" spans="1:36" ht="17.25" customHeight="1" x14ac:dyDescent="0.2">
      <c r="A160" s="3" t="s">
        <v>0</v>
      </c>
      <c r="B160" s="3" t="s">
        <v>88</v>
      </c>
      <c r="C160" s="3" t="s">
        <v>274</v>
      </c>
      <c r="D160" s="3" t="s">
        <v>240</v>
      </c>
      <c r="E160" s="3" t="s">
        <v>204</v>
      </c>
      <c r="F160" s="2">
        <v>12</v>
      </c>
      <c r="G160" s="4" t="s">
        <v>89</v>
      </c>
      <c r="H160" s="2">
        <v>1995</v>
      </c>
      <c r="I160" s="2" t="s">
        <v>217</v>
      </c>
      <c r="J160" s="2" t="s">
        <v>206</v>
      </c>
      <c r="K160" s="2" t="s">
        <v>207</v>
      </c>
      <c r="L160" s="2" t="s">
        <v>398</v>
      </c>
      <c r="M160" s="2" t="s">
        <v>8</v>
      </c>
      <c r="N160" s="2">
        <v>0</v>
      </c>
      <c r="O160" s="2">
        <v>10</v>
      </c>
      <c r="P160" s="2"/>
      <c r="Q160" s="2"/>
      <c r="R160" s="2"/>
      <c r="S160" s="2"/>
      <c r="T160" s="2"/>
      <c r="U160" s="2"/>
      <c r="V160" s="2"/>
      <c r="W160" s="2"/>
      <c r="X160" s="2"/>
      <c r="Y160" s="2"/>
      <c r="Z160" s="2"/>
      <c r="AA160" s="2"/>
      <c r="AB160" s="2"/>
      <c r="AC160" s="2"/>
      <c r="AD160" s="2"/>
      <c r="AE160" s="2"/>
      <c r="AF160" s="2"/>
      <c r="AG160" s="2"/>
      <c r="AH160" s="2"/>
      <c r="AI160" s="2"/>
      <c r="AJ160" s="2"/>
    </row>
    <row r="161" spans="1:36" ht="17.25" customHeight="1" x14ac:dyDescent="0.2">
      <c r="A161" s="3" t="s">
        <v>0</v>
      </c>
      <c r="B161" s="3" t="s">
        <v>106</v>
      </c>
      <c r="C161" s="3" t="s">
        <v>274</v>
      </c>
      <c r="D161" s="3" t="s">
        <v>240</v>
      </c>
      <c r="E161" s="3" t="s">
        <v>204</v>
      </c>
      <c r="F161" s="2">
        <v>13</v>
      </c>
      <c r="G161" s="4" t="s">
        <v>107</v>
      </c>
      <c r="H161" s="2">
        <v>1996</v>
      </c>
      <c r="I161" s="2" t="s">
        <v>218</v>
      </c>
      <c r="J161" s="2" t="s">
        <v>206</v>
      </c>
      <c r="K161" s="2" t="s">
        <v>207</v>
      </c>
      <c r="L161" s="2" t="s">
        <v>398</v>
      </c>
      <c r="M161" s="2" t="s">
        <v>8</v>
      </c>
      <c r="N161" s="2">
        <v>0</v>
      </c>
      <c r="O161" s="2">
        <v>10</v>
      </c>
      <c r="P161" s="2"/>
      <c r="Q161" s="2"/>
      <c r="R161" s="2"/>
      <c r="S161" s="2"/>
      <c r="T161" s="2"/>
      <c r="U161" s="2"/>
      <c r="V161" s="2"/>
      <c r="W161" s="2"/>
      <c r="X161" s="2"/>
      <c r="Y161" s="2"/>
      <c r="Z161" s="2"/>
      <c r="AA161" s="2"/>
      <c r="AB161" s="2"/>
      <c r="AC161" s="2"/>
      <c r="AD161" s="2"/>
      <c r="AE161" s="2"/>
      <c r="AF161" s="2"/>
      <c r="AG161" s="2"/>
      <c r="AH161" s="2"/>
      <c r="AI161" s="2"/>
      <c r="AJ161" s="2"/>
    </row>
    <row r="162" spans="1:36" ht="17.25" customHeight="1" x14ac:dyDescent="0.2">
      <c r="A162" s="3" t="s">
        <v>0</v>
      </c>
      <c r="B162" s="3" t="s">
        <v>42</v>
      </c>
      <c r="C162" s="3" t="s">
        <v>274</v>
      </c>
      <c r="D162" s="3" t="s">
        <v>240</v>
      </c>
      <c r="E162" s="3" t="s">
        <v>204</v>
      </c>
      <c r="F162" s="2">
        <v>14</v>
      </c>
      <c r="G162" s="4" t="s">
        <v>43</v>
      </c>
      <c r="H162" s="2">
        <v>1997</v>
      </c>
      <c r="I162" s="2" t="s">
        <v>219</v>
      </c>
      <c r="J162" s="2" t="s">
        <v>206</v>
      </c>
      <c r="K162" s="2" t="s">
        <v>207</v>
      </c>
      <c r="L162" s="2" t="s">
        <v>398</v>
      </c>
      <c r="M162" s="2" t="s">
        <v>8</v>
      </c>
      <c r="N162" s="2">
        <v>0</v>
      </c>
      <c r="O162" s="2">
        <v>10</v>
      </c>
      <c r="P162" s="2"/>
      <c r="Q162" s="2"/>
      <c r="R162" s="2"/>
      <c r="S162" s="2"/>
      <c r="T162" s="2"/>
      <c r="U162" s="2"/>
      <c r="V162" s="2"/>
      <c r="W162" s="2"/>
      <c r="X162" s="2"/>
      <c r="Y162" s="2"/>
      <c r="Z162" s="2"/>
      <c r="AA162" s="2"/>
      <c r="AB162" s="2"/>
      <c r="AC162" s="2"/>
      <c r="AD162" s="2"/>
      <c r="AE162" s="2"/>
      <c r="AF162" s="2"/>
      <c r="AG162" s="2"/>
      <c r="AH162" s="2"/>
      <c r="AI162" s="2"/>
      <c r="AJ162" s="2"/>
    </row>
    <row r="163" spans="1:36" ht="17.25" customHeight="1" x14ac:dyDescent="0.2">
      <c r="A163" s="3" t="s">
        <v>0</v>
      </c>
      <c r="B163" s="3" t="s">
        <v>18</v>
      </c>
      <c r="C163" s="3" t="s">
        <v>274</v>
      </c>
      <c r="D163" s="3" t="s">
        <v>240</v>
      </c>
      <c r="E163" s="3" t="s">
        <v>204</v>
      </c>
      <c r="F163" s="2">
        <v>15</v>
      </c>
      <c r="G163" s="4" t="s">
        <v>19</v>
      </c>
      <c r="H163" s="2">
        <v>1998</v>
      </c>
      <c r="I163" s="2" t="s">
        <v>220</v>
      </c>
      <c r="J163" s="2" t="s">
        <v>206</v>
      </c>
      <c r="K163" s="2" t="s">
        <v>207</v>
      </c>
      <c r="L163" s="2" t="s">
        <v>398</v>
      </c>
      <c r="M163" s="2" t="s">
        <v>8</v>
      </c>
      <c r="N163" s="2">
        <v>0</v>
      </c>
      <c r="O163" s="2">
        <v>10</v>
      </c>
      <c r="P163" s="2"/>
      <c r="Q163" s="2"/>
      <c r="R163" s="2"/>
      <c r="S163" s="2"/>
      <c r="T163" s="2"/>
      <c r="U163" s="2"/>
      <c r="V163" s="2"/>
      <c r="W163" s="2"/>
      <c r="X163" s="2"/>
      <c r="Y163" s="2"/>
      <c r="Z163" s="2"/>
      <c r="AA163" s="2"/>
      <c r="AB163" s="2"/>
      <c r="AC163" s="2"/>
      <c r="AD163" s="2"/>
      <c r="AE163" s="2"/>
      <c r="AF163" s="2"/>
      <c r="AG163" s="2"/>
      <c r="AH163" s="2"/>
      <c r="AI163" s="2"/>
      <c r="AJ163" s="2"/>
    </row>
    <row r="164" spans="1:36" ht="17.25" customHeight="1" x14ac:dyDescent="0.2">
      <c r="A164" s="3" t="s">
        <v>0</v>
      </c>
      <c r="B164" s="3" t="s">
        <v>24</v>
      </c>
      <c r="C164" s="3" t="s">
        <v>274</v>
      </c>
      <c r="D164" s="3" t="s">
        <v>240</v>
      </c>
      <c r="E164" s="3" t="s">
        <v>204</v>
      </c>
      <c r="F164" s="2">
        <v>16</v>
      </c>
      <c r="G164" s="4" t="s">
        <v>25</v>
      </c>
      <c r="H164" s="2">
        <v>1999</v>
      </c>
      <c r="I164" s="2" t="s">
        <v>221</v>
      </c>
      <c r="J164" s="2" t="s">
        <v>206</v>
      </c>
      <c r="K164" s="2" t="s">
        <v>207</v>
      </c>
      <c r="L164" s="2" t="s">
        <v>398</v>
      </c>
      <c r="M164" s="2" t="s">
        <v>8</v>
      </c>
      <c r="N164" s="2">
        <v>0</v>
      </c>
      <c r="O164" s="2">
        <v>10</v>
      </c>
      <c r="P164" s="2"/>
      <c r="Q164" s="2"/>
      <c r="R164" s="2"/>
      <c r="S164" s="2"/>
      <c r="T164" s="2"/>
      <c r="U164" s="2"/>
      <c r="V164" s="2"/>
      <c r="W164" s="2"/>
      <c r="X164" s="2"/>
      <c r="Y164" s="2"/>
      <c r="Z164" s="2"/>
      <c r="AA164" s="2"/>
      <c r="AB164" s="2"/>
      <c r="AC164" s="2"/>
      <c r="AD164" s="2"/>
      <c r="AE164" s="2"/>
      <c r="AF164" s="2"/>
      <c r="AG164" s="2"/>
      <c r="AH164" s="2"/>
      <c r="AI164" s="2"/>
      <c r="AJ164" s="2"/>
    </row>
    <row r="165" spans="1:36" ht="17.25" customHeight="1" x14ac:dyDescent="0.2">
      <c r="A165" s="3" t="s">
        <v>0</v>
      </c>
      <c r="B165" s="3" t="s">
        <v>72</v>
      </c>
      <c r="C165" s="3" t="s">
        <v>274</v>
      </c>
      <c r="D165" s="3" t="s">
        <v>240</v>
      </c>
      <c r="E165" s="3" t="s">
        <v>204</v>
      </c>
      <c r="F165" s="2">
        <v>17</v>
      </c>
      <c r="G165" s="4" t="s">
        <v>73</v>
      </c>
      <c r="H165" s="2">
        <v>2000</v>
      </c>
      <c r="I165" s="2" t="s">
        <v>222</v>
      </c>
      <c r="J165" s="2" t="s">
        <v>206</v>
      </c>
      <c r="K165" s="2" t="s">
        <v>207</v>
      </c>
      <c r="L165" s="2" t="s">
        <v>398</v>
      </c>
      <c r="M165" s="2" t="s">
        <v>8</v>
      </c>
      <c r="N165" s="2">
        <v>0</v>
      </c>
      <c r="O165" s="2">
        <v>10</v>
      </c>
      <c r="P165" s="2"/>
      <c r="Q165" s="2"/>
      <c r="R165" s="2"/>
      <c r="S165" s="2"/>
      <c r="T165" s="2"/>
      <c r="U165" s="2"/>
      <c r="V165" s="2"/>
      <c r="W165" s="2"/>
      <c r="X165" s="2"/>
      <c r="Y165" s="2"/>
      <c r="Z165" s="2"/>
      <c r="AA165" s="2"/>
      <c r="AB165" s="2"/>
      <c r="AC165" s="2"/>
      <c r="AD165" s="2"/>
      <c r="AE165" s="2"/>
      <c r="AF165" s="2"/>
      <c r="AG165" s="2"/>
      <c r="AH165" s="2"/>
      <c r="AI165" s="2"/>
      <c r="AJ165" s="2"/>
    </row>
    <row r="166" spans="1:36" ht="17.25" customHeight="1" x14ac:dyDescent="0.2">
      <c r="A166" s="3" t="s">
        <v>0</v>
      </c>
      <c r="B166" s="3" t="s">
        <v>57</v>
      </c>
      <c r="C166" s="3" t="s">
        <v>274</v>
      </c>
      <c r="D166" s="3" t="s">
        <v>240</v>
      </c>
      <c r="E166" s="3" t="s">
        <v>204</v>
      </c>
      <c r="F166" s="2">
        <v>18</v>
      </c>
      <c r="G166" s="4" t="s">
        <v>58</v>
      </c>
      <c r="H166" s="2">
        <v>2001</v>
      </c>
      <c r="I166" s="2" t="s">
        <v>223</v>
      </c>
      <c r="J166" s="2" t="s">
        <v>206</v>
      </c>
      <c r="K166" s="2" t="s">
        <v>207</v>
      </c>
      <c r="L166" s="2" t="s">
        <v>398</v>
      </c>
      <c r="M166" s="2" t="s">
        <v>8</v>
      </c>
      <c r="N166" s="2">
        <v>0</v>
      </c>
      <c r="O166" s="2">
        <v>10</v>
      </c>
      <c r="P166" s="2"/>
      <c r="Q166" s="2"/>
      <c r="R166" s="2"/>
      <c r="S166" s="2"/>
      <c r="T166" s="2"/>
      <c r="U166" s="2"/>
      <c r="V166" s="2"/>
      <c r="W166" s="2"/>
      <c r="X166" s="2"/>
      <c r="Y166" s="2"/>
      <c r="Z166" s="2"/>
      <c r="AA166" s="2"/>
      <c r="AB166" s="2"/>
      <c r="AC166" s="2"/>
      <c r="AD166" s="2"/>
      <c r="AE166" s="2"/>
      <c r="AF166" s="2"/>
      <c r="AG166" s="2"/>
      <c r="AH166" s="2"/>
      <c r="AI166" s="2"/>
      <c r="AJ166" s="2"/>
    </row>
    <row r="167" spans="1:36" ht="17.25" customHeight="1" x14ac:dyDescent="0.2">
      <c r="A167" s="3" t="s">
        <v>0</v>
      </c>
      <c r="B167" s="3" t="s">
        <v>1</v>
      </c>
      <c r="C167" s="3" t="s">
        <v>274</v>
      </c>
      <c r="D167" s="3" t="s">
        <v>240</v>
      </c>
      <c r="E167" s="3" t="s">
        <v>204</v>
      </c>
      <c r="F167" s="2">
        <v>19</v>
      </c>
      <c r="G167" s="4" t="s">
        <v>4</v>
      </c>
      <c r="H167" s="2">
        <v>2002</v>
      </c>
      <c r="I167" s="2" t="s">
        <v>224</v>
      </c>
      <c r="J167" s="2" t="s">
        <v>206</v>
      </c>
      <c r="K167" s="2" t="s">
        <v>207</v>
      </c>
      <c r="L167" s="2" t="s">
        <v>398</v>
      </c>
      <c r="M167" s="2" t="s">
        <v>8</v>
      </c>
      <c r="N167" s="2">
        <v>0</v>
      </c>
      <c r="O167" s="2">
        <v>10</v>
      </c>
      <c r="P167" s="2"/>
      <c r="Q167" s="2"/>
      <c r="R167" s="2"/>
      <c r="S167" s="2"/>
      <c r="T167" s="2"/>
      <c r="U167" s="2"/>
      <c r="V167" s="2"/>
      <c r="W167" s="2"/>
      <c r="X167" s="2"/>
      <c r="Y167" s="2"/>
      <c r="Z167" s="2"/>
      <c r="AA167" s="2"/>
      <c r="AB167" s="2"/>
      <c r="AC167" s="2"/>
      <c r="AD167" s="2"/>
      <c r="AE167" s="2"/>
      <c r="AF167" s="2"/>
      <c r="AG167" s="2"/>
      <c r="AH167" s="2"/>
      <c r="AI167" s="2"/>
      <c r="AJ167" s="2"/>
    </row>
    <row r="168" spans="1:36" ht="17.25" customHeight="1" x14ac:dyDescent="0.2">
      <c r="A168" s="3" t="s">
        <v>0</v>
      </c>
      <c r="B168" s="3" t="s">
        <v>82</v>
      </c>
      <c r="C168" s="3" t="s">
        <v>274</v>
      </c>
      <c r="D168" s="3" t="s">
        <v>240</v>
      </c>
      <c r="E168" s="3" t="s">
        <v>204</v>
      </c>
      <c r="F168" s="2">
        <v>20</v>
      </c>
      <c r="G168" s="4" t="s">
        <v>83</v>
      </c>
      <c r="H168" s="2">
        <v>2003</v>
      </c>
      <c r="I168" s="2" t="s">
        <v>225</v>
      </c>
      <c r="J168" s="2" t="s">
        <v>206</v>
      </c>
      <c r="K168" s="2" t="s">
        <v>207</v>
      </c>
      <c r="L168" s="2" t="s">
        <v>398</v>
      </c>
      <c r="M168" s="2" t="s">
        <v>8</v>
      </c>
      <c r="N168" s="2">
        <v>0</v>
      </c>
      <c r="O168" s="2">
        <v>10</v>
      </c>
      <c r="P168" s="2"/>
      <c r="Q168" s="2"/>
      <c r="R168" s="2"/>
      <c r="S168" s="2"/>
      <c r="T168" s="2"/>
      <c r="U168" s="2"/>
      <c r="V168" s="2"/>
      <c r="W168" s="2"/>
      <c r="X168" s="2"/>
      <c r="Y168" s="2"/>
      <c r="Z168" s="2"/>
      <c r="AA168" s="2"/>
      <c r="AB168" s="2"/>
      <c r="AC168" s="2"/>
      <c r="AD168" s="2"/>
      <c r="AE168" s="2"/>
      <c r="AF168" s="2"/>
      <c r="AG168" s="2"/>
      <c r="AH168" s="2"/>
      <c r="AI168" s="2"/>
      <c r="AJ168" s="2"/>
    </row>
    <row r="169" spans="1:36" ht="17.25" customHeight="1" x14ac:dyDescent="0.2">
      <c r="A169" s="3" t="s">
        <v>0</v>
      </c>
      <c r="B169" s="3" t="s">
        <v>63</v>
      </c>
      <c r="C169" s="3" t="s">
        <v>274</v>
      </c>
      <c r="D169" s="3" t="s">
        <v>240</v>
      </c>
      <c r="E169" s="3" t="s">
        <v>204</v>
      </c>
      <c r="F169" s="2">
        <v>21</v>
      </c>
      <c r="G169" s="4" t="s">
        <v>64</v>
      </c>
      <c r="H169" s="2">
        <v>2004</v>
      </c>
      <c r="I169" s="2" t="s">
        <v>226</v>
      </c>
      <c r="J169" s="2" t="s">
        <v>206</v>
      </c>
      <c r="K169" s="2" t="s">
        <v>207</v>
      </c>
      <c r="L169" s="2" t="s">
        <v>398</v>
      </c>
      <c r="M169" s="2" t="s">
        <v>8</v>
      </c>
      <c r="N169" s="2">
        <v>0</v>
      </c>
      <c r="O169" s="2">
        <v>10</v>
      </c>
      <c r="P169" s="2"/>
      <c r="Q169" s="2"/>
      <c r="R169" s="2"/>
      <c r="S169" s="2"/>
      <c r="T169" s="2"/>
      <c r="U169" s="2"/>
      <c r="V169" s="2"/>
      <c r="W169" s="2"/>
      <c r="X169" s="2"/>
      <c r="Y169" s="2"/>
      <c r="Z169" s="2"/>
      <c r="AA169" s="2"/>
      <c r="AB169" s="2"/>
      <c r="AC169" s="2"/>
      <c r="AD169" s="2"/>
      <c r="AE169" s="2"/>
      <c r="AF169" s="2"/>
      <c r="AG169" s="2"/>
      <c r="AH169" s="2"/>
      <c r="AI169" s="2"/>
      <c r="AJ169" s="2"/>
    </row>
    <row r="170" spans="1:36" ht="17.25" customHeight="1" x14ac:dyDescent="0.2">
      <c r="A170" s="3" t="s">
        <v>0</v>
      </c>
      <c r="B170" s="3" t="s">
        <v>91</v>
      </c>
      <c r="C170" s="3" t="s">
        <v>274</v>
      </c>
      <c r="D170" s="3" t="s">
        <v>240</v>
      </c>
      <c r="E170" s="3" t="s">
        <v>204</v>
      </c>
      <c r="F170" s="2">
        <v>22</v>
      </c>
      <c r="G170" s="4" t="s">
        <v>92</v>
      </c>
      <c r="H170" s="2">
        <v>2005</v>
      </c>
      <c r="I170" s="2" t="s">
        <v>227</v>
      </c>
      <c r="J170" s="2" t="s">
        <v>206</v>
      </c>
      <c r="K170" s="2" t="s">
        <v>207</v>
      </c>
      <c r="L170" s="2" t="s">
        <v>398</v>
      </c>
      <c r="M170" s="2" t="s">
        <v>8</v>
      </c>
      <c r="N170" s="2">
        <v>0</v>
      </c>
      <c r="O170" s="2">
        <v>10</v>
      </c>
      <c r="P170" s="2"/>
      <c r="Q170" s="2"/>
      <c r="R170" s="2"/>
      <c r="S170" s="2"/>
      <c r="T170" s="2"/>
      <c r="U170" s="2"/>
      <c r="V170" s="2"/>
      <c r="W170" s="2"/>
      <c r="X170" s="2"/>
      <c r="Y170" s="2"/>
      <c r="Z170" s="2"/>
      <c r="AA170" s="2"/>
      <c r="AB170" s="2"/>
      <c r="AC170" s="2"/>
      <c r="AD170" s="2"/>
      <c r="AE170" s="2"/>
      <c r="AF170" s="2"/>
      <c r="AG170" s="2"/>
      <c r="AH170" s="2"/>
      <c r="AI170" s="2"/>
      <c r="AJ170" s="2"/>
    </row>
    <row r="171" spans="1:36" ht="17.25" customHeight="1" x14ac:dyDescent="0.2">
      <c r="A171" s="3" t="s">
        <v>0</v>
      </c>
      <c r="B171" s="3" t="s">
        <v>51</v>
      </c>
      <c r="C171" s="3" t="s">
        <v>274</v>
      </c>
      <c r="D171" s="3" t="s">
        <v>240</v>
      </c>
      <c r="E171" s="3" t="s">
        <v>204</v>
      </c>
      <c r="F171" s="2">
        <v>23</v>
      </c>
      <c r="G171" s="4" t="s">
        <v>52</v>
      </c>
      <c r="H171" s="2">
        <v>2006</v>
      </c>
      <c r="I171" s="2" t="s">
        <v>228</v>
      </c>
      <c r="J171" s="2" t="s">
        <v>206</v>
      </c>
      <c r="K171" s="2" t="s">
        <v>207</v>
      </c>
      <c r="L171" s="2" t="s">
        <v>398</v>
      </c>
      <c r="M171" s="2" t="s">
        <v>8</v>
      </c>
      <c r="N171" s="2">
        <v>0</v>
      </c>
      <c r="O171" s="2">
        <v>10</v>
      </c>
      <c r="P171" s="2"/>
      <c r="Q171" s="2"/>
      <c r="R171" s="2"/>
      <c r="S171" s="2"/>
      <c r="T171" s="2"/>
      <c r="U171" s="2"/>
      <c r="V171" s="2"/>
      <c r="W171" s="2"/>
      <c r="X171" s="2"/>
      <c r="Y171" s="2"/>
      <c r="Z171" s="2"/>
      <c r="AA171" s="2"/>
      <c r="AB171" s="2"/>
      <c r="AC171" s="2"/>
      <c r="AD171" s="2"/>
      <c r="AE171" s="2"/>
      <c r="AF171" s="2"/>
      <c r="AG171" s="2"/>
      <c r="AH171" s="2"/>
      <c r="AI171" s="2"/>
      <c r="AJ171" s="2"/>
    </row>
    <row r="172" spans="1:36" ht="17.25" customHeight="1" x14ac:dyDescent="0.2">
      <c r="A172" s="3" t="s">
        <v>0</v>
      </c>
      <c r="B172" s="3" t="s">
        <v>94</v>
      </c>
      <c r="C172" s="3" t="s">
        <v>274</v>
      </c>
      <c r="D172" s="3" t="s">
        <v>240</v>
      </c>
      <c r="E172" s="3" t="s">
        <v>204</v>
      </c>
      <c r="F172" s="2">
        <v>24</v>
      </c>
      <c r="G172" s="4" t="s">
        <v>95</v>
      </c>
      <c r="H172" s="2">
        <v>2007</v>
      </c>
      <c r="I172" s="2" t="s">
        <v>229</v>
      </c>
      <c r="J172" s="2" t="s">
        <v>206</v>
      </c>
      <c r="K172" s="2" t="s">
        <v>207</v>
      </c>
      <c r="L172" s="2" t="s">
        <v>398</v>
      </c>
      <c r="M172" s="2" t="s">
        <v>8</v>
      </c>
      <c r="N172" s="2">
        <v>0</v>
      </c>
      <c r="O172" s="2">
        <v>10</v>
      </c>
      <c r="P172" s="2"/>
      <c r="Q172" s="2"/>
      <c r="R172" s="2"/>
      <c r="S172" s="2"/>
      <c r="T172" s="2"/>
      <c r="U172" s="2"/>
      <c r="V172" s="2"/>
      <c r="W172" s="2"/>
      <c r="X172" s="2"/>
      <c r="Y172" s="2"/>
      <c r="Z172" s="2"/>
      <c r="AA172" s="2"/>
      <c r="AB172" s="2"/>
      <c r="AC172" s="2"/>
      <c r="AD172" s="2"/>
      <c r="AE172" s="2"/>
      <c r="AF172" s="2"/>
      <c r="AG172" s="2"/>
      <c r="AH172" s="2"/>
      <c r="AI172" s="2"/>
      <c r="AJ172" s="2"/>
    </row>
    <row r="173" spans="1:36" ht="17.25" customHeight="1" x14ac:dyDescent="0.2">
      <c r="A173" s="3" t="s">
        <v>0</v>
      </c>
      <c r="B173" s="3" t="s">
        <v>69</v>
      </c>
      <c r="C173" s="3" t="s">
        <v>274</v>
      </c>
      <c r="D173" s="3" t="s">
        <v>240</v>
      </c>
      <c r="E173" s="3" t="s">
        <v>204</v>
      </c>
      <c r="F173" s="2">
        <v>25</v>
      </c>
      <c r="G173" s="4" t="s">
        <v>70</v>
      </c>
      <c r="H173" s="2">
        <v>2008</v>
      </c>
      <c r="I173" s="2" t="s">
        <v>230</v>
      </c>
      <c r="J173" s="2" t="s">
        <v>206</v>
      </c>
      <c r="K173" s="2" t="s">
        <v>207</v>
      </c>
      <c r="L173" s="2" t="s">
        <v>398</v>
      </c>
      <c r="M173" s="2" t="s">
        <v>8</v>
      </c>
      <c r="N173" s="2">
        <v>0</v>
      </c>
      <c r="O173" s="2">
        <v>10</v>
      </c>
      <c r="P173" s="2"/>
      <c r="Q173" s="2"/>
      <c r="R173" s="2"/>
      <c r="S173" s="2"/>
      <c r="T173" s="2"/>
      <c r="U173" s="2"/>
      <c r="V173" s="2"/>
      <c r="W173" s="2"/>
      <c r="X173" s="2"/>
      <c r="Y173" s="2"/>
      <c r="Z173" s="2"/>
      <c r="AA173" s="2"/>
      <c r="AB173" s="2"/>
      <c r="AC173" s="2"/>
      <c r="AD173" s="2"/>
      <c r="AE173" s="2"/>
      <c r="AF173" s="2"/>
      <c r="AG173" s="2"/>
      <c r="AH173" s="2"/>
      <c r="AI173" s="2"/>
      <c r="AJ173" s="2"/>
    </row>
    <row r="174" spans="1:36" ht="17.25" customHeight="1" x14ac:dyDescent="0.2">
      <c r="A174" s="3" t="s">
        <v>0</v>
      </c>
      <c r="B174" s="3" t="s">
        <v>15</v>
      </c>
      <c r="C174" s="3" t="s">
        <v>274</v>
      </c>
      <c r="D174" s="3" t="s">
        <v>240</v>
      </c>
      <c r="E174" s="3" t="s">
        <v>204</v>
      </c>
      <c r="F174" s="2">
        <v>26</v>
      </c>
      <c r="G174" s="4" t="s">
        <v>16</v>
      </c>
      <c r="H174" s="2">
        <v>2009</v>
      </c>
      <c r="I174" s="2" t="s">
        <v>231</v>
      </c>
      <c r="J174" s="2" t="s">
        <v>206</v>
      </c>
      <c r="K174" s="2" t="s">
        <v>207</v>
      </c>
      <c r="L174" s="2" t="s">
        <v>398</v>
      </c>
      <c r="M174" s="2" t="s">
        <v>8</v>
      </c>
      <c r="N174" s="2">
        <v>0</v>
      </c>
      <c r="O174" s="2">
        <v>10</v>
      </c>
      <c r="P174" s="2"/>
      <c r="Q174" s="2"/>
      <c r="R174" s="2"/>
      <c r="S174" s="2"/>
      <c r="T174" s="2"/>
      <c r="U174" s="2"/>
      <c r="V174" s="2"/>
      <c r="W174" s="2"/>
      <c r="X174" s="2"/>
      <c r="Y174" s="2"/>
      <c r="Z174" s="2"/>
      <c r="AA174" s="2"/>
      <c r="AB174" s="2"/>
      <c r="AC174" s="2"/>
      <c r="AD174" s="2"/>
      <c r="AE174" s="2"/>
      <c r="AF174" s="2"/>
      <c r="AG174" s="2"/>
      <c r="AH174" s="2"/>
      <c r="AI174" s="2"/>
      <c r="AJ174" s="2"/>
    </row>
    <row r="175" spans="1:36" ht="17.25" customHeight="1" x14ac:dyDescent="0.2">
      <c r="A175" s="3" t="s">
        <v>0</v>
      </c>
      <c r="B175" s="3" t="s">
        <v>33</v>
      </c>
      <c r="C175" s="3" t="s">
        <v>274</v>
      </c>
      <c r="D175" s="3" t="s">
        <v>240</v>
      </c>
      <c r="E175" s="3" t="s">
        <v>204</v>
      </c>
      <c r="F175" s="2">
        <v>27</v>
      </c>
      <c r="G175" s="4" t="s">
        <v>34</v>
      </c>
      <c r="H175" s="2">
        <v>2010</v>
      </c>
      <c r="I175" s="2" t="s">
        <v>232</v>
      </c>
      <c r="J175" s="2" t="s">
        <v>206</v>
      </c>
      <c r="K175" s="2" t="s">
        <v>207</v>
      </c>
      <c r="L175" s="2" t="s">
        <v>398</v>
      </c>
      <c r="M175" s="2" t="s">
        <v>8</v>
      </c>
      <c r="N175" s="2">
        <v>0</v>
      </c>
      <c r="O175" s="2">
        <v>10</v>
      </c>
      <c r="P175" s="2"/>
      <c r="Q175" s="2"/>
      <c r="R175" s="2"/>
      <c r="S175" s="2"/>
      <c r="T175" s="2"/>
      <c r="U175" s="2"/>
      <c r="V175" s="2"/>
      <c r="W175" s="2"/>
      <c r="X175" s="2"/>
      <c r="Y175" s="2"/>
      <c r="Z175" s="2"/>
      <c r="AA175" s="2"/>
      <c r="AB175" s="2"/>
      <c r="AC175" s="2"/>
      <c r="AD175" s="2"/>
      <c r="AE175" s="2"/>
      <c r="AF175" s="2"/>
      <c r="AG175" s="2"/>
      <c r="AH175" s="2"/>
      <c r="AI175" s="2"/>
      <c r="AJ175" s="2"/>
    </row>
    <row r="176" spans="1:36" ht="17.25" customHeight="1" x14ac:dyDescent="0.2">
      <c r="A176" s="3" t="s">
        <v>0</v>
      </c>
      <c r="B176" s="3" t="s">
        <v>45</v>
      </c>
      <c r="C176" s="3" t="s">
        <v>274</v>
      </c>
      <c r="D176" s="3" t="s">
        <v>240</v>
      </c>
      <c r="E176" s="3" t="s">
        <v>204</v>
      </c>
      <c r="F176" s="2">
        <v>28</v>
      </c>
      <c r="G176" s="4" t="s">
        <v>46</v>
      </c>
      <c r="H176" s="2">
        <v>2011</v>
      </c>
      <c r="I176" s="2" t="s">
        <v>233</v>
      </c>
      <c r="J176" s="2" t="s">
        <v>206</v>
      </c>
      <c r="K176" s="2" t="s">
        <v>207</v>
      </c>
      <c r="L176" s="2" t="s">
        <v>398</v>
      </c>
      <c r="M176" s="2" t="s">
        <v>8</v>
      </c>
      <c r="N176" s="2">
        <v>0</v>
      </c>
      <c r="O176" s="2">
        <v>10</v>
      </c>
      <c r="P176" s="2"/>
      <c r="Q176" s="2"/>
      <c r="R176" s="2"/>
      <c r="S176" s="2"/>
      <c r="T176" s="2"/>
      <c r="U176" s="2"/>
      <c r="V176" s="2"/>
      <c r="W176" s="2"/>
      <c r="X176" s="2"/>
      <c r="Y176" s="2"/>
      <c r="Z176" s="2"/>
      <c r="AA176" s="2"/>
      <c r="AB176" s="2"/>
      <c r="AC176" s="2"/>
      <c r="AD176" s="2"/>
      <c r="AE176" s="2"/>
      <c r="AF176" s="2"/>
      <c r="AG176" s="2"/>
      <c r="AH176" s="2"/>
      <c r="AI176" s="2"/>
      <c r="AJ176" s="2"/>
    </row>
    <row r="177" spans="1:36" ht="17.25" customHeight="1" x14ac:dyDescent="0.2">
      <c r="A177" s="3" t="s">
        <v>0</v>
      </c>
      <c r="B177" s="3" t="s">
        <v>60</v>
      </c>
      <c r="C177" s="3" t="s">
        <v>274</v>
      </c>
      <c r="D177" s="3" t="s">
        <v>240</v>
      </c>
      <c r="E177" s="3" t="s">
        <v>204</v>
      </c>
      <c r="F177" s="2">
        <v>29</v>
      </c>
      <c r="G177" s="4" t="s">
        <v>61</v>
      </c>
      <c r="H177" s="2">
        <v>2012</v>
      </c>
      <c r="I177" s="2" t="s">
        <v>234</v>
      </c>
      <c r="J177" s="2" t="s">
        <v>206</v>
      </c>
      <c r="K177" s="2" t="s">
        <v>207</v>
      </c>
      <c r="L177" s="2" t="s">
        <v>398</v>
      </c>
      <c r="M177" s="2" t="s">
        <v>8</v>
      </c>
      <c r="N177" s="2">
        <v>0</v>
      </c>
      <c r="O177" s="2">
        <v>10</v>
      </c>
      <c r="P177" s="2"/>
      <c r="Q177" s="2"/>
      <c r="R177" s="2"/>
      <c r="S177" s="2"/>
      <c r="T177" s="2"/>
      <c r="U177" s="2"/>
      <c r="V177" s="2"/>
      <c r="W177" s="2"/>
      <c r="X177" s="2"/>
      <c r="Y177" s="2"/>
      <c r="Z177" s="2"/>
      <c r="AA177" s="2"/>
      <c r="AB177" s="2"/>
      <c r="AC177" s="2"/>
      <c r="AD177" s="2"/>
      <c r="AE177" s="2"/>
      <c r="AF177" s="2"/>
      <c r="AG177" s="2"/>
      <c r="AH177" s="2"/>
      <c r="AI177" s="2"/>
      <c r="AJ177" s="2"/>
    </row>
    <row r="178" spans="1:36" ht="17.25" customHeight="1" x14ac:dyDescent="0.2">
      <c r="A178" s="3" t="s">
        <v>0</v>
      </c>
      <c r="B178" s="3" t="s">
        <v>85</v>
      </c>
      <c r="C178" s="3" t="s">
        <v>274</v>
      </c>
      <c r="D178" s="3" t="s">
        <v>240</v>
      </c>
      <c r="E178" s="3" t="s">
        <v>204</v>
      </c>
      <c r="F178" s="2">
        <v>30</v>
      </c>
      <c r="G178" s="4" t="s">
        <v>86</v>
      </c>
      <c r="H178" s="2">
        <v>2013</v>
      </c>
      <c r="I178" s="2" t="s">
        <v>235</v>
      </c>
      <c r="J178" s="2" t="s">
        <v>206</v>
      </c>
      <c r="K178" s="2" t="s">
        <v>207</v>
      </c>
      <c r="L178" s="2" t="s">
        <v>398</v>
      </c>
      <c r="M178" s="2" t="s">
        <v>8</v>
      </c>
      <c r="N178" s="2">
        <v>0</v>
      </c>
      <c r="O178" s="2">
        <v>10</v>
      </c>
      <c r="P178" s="2"/>
      <c r="Q178" s="2"/>
      <c r="R178" s="2"/>
      <c r="S178" s="2"/>
      <c r="T178" s="2"/>
      <c r="U178" s="2"/>
      <c r="V178" s="2"/>
      <c r="W178" s="2"/>
      <c r="X178" s="2"/>
      <c r="Y178" s="2"/>
      <c r="Z178" s="2"/>
      <c r="AA178" s="2"/>
      <c r="AB178" s="2"/>
      <c r="AC178" s="2"/>
      <c r="AD178" s="2"/>
      <c r="AE178" s="2"/>
      <c r="AF178" s="2"/>
      <c r="AG178" s="2"/>
      <c r="AH178" s="2"/>
      <c r="AI178" s="2"/>
      <c r="AJ178" s="2"/>
    </row>
    <row r="179" spans="1:36" ht="17.25" customHeight="1" x14ac:dyDescent="0.2">
      <c r="A179" s="3" t="s">
        <v>0</v>
      </c>
      <c r="B179" s="3" t="s">
        <v>21</v>
      </c>
      <c r="C179" s="3" t="s">
        <v>274</v>
      </c>
      <c r="D179" s="3" t="s">
        <v>240</v>
      </c>
      <c r="E179" s="3" t="s">
        <v>204</v>
      </c>
      <c r="F179" s="2">
        <v>31</v>
      </c>
      <c r="G179" s="4" t="s">
        <v>22</v>
      </c>
      <c r="H179" s="2">
        <v>2014</v>
      </c>
      <c r="I179" s="2" t="s">
        <v>236</v>
      </c>
      <c r="J179" s="2" t="s">
        <v>206</v>
      </c>
      <c r="K179" s="2" t="s">
        <v>207</v>
      </c>
      <c r="L179" s="2" t="s">
        <v>398</v>
      </c>
      <c r="M179" s="2" t="s">
        <v>8</v>
      </c>
      <c r="N179" s="2">
        <v>0</v>
      </c>
      <c r="O179" s="2">
        <v>10</v>
      </c>
      <c r="P179" s="2"/>
      <c r="Q179" s="2"/>
      <c r="R179" s="2"/>
      <c r="S179" s="2"/>
      <c r="T179" s="2"/>
      <c r="U179" s="2"/>
      <c r="V179" s="2"/>
      <c r="W179" s="2"/>
      <c r="X179" s="2"/>
      <c r="Y179" s="2"/>
      <c r="Z179" s="2"/>
      <c r="AA179" s="2"/>
      <c r="AB179" s="2"/>
      <c r="AC179" s="2"/>
      <c r="AD179" s="2"/>
      <c r="AE179" s="2"/>
      <c r="AF179" s="2"/>
      <c r="AG179" s="2"/>
      <c r="AH179" s="2"/>
      <c r="AI179" s="2"/>
      <c r="AJ179" s="2"/>
    </row>
    <row r="180" spans="1:36" ht="17.25" customHeight="1" x14ac:dyDescent="0.2">
      <c r="A180" s="3" t="s">
        <v>0</v>
      </c>
      <c r="B180" s="3" t="s">
        <v>27</v>
      </c>
      <c r="C180" s="3" t="s">
        <v>274</v>
      </c>
      <c r="D180" s="3" t="s">
        <v>240</v>
      </c>
      <c r="E180" s="3" t="s">
        <v>204</v>
      </c>
      <c r="F180" s="2">
        <v>32</v>
      </c>
      <c r="G180" s="4" t="s">
        <v>28</v>
      </c>
      <c r="H180" s="2">
        <v>2015</v>
      </c>
      <c r="I180" s="2" t="s">
        <v>237</v>
      </c>
      <c r="J180" s="2" t="s">
        <v>206</v>
      </c>
      <c r="K180" s="2" t="s">
        <v>207</v>
      </c>
      <c r="L180" s="2" t="s">
        <v>398</v>
      </c>
      <c r="M180" s="2" t="s">
        <v>8</v>
      </c>
      <c r="N180" s="2">
        <v>0</v>
      </c>
      <c r="O180" s="2">
        <v>10</v>
      </c>
      <c r="P180" s="2"/>
      <c r="Q180" s="2"/>
      <c r="R180" s="2"/>
      <c r="S180" s="2"/>
      <c r="T180" s="4"/>
      <c r="U180" s="4"/>
      <c r="V180" s="2"/>
      <c r="W180" s="2"/>
      <c r="X180" s="2"/>
      <c r="Y180" s="2"/>
      <c r="Z180" s="2"/>
      <c r="AA180" s="2"/>
      <c r="AB180" s="2"/>
      <c r="AC180" s="2"/>
      <c r="AD180" s="2"/>
      <c r="AE180" s="2"/>
      <c r="AF180" s="2"/>
      <c r="AG180" s="2"/>
      <c r="AH180" s="2"/>
      <c r="AI180" s="2"/>
      <c r="AJ180" s="2"/>
    </row>
    <row r="181" spans="1:36" ht="17.25" customHeight="1" x14ac:dyDescent="0.2">
      <c r="A181" s="3" t="s">
        <v>0</v>
      </c>
      <c r="B181" s="3" t="str">
        <f>G181&amp;"pequiv"</f>
        <v>bgpequiv</v>
      </c>
      <c r="C181" s="3" t="s">
        <v>274</v>
      </c>
      <c r="D181" s="3" t="s">
        <v>240</v>
      </c>
      <c r="E181" s="3" t="s">
        <v>204</v>
      </c>
      <c r="F181" s="2">
        <v>33</v>
      </c>
      <c r="G181" s="4" t="s">
        <v>76</v>
      </c>
      <c r="H181">
        <v>2016</v>
      </c>
      <c r="I181" s="2" t="s">
        <v>316</v>
      </c>
      <c r="J181" s="2" t="s">
        <v>206</v>
      </c>
      <c r="K181" s="2" t="s">
        <v>207</v>
      </c>
      <c r="L181" s="2" t="s">
        <v>398</v>
      </c>
      <c r="M181" s="2" t="s">
        <v>8</v>
      </c>
      <c r="N181" s="2">
        <v>0</v>
      </c>
      <c r="O181" s="2">
        <v>10</v>
      </c>
      <c r="P181" s="2"/>
      <c r="Q181" s="2"/>
      <c r="R181" s="2"/>
      <c r="S181" s="2"/>
      <c r="T181" s="4"/>
      <c r="U181" s="4"/>
      <c r="V181" s="2"/>
      <c r="W181" s="2"/>
      <c r="X181" s="2"/>
      <c r="Y181" s="2"/>
      <c r="Z181" s="2"/>
      <c r="AA181" s="2"/>
      <c r="AB181" s="2"/>
      <c r="AC181" s="2"/>
      <c r="AD181" s="2"/>
      <c r="AE181" s="2"/>
      <c r="AF181" s="2"/>
      <c r="AG181" s="2"/>
      <c r="AH181" s="2"/>
      <c r="AI181" s="2"/>
      <c r="AJ181" s="2"/>
    </row>
    <row r="182" spans="1:36" ht="17.25" customHeight="1" x14ac:dyDescent="0.2">
      <c r="A182" s="3" t="s">
        <v>0</v>
      </c>
      <c r="B182" s="3" t="str">
        <f t="shared" ref="B182" si="2">G182&amp;"pequiv"</f>
        <v>bhpequiv</v>
      </c>
      <c r="C182" s="3" t="s">
        <v>274</v>
      </c>
      <c r="D182" s="3" t="s">
        <v>240</v>
      </c>
      <c r="E182" s="3" t="s">
        <v>204</v>
      </c>
      <c r="F182" s="2">
        <v>34</v>
      </c>
      <c r="G182" s="4" t="s">
        <v>67</v>
      </c>
      <c r="H182">
        <v>2017</v>
      </c>
      <c r="I182" s="2" t="s">
        <v>317</v>
      </c>
      <c r="J182" s="2" t="s">
        <v>206</v>
      </c>
      <c r="K182" s="2" t="s">
        <v>207</v>
      </c>
      <c r="L182" s="2" t="s">
        <v>398</v>
      </c>
      <c r="M182" s="2" t="s">
        <v>8</v>
      </c>
      <c r="N182" s="2">
        <v>0</v>
      </c>
      <c r="O182" s="2">
        <v>10</v>
      </c>
      <c r="P182" s="2"/>
      <c r="Q182" s="2"/>
      <c r="R182" s="2"/>
      <c r="S182" s="2"/>
      <c r="T182" s="4"/>
      <c r="U182" s="4"/>
      <c r="V182" s="2"/>
      <c r="W182" s="2"/>
      <c r="X182" s="2"/>
      <c r="Y182" s="2"/>
      <c r="Z182" s="2"/>
      <c r="AA182" s="2"/>
      <c r="AB182" s="2"/>
      <c r="AC182" s="2"/>
      <c r="AD182" s="2"/>
      <c r="AE182" s="2"/>
      <c r="AF182" s="2"/>
      <c r="AG182" s="2"/>
      <c r="AH182" s="2"/>
      <c r="AI182" s="2"/>
      <c r="AJ182" s="2"/>
    </row>
    <row r="183" spans="1:36" s="7" customFormat="1" x14ac:dyDescent="0.2">
      <c r="A183" s="12" t="s">
        <v>0</v>
      </c>
      <c r="B183" s="13" t="s">
        <v>124</v>
      </c>
      <c r="C183" s="12" t="s">
        <v>274</v>
      </c>
      <c r="D183" s="13" t="s">
        <v>454</v>
      </c>
      <c r="E183" s="12" t="s">
        <v>273</v>
      </c>
      <c r="F183" s="8">
        <v>1</v>
      </c>
      <c r="G183" s="10" t="s">
        <v>40</v>
      </c>
      <c r="H183" s="9">
        <v>1984</v>
      </c>
      <c r="I183" s="7" t="s">
        <v>241</v>
      </c>
      <c r="J183" s="7" t="s">
        <v>275</v>
      </c>
      <c r="K183" s="7" t="s">
        <v>276</v>
      </c>
      <c r="L183" s="2" t="s">
        <v>398</v>
      </c>
      <c r="M183" s="2" t="s">
        <v>8</v>
      </c>
      <c r="N183" s="2">
        <v>0</v>
      </c>
      <c r="O183" s="2">
        <v>10</v>
      </c>
    </row>
    <row r="184" spans="1:36" x14ac:dyDescent="0.2">
      <c r="A184" s="14" t="s">
        <v>0</v>
      </c>
      <c r="B184" s="15" t="s">
        <v>129</v>
      </c>
      <c r="C184" s="14" t="s">
        <v>274</v>
      </c>
      <c r="D184" s="13" t="s">
        <v>454</v>
      </c>
      <c r="E184" s="14" t="s">
        <v>273</v>
      </c>
      <c r="F184" s="2">
        <v>2</v>
      </c>
      <c r="G184" s="4" t="s">
        <v>37</v>
      </c>
      <c r="H184" s="6">
        <v>1985</v>
      </c>
      <c r="I184" t="s">
        <v>242</v>
      </c>
      <c r="J184" s="7" t="s">
        <v>275</v>
      </c>
      <c r="K184" s="7" t="s">
        <v>276</v>
      </c>
      <c r="L184" s="2" t="s">
        <v>398</v>
      </c>
      <c r="M184" s="2" t="s">
        <v>8</v>
      </c>
      <c r="N184" s="2">
        <v>0</v>
      </c>
      <c r="O184" s="2">
        <v>10</v>
      </c>
    </row>
    <row r="185" spans="1:36" x14ac:dyDescent="0.2">
      <c r="A185" s="14" t="s">
        <v>0</v>
      </c>
      <c r="B185" s="15" t="s">
        <v>131</v>
      </c>
      <c r="C185" s="14" t="s">
        <v>274</v>
      </c>
      <c r="D185" s="13" t="s">
        <v>454</v>
      </c>
      <c r="E185" s="14" t="s">
        <v>273</v>
      </c>
      <c r="F185" s="2">
        <v>3</v>
      </c>
      <c r="G185" s="4" t="s">
        <v>80</v>
      </c>
      <c r="H185" s="6">
        <v>1986</v>
      </c>
      <c r="I185" t="s">
        <v>243</v>
      </c>
      <c r="J185" s="7" t="s">
        <v>275</v>
      </c>
      <c r="K185" s="7" t="s">
        <v>276</v>
      </c>
      <c r="L185" s="2" t="s">
        <v>398</v>
      </c>
      <c r="M185" s="2" t="s">
        <v>8</v>
      </c>
      <c r="N185" s="2">
        <v>0</v>
      </c>
      <c r="O185" s="2">
        <v>10</v>
      </c>
    </row>
    <row r="186" spans="1:36" x14ac:dyDescent="0.2">
      <c r="A186" s="14" t="s">
        <v>0</v>
      </c>
      <c r="B186" s="15" t="s">
        <v>133</v>
      </c>
      <c r="C186" s="14" t="s">
        <v>274</v>
      </c>
      <c r="D186" s="13" t="s">
        <v>454</v>
      </c>
      <c r="E186" s="14" t="s">
        <v>273</v>
      </c>
      <c r="F186" s="2">
        <v>4</v>
      </c>
      <c r="G186" s="4" t="s">
        <v>31</v>
      </c>
      <c r="H186" s="6">
        <v>1987</v>
      </c>
      <c r="I186" t="s">
        <v>244</v>
      </c>
      <c r="J186" s="7" t="s">
        <v>275</v>
      </c>
      <c r="K186" s="7" t="s">
        <v>276</v>
      </c>
      <c r="L186" s="2" t="s">
        <v>398</v>
      </c>
      <c r="M186" s="2" t="s">
        <v>8</v>
      </c>
      <c r="N186" s="2">
        <v>0</v>
      </c>
      <c r="O186" s="2">
        <v>10</v>
      </c>
    </row>
    <row r="187" spans="1:36" x14ac:dyDescent="0.2">
      <c r="A187" s="14" t="s">
        <v>0</v>
      </c>
      <c r="B187" s="15" t="s">
        <v>135</v>
      </c>
      <c r="C187" s="14" t="s">
        <v>274</v>
      </c>
      <c r="D187" s="13" t="s">
        <v>454</v>
      </c>
      <c r="E187" s="14" t="s">
        <v>273</v>
      </c>
      <c r="F187" s="2">
        <v>5</v>
      </c>
      <c r="G187" s="4" t="s">
        <v>13</v>
      </c>
      <c r="H187" s="6">
        <v>1988</v>
      </c>
      <c r="I187" t="s">
        <v>245</v>
      </c>
      <c r="J187" s="7" t="s">
        <v>275</v>
      </c>
      <c r="K187" s="7" t="s">
        <v>276</v>
      </c>
      <c r="L187" s="2" t="s">
        <v>398</v>
      </c>
      <c r="M187" s="2" t="s">
        <v>8</v>
      </c>
      <c r="N187" s="2">
        <v>0</v>
      </c>
      <c r="O187" s="2">
        <v>10</v>
      </c>
    </row>
    <row r="188" spans="1:36" x14ac:dyDescent="0.2">
      <c r="A188" s="14" t="s">
        <v>0</v>
      </c>
      <c r="B188" s="15" t="s">
        <v>137</v>
      </c>
      <c r="C188" s="14" t="s">
        <v>274</v>
      </c>
      <c r="D188" s="13" t="s">
        <v>454</v>
      </c>
      <c r="E188" s="14" t="s">
        <v>273</v>
      </c>
      <c r="F188" s="2">
        <v>6</v>
      </c>
      <c r="G188" s="4" t="s">
        <v>49</v>
      </c>
      <c r="H188" s="6">
        <v>1989</v>
      </c>
      <c r="I188" t="s">
        <v>246</v>
      </c>
      <c r="J188" s="7" t="s">
        <v>275</v>
      </c>
      <c r="K188" s="7" t="s">
        <v>276</v>
      </c>
      <c r="L188" s="2" t="s">
        <v>398</v>
      </c>
      <c r="M188" s="2" t="s">
        <v>8</v>
      </c>
      <c r="N188" s="2">
        <v>0</v>
      </c>
      <c r="O188" s="2">
        <v>10</v>
      </c>
    </row>
    <row r="189" spans="1:36" x14ac:dyDescent="0.2">
      <c r="A189" s="14" t="s">
        <v>0</v>
      </c>
      <c r="B189" s="15" t="s">
        <v>139</v>
      </c>
      <c r="C189" s="14" t="s">
        <v>274</v>
      </c>
      <c r="D189" s="13" t="s">
        <v>454</v>
      </c>
      <c r="E189" s="14" t="s">
        <v>273</v>
      </c>
      <c r="F189" s="2">
        <v>7</v>
      </c>
      <c r="G189" s="4" t="s">
        <v>101</v>
      </c>
      <c r="H189" s="6">
        <v>1990</v>
      </c>
      <c r="I189" t="s">
        <v>247</v>
      </c>
      <c r="J189" s="7" t="s">
        <v>275</v>
      </c>
      <c r="K189" s="7" t="s">
        <v>276</v>
      </c>
      <c r="L189" s="2" t="s">
        <v>398</v>
      </c>
      <c r="M189" s="2" t="s">
        <v>8</v>
      </c>
      <c r="N189" s="2">
        <v>0</v>
      </c>
      <c r="O189" s="2">
        <v>10</v>
      </c>
    </row>
    <row r="190" spans="1:36" x14ac:dyDescent="0.2">
      <c r="A190" s="14" t="s">
        <v>0</v>
      </c>
      <c r="B190" s="15" t="s">
        <v>141</v>
      </c>
      <c r="C190" s="14" t="s">
        <v>274</v>
      </c>
      <c r="D190" s="13" t="s">
        <v>454</v>
      </c>
      <c r="E190" s="14" t="s">
        <v>273</v>
      </c>
      <c r="F190" s="2">
        <v>8</v>
      </c>
      <c r="G190" s="4" t="s">
        <v>10</v>
      </c>
      <c r="H190" s="6">
        <v>1991</v>
      </c>
      <c r="I190" t="s">
        <v>248</v>
      </c>
      <c r="J190" s="7" t="s">
        <v>275</v>
      </c>
      <c r="K190" s="7" t="s">
        <v>276</v>
      </c>
      <c r="L190" s="2" t="s">
        <v>398</v>
      </c>
      <c r="M190" s="2" t="s">
        <v>8</v>
      </c>
      <c r="N190" s="2">
        <v>0</v>
      </c>
      <c r="O190" s="2">
        <v>10</v>
      </c>
    </row>
    <row r="191" spans="1:36" x14ac:dyDescent="0.2">
      <c r="A191" s="14" t="s">
        <v>0</v>
      </c>
      <c r="B191" s="15" t="s">
        <v>143</v>
      </c>
      <c r="C191" s="14" t="s">
        <v>274</v>
      </c>
      <c r="D191" s="13" t="s">
        <v>454</v>
      </c>
      <c r="E191" s="14" t="s">
        <v>273</v>
      </c>
      <c r="F191" s="2">
        <v>9</v>
      </c>
      <c r="G191" s="4" t="s">
        <v>55</v>
      </c>
      <c r="H191" s="6">
        <v>1992</v>
      </c>
      <c r="I191" t="s">
        <v>249</v>
      </c>
      <c r="J191" s="7" t="s">
        <v>275</v>
      </c>
      <c r="K191" s="7" t="s">
        <v>276</v>
      </c>
      <c r="L191" s="2" t="s">
        <v>398</v>
      </c>
      <c r="M191" s="2" t="s">
        <v>8</v>
      </c>
      <c r="N191" s="2">
        <v>0</v>
      </c>
      <c r="O191" s="2">
        <v>10</v>
      </c>
    </row>
    <row r="192" spans="1:36" x14ac:dyDescent="0.2">
      <c r="A192" s="14" t="s">
        <v>0</v>
      </c>
      <c r="B192" s="15" t="s">
        <v>145</v>
      </c>
      <c r="C192" s="14" t="s">
        <v>274</v>
      </c>
      <c r="D192" s="13" t="s">
        <v>454</v>
      </c>
      <c r="E192" s="14" t="s">
        <v>273</v>
      </c>
      <c r="F192" s="2">
        <v>10</v>
      </c>
      <c r="G192" s="4" t="s">
        <v>98</v>
      </c>
      <c r="H192" s="6">
        <v>1993</v>
      </c>
      <c r="I192" t="s">
        <v>250</v>
      </c>
      <c r="J192" s="7" t="s">
        <v>275</v>
      </c>
      <c r="K192" s="7" t="s">
        <v>276</v>
      </c>
      <c r="L192" s="2" t="s">
        <v>398</v>
      </c>
      <c r="M192" s="2" t="s">
        <v>8</v>
      </c>
      <c r="N192" s="2">
        <v>0</v>
      </c>
      <c r="O192" s="2">
        <v>10</v>
      </c>
    </row>
    <row r="193" spans="1:15" x14ac:dyDescent="0.2">
      <c r="A193" s="14" t="s">
        <v>0</v>
      </c>
      <c r="B193" s="15" t="s">
        <v>147</v>
      </c>
      <c r="C193" s="14" t="s">
        <v>274</v>
      </c>
      <c r="D193" s="13" t="s">
        <v>454</v>
      </c>
      <c r="E193" s="14" t="s">
        <v>273</v>
      </c>
      <c r="F193" s="2">
        <v>11</v>
      </c>
      <c r="G193" s="4" t="s">
        <v>104</v>
      </c>
      <c r="H193" s="6">
        <v>1994</v>
      </c>
      <c r="I193" t="s">
        <v>251</v>
      </c>
      <c r="J193" s="7" t="s">
        <v>275</v>
      </c>
      <c r="K193" s="7" t="s">
        <v>276</v>
      </c>
      <c r="L193" s="2" t="s">
        <v>398</v>
      </c>
      <c r="M193" s="2" t="s">
        <v>8</v>
      </c>
      <c r="N193" s="2">
        <v>0</v>
      </c>
      <c r="O193" s="2">
        <v>10</v>
      </c>
    </row>
    <row r="194" spans="1:15" x14ac:dyDescent="0.2">
      <c r="A194" s="14" t="s">
        <v>0</v>
      </c>
      <c r="B194" s="15" t="s">
        <v>149</v>
      </c>
      <c r="C194" s="14" t="s">
        <v>274</v>
      </c>
      <c r="D194" s="13" t="s">
        <v>454</v>
      </c>
      <c r="E194" s="14" t="s">
        <v>273</v>
      </c>
      <c r="F194" s="2">
        <v>12</v>
      </c>
      <c r="G194" s="4" t="s">
        <v>89</v>
      </c>
      <c r="H194" s="6">
        <v>1995</v>
      </c>
      <c r="I194" t="s">
        <v>252</v>
      </c>
      <c r="J194" s="7" t="s">
        <v>275</v>
      </c>
      <c r="K194" s="7" t="s">
        <v>276</v>
      </c>
      <c r="L194" s="2" t="s">
        <v>398</v>
      </c>
      <c r="M194" s="2" t="s">
        <v>8</v>
      </c>
      <c r="N194" s="2">
        <v>0</v>
      </c>
      <c r="O194" s="2">
        <v>10</v>
      </c>
    </row>
    <row r="195" spans="1:15" x14ac:dyDescent="0.2">
      <c r="A195" s="14" t="s">
        <v>0</v>
      </c>
      <c r="B195" s="15" t="s">
        <v>151</v>
      </c>
      <c r="C195" s="14" t="s">
        <v>274</v>
      </c>
      <c r="D195" s="13" t="s">
        <v>454</v>
      </c>
      <c r="E195" s="14" t="s">
        <v>273</v>
      </c>
      <c r="F195" s="2">
        <v>13</v>
      </c>
      <c r="G195" s="4" t="s">
        <v>107</v>
      </c>
      <c r="H195" s="6">
        <v>1996</v>
      </c>
      <c r="I195" t="s">
        <v>253</v>
      </c>
      <c r="J195" s="7" t="s">
        <v>275</v>
      </c>
      <c r="K195" s="7" t="s">
        <v>276</v>
      </c>
      <c r="L195" s="2" t="s">
        <v>398</v>
      </c>
      <c r="M195" s="2" t="s">
        <v>8</v>
      </c>
      <c r="N195" s="2">
        <v>0</v>
      </c>
      <c r="O195" s="2">
        <v>10</v>
      </c>
    </row>
    <row r="196" spans="1:15" x14ac:dyDescent="0.2">
      <c r="A196" s="14" t="s">
        <v>0</v>
      </c>
      <c r="B196" s="15" t="s">
        <v>153</v>
      </c>
      <c r="C196" s="14" t="s">
        <v>274</v>
      </c>
      <c r="D196" s="13" t="s">
        <v>454</v>
      </c>
      <c r="E196" s="14" t="s">
        <v>273</v>
      </c>
      <c r="F196" s="2">
        <v>14</v>
      </c>
      <c r="G196" s="4" t="s">
        <v>43</v>
      </c>
      <c r="H196" s="6">
        <v>1997</v>
      </c>
      <c r="I196" t="s">
        <v>254</v>
      </c>
      <c r="J196" s="7" t="s">
        <v>275</v>
      </c>
      <c r="K196" s="7" t="s">
        <v>276</v>
      </c>
      <c r="L196" s="2" t="s">
        <v>398</v>
      </c>
      <c r="M196" s="2" t="s">
        <v>8</v>
      </c>
      <c r="N196" s="2">
        <v>0</v>
      </c>
      <c r="O196" s="2">
        <v>10</v>
      </c>
    </row>
    <row r="197" spans="1:15" x14ac:dyDescent="0.2">
      <c r="A197" s="14" t="s">
        <v>0</v>
      </c>
      <c r="B197" s="15" t="s">
        <v>155</v>
      </c>
      <c r="C197" s="14" t="s">
        <v>274</v>
      </c>
      <c r="D197" s="13" t="s">
        <v>454</v>
      </c>
      <c r="E197" s="14" t="s">
        <v>273</v>
      </c>
      <c r="F197" s="2">
        <v>15</v>
      </c>
      <c r="G197" s="4" t="s">
        <v>19</v>
      </c>
      <c r="H197" s="6">
        <v>1998</v>
      </c>
      <c r="I197" t="s">
        <v>255</v>
      </c>
      <c r="J197" s="7" t="s">
        <v>275</v>
      </c>
      <c r="K197" s="7" t="s">
        <v>276</v>
      </c>
      <c r="L197" s="2" t="s">
        <v>398</v>
      </c>
      <c r="M197" s="2" t="s">
        <v>8</v>
      </c>
      <c r="N197" s="2">
        <v>0</v>
      </c>
      <c r="O197" s="2">
        <v>10</v>
      </c>
    </row>
    <row r="198" spans="1:15" x14ac:dyDescent="0.2">
      <c r="A198" s="14" t="s">
        <v>0</v>
      </c>
      <c r="B198" s="15" t="s">
        <v>157</v>
      </c>
      <c r="C198" s="14" t="s">
        <v>274</v>
      </c>
      <c r="D198" s="13" t="s">
        <v>454</v>
      </c>
      <c r="E198" s="14" t="s">
        <v>273</v>
      </c>
      <c r="F198" s="2">
        <v>16</v>
      </c>
      <c r="G198" s="4" t="s">
        <v>25</v>
      </c>
      <c r="H198" s="6">
        <v>1999</v>
      </c>
      <c r="I198" t="s">
        <v>256</v>
      </c>
      <c r="J198" s="7" t="s">
        <v>275</v>
      </c>
      <c r="K198" s="7" t="s">
        <v>276</v>
      </c>
      <c r="L198" s="2" t="s">
        <v>398</v>
      </c>
      <c r="M198" s="2" t="s">
        <v>8</v>
      </c>
      <c r="N198" s="2">
        <v>0</v>
      </c>
      <c r="O198" s="2">
        <v>10</v>
      </c>
    </row>
    <row r="199" spans="1:15" x14ac:dyDescent="0.2">
      <c r="A199" s="14" t="s">
        <v>0</v>
      </c>
      <c r="B199" s="15" t="s">
        <v>159</v>
      </c>
      <c r="C199" s="14" t="s">
        <v>274</v>
      </c>
      <c r="D199" s="13" t="s">
        <v>454</v>
      </c>
      <c r="E199" s="14" t="s">
        <v>273</v>
      </c>
      <c r="F199" s="2">
        <v>17</v>
      </c>
      <c r="G199" s="4" t="s">
        <v>73</v>
      </c>
      <c r="H199" s="6">
        <v>2000</v>
      </c>
      <c r="I199" t="s">
        <v>257</v>
      </c>
      <c r="J199" s="7" t="s">
        <v>275</v>
      </c>
      <c r="K199" s="7" t="s">
        <v>276</v>
      </c>
      <c r="L199" s="2" t="s">
        <v>398</v>
      </c>
      <c r="M199" s="2" t="s">
        <v>8</v>
      </c>
      <c r="N199" s="2">
        <v>0</v>
      </c>
      <c r="O199" s="2">
        <v>10</v>
      </c>
    </row>
    <row r="200" spans="1:15" x14ac:dyDescent="0.2">
      <c r="A200" s="14" t="s">
        <v>0</v>
      </c>
      <c r="B200" s="15" t="s">
        <v>161</v>
      </c>
      <c r="C200" s="14" t="s">
        <v>274</v>
      </c>
      <c r="D200" s="13" t="s">
        <v>454</v>
      </c>
      <c r="E200" s="14" t="s">
        <v>273</v>
      </c>
      <c r="F200" s="2">
        <v>18</v>
      </c>
      <c r="G200" s="4" t="s">
        <v>58</v>
      </c>
      <c r="H200" s="6">
        <v>2001</v>
      </c>
      <c r="I200" t="s">
        <v>258</v>
      </c>
      <c r="J200" s="7" t="s">
        <v>275</v>
      </c>
      <c r="K200" s="7" t="s">
        <v>276</v>
      </c>
      <c r="L200" s="2" t="s">
        <v>398</v>
      </c>
      <c r="M200" s="2" t="s">
        <v>8</v>
      </c>
      <c r="N200" s="2">
        <v>0</v>
      </c>
      <c r="O200" s="2">
        <v>10</v>
      </c>
    </row>
    <row r="201" spans="1:15" x14ac:dyDescent="0.2">
      <c r="A201" s="14" t="s">
        <v>0</v>
      </c>
      <c r="B201" s="15" t="s">
        <v>163</v>
      </c>
      <c r="C201" s="14" t="s">
        <v>274</v>
      </c>
      <c r="D201" s="13" t="s">
        <v>454</v>
      </c>
      <c r="E201" s="14" t="s">
        <v>273</v>
      </c>
      <c r="F201" s="2">
        <v>19</v>
      </c>
      <c r="G201" s="4" t="s">
        <v>4</v>
      </c>
      <c r="H201" s="6">
        <v>2002</v>
      </c>
      <c r="I201" t="s">
        <v>259</v>
      </c>
      <c r="J201" s="7" t="s">
        <v>275</v>
      </c>
      <c r="K201" s="7" t="s">
        <v>276</v>
      </c>
      <c r="L201" s="2" t="s">
        <v>398</v>
      </c>
      <c r="M201" s="2" t="s">
        <v>8</v>
      </c>
      <c r="N201" s="2">
        <v>0</v>
      </c>
      <c r="O201" s="2">
        <v>10</v>
      </c>
    </row>
    <row r="202" spans="1:15" x14ac:dyDescent="0.2">
      <c r="A202" s="14" t="s">
        <v>0</v>
      </c>
      <c r="B202" s="15" t="s">
        <v>165</v>
      </c>
      <c r="C202" s="14" t="s">
        <v>274</v>
      </c>
      <c r="D202" s="13" t="s">
        <v>454</v>
      </c>
      <c r="E202" s="14" t="s">
        <v>273</v>
      </c>
      <c r="F202" s="2">
        <v>20</v>
      </c>
      <c r="G202" s="4" t="s">
        <v>83</v>
      </c>
      <c r="H202" s="6">
        <v>2003</v>
      </c>
      <c r="I202" t="s">
        <v>260</v>
      </c>
      <c r="J202" s="7" t="s">
        <v>275</v>
      </c>
      <c r="K202" s="7" t="s">
        <v>276</v>
      </c>
      <c r="L202" s="2" t="s">
        <v>398</v>
      </c>
      <c r="M202" s="2" t="s">
        <v>8</v>
      </c>
      <c r="N202" s="2">
        <v>0</v>
      </c>
      <c r="O202" s="2">
        <v>10</v>
      </c>
    </row>
    <row r="203" spans="1:15" x14ac:dyDescent="0.2">
      <c r="A203" s="14" t="s">
        <v>0</v>
      </c>
      <c r="B203" s="15" t="s">
        <v>167</v>
      </c>
      <c r="C203" s="14" t="s">
        <v>274</v>
      </c>
      <c r="D203" s="13" t="s">
        <v>454</v>
      </c>
      <c r="E203" s="14" t="s">
        <v>273</v>
      </c>
      <c r="F203" s="2">
        <v>21</v>
      </c>
      <c r="G203" s="4" t="s">
        <v>64</v>
      </c>
      <c r="H203" s="6">
        <v>2004</v>
      </c>
      <c r="I203" t="s">
        <v>261</v>
      </c>
      <c r="J203" s="7" t="s">
        <v>275</v>
      </c>
      <c r="K203" s="7" t="s">
        <v>276</v>
      </c>
      <c r="L203" s="2" t="s">
        <v>398</v>
      </c>
      <c r="M203" s="2" t="s">
        <v>8</v>
      </c>
      <c r="N203" s="2">
        <v>0</v>
      </c>
      <c r="O203" s="2">
        <v>10</v>
      </c>
    </row>
    <row r="204" spans="1:15" x14ac:dyDescent="0.2">
      <c r="A204" s="14" t="s">
        <v>0</v>
      </c>
      <c r="B204" s="15" t="s">
        <v>169</v>
      </c>
      <c r="C204" s="14" t="s">
        <v>274</v>
      </c>
      <c r="D204" s="13" t="s">
        <v>454</v>
      </c>
      <c r="E204" s="14" t="s">
        <v>273</v>
      </c>
      <c r="F204" s="2">
        <v>22</v>
      </c>
      <c r="G204" s="4" t="s">
        <v>92</v>
      </c>
      <c r="H204" s="6">
        <v>2005</v>
      </c>
      <c r="I204" t="s">
        <v>262</v>
      </c>
      <c r="J204" s="7" t="s">
        <v>275</v>
      </c>
      <c r="K204" s="7" t="s">
        <v>276</v>
      </c>
      <c r="L204" s="2" t="s">
        <v>398</v>
      </c>
      <c r="M204" s="2" t="s">
        <v>8</v>
      </c>
      <c r="N204" s="2">
        <v>0</v>
      </c>
      <c r="O204" s="2">
        <v>10</v>
      </c>
    </row>
    <row r="205" spans="1:15" x14ac:dyDescent="0.2">
      <c r="A205" s="14" t="s">
        <v>0</v>
      </c>
      <c r="B205" s="15" t="s">
        <v>171</v>
      </c>
      <c r="C205" s="14" t="s">
        <v>274</v>
      </c>
      <c r="D205" s="13" t="s">
        <v>454</v>
      </c>
      <c r="E205" s="14" t="s">
        <v>273</v>
      </c>
      <c r="F205" s="2">
        <v>23</v>
      </c>
      <c r="G205" s="4" t="s">
        <v>52</v>
      </c>
      <c r="H205" s="6">
        <v>2006</v>
      </c>
      <c r="I205" t="s">
        <v>263</v>
      </c>
      <c r="J205" s="7" t="s">
        <v>275</v>
      </c>
      <c r="K205" s="7" t="s">
        <v>276</v>
      </c>
      <c r="L205" s="2" t="s">
        <v>398</v>
      </c>
      <c r="M205" s="2" t="s">
        <v>8</v>
      </c>
      <c r="N205" s="2">
        <v>0</v>
      </c>
      <c r="O205" s="2">
        <v>10</v>
      </c>
    </row>
    <row r="206" spans="1:15" x14ac:dyDescent="0.2">
      <c r="A206" s="14" t="s">
        <v>0</v>
      </c>
      <c r="B206" s="15" t="s">
        <v>173</v>
      </c>
      <c r="C206" s="14" t="s">
        <v>274</v>
      </c>
      <c r="D206" s="13" t="s">
        <v>454</v>
      </c>
      <c r="E206" s="14" t="s">
        <v>273</v>
      </c>
      <c r="F206" s="2">
        <v>24</v>
      </c>
      <c r="G206" s="4" t="s">
        <v>95</v>
      </c>
      <c r="H206" s="6">
        <v>2007</v>
      </c>
      <c r="I206" t="s">
        <v>264</v>
      </c>
      <c r="J206" s="7" t="s">
        <v>275</v>
      </c>
      <c r="K206" s="7" t="s">
        <v>276</v>
      </c>
      <c r="L206" s="2" t="s">
        <v>398</v>
      </c>
      <c r="M206" s="2" t="s">
        <v>8</v>
      </c>
      <c r="N206" s="2">
        <v>0</v>
      </c>
      <c r="O206" s="2">
        <v>10</v>
      </c>
    </row>
    <row r="207" spans="1:15" x14ac:dyDescent="0.2">
      <c r="A207" s="14" t="s">
        <v>0</v>
      </c>
      <c r="B207" s="15" t="s">
        <v>175</v>
      </c>
      <c r="C207" s="14" t="s">
        <v>274</v>
      </c>
      <c r="D207" s="13" t="s">
        <v>454</v>
      </c>
      <c r="E207" s="14" t="s">
        <v>273</v>
      </c>
      <c r="F207" s="2">
        <v>25</v>
      </c>
      <c r="G207" s="4" t="s">
        <v>70</v>
      </c>
      <c r="H207" s="6">
        <v>2008</v>
      </c>
      <c r="I207" t="s">
        <v>265</v>
      </c>
      <c r="J207" s="7" t="s">
        <v>275</v>
      </c>
      <c r="K207" s="7" t="s">
        <v>276</v>
      </c>
      <c r="L207" s="2" t="s">
        <v>398</v>
      </c>
      <c r="M207" s="2" t="s">
        <v>8</v>
      </c>
      <c r="N207" s="2">
        <v>0</v>
      </c>
      <c r="O207" s="2">
        <v>10</v>
      </c>
    </row>
    <row r="208" spans="1:15" x14ac:dyDescent="0.2">
      <c r="A208" s="14" t="s">
        <v>0</v>
      </c>
      <c r="B208" s="15" t="s">
        <v>177</v>
      </c>
      <c r="C208" s="14" t="s">
        <v>274</v>
      </c>
      <c r="D208" s="13" t="s">
        <v>454</v>
      </c>
      <c r="E208" s="14" t="s">
        <v>273</v>
      </c>
      <c r="F208" s="2">
        <v>26</v>
      </c>
      <c r="G208" s="4" t="s">
        <v>16</v>
      </c>
      <c r="H208" s="6">
        <v>2009</v>
      </c>
      <c r="I208" t="s">
        <v>266</v>
      </c>
      <c r="J208" s="7" t="s">
        <v>275</v>
      </c>
      <c r="K208" s="7" t="s">
        <v>276</v>
      </c>
      <c r="L208" s="2" t="s">
        <v>398</v>
      </c>
      <c r="M208" s="2" t="s">
        <v>8</v>
      </c>
      <c r="N208" s="2">
        <v>0</v>
      </c>
      <c r="O208" s="2">
        <v>10</v>
      </c>
    </row>
    <row r="209" spans="1:15" x14ac:dyDescent="0.2">
      <c r="A209" s="14" t="s">
        <v>0</v>
      </c>
      <c r="B209" s="15" t="s">
        <v>179</v>
      </c>
      <c r="C209" s="14" t="s">
        <v>274</v>
      </c>
      <c r="D209" s="13" t="s">
        <v>454</v>
      </c>
      <c r="E209" s="14" t="s">
        <v>273</v>
      </c>
      <c r="F209" s="2">
        <v>27</v>
      </c>
      <c r="G209" s="4" t="s">
        <v>34</v>
      </c>
      <c r="H209" s="6">
        <v>2010</v>
      </c>
      <c r="I209" t="s">
        <v>267</v>
      </c>
      <c r="J209" s="7" t="s">
        <v>275</v>
      </c>
      <c r="K209" s="7" t="s">
        <v>276</v>
      </c>
      <c r="L209" s="2" t="s">
        <v>398</v>
      </c>
      <c r="M209" s="2" t="s">
        <v>8</v>
      </c>
      <c r="N209" s="2">
        <v>0</v>
      </c>
      <c r="O209" s="2">
        <v>10</v>
      </c>
    </row>
    <row r="210" spans="1:15" x14ac:dyDescent="0.2">
      <c r="A210" s="14" t="s">
        <v>0</v>
      </c>
      <c r="B210" s="15" t="s">
        <v>181</v>
      </c>
      <c r="C210" s="14" t="s">
        <v>274</v>
      </c>
      <c r="D210" s="13" t="s">
        <v>454</v>
      </c>
      <c r="E210" s="14" t="s">
        <v>273</v>
      </c>
      <c r="F210" s="2">
        <v>28</v>
      </c>
      <c r="G210" s="4" t="s">
        <v>46</v>
      </c>
      <c r="H210" s="6">
        <v>2011</v>
      </c>
      <c r="I210" t="s">
        <v>268</v>
      </c>
      <c r="J210" s="7" t="s">
        <v>275</v>
      </c>
      <c r="K210" s="7" t="s">
        <v>276</v>
      </c>
      <c r="L210" s="2" t="s">
        <v>398</v>
      </c>
      <c r="M210" s="2" t="s">
        <v>8</v>
      </c>
      <c r="N210" s="2">
        <v>0</v>
      </c>
      <c r="O210" s="2">
        <v>10</v>
      </c>
    </row>
    <row r="211" spans="1:15" x14ac:dyDescent="0.2">
      <c r="A211" s="14" t="s">
        <v>0</v>
      </c>
      <c r="B211" s="15" t="s">
        <v>183</v>
      </c>
      <c r="C211" s="14" t="s">
        <v>274</v>
      </c>
      <c r="D211" s="13" t="s">
        <v>454</v>
      </c>
      <c r="E211" s="14" t="s">
        <v>273</v>
      </c>
      <c r="F211" s="2">
        <v>29</v>
      </c>
      <c r="G211" s="4" t="s">
        <v>61</v>
      </c>
      <c r="H211" s="6">
        <v>2012</v>
      </c>
      <c r="I211" t="s">
        <v>269</v>
      </c>
      <c r="J211" s="7" t="s">
        <v>275</v>
      </c>
      <c r="K211" s="7" t="s">
        <v>276</v>
      </c>
      <c r="L211" s="2" t="s">
        <v>398</v>
      </c>
      <c r="M211" s="2" t="s">
        <v>8</v>
      </c>
      <c r="N211" s="2">
        <v>0</v>
      </c>
      <c r="O211" s="2">
        <v>10</v>
      </c>
    </row>
    <row r="212" spans="1:15" x14ac:dyDescent="0.2">
      <c r="A212" s="14" t="s">
        <v>0</v>
      </c>
      <c r="B212" s="15" t="s">
        <v>185</v>
      </c>
      <c r="C212" s="14" t="s">
        <v>274</v>
      </c>
      <c r="D212" s="13" t="s">
        <v>454</v>
      </c>
      <c r="E212" s="14" t="s">
        <v>273</v>
      </c>
      <c r="F212" s="2">
        <v>30</v>
      </c>
      <c r="G212" s="4" t="s">
        <v>86</v>
      </c>
      <c r="H212" s="6">
        <v>2013</v>
      </c>
      <c r="I212" t="s">
        <v>270</v>
      </c>
      <c r="J212" s="7" t="s">
        <v>275</v>
      </c>
      <c r="K212" s="7" t="s">
        <v>276</v>
      </c>
      <c r="L212" s="2" t="s">
        <v>398</v>
      </c>
      <c r="M212" s="2" t="s">
        <v>8</v>
      </c>
      <c r="N212" s="2">
        <v>0</v>
      </c>
      <c r="O212" s="2">
        <v>10</v>
      </c>
    </row>
    <row r="213" spans="1:15" x14ac:dyDescent="0.2">
      <c r="A213" s="14" t="s">
        <v>0</v>
      </c>
      <c r="B213" s="15" t="s">
        <v>187</v>
      </c>
      <c r="C213" s="14" t="s">
        <v>274</v>
      </c>
      <c r="D213" s="13" t="s">
        <v>454</v>
      </c>
      <c r="E213" s="14" t="s">
        <v>273</v>
      </c>
      <c r="F213" s="2">
        <v>31</v>
      </c>
      <c r="G213" s="4" t="s">
        <v>22</v>
      </c>
      <c r="H213" s="6">
        <v>2014</v>
      </c>
      <c r="I213" t="s">
        <v>271</v>
      </c>
      <c r="J213" s="7" t="s">
        <v>275</v>
      </c>
      <c r="K213" s="7" t="s">
        <v>276</v>
      </c>
      <c r="L213" s="2" t="s">
        <v>398</v>
      </c>
      <c r="M213" s="2" t="s">
        <v>8</v>
      </c>
      <c r="N213" s="2">
        <v>0</v>
      </c>
      <c r="O213" s="2">
        <v>10</v>
      </c>
    </row>
    <row r="214" spans="1:15" x14ac:dyDescent="0.2">
      <c r="A214" s="14" t="s">
        <v>0</v>
      </c>
      <c r="B214" s="15" t="s">
        <v>189</v>
      </c>
      <c r="C214" s="14" t="s">
        <v>274</v>
      </c>
      <c r="D214" s="13" t="s">
        <v>454</v>
      </c>
      <c r="E214" s="14" t="s">
        <v>273</v>
      </c>
      <c r="F214" s="2">
        <v>32</v>
      </c>
      <c r="G214" s="4" t="s">
        <v>28</v>
      </c>
      <c r="H214" s="6">
        <v>2015</v>
      </c>
      <c r="I214" t="s">
        <v>272</v>
      </c>
      <c r="J214" s="7" t="s">
        <v>275</v>
      </c>
      <c r="K214" s="7" t="s">
        <v>276</v>
      </c>
      <c r="L214" s="2" t="s">
        <v>398</v>
      </c>
      <c r="M214" s="2" t="s">
        <v>8</v>
      </c>
      <c r="N214" s="2">
        <v>0</v>
      </c>
      <c r="O214" s="2">
        <v>10</v>
      </c>
    </row>
    <row r="215" spans="1:15" x14ac:dyDescent="0.2">
      <c r="A215" s="14" t="s">
        <v>0</v>
      </c>
      <c r="B215" s="15" t="str">
        <f t="shared" ref="B215:B217" si="3">G215&amp;"p"</f>
        <v>bgp</v>
      </c>
      <c r="C215" s="14" t="s">
        <v>274</v>
      </c>
      <c r="D215" s="13" t="s">
        <v>454</v>
      </c>
      <c r="E215" s="14" t="s">
        <v>273</v>
      </c>
      <c r="F215" s="2">
        <v>33</v>
      </c>
      <c r="G215" s="4" t="s">
        <v>76</v>
      </c>
      <c r="H215">
        <v>2016</v>
      </c>
      <c r="I215" t="s">
        <v>313</v>
      </c>
      <c r="J215" s="7" t="s">
        <v>275</v>
      </c>
      <c r="K215" s="7" t="s">
        <v>276</v>
      </c>
      <c r="L215" s="2" t="s">
        <v>398</v>
      </c>
      <c r="M215" s="2" t="s">
        <v>8</v>
      </c>
      <c r="N215" s="2">
        <v>0</v>
      </c>
      <c r="O215" s="2">
        <v>10</v>
      </c>
    </row>
    <row r="216" spans="1:15" x14ac:dyDescent="0.2">
      <c r="A216" s="14" t="s">
        <v>0</v>
      </c>
      <c r="B216" s="15" t="str">
        <f t="shared" si="3"/>
        <v>bhp</v>
      </c>
      <c r="C216" s="14" t="s">
        <v>274</v>
      </c>
      <c r="D216" s="13" t="s">
        <v>454</v>
      </c>
      <c r="E216" s="14" t="s">
        <v>273</v>
      </c>
      <c r="F216" s="2">
        <v>34</v>
      </c>
      <c r="G216" s="4" t="s">
        <v>67</v>
      </c>
      <c r="H216">
        <v>2017</v>
      </c>
      <c r="I216" t="s">
        <v>314</v>
      </c>
      <c r="J216" s="7" t="s">
        <v>275</v>
      </c>
      <c r="K216" s="7" t="s">
        <v>276</v>
      </c>
      <c r="L216" s="2" t="s">
        <v>398</v>
      </c>
      <c r="M216" s="2" t="s">
        <v>8</v>
      </c>
      <c r="N216" s="2">
        <v>0</v>
      </c>
      <c r="O216" s="2">
        <v>10</v>
      </c>
    </row>
    <row r="217" spans="1:15" x14ac:dyDescent="0.2">
      <c r="A217" s="14" t="s">
        <v>0</v>
      </c>
      <c r="B217" s="15" t="str">
        <f t="shared" si="3"/>
        <v>bip</v>
      </c>
      <c r="C217" s="14" t="s">
        <v>274</v>
      </c>
      <c r="D217" s="13" t="s">
        <v>454</v>
      </c>
      <c r="E217" s="14" t="s">
        <v>273</v>
      </c>
      <c r="F217" s="2">
        <v>35</v>
      </c>
      <c r="G217" s="4" t="s">
        <v>312</v>
      </c>
      <c r="H217">
        <v>2018</v>
      </c>
      <c r="I217" t="s">
        <v>315</v>
      </c>
      <c r="J217" s="7" t="s">
        <v>275</v>
      </c>
      <c r="K217" s="7" t="s">
        <v>276</v>
      </c>
      <c r="L217" s="2" t="s">
        <v>398</v>
      </c>
      <c r="M217" s="2" t="s">
        <v>8</v>
      </c>
      <c r="N217" s="2">
        <v>0</v>
      </c>
      <c r="O217" s="2">
        <v>10</v>
      </c>
    </row>
    <row r="218" spans="1:15" x14ac:dyDescent="0.2">
      <c r="A218" s="3" t="s">
        <v>0</v>
      </c>
      <c r="B218" s="3" t="s">
        <v>124</v>
      </c>
      <c r="C218" s="3" t="s">
        <v>274</v>
      </c>
      <c r="D218" s="3" t="s">
        <v>447</v>
      </c>
      <c r="E218" s="3" t="s">
        <v>308</v>
      </c>
      <c r="F218" s="8">
        <v>1</v>
      </c>
      <c r="G218" s="10" t="s">
        <v>40</v>
      </c>
      <c r="H218">
        <v>1984</v>
      </c>
      <c r="I218" t="s">
        <v>277</v>
      </c>
      <c r="J218" s="5" t="s">
        <v>278</v>
      </c>
      <c r="K218" s="7" t="s">
        <v>276</v>
      </c>
      <c r="L218" s="2" t="s">
        <v>398</v>
      </c>
      <c r="M218" s="2" t="s">
        <v>8</v>
      </c>
      <c r="N218" s="2">
        <v>0</v>
      </c>
      <c r="O218" s="2">
        <v>10</v>
      </c>
    </row>
    <row r="219" spans="1:15" x14ac:dyDescent="0.2">
      <c r="A219" s="3" t="s">
        <v>0</v>
      </c>
      <c r="B219" s="3" t="s">
        <v>129</v>
      </c>
      <c r="C219" s="3" t="s">
        <v>274</v>
      </c>
      <c r="D219" s="3" t="s">
        <v>447</v>
      </c>
      <c r="E219" s="3" t="s">
        <v>308</v>
      </c>
      <c r="F219" s="2">
        <v>2</v>
      </c>
      <c r="G219" s="4" t="s">
        <v>37</v>
      </c>
      <c r="H219">
        <v>1985</v>
      </c>
      <c r="I219" t="s">
        <v>279</v>
      </c>
      <c r="J219" s="5" t="s">
        <v>278</v>
      </c>
      <c r="K219" s="7" t="s">
        <v>276</v>
      </c>
      <c r="L219" s="2" t="s">
        <v>398</v>
      </c>
      <c r="M219" s="2" t="s">
        <v>8</v>
      </c>
      <c r="N219" s="2">
        <v>0</v>
      </c>
      <c r="O219" s="2">
        <v>10</v>
      </c>
    </row>
    <row r="220" spans="1:15" x14ac:dyDescent="0.2">
      <c r="A220" s="3" t="s">
        <v>0</v>
      </c>
      <c r="B220" s="3" t="s">
        <v>131</v>
      </c>
      <c r="C220" s="3" t="s">
        <v>274</v>
      </c>
      <c r="D220" s="3" t="s">
        <v>447</v>
      </c>
      <c r="E220" s="3" t="s">
        <v>308</v>
      </c>
      <c r="F220" s="2">
        <v>3</v>
      </c>
      <c r="G220" s="4" t="s">
        <v>80</v>
      </c>
      <c r="H220">
        <v>1986</v>
      </c>
      <c r="I220" t="s">
        <v>280</v>
      </c>
      <c r="J220" s="5" t="s">
        <v>278</v>
      </c>
      <c r="K220" s="7" t="s">
        <v>276</v>
      </c>
      <c r="L220" s="2" t="s">
        <v>398</v>
      </c>
      <c r="M220" s="2" t="s">
        <v>8</v>
      </c>
      <c r="N220" s="2">
        <v>0</v>
      </c>
      <c r="O220" s="2">
        <v>10</v>
      </c>
    </row>
    <row r="221" spans="1:15" x14ac:dyDescent="0.2">
      <c r="A221" s="3" t="s">
        <v>0</v>
      </c>
      <c r="B221" s="3" t="s">
        <v>133</v>
      </c>
      <c r="C221" s="3" t="s">
        <v>274</v>
      </c>
      <c r="D221" s="3" t="s">
        <v>447</v>
      </c>
      <c r="E221" s="3" t="s">
        <v>308</v>
      </c>
      <c r="F221" s="2">
        <v>4</v>
      </c>
      <c r="G221" s="4" t="s">
        <v>31</v>
      </c>
      <c r="H221">
        <v>1987</v>
      </c>
      <c r="I221" t="s">
        <v>281</v>
      </c>
      <c r="J221" s="5" t="s">
        <v>278</v>
      </c>
      <c r="K221" s="7" t="s">
        <v>276</v>
      </c>
      <c r="L221" s="2" t="s">
        <v>398</v>
      </c>
      <c r="M221" s="2" t="s">
        <v>8</v>
      </c>
      <c r="N221" s="2">
        <v>0</v>
      </c>
      <c r="O221" s="2">
        <v>10</v>
      </c>
    </row>
    <row r="222" spans="1:15" x14ac:dyDescent="0.2">
      <c r="A222" s="3" t="s">
        <v>0</v>
      </c>
      <c r="B222" s="3" t="s">
        <v>135</v>
      </c>
      <c r="C222" s="3" t="s">
        <v>274</v>
      </c>
      <c r="D222" s="3" t="s">
        <v>447</v>
      </c>
      <c r="E222" s="3" t="s">
        <v>308</v>
      </c>
      <c r="F222" s="2">
        <v>5</v>
      </c>
      <c r="G222" s="4" t="s">
        <v>13</v>
      </c>
      <c r="H222">
        <v>1988</v>
      </c>
      <c r="I222" t="s">
        <v>282</v>
      </c>
      <c r="J222" s="5" t="s">
        <v>278</v>
      </c>
      <c r="K222" s="7" t="s">
        <v>276</v>
      </c>
      <c r="L222" s="2" t="s">
        <v>398</v>
      </c>
      <c r="M222" s="2" t="s">
        <v>8</v>
      </c>
      <c r="N222" s="2">
        <v>0</v>
      </c>
      <c r="O222" s="2">
        <v>10</v>
      </c>
    </row>
    <row r="223" spans="1:15" x14ac:dyDescent="0.2">
      <c r="A223" s="3" t="s">
        <v>0</v>
      </c>
      <c r="B223" s="3" t="s">
        <v>137</v>
      </c>
      <c r="C223" s="3" t="s">
        <v>274</v>
      </c>
      <c r="D223" s="3" t="s">
        <v>447</v>
      </c>
      <c r="E223" s="3" t="s">
        <v>308</v>
      </c>
      <c r="F223" s="2">
        <v>6</v>
      </c>
      <c r="G223" s="4" t="s">
        <v>49</v>
      </c>
      <c r="H223">
        <v>1989</v>
      </c>
      <c r="I223" t="s">
        <v>283</v>
      </c>
      <c r="J223" s="5" t="s">
        <v>278</v>
      </c>
      <c r="K223" s="7" t="s">
        <v>276</v>
      </c>
      <c r="L223" s="2" t="s">
        <v>398</v>
      </c>
      <c r="M223" s="2" t="s">
        <v>8</v>
      </c>
      <c r="N223" s="2">
        <v>0</v>
      </c>
      <c r="O223" s="2">
        <v>10</v>
      </c>
    </row>
    <row r="224" spans="1:15" x14ac:dyDescent="0.2">
      <c r="A224" s="3" t="s">
        <v>0</v>
      </c>
      <c r="B224" s="3" t="s">
        <v>141</v>
      </c>
      <c r="C224" s="3" t="s">
        <v>274</v>
      </c>
      <c r="D224" s="3" t="s">
        <v>447</v>
      </c>
      <c r="E224" s="3" t="s">
        <v>308</v>
      </c>
      <c r="F224" s="2">
        <v>8</v>
      </c>
      <c r="G224" s="4" t="s">
        <v>10</v>
      </c>
      <c r="H224">
        <v>1991</v>
      </c>
      <c r="I224" t="s">
        <v>284</v>
      </c>
      <c r="J224" s="5" t="s">
        <v>278</v>
      </c>
      <c r="K224" s="7" t="s">
        <v>276</v>
      </c>
      <c r="L224" s="2" t="s">
        <v>398</v>
      </c>
      <c r="M224" s="2" t="s">
        <v>8</v>
      </c>
      <c r="N224" s="2">
        <v>0</v>
      </c>
      <c r="O224" s="2">
        <v>10</v>
      </c>
    </row>
    <row r="225" spans="1:15" x14ac:dyDescent="0.2">
      <c r="A225" s="3" t="s">
        <v>0</v>
      </c>
      <c r="B225" s="3" t="s">
        <v>143</v>
      </c>
      <c r="C225" s="3" t="s">
        <v>274</v>
      </c>
      <c r="D225" s="3" t="s">
        <v>447</v>
      </c>
      <c r="E225" s="3" t="s">
        <v>308</v>
      </c>
      <c r="F225" s="2">
        <v>9</v>
      </c>
      <c r="G225" s="4" t="s">
        <v>55</v>
      </c>
      <c r="H225">
        <v>1992</v>
      </c>
      <c r="I225" t="s">
        <v>285</v>
      </c>
      <c r="J225" s="5" t="s">
        <v>278</v>
      </c>
      <c r="K225" s="7" t="s">
        <v>276</v>
      </c>
      <c r="L225" s="2" t="s">
        <v>398</v>
      </c>
      <c r="M225" s="2" t="s">
        <v>8</v>
      </c>
      <c r="N225" s="2">
        <v>0</v>
      </c>
      <c r="O225" s="2">
        <v>10</v>
      </c>
    </row>
    <row r="226" spans="1:15" x14ac:dyDescent="0.2">
      <c r="A226" s="3" t="s">
        <v>0</v>
      </c>
      <c r="B226" s="3" t="s">
        <v>145</v>
      </c>
      <c r="C226" s="3" t="s">
        <v>274</v>
      </c>
      <c r="D226" s="3" t="s">
        <v>447</v>
      </c>
      <c r="E226" s="3" t="s">
        <v>308</v>
      </c>
      <c r="F226" s="2">
        <v>10</v>
      </c>
      <c r="G226" s="4" t="s">
        <v>98</v>
      </c>
      <c r="H226">
        <v>1993</v>
      </c>
      <c r="I226" t="s">
        <v>286</v>
      </c>
      <c r="J226" s="5" t="s">
        <v>278</v>
      </c>
      <c r="K226" s="7" t="s">
        <v>276</v>
      </c>
      <c r="L226" s="2" t="s">
        <v>398</v>
      </c>
      <c r="M226" s="2" t="s">
        <v>8</v>
      </c>
      <c r="N226" s="2">
        <v>0</v>
      </c>
      <c r="O226" s="2">
        <v>10</v>
      </c>
    </row>
    <row r="227" spans="1:15" x14ac:dyDescent="0.2">
      <c r="A227" s="3" t="s">
        <v>0</v>
      </c>
      <c r="B227" s="3" t="s">
        <v>147</v>
      </c>
      <c r="C227" s="3" t="s">
        <v>274</v>
      </c>
      <c r="D227" s="3" t="s">
        <v>447</v>
      </c>
      <c r="E227" s="3" t="s">
        <v>308</v>
      </c>
      <c r="F227" s="2">
        <v>11</v>
      </c>
      <c r="G227" s="4" t="s">
        <v>104</v>
      </c>
      <c r="H227">
        <v>1994</v>
      </c>
      <c r="I227" t="s">
        <v>287</v>
      </c>
      <c r="J227" s="5" t="s">
        <v>278</v>
      </c>
      <c r="K227" s="7" t="s">
        <v>276</v>
      </c>
      <c r="L227" s="2" t="s">
        <v>398</v>
      </c>
      <c r="M227" s="2" t="s">
        <v>8</v>
      </c>
      <c r="N227" s="2">
        <v>0</v>
      </c>
      <c r="O227" s="2">
        <v>10</v>
      </c>
    </row>
    <row r="228" spans="1:15" x14ac:dyDescent="0.2">
      <c r="A228" s="3" t="s">
        <v>0</v>
      </c>
      <c r="B228" s="3" t="s">
        <v>151</v>
      </c>
      <c r="C228" s="3" t="s">
        <v>274</v>
      </c>
      <c r="D228" s="3" t="s">
        <v>447</v>
      </c>
      <c r="E228" s="3" t="s">
        <v>308</v>
      </c>
      <c r="F228" s="2">
        <v>13</v>
      </c>
      <c r="G228" s="4" t="s">
        <v>107</v>
      </c>
      <c r="H228">
        <v>1996</v>
      </c>
      <c r="I228" t="s">
        <v>288</v>
      </c>
      <c r="J228" s="5" t="s">
        <v>278</v>
      </c>
      <c r="K228" s="7" t="s">
        <v>276</v>
      </c>
      <c r="L228" s="2" t="s">
        <v>398</v>
      </c>
      <c r="M228" s="2" t="s">
        <v>8</v>
      </c>
      <c r="N228" s="2">
        <v>0</v>
      </c>
      <c r="O228" s="2">
        <v>10</v>
      </c>
    </row>
    <row r="229" spans="1:15" x14ac:dyDescent="0.2">
      <c r="A229" s="3" t="s">
        <v>0</v>
      </c>
      <c r="B229" s="3" t="s">
        <v>153</v>
      </c>
      <c r="C229" s="3" t="s">
        <v>274</v>
      </c>
      <c r="D229" s="3" t="s">
        <v>447</v>
      </c>
      <c r="E229" s="3" t="s">
        <v>308</v>
      </c>
      <c r="F229" s="2">
        <v>14</v>
      </c>
      <c r="G229" s="4" t="s">
        <v>43</v>
      </c>
      <c r="H229">
        <v>1997</v>
      </c>
      <c r="I229" t="s">
        <v>289</v>
      </c>
      <c r="J229" s="5" t="s">
        <v>278</v>
      </c>
      <c r="K229" s="7" t="s">
        <v>276</v>
      </c>
      <c r="L229" s="2" t="s">
        <v>398</v>
      </c>
      <c r="M229" s="2" t="s">
        <v>8</v>
      </c>
      <c r="N229" s="2">
        <v>0</v>
      </c>
      <c r="O229" s="2">
        <v>10</v>
      </c>
    </row>
    <row r="230" spans="1:15" x14ac:dyDescent="0.2">
      <c r="A230" s="3" t="s">
        <v>0</v>
      </c>
      <c r="B230" s="3" t="s">
        <v>155</v>
      </c>
      <c r="C230" s="3" t="s">
        <v>274</v>
      </c>
      <c r="D230" s="3" t="s">
        <v>447</v>
      </c>
      <c r="E230" s="3" t="s">
        <v>308</v>
      </c>
      <c r="F230" s="2">
        <v>15</v>
      </c>
      <c r="G230" s="4" t="s">
        <v>19</v>
      </c>
      <c r="H230">
        <v>1998</v>
      </c>
      <c r="I230" t="s">
        <v>290</v>
      </c>
      <c r="J230" s="5" t="s">
        <v>278</v>
      </c>
      <c r="K230" s="7" t="s">
        <v>276</v>
      </c>
      <c r="L230" s="2" t="s">
        <v>398</v>
      </c>
      <c r="M230" s="2" t="s">
        <v>8</v>
      </c>
      <c r="N230" s="2">
        <v>0</v>
      </c>
      <c r="O230" s="2">
        <v>10</v>
      </c>
    </row>
    <row r="231" spans="1:15" x14ac:dyDescent="0.2">
      <c r="A231" s="3" t="s">
        <v>0</v>
      </c>
      <c r="B231" s="3" t="s">
        <v>157</v>
      </c>
      <c r="C231" s="3" t="s">
        <v>274</v>
      </c>
      <c r="D231" s="3" t="s">
        <v>447</v>
      </c>
      <c r="E231" s="3" t="s">
        <v>308</v>
      </c>
      <c r="F231" s="2">
        <v>16</v>
      </c>
      <c r="G231" s="4" t="s">
        <v>25</v>
      </c>
      <c r="H231">
        <v>1999</v>
      </c>
      <c r="I231" t="s">
        <v>291</v>
      </c>
      <c r="J231" s="5" t="s">
        <v>278</v>
      </c>
      <c r="K231" s="7" t="s">
        <v>276</v>
      </c>
      <c r="L231" s="2" t="s">
        <v>398</v>
      </c>
      <c r="M231" s="2" t="s">
        <v>8</v>
      </c>
      <c r="N231" s="2">
        <v>0</v>
      </c>
      <c r="O231" s="2">
        <v>10</v>
      </c>
    </row>
    <row r="232" spans="1:15" x14ac:dyDescent="0.2">
      <c r="A232" s="3" t="s">
        <v>0</v>
      </c>
      <c r="B232" s="3" t="s">
        <v>159</v>
      </c>
      <c r="C232" s="3" t="s">
        <v>274</v>
      </c>
      <c r="D232" s="3" t="s">
        <v>447</v>
      </c>
      <c r="E232" s="3" t="s">
        <v>308</v>
      </c>
      <c r="F232" s="2">
        <v>17</v>
      </c>
      <c r="G232" s="4" t="s">
        <v>73</v>
      </c>
      <c r="H232">
        <v>2000</v>
      </c>
      <c r="I232" t="s">
        <v>292</v>
      </c>
      <c r="J232" s="5" t="s">
        <v>278</v>
      </c>
      <c r="K232" s="7" t="s">
        <v>276</v>
      </c>
      <c r="L232" s="2" t="s">
        <v>398</v>
      </c>
      <c r="M232" s="2" t="s">
        <v>8</v>
      </c>
      <c r="N232" s="2">
        <v>0</v>
      </c>
      <c r="O232" s="2">
        <v>10</v>
      </c>
    </row>
    <row r="233" spans="1:15" x14ac:dyDescent="0.2">
      <c r="A233" s="3" t="s">
        <v>0</v>
      </c>
      <c r="B233" s="3" t="s">
        <v>161</v>
      </c>
      <c r="C233" s="3" t="s">
        <v>274</v>
      </c>
      <c r="D233" s="3" t="s">
        <v>447</v>
      </c>
      <c r="E233" s="3" t="s">
        <v>308</v>
      </c>
      <c r="F233" s="2">
        <v>18</v>
      </c>
      <c r="G233" s="4" t="s">
        <v>58</v>
      </c>
      <c r="H233">
        <v>2001</v>
      </c>
      <c r="I233" t="s">
        <v>293</v>
      </c>
      <c r="J233" s="5" t="s">
        <v>278</v>
      </c>
      <c r="K233" s="7" t="s">
        <v>276</v>
      </c>
      <c r="L233" s="2" t="s">
        <v>398</v>
      </c>
      <c r="M233" s="2" t="s">
        <v>8</v>
      </c>
      <c r="N233" s="2">
        <v>0</v>
      </c>
      <c r="O233" s="2">
        <v>10</v>
      </c>
    </row>
    <row r="234" spans="1:15" x14ac:dyDescent="0.2">
      <c r="A234" s="3" t="s">
        <v>0</v>
      </c>
      <c r="B234" s="3" t="s">
        <v>163</v>
      </c>
      <c r="C234" s="3" t="s">
        <v>274</v>
      </c>
      <c r="D234" s="3" t="s">
        <v>447</v>
      </c>
      <c r="E234" s="3" t="s">
        <v>308</v>
      </c>
      <c r="F234" s="2">
        <v>19</v>
      </c>
      <c r="G234" s="4" t="s">
        <v>4</v>
      </c>
      <c r="H234">
        <v>2002</v>
      </c>
      <c r="I234" t="s">
        <v>294</v>
      </c>
      <c r="J234" s="5" t="s">
        <v>278</v>
      </c>
      <c r="K234" s="7" t="s">
        <v>276</v>
      </c>
      <c r="L234" s="2" t="s">
        <v>398</v>
      </c>
      <c r="M234" s="2" t="s">
        <v>8</v>
      </c>
      <c r="N234" s="2">
        <v>0</v>
      </c>
      <c r="O234" s="2">
        <v>10</v>
      </c>
    </row>
    <row r="235" spans="1:15" x14ac:dyDescent="0.2">
      <c r="A235" s="3" t="s">
        <v>0</v>
      </c>
      <c r="B235" s="3" t="s">
        <v>165</v>
      </c>
      <c r="C235" s="3" t="s">
        <v>274</v>
      </c>
      <c r="D235" s="3" t="s">
        <v>447</v>
      </c>
      <c r="E235" s="3" t="s">
        <v>308</v>
      </c>
      <c r="F235" s="2">
        <v>20</v>
      </c>
      <c r="G235" s="4" t="s">
        <v>83</v>
      </c>
      <c r="H235">
        <v>2003</v>
      </c>
      <c r="I235" t="s">
        <v>295</v>
      </c>
      <c r="J235" s="5" t="s">
        <v>278</v>
      </c>
      <c r="K235" s="7" t="s">
        <v>276</v>
      </c>
      <c r="L235" s="2" t="s">
        <v>398</v>
      </c>
      <c r="M235" s="2" t="s">
        <v>8</v>
      </c>
      <c r="N235" s="2">
        <v>0</v>
      </c>
      <c r="O235" s="2">
        <v>10</v>
      </c>
    </row>
    <row r="236" spans="1:15" x14ac:dyDescent="0.2">
      <c r="A236" s="3" t="s">
        <v>0</v>
      </c>
      <c r="B236" s="3" t="s">
        <v>167</v>
      </c>
      <c r="C236" s="3" t="s">
        <v>274</v>
      </c>
      <c r="D236" s="3" t="s">
        <v>447</v>
      </c>
      <c r="E236" s="3" t="s">
        <v>308</v>
      </c>
      <c r="F236" s="2">
        <v>21</v>
      </c>
      <c r="G236" s="4" t="s">
        <v>64</v>
      </c>
      <c r="H236">
        <v>2004</v>
      </c>
      <c r="I236" t="s">
        <v>296</v>
      </c>
      <c r="J236" s="5" t="s">
        <v>278</v>
      </c>
      <c r="K236" s="7" t="s">
        <v>276</v>
      </c>
      <c r="L236" s="2" t="s">
        <v>398</v>
      </c>
      <c r="M236" s="2" t="s">
        <v>8</v>
      </c>
      <c r="N236" s="2">
        <v>0</v>
      </c>
      <c r="O236" s="2">
        <v>10</v>
      </c>
    </row>
    <row r="237" spans="1:15" x14ac:dyDescent="0.2">
      <c r="A237" s="3" t="s">
        <v>0</v>
      </c>
      <c r="B237" s="3" t="s">
        <v>169</v>
      </c>
      <c r="C237" s="3" t="s">
        <v>274</v>
      </c>
      <c r="D237" s="3" t="s">
        <v>447</v>
      </c>
      <c r="E237" s="3" t="s">
        <v>308</v>
      </c>
      <c r="F237" s="2">
        <v>22</v>
      </c>
      <c r="G237" s="4" t="s">
        <v>92</v>
      </c>
      <c r="H237">
        <v>2005</v>
      </c>
      <c r="I237" t="s">
        <v>297</v>
      </c>
      <c r="J237" s="5" t="s">
        <v>278</v>
      </c>
      <c r="K237" s="7" t="s">
        <v>276</v>
      </c>
      <c r="L237" s="2" t="s">
        <v>398</v>
      </c>
      <c r="M237" s="2" t="s">
        <v>8</v>
      </c>
      <c r="N237" s="2">
        <v>0</v>
      </c>
      <c r="O237" s="2">
        <v>10</v>
      </c>
    </row>
    <row r="238" spans="1:15" x14ac:dyDescent="0.2">
      <c r="A238" s="3" t="s">
        <v>0</v>
      </c>
      <c r="B238" s="3" t="s">
        <v>171</v>
      </c>
      <c r="C238" s="3" t="s">
        <v>274</v>
      </c>
      <c r="D238" s="3" t="s">
        <v>447</v>
      </c>
      <c r="E238" s="3" t="s">
        <v>308</v>
      </c>
      <c r="F238" s="2">
        <v>23</v>
      </c>
      <c r="G238" s="4" t="s">
        <v>52</v>
      </c>
      <c r="H238">
        <v>2006</v>
      </c>
      <c r="I238" t="s">
        <v>298</v>
      </c>
      <c r="J238" s="5" t="s">
        <v>278</v>
      </c>
      <c r="K238" s="7" t="s">
        <v>276</v>
      </c>
      <c r="L238" s="2" t="s">
        <v>398</v>
      </c>
      <c r="M238" s="2" t="s">
        <v>8</v>
      </c>
      <c r="N238" s="2">
        <v>0</v>
      </c>
      <c r="O238" s="2">
        <v>10</v>
      </c>
    </row>
    <row r="239" spans="1:15" x14ac:dyDescent="0.2">
      <c r="A239" s="3" t="s">
        <v>0</v>
      </c>
      <c r="B239" s="3" t="s">
        <v>173</v>
      </c>
      <c r="C239" s="3" t="s">
        <v>274</v>
      </c>
      <c r="D239" s="3" t="s">
        <v>447</v>
      </c>
      <c r="E239" s="3" t="s">
        <v>308</v>
      </c>
      <c r="F239" s="2">
        <v>24</v>
      </c>
      <c r="G239" s="4" t="s">
        <v>95</v>
      </c>
      <c r="H239">
        <v>2007</v>
      </c>
      <c r="I239" t="s">
        <v>299</v>
      </c>
      <c r="J239" s="5" t="s">
        <v>278</v>
      </c>
      <c r="K239" s="7" t="s">
        <v>276</v>
      </c>
      <c r="L239" s="2" t="s">
        <v>398</v>
      </c>
      <c r="M239" s="2" t="s">
        <v>8</v>
      </c>
      <c r="N239" s="2">
        <v>0</v>
      </c>
      <c r="O239" s="2">
        <v>10</v>
      </c>
    </row>
    <row r="240" spans="1:15" x14ac:dyDescent="0.2">
      <c r="A240" s="3" t="s">
        <v>0</v>
      </c>
      <c r="B240" s="3" t="s">
        <v>175</v>
      </c>
      <c r="C240" s="3" t="s">
        <v>274</v>
      </c>
      <c r="D240" s="3" t="s">
        <v>447</v>
      </c>
      <c r="E240" s="3" t="s">
        <v>308</v>
      </c>
      <c r="F240" s="2">
        <v>25</v>
      </c>
      <c r="G240" s="4" t="s">
        <v>70</v>
      </c>
      <c r="H240">
        <v>2008</v>
      </c>
      <c r="I240" t="s">
        <v>300</v>
      </c>
      <c r="J240" s="5" t="s">
        <v>278</v>
      </c>
      <c r="K240" s="7" t="s">
        <v>276</v>
      </c>
      <c r="L240" s="2" t="s">
        <v>398</v>
      </c>
      <c r="M240" s="2" t="s">
        <v>8</v>
      </c>
      <c r="N240" s="2">
        <v>0</v>
      </c>
      <c r="O240" s="2">
        <v>10</v>
      </c>
    </row>
    <row r="241" spans="1:15" x14ac:dyDescent="0.2">
      <c r="A241" s="3" t="s">
        <v>0</v>
      </c>
      <c r="B241" s="3" t="s">
        <v>177</v>
      </c>
      <c r="C241" s="3" t="s">
        <v>274</v>
      </c>
      <c r="D241" s="3" t="s">
        <v>447</v>
      </c>
      <c r="E241" s="3" t="s">
        <v>308</v>
      </c>
      <c r="F241" s="2">
        <v>26</v>
      </c>
      <c r="G241" s="4" t="s">
        <v>16</v>
      </c>
      <c r="H241">
        <v>2009</v>
      </c>
      <c r="I241" t="s">
        <v>301</v>
      </c>
      <c r="J241" s="5" t="s">
        <v>278</v>
      </c>
      <c r="K241" s="7" t="s">
        <v>276</v>
      </c>
      <c r="L241" s="2" t="s">
        <v>398</v>
      </c>
      <c r="M241" s="2" t="s">
        <v>8</v>
      </c>
      <c r="N241" s="2">
        <v>0</v>
      </c>
      <c r="O241" s="2">
        <v>10</v>
      </c>
    </row>
    <row r="242" spans="1:15" x14ac:dyDescent="0.2">
      <c r="A242" s="3" t="s">
        <v>0</v>
      </c>
      <c r="B242" s="3" t="s">
        <v>179</v>
      </c>
      <c r="C242" s="3" t="s">
        <v>274</v>
      </c>
      <c r="D242" s="3" t="s">
        <v>447</v>
      </c>
      <c r="E242" s="3" t="s">
        <v>308</v>
      </c>
      <c r="F242" s="2">
        <v>27</v>
      </c>
      <c r="G242" s="4" t="s">
        <v>34</v>
      </c>
      <c r="H242">
        <v>2010</v>
      </c>
      <c r="I242" t="s">
        <v>302</v>
      </c>
      <c r="J242" s="5" t="s">
        <v>278</v>
      </c>
      <c r="K242" s="7" t="s">
        <v>276</v>
      </c>
      <c r="L242" s="2" t="s">
        <v>398</v>
      </c>
      <c r="M242" s="2" t="s">
        <v>8</v>
      </c>
      <c r="N242" s="2">
        <v>0</v>
      </c>
      <c r="O242" s="2">
        <v>10</v>
      </c>
    </row>
    <row r="243" spans="1:15" x14ac:dyDescent="0.2">
      <c r="A243" s="3" t="s">
        <v>0</v>
      </c>
      <c r="B243" s="3" t="s">
        <v>181</v>
      </c>
      <c r="C243" s="3" t="s">
        <v>274</v>
      </c>
      <c r="D243" s="3" t="s">
        <v>447</v>
      </c>
      <c r="E243" s="3" t="s">
        <v>308</v>
      </c>
      <c r="F243" s="2">
        <v>28</v>
      </c>
      <c r="G243" s="4" t="s">
        <v>46</v>
      </c>
      <c r="H243">
        <v>2011</v>
      </c>
      <c r="I243" t="s">
        <v>303</v>
      </c>
      <c r="J243" s="5" t="s">
        <v>278</v>
      </c>
      <c r="K243" s="7" t="s">
        <v>276</v>
      </c>
      <c r="L243" s="2" t="s">
        <v>398</v>
      </c>
      <c r="M243" s="2" t="s">
        <v>8</v>
      </c>
      <c r="N243" s="2">
        <v>0</v>
      </c>
      <c r="O243" s="2">
        <v>10</v>
      </c>
    </row>
    <row r="244" spans="1:15" x14ac:dyDescent="0.2">
      <c r="A244" s="3" t="s">
        <v>0</v>
      </c>
      <c r="B244" s="3" t="s">
        <v>183</v>
      </c>
      <c r="C244" s="3" t="s">
        <v>274</v>
      </c>
      <c r="D244" s="3" t="s">
        <v>447</v>
      </c>
      <c r="E244" s="3" t="s">
        <v>308</v>
      </c>
      <c r="F244" s="2">
        <v>29</v>
      </c>
      <c r="G244" s="4" t="s">
        <v>61</v>
      </c>
      <c r="H244">
        <v>2012</v>
      </c>
      <c r="I244" t="s">
        <v>304</v>
      </c>
      <c r="J244" s="5" t="s">
        <v>278</v>
      </c>
      <c r="K244" s="7" t="s">
        <v>276</v>
      </c>
      <c r="L244" s="2" t="s">
        <v>398</v>
      </c>
      <c r="M244" s="2" t="s">
        <v>8</v>
      </c>
      <c r="N244" s="2">
        <v>0</v>
      </c>
      <c r="O244" s="2">
        <v>10</v>
      </c>
    </row>
    <row r="245" spans="1:15" x14ac:dyDescent="0.2">
      <c r="A245" s="3" t="s">
        <v>0</v>
      </c>
      <c r="B245" s="3" t="s">
        <v>185</v>
      </c>
      <c r="C245" s="3" t="s">
        <v>274</v>
      </c>
      <c r="D245" s="3" t="s">
        <v>447</v>
      </c>
      <c r="E245" s="3" t="s">
        <v>308</v>
      </c>
      <c r="F245" s="2">
        <v>30</v>
      </c>
      <c r="G245" s="4" t="s">
        <v>86</v>
      </c>
      <c r="H245">
        <v>2013</v>
      </c>
      <c r="I245" t="s">
        <v>305</v>
      </c>
      <c r="J245" s="5" t="s">
        <v>278</v>
      </c>
      <c r="K245" s="7" t="s">
        <v>276</v>
      </c>
      <c r="L245" s="2" t="s">
        <v>398</v>
      </c>
      <c r="M245" s="2" t="s">
        <v>8</v>
      </c>
      <c r="N245" s="2">
        <v>0</v>
      </c>
      <c r="O245" s="2">
        <v>10</v>
      </c>
    </row>
    <row r="246" spans="1:15" x14ac:dyDescent="0.2">
      <c r="A246" s="3" t="s">
        <v>0</v>
      </c>
      <c r="B246" s="3" t="s">
        <v>187</v>
      </c>
      <c r="C246" s="3" t="s">
        <v>274</v>
      </c>
      <c r="D246" s="3" t="s">
        <v>447</v>
      </c>
      <c r="E246" s="3" t="s">
        <v>308</v>
      </c>
      <c r="F246" s="2">
        <v>31</v>
      </c>
      <c r="G246" s="4" t="s">
        <v>22</v>
      </c>
      <c r="H246">
        <v>2014</v>
      </c>
      <c r="I246" t="s">
        <v>306</v>
      </c>
      <c r="J246" s="5" t="s">
        <v>278</v>
      </c>
      <c r="K246" s="7" t="s">
        <v>276</v>
      </c>
      <c r="L246" s="2" t="s">
        <v>398</v>
      </c>
      <c r="M246" s="2" t="s">
        <v>8</v>
      </c>
      <c r="N246" s="2">
        <v>0</v>
      </c>
      <c r="O246" s="2">
        <v>10</v>
      </c>
    </row>
    <row r="247" spans="1:15" x14ac:dyDescent="0.2">
      <c r="A247" s="3" t="s">
        <v>0</v>
      </c>
      <c r="B247" s="3" t="s">
        <v>189</v>
      </c>
      <c r="C247" s="3" t="s">
        <v>274</v>
      </c>
      <c r="D247" s="3" t="s">
        <v>447</v>
      </c>
      <c r="E247" s="3" t="s">
        <v>308</v>
      </c>
      <c r="F247" s="2">
        <v>32</v>
      </c>
      <c r="G247" s="4" t="s">
        <v>28</v>
      </c>
      <c r="H247">
        <v>2015</v>
      </c>
      <c r="I247" t="s">
        <v>307</v>
      </c>
      <c r="J247" s="5" t="s">
        <v>278</v>
      </c>
      <c r="K247" s="7" t="s">
        <v>276</v>
      </c>
      <c r="L247" s="2" t="s">
        <v>398</v>
      </c>
      <c r="M247" s="2" t="s">
        <v>8</v>
      </c>
      <c r="N247" s="2">
        <v>0</v>
      </c>
      <c r="O247" s="2">
        <v>10</v>
      </c>
    </row>
    <row r="248" spans="1:15" x14ac:dyDescent="0.2">
      <c r="A248" s="3" t="s">
        <v>0</v>
      </c>
      <c r="B248" s="3" t="str">
        <f>G248&amp;"p"</f>
        <v>bgp</v>
      </c>
      <c r="C248" s="3" t="s">
        <v>274</v>
      </c>
      <c r="D248" s="3" t="s">
        <v>447</v>
      </c>
      <c r="E248" s="3" t="s">
        <v>308</v>
      </c>
      <c r="F248" s="2">
        <v>33</v>
      </c>
      <c r="G248" s="4" t="s">
        <v>76</v>
      </c>
      <c r="H248">
        <v>2016</v>
      </c>
      <c r="I248" t="s">
        <v>309</v>
      </c>
      <c r="J248" s="5" t="s">
        <v>278</v>
      </c>
      <c r="K248" s="7" t="s">
        <v>276</v>
      </c>
      <c r="L248" s="2" t="s">
        <v>398</v>
      </c>
      <c r="M248" s="2" t="s">
        <v>8</v>
      </c>
      <c r="N248" s="2">
        <v>0</v>
      </c>
      <c r="O248" s="2">
        <v>10</v>
      </c>
    </row>
    <row r="249" spans="1:15" x14ac:dyDescent="0.2">
      <c r="A249" s="3" t="s">
        <v>0</v>
      </c>
      <c r="B249" s="3" t="str">
        <f t="shared" ref="B249:B250" si="4">G249&amp;"p"</f>
        <v>bhp</v>
      </c>
      <c r="C249" s="3" t="s">
        <v>274</v>
      </c>
      <c r="D249" s="3" t="s">
        <v>447</v>
      </c>
      <c r="E249" s="3" t="s">
        <v>308</v>
      </c>
      <c r="F249" s="2">
        <v>34</v>
      </c>
      <c r="G249" s="4" t="s">
        <v>67</v>
      </c>
      <c r="H249">
        <v>2017</v>
      </c>
      <c r="I249" t="s">
        <v>310</v>
      </c>
      <c r="J249" s="5" t="s">
        <v>278</v>
      </c>
      <c r="K249" s="7" t="s">
        <v>276</v>
      </c>
      <c r="L249" s="2" t="s">
        <v>398</v>
      </c>
      <c r="M249" s="2" t="s">
        <v>8</v>
      </c>
      <c r="N249" s="2">
        <v>0</v>
      </c>
      <c r="O249" s="2">
        <v>10</v>
      </c>
    </row>
    <row r="250" spans="1:15" x14ac:dyDescent="0.2">
      <c r="A250" s="3" t="s">
        <v>0</v>
      </c>
      <c r="B250" s="3" t="str">
        <f t="shared" si="4"/>
        <v>bip</v>
      </c>
      <c r="C250" s="3" t="s">
        <v>274</v>
      </c>
      <c r="D250" s="3" t="s">
        <v>447</v>
      </c>
      <c r="E250" s="3" t="s">
        <v>308</v>
      </c>
      <c r="F250" s="2">
        <v>35</v>
      </c>
      <c r="G250" s="4" t="s">
        <v>312</v>
      </c>
      <c r="H250">
        <v>2018</v>
      </c>
      <c r="I250" t="s">
        <v>311</v>
      </c>
      <c r="J250" s="5" t="s">
        <v>278</v>
      </c>
      <c r="K250" s="7" t="s">
        <v>276</v>
      </c>
      <c r="L250" s="2" t="s">
        <v>398</v>
      </c>
      <c r="M250" s="2" t="s">
        <v>8</v>
      </c>
      <c r="N250" s="2">
        <v>0</v>
      </c>
      <c r="O250" s="2">
        <v>10</v>
      </c>
    </row>
    <row r="251" spans="1:15" x14ac:dyDescent="0.2">
      <c r="A251" s="14" t="s">
        <v>0</v>
      </c>
      <c r="B251" s="15" t="s">
        <v>124</v>
      </c>
      <c r="C251" s="14" t="s">
        <v>274</v>
      </c>
      <c r="D251" s="16" t="s">
        <v>326</v>
      </c>
      <c r="E251" s="14" t="s">
        <v>356</v>
      </c>
      <c r="F251" s="2">
        <v>1</v>
      </c>
      <c r="G251" s="4" t="s">
        <v>40</v>
      </c>
      <c r="H251" s="2">
        <v>1984</v>
      </c>
      <c r="I251" t="s">
        <v>324</v>
      </c>
      <c r="J251" s="5" t="s">
        <v>325</v>
      </c>
      <c r="K251" s="7" t="s">
        <v>276</v>
      </c>
      <c r="L251" s="2" t="s">
        <v>398</v>
      </c>
      <c r="M251" s="2" t="s">
        <v>8</v>
      </c>
      <c r="N251" s="2">
        <v>0</v>
      </c>
      <c r="O251" s="2">
        <v>10</v>
      </c>
    </row>
    <row r="252" spans="1:15" x14ac:dyDescent="0.2">
      <c r="A252" s="14" t="s">
        <v>0</v>
      </c>
      <c r="B252" s="15" t="s">
        <v>129</v>
      </c>
      <c r="C252" s="14" t="s">
        <v>274</v>
      </c>
      <c r="D252" s="16" t="s">
        <v>326</v>
      </c>
      <c r="E252" s="14" t="s">
        <v>356</v>
      </c>
      <c r="F252" s="2">
        <v>2</v>
      </c>
      <c r="G252" s="4" t="s">
        <v>37</v>
      </c>
      <c r="H252" s="2">
        <v>1985</v>
      </c>
      <c r="I252" t="s">
        <v>327</v>
      </c>
      <c r="J252" s="5" t="s">
        <v>325</v>
      </c>
      <c r="K252" s="7" t="s">
        <v>276</v>
      </c>
      <c r="L252" s="2" t="s">
        <v>398</v>
      </c>
      <c r="M252" s="2" t="s">
        <v>8</v>
      </c>
      <c r="N252" s="2">
        <v>0</v>
      </c>
      <c r="O252" s="2">
        <v>10</v>
      </c>
    </row>
    <row r="253" spans="1:15" x14ac:dyDescent="0.2">
      <c r="A253" s="14" t="s">
        <v>0</v>
      </c>
      <c r="B253" s="15" t="s">
        <v>131</v>
      </c>
      <c r="C253" s="14" t="s">
        <v>274</v>
      </c>
      <c r="D253" s="16" t="s">
        <v>326</v>
      </c>
      <c r="E253" s="14" t="s">
        <v>356</v>
      </c>
      <c r="F253" s="2">
        <v>3</v>
      </c>
      <c r="G253" s="4" t="s">
        <v>80</v>
      </c>
      <c r="H253" s="2">
        <v>1986</v>
      </c>
      <c r="I253" t="s">
        <v>328</v>
      </c>
      <c r="J253" s="5" t="s">
        <v>325</v>
      </c>
      <c r="K253" s="7" t="s">
        <v>276</v>
      </c>
      <c r="L253" s="2" t="s">
        <v>398</v>
      </c>
      <c r="M253" s="2" t="s">
        <v>8</v>
      </c>
      <c r="N253" s="2">
        <v>0</v>
      </c>
      <c r="O253" s="2">
        <v>10</v>
      </c>
    </row>
    <row r="254" spans="1:15" x14ac:dyDescent="0.2">
      <c r="A254" s="14" t="s">
        <v>0</v>
      </c>
      <c r="B254" s="15" t="s">
        <v>133</v>
      </c>
      <c r="C254" s="14" t="s">
        <v>274</v>
      </c>
      <c r="D254" s="16" t="s">
        <v>326</v>
      </c>
      <c r="E254" s="14" t="s">
        <v>356</v>
      </c>
      <c r="F254" s="2">
        <v>4</v>
      </c>
      <c r="G254" s="4" t="s">
        <v>31</v>
      </c>
      <c r="H254" s="2">
        <v>1987</v>
      </c>
      <c r="I254" t="s">
        <v>329</v>
      </c>
      <c r="J254" s="5" t="s">
        <v>325</v>
      </c>
      <c r="K254" s="7" t="s">
        <v>276</v>
      </c>
      <c r="L254" s="2" t="s">
        <v>398</v>
      </c>
      <c r="M254" s="2" t="s">
        <v>8</v>
      </c>
      <c r="N254" s="2">
        <v>0</v>
      </c>
      <c r="O254" s="2">
        <v>10</v>
      </c>
    </row>
    <row r="255" spans="1:15" x14ac:dyDescent="0.2">
      <c r="A255" s="14" t="s">
        <v>0</v>
      </c>
      <c r="B255" s="15" t="s">
        <v>135</v>
      </c>
      <c r="C255" s="14" t="s">
        <v>274</v>
      </c>
      <c r="D255" s="16" t="s">
        <v>326</v>
      </c>
      <c r="E255" s="14" t="s">
        <v>356</v>
      </c>
      <c r="F255" s="2">
        <v>5</v>
      </c>
      <c r="G255" s="4" t="s">
        <v>13</v>
      </c>
      <c r="H255" s="2">
        <v>1988</v>
      </c>
      <c r="I255" t="s">
        <v>330</v>
      </c>
      <c r="J255" s="5" t="s">
        <v>325</v>
      </c>
      <c r="K255" s="7" t="s">
        <v>276</v>
      </c>
      <c r="L255" s="2" t="s">
        <v>398</v>
      </c>
      <c r="M255" s="2" t="s">
        <v>8</v>
      </c>
      <c r="N255" s="2">
        <v>0</v>
      </c>
      <c r="O255" s="2">
        <v>10</v>
      </c>
    </row>
    <row r="256" spans="1:15" x14ac:dyDescent="0.2">
      <c r="A256" s="14" t="s">
        <v>0</v>
      </c>
      <c r="B256" s="15" t="s">
        <v>137</v>
      </c>
      <c r="C256" s="14" t="s">
        <v>274</v>
      </c>
      <c r="D256" s="16" t="s">
        <v>326</v>
      </c>
      <c r="E256" s="14" t="s">
        <v>356</v>
      </c>
      <c r="F256" s="2">
        <v>6</v>
      </c>
      <c r="G256" s="4" t="s">
        <v>49</v>
      </c>
      <c r="H256" s="2">
        <v>1989</v>
      </c>
      <c r="I256" t="s">
        <v>331</v>
      </c>
      <c r="J256" s="5" t="s">
        <v>325</v>
      </c>
      <c r="K256" s="7" t="s">
        <v>276</v>
      </c>
      <c r="L256" s="2" t="s">
        <v>398</v>
      </c>
      <c r="M256" s="2" t="s">
        <v>8</v>
      </c>
      <c r="N256" s="2">
        <v>0</v>
      </c>
      <c r="O256" s="2">
        <v>10</v>
      </c>
    </row>
    <row r="257" spans="1:15" x14ac:dyDescent="0.2">
      <c r="A257" s="14" t="s">
        <v>0</v>
      </c>
      <c r="B257" s="15" t="s">
        <v>139</v>
      </c>
      <c r="C257" s="14" t="s">
        <v>274</v>
      </c>
      <c r="D257" s="16" t="s">
        <v>326</v>
      </c>
      <c r="E257" s="14" t="s">
        <v>356</v>
      </c>
      <c r="F257" s="2">
        <v>7</v>
      </c>
      <c r="G257" s="4" t="s">
        <v>101</v>
      </c>
      <c r="H257" s="2">
        <v>1990</v>
      </c>
      <c r="I257" t="s">
        <v>332</v>
      </c>
      <c r="J257" s="5" t="s">
        <v>325</v>
      </c>
      <c r="K257" s="7" t="s">
        <v>276</v>
      </c>
      <c r="L257" s="2" t="s">
        <v>398</v>
      </c>
      <c r="M257" s="2" t="s">
        <v>8</v>
      </c>
      <c r="N257" s="2">
        <v>0</v>
      </c>
      <c r="O257" s="2">
        <v>10</v>
      </c>
    </row>
    <row r="258" spans="1:15" x14ac:dyDescent="0.2">
      <c r="A258" s="14" t="s">
        <v>0</v>
      </c>
      <c r="B258" s="15" t="s">
        <v>145</v>
      </c>
      <c r="C258" s="14" t="s">
        <v>274</v>
      </c>
      <c r="D258" s="16" t="s">
        <v>326</v>
      </c>
      <c r="E258" s="14" t="s">
        <v>356</v>
      </c>
      <c r="F258" s="2">
        <v>10</v>
      </c>
      <c r="G258" s="4" t="s">
        <v>98</v>
      </c>
      <c r="H258" s="2">
        <v>1993</v>
      </c>
      <c r="I258" t="s">
        <v>333</v>
      </c>
      <c r="J258" s="5" t="s">
        <v>325</v>
      </c>
      <c r="K258" s="7" t="s">
        <v>276</v>
      </c>
      <c r="L258" s="2" t="s">
        <v>398</v>
      </c>
      <c r="M258" s="2" t="s">
        <v>8</v>
      </c>
      <c r="N258" s="2">
        <v>0</v>
      </c>
      <c r="O258" s="2">
        <v>10</v>
      </c>
    </row>
    <row r="259" spans="1:15" x14ac:dyDescent="0.2">
      <c r="A259" s="14" t="s">
        <v>0</v>
      </c>
      <c r="B259" s="15" t="s">
        <v>147</v>
      </c>
      <c r="C259" s="14" t="s">
        <v>274</v>
      </c>
      <c r="D259" s="16" t="s">
        <v>326</v>
      </c>
      <c r="E259" s="14" t="s">
        <v>356</v>
      </c>
      <c r="F259" s="2">
        <v>11</v>
      </c>
      <c r="G259" s="4" t="s">
        <v>104</v>
      </c>
      <c r="H259" s="2">
        <v>1994</v>
      </c>
      <c r="I259" t="s">
        <v>334</v>
      </c>
      <c r="J259" s="5" t="s">
        <v>325</v>
      </c>
      <c r="K259" s="7" t="s">
        <v>276</v>
      </c>
      <c r="L259" s="2" t="s">
        <v>398</v>
      </c>
      <c r="M259" s="2" t="s">
        <v>8</v>
      </c>
      <c r="N259" s="2">
        <v>0</v>
      </c>
      <c r="O259" s="2">
        <v>10</v>
      </c>
    </row>
    <row r="260" spans="1:15" x14ac:dyDescent="0.2">
      <c r="A260" s="14" t="s">
        <v>0</v>
      </c>
      <c r="B260" s="15" t="s">
        <v>149</v>
      </c>
      <c r="C260" s="14" t="s">
        <v>274</v>
      </c>
      <c r="D260" s="16" t="s">
        <v>326</v>
      </c>
      <c r="E260" s="14" t="s">
        <v>356</v>
      </c>
      <c r="F260" s="2">
        <v>12</v>
      </c>
      <c r="G260" s="4" t="s">
        <v>89</v>
      </c>
      <c r="H260" s="2">
        <v>1995</v>
      </c>
      <c r="I260" t="s">
        <v>335</v>
      </c>
      <c r="J260" s="5" t="s">
        <v>325</v>
      </c>
      <c r="K260" s="7" t="s">
        <v>276</v>
      </c>
      <c r="L260" s="2" t="s">
        <v>398</v>
      </c>
      <c r="M260" s="2" t="s">
        <v>8</v>
      </c>
      <c r="N260" s="2">
        <v>0</v>
      </c>
      <c r="O260" s="2">
        <v>10</v>
      </c>
    </row>
    <row r="261" spans="1:15" x14ac:dyDescent="0.2">
      <c r="A261" s="14" t="s">
        <v>0</v>
      </c>
      <c r="B261" s="15" t="s">
        <v>151</v>
      </c>
      <c r="C261" s="14" t="s">
        <v>274</v>
      </c>
      <c r="D261" s="16" t="s">
        <v>326</v>
      </c>
      <c r="E261" s="14" t="s">
        <v>356</v>
      </c>
      <c r="F261" s="2">
        <v>13</v>
      </c>
      <c r="G261" s="4" t="s">
        <v>107</v>
      </c>
      <c r="H261" s="2">
        <v>1996</v>
      </c>
      <c r="I261" t="s">
        <v>336</v>
      </c>
      <c r="J261" s="5" t="s">
        <v>325</v>
      </c>
      <c r="K261" s="7" t="s">
        <v>276</v>
      </c>
      <c r="L261" s="2" t="s">
        <v>398</v>
      </c>
      <c r="M261" s="2" t="s">
        <v>8</v>
      </c>
      <c r="N261" s="2">
        <v>0</v>
      </c>
      <c r="O261" s="2">
        <v>10</v>
      </c>
    </row>
    <row r="262" spans="1:15" x14ac:dyDescent="0.2">
      <c r="A262" s="14" t="s">
        <v>0</v>
      </c>
      <c r="B262" s="15" t="s">
        <v>153</v>
      </c>
      <c r="C262" s="14" t="s">
        <v>274</v>
      </c>
      <c r="D262" s="16" t="s">
        <v>326</v>
      </c>
      <c r="E262" s="14" t="s">
        <v>356</v>
      </c>
      <c r="F262" s="2">
        <v>14</v>
      </c>
      <c r="G262" s="4" t="s">
        <v>43</v>
      </c>
      <c r="H262" s="2">
        <v>1997</v>
      </c>
      <c r="I262" t="s">
        <v>337</v>
      </c>
      <c r="J262" s="5" t="s">
        <v>325</v>
      </c>
      <c r="K262" s="7" t="s">
        <v>276</v>
      </c>
      <c r="L262" s="2" t="s">
        <v>398</v>
      </c>
      <c r="M262" s="2" t="s">
        <v>8</v>
      </c>
      <c r="N262" s="2">
        <v>0</v>
      </c>
      <c r="O262" s="2">
        <v>10</v>
      </c>
    </row>
    <row r="263" spans="1:15" x14ac:dyDescent="0.2">
      <c r="A263" s="14" t="s">
        <v>0</v>
      </c>
      <c r="B263" s="15" t="s">
        <v>155</v>
      </c>
      <c r="C263" s="14" t="s">
        <v>274</v>
      </c>
      <c r="D263" s="16" t="s">
        <v>326</v>
      </c>
      <c r="E263" s="14" t="s">
        <v>356</v>
      </c>
      <c r="F263" s="2">
        <v>15</v>
      </c>
      <c r="G263" s="4" t="s">
        <v>19</v>
      </c>
      <c r="H263" s="2">
        <v>1998</v>
      </c>
      <c r="I263" t="s">
        <v>338</v>
      </c>
      <c r="J263" s="5" t="s">
        <v>325</v>
      </c>
      <c r="K263" s="7" t="s">
        <v>276</v>
      </c>
      <c r="L263" s="2" t="s">
        <v>398</v>
      </c>
      <c r="M263" s="2" t="s">
        <v>8</v>
      </c>
      <c r="N263" s="2">
        <v>0</v>
      </c>
      <c r="O263" s="2">
        <v>10</v>
      </c>
    </row>
    <row r="264" spans="1:15" x14ac:dyDescent="0.2">
      <c r="A264" s="14" t="s">
        <v>0</v>
      </c>
      <c r="B264" s="15" t="s">
        <v>157</v>
      </c>
      <c r="C264" s="14" t="s">
        <v>274</v>
      </c>
      <c r="D264" s="16" t="s">
        <v>326</v>
      </c>
      <c r="E264" s="14" t="s">
        <v>356</v>
      </c>
      <c r="F264" s="2">
        <v>16</v>
      </c>
      <c r="G264" s="4" t="s">
        <v>25</v>
      </c>
      <c r="H264" s="2">
        <v>1999</v>
      </c>
      <c r="I264" t="s">
        <v>339</v>
      </c>
      <c r="J264" s="5" t="s">
        <v>325</v>
      </c>
      <c r="K264" s="7" t="s">
        <v>276</v>
      </c>
      <c r="L264" s="2" t="s">
        <v>398</v>
      </c>
      <c r="M264" s="2" t="s">
        <v>8</v>
      </c>
      <c r="N264" s="2">
        <v>0</v>
      </c>
      <c r="O264" s="2">
        <v>10</v>
      </c>
    </row>
    <row r="265" spans="1:15" x14ac:dyDescent="0.2">
      <c r="A265" s="14" t="s">
        <v>0</v>
      </c>
      <c r="B265" s="15" t="s">
        <v>159</v>
      </c>
      <c r="C265" s="14" t="s">
        <v>274</v>
      </c>
      <c r="D265" s="16" t="s">
        <v>326</v>
      </c>
      <c r="E265" s="14" t="s">
        <v>356</v>
      </c>
      <c r="F265" s="2">
        <v>17</v>
      </c>
      <c r="G265" s="4" t="s">
        <v>73</v>
      </c>
      <c r="H265" s="2">
        <v>2000</v>
      </c>
      <c r="I265" t="s">
        <v>340</v>
      </c>
      <c r="J265" s="5" t="s">
        <v>325</v>
      </c>
      <c r="K265" s="7" t="s">
        <v>276</v>
      </c>
      <c r="L265" s="2" t="s">
        <v>398</v>
      </c>
      <c r="M265" s="2" t="s">
        <v>8</v>
      </c>
      <c r="N265" s="2">
        <v>0</v>
      </c>
      <c r="O265" s="2">
        <v>10</v>
      </c>
    </row>
    <row r="266" spans="1:15" x14ac:dyDescent="0.2">
      <c r="A266" s="14" t="s">
        <v>0</v>
      </c>
      <c r="B266" s="15" t="s">
        <v>161</v>
      </c>
      <c r="C266" s="14" t="s">
        <v>274</v>
      </c>
      <c r="D266" s="16" t="s">
        <v>326</v>
      </c>
      <c r="E266" s="14" t="s">
        <v>356</v>
      </c>
      <c r="F266" s="2">
        <v>18</v>
      </c>
      <c r="G266" s="4" t="s">
        <v>58</v>
      </c>
      <c r="H266" s="2">
        <v>2001</v>
      </c>
      <c r="I266" t="s">
        <v>341</v>
      </c>
      <c r="J266" s="5" t="s">
        <v>325</v>
      </c>
      <c r="K266" s="7" t="s">
        <v>276</v>
      </c>
      <c r="L266" s="2" t="s">
        <v>398</v>
      </c>
      <c r="M266" s="2" t="s">
        <v>8</v>
      </c>
      <c r="N266" s="2">
        <v>0</v>
      </c>
      <c r="O266" s="2">
        <v>10</v>
      </c>
    </row>
    <row r="267" spans="1:15" x14ac:dyDescent="0.2">
      <c r="A267" s="14" t="s">
        <v>0</v>
      </c>
      <c r="B267" s="15" t="s">
        <v>163</v>
      </c>
      <c r="C267" s="14" t="s">
        <v>274</v>
      </c>
      <c r="D267" s="16" t="s">
        <v>326</v>
      </c>
      <c r="E267" s="14" t="s">
        <v>356</v>
      </c>
      <c r="F267" s="2">
        <v>19</v>
      </c>
      <c r="G267" s="4" t="s">
        <v>4</v>
      </c>
      <c r="H267" s="2">
        <v>2002</v>
      </c>
      <c r="I267" t="s">
        <v>342</v>
      </c>
      <c r="J267" s="5" t="s">
        <v>325</v>
      </c>
      <c r="K267" s="7" t="s">
        <v>276</v>
      </c>
      <c r="L267" s="2" t="s">
        <v>398</v>
      </c>
      <c r="M267" s="2" t="s">
        <v>8</v>
      </c>
      <c r="N267" s="2">
        <v>0</v>
      </c>
      <c r="O267" s="2">
        <v>10</v>
      </c>
    </row>
    <row r="268" spans="1:15" x14ac:dyDescent="0.2">
      <c r="A268" s="14" t="s">
        <v>0</v>
      </c>
      <c r="B268" s="15" t="s">
        <v>165</v>
      </c>
      <c r="C268" s="14" t="s">
        <v>274</v>
      </c>
      <c r="D268" s="16" t="s">
        <v>326</v>
      </c>
      <c r="E268" s="14" t="s">
        <v>356</v>
      </c>
      <c r="F268" s="2">
        <v>20</v>
      </c>
      <c r="G268" s="4" t="s">
        <v>83</v>
      </c>
      <c r="H268" s="2">
        <v>2003</v>
      </c>
      <c r="I268" t="s">
        <v>343</v>
      </c>
      <c r="J268" s="5" t="s">
        <v>325</v>
      </c>
      <c r="K268" s="7" t="s">
        <v>276</v>
      </c>
      <c r="L268" s="2" t="s">
        <v>398</v>
      </c>
      <c r="M268" s="2" t="s">
        <v>8</v>
      </c>
      <c r="N268" s="2">
        <v>0</v>
      </c>
      <c r="O268" s="2">
        <v>10</v>
      </c>
    </row>
    <row r="269" spans="1:15" x14ac:dyDescent="0.2">
      <c r="A269" s="14" t="s">
        <v>0</v>
      </c>
      <c r="B269" s="15" t="s">
        <v>167</v>
      </c>
      <c r="C269" s="14" t="s">
        <v>274</v>
      </c>
      <c r="D269" s="16" t="s">
        <v>326</v>
      </c>
      <c r="E269" s="14" t="s">
        <v>356</v>
      </c>
      <c r="F269" s="2">
        <v>21</v>
      </c>
      <c r="G269" s="4" t="s">
        <v>64</v>
      </c>
      <c r="H269">
        <v>2006</v>
      </c>
      <c r="I269" t="s">
        <v>344</v>
      </c>
      <c r="J269" s="5" t="s">
        <v>325</v>
      </c>
      <c r="K269" s="7" t="s">
        <v>276</v>
      </c>
      <c r="L269" s="2" t="s">
        <v>398</v>
      </c>
      <c r="M269" s="2" t="s">
        <v>8</v>
      </c>
      <c r="N269" s="2">
        <v>0</v>
      </c>
      <c r="O269" s="2">
        <v>10</v>
      </c>
    </row>
    <row r="270" spans="1:15" x14ac:dyDescent="0.2">
      <c r="A270" s="14" t="s">
        <v>0</v>
      </c>
      <c r="B270" s="15" t="s">
        <v>169</v>
      </c>
      <c r="C270" s="14" t="s">
        <v>274</v>
      </c>
      <c r="D270" s="16" t="s">
        <v>326</v>
      </c>
      <c r="E270" s="14" t="s">
        <v>356</v>
      </c>
      <c r="F270" s="2">
        <v>22</v>
      </c>
      <c r="G270" s="4" t="s">
        <v>92</v>
      </c>
      <c r="H270">
        <v>2007</v>
      </c>
      <c r="I270" t="s">
        <v>345</v>
      </c>
      <c r="J270" s="5" t="s">
        <v>325</v>
      </c>
      <c r="K270" s="7" t="s">
        <v>276</v>
      </c>
      <c r="L270" s="2" t="s">
        <v>398</v>
      </c>
      <c r="M270" s="2" t="s">
        <v>8</v>
      </c>
      <c r="N270" s="2">
        <v>0</v>
      </c>
      <c r="O270" s="2">
        <v>10</v>
      </c>
    </row>
    <row r="271" spans="1:15" x14ac:dyDescent="0.2">
      <c r="A271" s="14" t="s">
        <v>0</v>
      </c>
      <c r="B271" s="15" t="s">
        <v>171</v>
      </c>
      <c r="C271" s="14" t="s">
        <v>274</v>
      </c>
      <c r="D271" s="16" t="s">
        <v>326</v>
      </c>
      <c r="E271" s="14" t="s">
        <v>356</v>
      </c>
      <c r="F271" s="2">
        <v>23</v>
      </c>
      <c r="G271" s="4" t="s">
        <v>52</v>
      </c>
      <c r="H271">
        <v>2008</v>
      </c>
      <c r="I271" t="s">
        <v>346</v>
      </c>
      <c r="J271" s="5" t="s">
        <v>325</v>
      </c>
      <c r="K271" s="7" t="s">
        <v>276</v>
      </c>
      <c r="L271" s="2" t="s">
        <v>398</v>
      </c>
      <c r="M271" s="2" t="s">
        <v>8</v>
      </c>
      <c r="N271" s="2">
        <v>0</v>
      </c>
      <c r="O271" s="2">
        <v>10</v>
      </c>
    </row>
    <row r="272" spans="1:15" x14ac:dyDescent="0.2">
      <c r="A272" s="14" t="s">
        <v>0</v>
      </c>
      <c r="B272" s="15" t="s">
        <v>173</v>
      </c>
      <c r="C272" s="14" t="s">
        <v>274</v>
      </c>
      <c r="D272" s="16" t="s">
        <v>326</v>
      </c>
      <c r="E272" s="14" t="s">
        <v>356</v>
      </c>
      <c r="F272" s="2">
        <v>24</v>
      </c>
      <c r="G272" s="4" t="s">
        <v>95</v>
      </c>
      <c r="H272">
        <v>2009</v>
      </c>
      <c r="I272" t="s">
        <v>347</v>
      </c>
      <c r="J272" s="5" t="s">
        <v>325</v>
      </c>
      <c r="K272" s="7" t="s">
        <v>276</v>
      </c>
      <c r="L272" s="2" t="s">
        <v>398</v>
      </c>
      <c r="M272" s="2" t="s">
        <v>8</v>
      </c>
      <c r="N272" s="2">
        <v>0</v>
      </c>
      <c r="O272" s="2">
        <v>10</v>
      </c>
    </row>
    <row r="273" spans="1:15" x14ac:dyDescent="0.2">
      <c r="A273" s="14" t="s">
        <v>0</v>
      </c>
      <c r="B273" s="15" t="s">
        <v>175</v>
      </c>
      <c r="C273" s="14" t="s">
        <v>274</v>
      </c>
      <c r="D273" s="16" t="s">
        <v>326</v>
      </c>
      <c r="E273" s="14" t="s">
        <v>356</v>
      </c>
      <c r="F273" s="2">
        <v>25</v>
      </c>
      <c r="G273" s="4" t="s">
        <v>70</v>
      </c>
      <c r="H273">
        <v>2010</v>
      </c>
      <c r="I273" t="s">
        <v>348</v>
      </c>
      <c r="J273" s="5" t="s">
        <v>325</v>
      </c>
      <c r="K273" s="7" t="s">
        <v>276</v>
      </c>
      <c r="L273" s="2" t="s">
        <v>398</v>
      </c>
      <c r="M273" s="2" t="s">
        <v>8</v>
      </c>
      <c r="N273" s="2">
        <v>0</v>
      </c>
      <c r="O273" s="2">
        <v>10</v>
      </c>
    </row>
    <row r="274" spans="1:15" x14ac:dyDescent="0.2">
      <c r="A274" s="14" t="s">
        <v>0</v>
      </c>
      <c r="B274" s="15" t="s">
        <v>177</v>
      </c>
      <c r="C274" s="14" t="s">
        <v>274</v>
      </c>
      <c r="D274" s="16" t="s">
        <v>326</v>
      </c>
      <c r="E274" s="14" t="s">
        <v>356</v>
      </c>
      <c r="F274" s="2">
        <v>26</v>
      </c>
      <c r="G274" s="4" t="s">
        <v>16</v>
      </c>
      <c r="H274">
        <v>2011</v>
      </c>
      <c r="I274" t="s">
        <v>349</v>
      </c>
      <c r="J274" s="5" t="s">
        <v>325</v>
      </c>
      <c r="K274" s="7" t="s">
        <v>276</v>
      </c>
      <c r="L274" s="2" t="s">
        <v>398</v>
      </c>
      <c r="M274" s="2" t="s">
        <v>8</v>
      </c>
      <c r="N274" s="2">
        <v>0</v>
      </c>
      <c r="O274" s="2">
        <v>10</v>
      </c>
    </row>
    <row r="275" spans="1:15" x14ac:dyDescent="0.2">
      <c r="A275" s="14" t="s">
        <v>0</v>
      </c>
      <c r="B275" s="15" t="s">
        <v>179</v>
      </c>
      <c r="C275" s="14" t="s">
        <v>274</v>
      </c>
      <c r="D275" s="16" t="s">
        <v>326</v>
      </c>
      <c r="E275" s="14" t="s">
        <v>356</v>
      </c>
      <c r="F275" s="2">
        <v>27</v>
      </c>
      <c r="G275" s="4" t="s">
        <v>34</v>
      </c>
      <c r="H275">
        <v>2012</v>
      </c>
      <c r="I275" t="s">
        <v>350</v>
      </c>
      <c r="J275" s="5" t="s">
        <v>325</v>
      </c>
      <c r="K275" s="7" t="s">
        <v>276</v>
      </c>
      <c r="L275" s="2" t="s">
        <v>398</v>
      </c>
      <c r="M275" s="2" t="s">
        <v>8</v>
      </c>
      <c r="N275" s="2">
        <v>0</v>
      </c>
      <c r="O275" s="2">
        <v>10</v>
      </c>
    </row>
    <row r="276" spans="1:15" x14ac:dyDescent="0.2">
      <c r="A276" s="14" t="s">
        <v>0</v>
      </c>
      <c r="B276" s="15" t="s">
        <v>181</v>
      </c>
      <c r="C276" s="14" t="s">
        <v>274</v>
      </c>
      <c r="D276" s="16" t="s">
        <v>326</v>
      </c>
      <c r="E276" s="14" t="s">
        <v>356</v>
      </c>
      <c r="F276" s="2">
        <v>28</v>
      </c>
      <c r="G276" s="4" t="s">
        <v>46</v>
      </c>
      <c r="H276">
        <v>2013</v>
      </c>
      <c r="I276" t="s">
        <v>351</v>
      </c>
      <c r="J276" s="5" t="s">
        <v>325</v>
      </c>
      <c r="K276" s="7" t="s">
        <v>276</v>
      </c>
      <c r="L276" s="2" t="s">
        <v>398</v>
      </c>
      <c r="M276" s="2" t="s">
        <v>8</v>
      </c>
      <c r="N276" s="2">
        <v>0</v>
      </c>
      <c r="O276" s="2">
        <v>10</v>
      </c>
    </row>
    <row r="277" spans="1:15" x14ac:dyDescent="0.2">
      <c r="A277" s="14" t="s">
        <v>0</v>
      </c>
      <c r="B277" s="15" t="s">
        <v>183</v>
      </c>
      <c r="C277" s="14" t="s">
        <v>274</v>
      </c>
      <c r="D277" s="16" t="s">
        <v>326</v>
      </c>
      <c r="E277" s="14" t="s">
        <v>356</v>
      </c>
      <c r="F277" s="2">
        <v>29</v>
      </c>
      <c r="G277" s="4" t="s">
        <v>61</v>
      </c>
      <c r="H277">
        <v>2014</v>
      </c>
      <c r="I277" t="s">
        <v>352</v>
      </c>
      <c r="J277" s="5" t="s">
        <v>325</v>
      </c>
      <c r="K277" s="7" t="s">
        <v>276</v>
      </c>
      <c r="L277" s="2" t="s">
        <v>398</v>
      </c>
      <c r="M277" s="2" t="s">
        <v>8</v>
      </c>
      <c r="N277" s="2">
        <v>0</v>
      </c>
      <c r="O277" s="2">
        <v>10</v>
      </c>
    </row>
    <row r="278" spans="1:15" x14ac:dyDescent="0.2">
      <c r="A278" s="14" t="s">
        <v>0</v>
      </c>
      <c r="B278" s="15" t="s">
        <v>185</v>
      </c>
      <c r="C278" s="14" t="s">
        <v>274</v>
      </c>
      <c r="D278" s="16" t="s">
        <v>326</v>
      </c>
      <c r="E278" s="14" t="s">
        <v>356</v>
      </c>
      <c r="F278" s="2">
        <v>30</v>
      </c>
      <c r="G278" s="4" t="s">
        <v>86</v>
      </c>
      <c r="H278">
        <v>2015</v>
      </c>
      <c r="I278" t="s">
        <v>353</v>
      </c>
      <c r="J278" s="5" t="s">
        <v>325</v>
      </c>
      <c r="K278" s="7" t="s">
        <v>276</v>
      </c>
      <c r="L278" s="2" t="s">
        <v>398</v>
      </c>
      <c r="M278" s="2" t="s">
        <v>8</v>
      </c>
      <c r="N278" s="2">
        <v>0</v>
      </c>
      <c r="O278" s="2">
        <v>10</v>
      </c>
    </row>
    <row r="279" spans="1:15" x14ac:dyDescent="0.2">
      <c r="A279" s="14" t="s">
        <v>0</v>
      </c>
      <c r="B279" s="15" t="s">
        <v>187</v>
      </c>
      <c r="C279" s="14" t="s">
        <v>274</v>
      </c>
      <c r="D279" s="16" t="s">
        <v>326</v>
      </c>
      <c r="E279" s="14" t="s">
        <v>356</v>
      </c>
      <c r="F279" s="2">
        <v>31</v>
      </c>
      <c r="G279" s="4" t="s">
        <v>22</v>
      </c>
      <c r="H279">
        <v>2016</v>
      </c>
      <c r="I279" t="s">
        <v>354</v>
      </c>
      <c r="J279" s="5" t="s">
        <v>325</v>
      </c>
      <c r="K279" s="7" t="s">
        <v>276</v>
      </c>
      <c r="L279" s="2" t="s">
        <v>398</v>
      </c>
      <c r="M279" s="2" t="s">
        <v>8</v>
      </c>
      <c r="N279" s="2">
        <v>0</v>
      </c>
      <c r="O279" s="2">
        <v>10</v>
      </c>
    </row>
    <row r="280" spans="1:15" x14ac:dyDescent="0.2">
      <c r="A280" s="14" t="s">
        <v>0</v>
      </c>
      <c r="B280" s="15" t="s">
        <v>189</v>
      </c>
      <c r="C280" s="14" t="s">
        <v>274</v>
      </c>
      <c r="D280" s="16" t="s">
        <v>326</v>
      </c>
      <c r="E280" s="14" t="s">
        <v>356</v>
      </c>
      <c r="F280" s="2">
        <v>32</v>
      </c>
      <c r="G280" s="4" t="s">
        <v>28</v>
      </c>
      <c r="H280" s="2">
        <v>2015</v>
      </c>
      <c r="I280" t="s">
        <v>355</v>
      </c>
      <c r="J280" s="5" t="s">
        <v>325</v>
      </c>
      <c r="K280" s="7" t="s">
        <v>276</v>
      </c>
      <c r="L280" s="2" t="s">
        <v>398</v>
      </c>
      <c r="M280" s="2" t="s">
        <v>8</v>
      </c>
      <c r="N280" s="2">
        <v>0</v>
      </c>
      <c r="O280" s="2">
        <v>10</v>
      </c>
    </row>
    <row r="281" spans="1:15" x14ac:dyDescent="0.2">
      <c r="A281" s="14" t="s">
        <v>0</v>
      </c>
      <c r="B281" s="15" t="str">
        <f>G279&amp;"p"</f>
        <v>bep</v>
      </c>
      <c r="C281" s="14" t="s">
        <v>274</v>
      </c>
      <c r="D281" s="16" t="s">
        <v>326</v>
      </c>
      <c r="E281" s="14" t="s">
        <v>356</v>
      </c>
      <c r="F281" s="2">
        <v>33</v>
      </c>
      <c r="G281" s="4" t="s">
        <v>76</v>
      </c>
      <c r="H281">
        <v>2016</v>
      </c>
      <c r="I281" t="s">
        <v>357</v>
      </c>
      <c r="J281" s="5" t="s">
        <v>325</v>
      </c>
      <c r="K281" s="7" t="s">
        <v>276</v>
      </c>
      <c r="L281" s="2" t="s">
        <v>398</v>
      </c>
      <c r="M281" s="2" t="s">
        <v>8</v>
      </c>
      <c r="N281" s="2">
        <v>0</v>
      </c>
      <c r="O281" s="2">
        <v>10</v>
      </c>
    </row>
    <row r="282" spans="1:15" x14ac:dyDescent="0.2">
      <c r="A282" s="14" t="s">
        <v>0</v>
      </c>
      <c r="B282" s="15" t="str">
        <f>G282&amp;"p"</f>
        <v>bhp</v>
      </c>
      <c r="C282" s="14" t="s">
        <v>274</v>
      </c>
      <c r="D282" s="16" t="s">
        <v>326</v>
      </c>
      <c r="E282" s="14" t="s">
        <v>356</v>
      </c>
      <c r="F282" s="2">
        <v>34</v>
      </c>
      <c r="G282" s="4" t="s">
        <v>67</v>
      </c>
      <c r="H282">
        <v>2017</v>
      </c>
      <c r="I282" t="s">
        <v>358</v>
      </c>
      <c r="J282" s="5" t="s">
        <v>325</v>
      </c>
      <c r="K282" s="7" t="s">
        <v>276</v>
      </c>
      <c r="L282" s="2" t="s">
        <v>398</v>
      </c>
      <c r="M282" s="2" t="s">
        <v>8</v>
      </c>
      <c r="N282" s="2">
        <v>0</v>
      </c>
      <c r="O282" s="2">
        <v>10</v>
      </c>
    </row>
    <row r="283" spans="1:15" x14ac:dyDescent="0.2">
      <c r="A283" s="14" t="s">
        <v>0</v>
      </c>
      <c r="B283" s="15" t="str">
        <f>G283&amp;"p"</f>
        <v>bip</v>
      </c>
      <c r="C283" s="14" t="s">
        <v>274</v>
      </c>
      <c r="D283" s="16" t="s">
        <v>326</v>
      </c>
      <c r="E283" s="14" t="s">
        <v>356</v>
      </c>
      <c r="F283" s="2">
        <v>35</v>
      </c>
      <c r="G283" s="4" t="s">
        <v>312</v>
      </c>
      <c r="H283">
        <v>2018</v>
      </c>
      <c r="I283" t="s">
        <v>359</v>
      </c>
      <c r="J283" s="5" t="s">
        <v>325</v>
      </c>
      <c r="K283" s="7" t="s">
        <v>276</v>
      </c>
      <c r="L283" s="2" t="s">
        <v>398</v>
      </c>
      <c r="M283" s="2" t="s">
        <v>8</v>
      </c>
      <c r="N283" s="2">
        <v>0</v>
      </c>
      <c r="O283" s="2">
        <v>10</v>
      </c>
    </row>
    <row r="284" spans="1:15" x14ac:dyDescent="0.2">
      <c r="A284" s="3" t="s">
        <v>0</v>
      </c>
      <c r="B284" s="3" t="s">
        <v>124</v>
      </c>
      <c r="C284" s="3" t="s">
        <v>274</v>
      </c>
      <c r="D284" s="3" t="s">
        <v>362</v>
      </c>
      <c r="E284" s="3" t="s">
        <v>394</v>
      </c>
      <c r="F284" s="2">
        <v>1</v>
      </c>
      <c r="G284" s="4" t="s">
        <v>40</v>
      </c>
      <c r="H284" s="2">
        <v>1984</v>
      </c>
      <c r="I284" t="s">
        <v>360</v>
      </c>
      <c r="J284" s="5" t="s">
        <v>361</v>
      </c>
      <c r="K284" s="7" t="s">
        <v>276</v>
      </c>
      <c r="L284" s="2" t="s">
        <v>398</v>
      </c>
      <c r="M284" s="2" t="s">
        <v>8</v>
      </c>
      <c r="N284" s="2">
        <v>0</v>
      </c>
      <c r="O284" s="2">
        <v>10</v>
      </c>
    </row>
    <row r="285" spans="1:15" x14ac:dyDescent="0.2">
      <c r="A285" s="3" t="s">
        <v>0</v>
      </c>
      <c r="B285" s="3" t="s">
        <v>129</v>
      </c>
      <c r="C285" s="3" t="s">
        <v>274</v>
      </c>
      <c r="D285" s="3" t="s">
        <v>362</v>
      </c>
      <c r="E285" s="3" t="s">
        <v>394</v>
      </c>
      <c r="F285" s="2">
        <v>2</v>
      </c>
      <c r="G285" s="4" t="s">
        <v>37</v>
      </c>
      <c r="H285" s="2">
        <v>1985</v>
      </c>
      <c r="I285" t="s">
        <v>363</v>
      </c>
      <c r="J285" s="5" t="s">
        <v>361</v>
      </c>
      <c r="K285" s="7" t="s">
        <v>276</v>
      </c>
      <c r="L285" s="2" t="s">
        <v>398</v>
      </c>
      <c r="M285" s="2" t="s">
        <v>8</v>
      </c>
      <c r="N285" s="2">
        <v>0</v>
      </c>
      <c r="O285" s="2">
        <v>10</v>
      </c>
    </row>
    <row r="286" spans="1:15" x14ac:dyDescent="0.2">
      <c r="A286" s="3" t="s">
        <v>0</v>
      </c>
      <c r="B286" s="3" t="s">
        <v>131</v>
      </c>
      <c r="C286" s="3" t="s">
        <v>274</v>
      </c>
      <c r="D286" s="3" t="s">
        <v>362</v>
      </c>
      <c r="E286" s="3" t="s">
        <v>394</v>
      </c>
      <c r="F286" s="2">
        <v>3</v>
      </c>
      <c r="G286" s="4" t="s">
        <v>80</v>
      </c>
      <c r="H286" s="2">
        <v>1986</v>
      </c>
      <c r="I286" t="s">
        <v>364</v>
      </c>
      <c r="J286" s="5" t="s">
        <v>361</v>
      </c>
      <c r="K286" s="7" t="s">
        <v>276</v>
      </c>
      <c r="L286" s="2" t="s">
        <v>398</v>
      </c>
      <c r="M286" s="2" t="s">
        <v>8</v>
      </c>
      <c r="N286" s="2">
        <v>0</v>
      </c>
      <c r="O286" s="2">
        <v>10</v>
      </c>
    </row>
    <row r="287" spans="1:15" x14ac:dyDescent="0.2">
      <c r="A287" s="3" t="s">
        <v>0</v>
      </c>
      <c r="B287" s="3" t="s">
        <v>133</v>
      </c>
      <c r="C287" s="3" t="s">
        <v>274</v>
      </c>
      <c r="D287" s="3" t="s">
        <v>362</v>
      </c>
      <c r="E287" s="3" t="s">
        <v>394</v>
      </c>
      <c r="F287" s="2">
        <v>4</v>
      </c>
      <c r="G287" s="4" t="s">
        <v>31</v>
      </c>
      <c r="H287" s="2">
        <v>1987</v>
      </c>
      <c r="I287" t="s">
        <v>365</v>
      </c>
      <c r="J287" s="5" t="s">
        <v>361</v>
      </c>
      <c r="K287" s="7" t="s">
        <v>276</v>
      </c>
      <c r="L287" s="2" t="s">
        <v>398</v>
      </c>
      <c r="M287" s="2" t="s">
        <v>8</v>
      </c>
      <c r="N287" s="2">
        <v>0</v>
      </c>
      <c r="O287" s="2">
        <v>10</v>
      </c>
    </row>
    <row r="288" spans="1:15" x14ac:dyDescent="0.2">
      <c r="A288" s="3" t="s">
        <v>0</v>
      </c>
      <c r="B288" s="3" t="s">
        <v>135</v>
      </c>
      <c r="C288" s="3" t="s">
        <v>274</v>
      </c>
      <c r="D288" s="3" t="s">
        <v>362</v>
      </c>
      <c r="E288" s="3" t="s">
        <v>394</v>
      </c>
      <c r="F288" s="2">
        <v>5</v>
      </c>
      <c r="G288" s="4" t="s">
        <v>13</v>
      </c>
      <c r="H288" s="2">
        <v>1988</v>
      </c>
      <c r="I288" t="s">
        <v>366</v>
      </c>
      <c r="J288" s="5" t="s">
        <v>361</v>
      </c>
      <c r="K288" s="7" t="s">
        <v>276</v>
      </c>
      <c r="L288" s="2" t="s">
        <v>398</v>
      </c>
      <c r="M288" s="2" t="s">
        <v>8</v>
      </c>
      <c r="N288" s="2">
        <v>0</v>
      </c>
      <c r="O288" s="2">
        <v>10</v>
      </c>
    </row>
    <row r="289" spans="1:15" x14ac:dyDescent="0.2">
      <c r="A289" s="3" t="s">
        <v>0</v>
      </c>
      <c r="B289" s="3" t="s">
        <v>137</v>
      </c>
      <c r="C289" s="3" t="s">
        <v>274</v>
      </c>
      <c r="D289" s="3" t="s">
        <v>362</v>
      </c>
      <c r="E289" s="3" t="s">
        <v>394</v>
      </c>
      <c r="F289" s="2">
        <v>6</v>
      </c>
      <c r="G289" s="4" t="s">
        <v>49</v>
      </c>
      <c r="H289" s="2">
        <v>1989</v>
      </c>
      <c r="I289" t="s">
        <v>367</v>
      </c>
      <c r="J289" s="5" t="s">
        <v>361</v>
      </c>
      <c r="K289" s="7" t="s">
        <v>276</v>
      </c>
      <c r="L289" s="2" t="s">
        <v>398</v>
      </c>
      <c r="M289" s="2" t="s">
        <v>8</v>
      </c>
      <c r="N289" s="2">
        <v>0</v>
      </c>
      <c r="O289" s="2">
        <v>10</v>
      </c>
    </row>
    <row r="290" spans="1:15" x14ac:dyDescent="0.2">
      <c r="A290" s="3" t="s">
        <v>0</v>
      </c>
      <c r="B290" s="3" t="s">
        <v>139</v>
      </c>
      <c r="C290" s="3" t="s">
        <v>274</v>
      </c>
      <c r="D290" s="3" t="s">
        <v>362</v>
      </c>
      <c r="E290" s="3" t="s">
        <v>394</v>
      </c>
      <c r="F290" s="2">
        <v>7</v>
      </c>
      <c r="G290" s="4" t="s">
        <v>101</v>
      </c>
      <c r="H290" s="2">
        <v>1990</v>
      </c>
      <c r="I290" t="s">
        <v>368</v>
      </c>
      <c r="J290" s="5" t="s">
        <v>361</v>
      </c>
      <c r="K290" s="7" t="s">
        <v>276</v>
      </c>
      <c r="L290" s="2" t="s">
        <v>398</v>
      </c>
      <c r="M290" s="2" t="s">
        <v>8</v>
      </c>
      <c r="N290" s="2">
        <v>0</v>
      </c>
      <c r="O290" s="2">
        <v>10</v>
      </c>
    </row>
    <row r="291" spans="1:15" x14ac:dyDescent="0.2">
      <c r="A291" s="3" t="s">
        <v>0</v>
      </c>
      <c r="B291" s="3" t="s">
        <v>145</v>
      </c>
      <c r="C291" s="3" t="s">
        <v>274</v>
      </c>
      <c r="D291" s="3" t="s">
        <v>362</v>
      </c>
      <c r="E291" s="3" t="s">
        <v>394</v>
      </c>
      <c r="F291" s="2">
        <v>8</v>
      </c>
      <c r="G291" s="4" t="s">
        <v>10</v>
      </c>
      <c r="H291" s="2">
        <v>1991</v>
      </c>
      <c r="I291" t="s">
        <v>369</v>
      </c>
      <c r="J291" s="5" t="s">
        <v>361</v>
      </c>
      <c r="K291" s="7" t="s">
        <v>276</v>
      </c>
      <c r="L291" s="2" t="s">
        <v>398</v>
      </c>
      <c r="M291" s="2" t="s">
        <v>8</v>
      </c>
      <c r="N291" s="2">
        <v>0</v>
      </c>
      <c r="O291" s="2">
        <v>10</v>
      </c>
    </row>
    <row r="292" spans="1:15" x14ac:dyDescent="0.2">
      <c r="A292" s="3" t="s">
        <v>0</v>
      </c>
      <c r="B292" s="3" t="s">
        <v>147</v>
      </c>
      <c r="C292" s="3" t="s">
        <v>274</v>
      </c>
      <c r="D292" s="3" t="s">
        <v>362</v>
      </c>
      <c r="E292" s="3" t="s">
        <v>394</v>
      </c>
      <c r="F292" s="2">
        <v>9</v>
      </c>
      <c r="G292" s="4" t="s">
        <v>55</v>
      </c>
      <c r="H292" s="2">
        <v>1992</v>
      </c>
      <c r="I292" t="s">
        <v>370</v>
      </c>
      <c r="J292" s="5" t="s">
        <v>361</v>
      </c>
      <c r="K292" s="7" t="s">
        <v>276</v>
      </c>
      <c r="L292" s="2" t="s">
        <v>398</v>
      </c>
      <c r="M292" s="2" t="s">
        <v>8</v>
      </c>
      <c r="N292" s="2">
        <v>0</v>
      </c>
      <c r="O292" s="2">
        <v>10</v>
      </c>
    </row>
    <row r="293" spans="1:15" x14ac:dyDescent="0.2">
      <c r="A293" s="3" t="s">
        <v>0</v>
      </c>
      <c r="B293" s="3" t="s">
        <v>149</v>
      </c>
      <c r="C293" s="3" t="s">
        <v>274</v>
      </c>
      <c r="D293" s="3" t="s">
        <v>362</v>
      </c>
      <c r="E293" s="3" t="s">
        <v>394</v>
      </c>
      <c r="F293" s="2">
        <v>10</v>
      </c>
      <c r="G293" s="4" t="s">
        <v>98</v>
      </c>
      <c r="H293" s="2">
        <v>1993</v>
      </c>
      <c r="I293" t="s">
        <v>371</v>
      </c>
      <c r="J293" s="5" t="s">
        <v>361</v>
      </c>
      <c r="K293" s="7" t="s">
        <v>276</v>
      </c>
      <c r="L293" s="2" t="s">
        <v>398</v>
      </c>
      <c r="M293" s="2" t="s">
        <v>8</v>
      </c>
      <c r="N293" s="2">
        <v>0</v>
      </c>
      <c r="O293" s="2">
        <v>10</v>
      </c>
    </row>
    <row r="294" spans="1:15" x14ac:dyDescent="0.2">
      <c r="A294" s="3" t="s">
        <v>0</v>
      </c>
      <c r="B294" s="3" t="s">
        <v>151</v>
      </c>
      <c r="C294" s="3" t="s">
        <v>274</v>
      </c>
      <c r="D294" s="3" t="s">
        <v>362</v>
      </c>
      <c r="E294" s="3" t="s">
        <v>394</v>
      </c>
      <c r="F294" s="2">
        <v>11</v>
      </c>
      <c r="G294" s="4" t="s">
        <v>104</v>
      </c>
      <c r="H294" s="2">
        <v>1994</v>
      </c>
      <c r="I294" t="s">
        <v>372</v>
      </c>
      <c r="J294" s="5" t="s">
        <v>361</v>
      </c>
      <c r="K294" s="7" t="s">
        <v>276</v>
      </c>
      <c r="L294" s="2" t="s">
        <v>398</v>
      </c>
      <c r="M294" s="2" t="s">
        <v>8</v>
      </c>
      <c r="N294" s="2">
        <v>0</v>
      </c>
      <c r="O294" s="2">
        <v>10</v>
      </c>
    </row>
    <row r="295" spans="1:15" x14ac:dyDescent="0.2">
      <c r="A295" s="3" t="s">
        <v>0</v>
      </c>
      <c r="B295" s="3" t="s">
        <v>153</v>
      </c>
      <c r="C295" s="3" t="s">
        <v>274</v>
      </c>
      <c r="D295" s="3" t="s">
        <v>362</v>
      </c>
      <c r="E295" s="3" t="s">
        <v>394</v>
      </c>
      <c r="F295" s="2">
        <v>12</v>
      </c>
      <c r="G295" s="4" t="s">
        <v>89</v>
      </c>
      <c r="H295" s="2">
        <v>1995</v>
      </c>
      <c r="I295" t="s">
        <v>373</v>
      </c>
      <c r="J295" s="5" t="s">
        <v>361</v>
      </c>
      <c r="K295" s="7" t="s">
        <v>276</v>
      </c>
      <c r="L295" s="2" t="s">
        <v>398</v>
      </c>
      <c r="M295" s="2" t="s">
        <v>8</v>
      </c>
      <c r="N295" s="2">
        <v>0</v>
      </c>
      <c r="O295" s="2">
        <v>10</v>
      </c>
    </row>
    <row r="296" spans="1:15" x14ac:dyDescent="0.2">
      <c r="A296" s="3" t="s">
        <v>0</v>
      </c>
      <c r="B296" s="3" t="s">
        <v>155</v>
      </c>
      <c r="C296" s="3" t="s">
        <v>274</v>
      </c>
      <c r="D296" s="3" t="s">
        <v>362</v>
      </c>
      <c r="E296" s="3" t="s">
        <v>394</v>
      </c>
      <c r="F296" s="2">
        <v>13</v>
      </c>
      <c r="G296" s="4" t="s">
        <v>107</v>
      </c>
      <c r="H296" s="2">
        <v>1996</v>
      </c>
      <c r="I296" t="s">
        <v>374</v>
      </c>
      <c r="J296" s="5" t="s">
        <v>361</v>
      </c>
      <c r="K296" s="7" t="s">
        <v>276</v>
      </c>
      <c r="L296" s="2" t="s">
        <v>398</v>
      </c>
      <c r="M296" s="2" t="s">
        <v>8</v>
      </c>
      <c r="N296" s="2">
        <v>0</v>
      </c>
      <c r="O296" s="2">
        <v>10</v>
      </c>
    </row>
    <row r="297" spans="1:15" x14ac:dyDescent="0.2">
      <c r="A297" s="3" t="s">
        <v>0</v>
      </c>
      <c r="B297" s="3" t="s">
        <v>157</v>
      </c>
      <c r="C297" s="3" t="s">
        <v>274</v>
      </c>
      <c r="D297" s="3" t="s">
        <v>362</v>
      </c>
      <c r="E297" s="3" t="s">
        <v>394</v>
      </c>
      <c r="F297" s="2">
        <v>14</v>
      </c>
      <c r="G297" s="4" t="s">
        <v>43</v>
      </c>
      <c r="H297" s="2">
        <v>1997</v>
      </c>
      <c r="I297" t="s">
        <v>375</v>
      </c>
      <c r="J297" s="5" t="s">
        <v>361</v>
      </c>
      <c r="K297" s="7" t="s">
        <v>276</v>
      </c>
      <c r="L297" s="2" t="s">
        <v>398</v>
      </c>
      <c r="M297" s="2" t="s">
        <v>8</v>
      </c>
      <c r="N297" s="2">
        <v>0</v>
      </c>
      <c r="O297" s="2">
        <v>10</v>
      </c>
    </row>
    <row r="298" spans="1:15" x14ac:dyDescent="0.2">
      <c r="A298" s="3" t="s">
        <v>0</v>
      </c>
      <c r="B298" s="3" t="s">
        <v>159</v>
      </c>
      <c r="C298" s="3" t="s">
        <v>274</v>
      </c>
      <c r="D298" s="3" t="s">
        <v>362</v>
      </c>
      <c r="E298" s="3" t="s">
        <v>394</v>
      </c>
      <c r="F298" s="2">
        <v>15</v>
      </c>
      <c r="G298" s="4" t="s">
        <v>19</v>
      </c>
      <c r="H298" s="2">
        <v>1998</v>
      </c>
      <c r="I298" t="s">
        <v>376</v>
      </c>
      <c r="J298" s="5" t="s">
        <v>361</v>
      </c>
      <c r="K298" s="7" t="s">
        <v>276</v>
      </c>
      <c r="L298" s="2" t="s">
        <v>398</v>
      </c>
      <c r="M298" s="2" t="s">
        <v>8</v>
      </c>
      <c r="N298" s="2">
        <v>0</v>
      </c>
      <c r="O298" s="2">
        <v>10</v>
      </c>
    </row>
    <row r="299" spans="1:15" x14ac:dyDescent="0.2">
      <c r="A299" s="3" t="s">
        <v>0</v>
      </c>
      <c r="B299" s="3" t="s">
        <v>161</v>
      </c>
      <c r="C299" s="3" t="s">
        <v>274</v>
      </c>
      <c r="D299" s="3" t="s">
        <v>362</v>
      </c>
      <c r="E299" s="3" t="s">
        <v>394</v>
      </c>
      <c r="F299" s="2">
        <v>16</v>
      </c>
      <c r="G299" s="4" t="s">
        <v>25</v>
      </c>
      <c r="H299" s="2">
        <v>1999</v>
      </c>
      <c r="I299" t="s">
        <v>377</v>
      </c>
      <c r="J299" s="5" t="s">
        <v>361</v>
      </c>
      <c r="K299" s="7" t="s">
        <v>276</v>
      </c>
      <c r="L299" s="2" t="s">
        <v>398</v>
      </c>
      <c r="M299" s="2" t="s">
        <v>8</v>
      </c>
      <c r="N299" s="2">
        <v>0</v>
      </c>
      <c r="O299" s="2">
        <v>10</v>
      </c>
    </row>
    <row r="300" spans="1:15" x14ac:dyDescent="0.2">
      <c r="A300" s="3" t="s">
        <v>0</v>
      </c>
      <c r="B300" s="3" t="s">
        <v>163</v>
      </c>
      <c r="C300" s="3" t="s">
        <v>274</v>
      </c>
      <c r="D300" s="3" t="s">
        <v>362</v>
      </c>
      <c r="E300" s="3" t="s">
        <v>394</v>
      </c>
      <c r="F300" s="2">
        <v>17</v>
      </c>
      <c r="G300" s="4" t="s">
        <v>73</v>
      </c>
      <c r="H300" s="2">
        <v>2000</v>
      </c>
      <c r="I300" t="s">
        <v>378</v>
      </c>
      <c r="J300" s="5" t="s">
        <v>361</v>
      </c>
      <c r="K300" s="7" t="s">
        <v>276</v>
      </c>
      <c r="L300" s="2" t="s">
        <v>398</v>
      </c>
      <c r="M300" s="2" t="s">
        <v>8</v>
      </c>
      <c r="N300" s="2">
        <v>0</v>
      </c>
      <c r="O300" s="2">
        <v>10</v>
      </c>
    </row>
    <row r="301" spans="1:15" x14ac:dyDescent="0.2">
      <c r="A301" s="3" t="s">
        <v>0</v>
      </c>
      <c r="B301" s="3" t="s">
        <v>165</v>
      </c>
      <c r="C301" s="3" t="s">
        <v>274</v>
      </c>
      <c r="D301" s="3" t="s">
        <v>362</v>
      </c>
      <c r="E301" s="3" t="s">
        <v>394</v>
      </c>
      <c r="F301" s="2">
        <v>18</v>
      </c>
      <c r="G301" s="4" t="s">
        <v>58</v>
      </c>
      <c r="H301" s="2">
        <v>2001</v>
      </c>
      <c r="I301" t="s">
        <v>379</v>
      </c>
      <c r="J301" s="5" t="s">
        <v>361</v>
      </c>
      <c r="K301" s="7" t="s">
        <v>276</v>
      </c>
      <c r="L301" s="2" t="s">
        <v>398</v>
      </c>
      <c r="M301" s="2" t="s">
        <v>8</v>
      </c>
      <c r="N301" s="2">
        <v>0</v>
      </c>
      <c r="O301" s="2">
        <v>10</v>
      </c>
    </row>
    <row r="302" spans="1:15" x14ac:dyDescent="0.2">
      <c r="A302" s="3" t="s">
        <v>0</v>
      </c>
      <c r="B302" s="3" t="s">
        <v>167</v>
      </c>
      <c r="C302" s="3" t="s">
        <v>274</v>
      </c>
      <c r="D302" s="3" t="s">
        <v>362</v>
      </c>
      <c r="E302" s="3" t="s">
        <v>394</v>
      </c>
      <c r="F302" s="2">
        <v>19</v>
      </c>
      <c r="G302" s="4" t="s">
        <v>4</v>
      </c>
      <c r="H302" s="2">
        <v>2002</v>
      </c>
      <c r="I302" t="s">
        <v>380</v>
      </c>
      <c r="J302" s="5" t="s">
        <v>361</v>
      </c>
      <c r="K302" s="7" t="s">
        <v>276</v>
      </c>
      <c r="L302" s="2" t="s">
        <v>398</v>
      </c>
      <c r="M302" s="2" t="s">
        <v>8</v>
      </c>
      <c r="N302" s="2">
        <v>0</v>
      </c>
      <c r="O302" s="2">
        <v>10</v>
      </c>
    </row>
    <row r="303" spans="1:15" x14ac:dyDescent="0.2">
      <c r="A303" s="3" t="s">
        <v>0</v>
      </c>
      <c r="B303" s="3" t="s">
        <v>169</v>
      </c>
      <c r="C303" s="3" t="s">
        <v>274</v>
      </c>
      <c r="D303" s="3" t="s">
        <v>362</v>
      </c>
      <c r="E303" s="3" t="s">
        <v>394</v>
      </c>
      <c r="F303" s="2">
        <v>20</v>
      </c>
      <c r="G303" s="4" t="s">
        <v>83</v>
      </c>
      <c r="H303" s="2">
        <v>2003</v>
      </c>
      <c r="I303" t="s">
        <v>381</v>
      </c>
      <c r="J303" s="5" t="s">
        <v>361</v>
      </c>
      <c r="K303" s="7" t="s">
        <v>276</v>
      </c>
      <c r="L303" s="2" t="s">
        <v>398</v>
      </c>
      <c r="M303" s="2" t="s">
        <v>8</v>
      </c>
      <c r="N303" s="2">
        <v>0</v>
      </c>
      <c r="O303" s="2">
        <v>10</v>
      </c>
    </row>
    <row r="304" spans="1:15" x14ac:dyDescent="0.2">
      <c r="A304" s="3" t="s">
        <v>0</v>
      </c>
      <c r="B304" s="3" t="s">
        <v>171</v>
      </c>
      <c r="C304" s="3" t="s">
        <v>274</v>
      </c>
      <c r="D304" s="3" t="s">
        <v>362</v>
      </c>
      <c r="E304" s="3" t="s">
        <v>394</v>
      </c>
      <c r="F304" s="2">
        <v>21</v>
      </c>
      <c r="G304" s="4" t="s">
        <v>64</v>
      </c>
      <c r="H304" s="2">
        <v>2004</v>
      </c>
      <c r="I304" t="s">
        <v>382</v>
      </c>
      <c r="J304" s="5" t="s">
        <v>361</v>
      </c>
      <c r="K304" s="7" t="s">
        <v>276</v>
      </c>
      <c r="L304" s="2" t="s">
        <v>398</v>
      </c>
      <c r="M304" s="2" t="s">
        <v>8</v>
      </c>
      <c r="N304" s="2">
        <v>0</v>
      </c>
      <c r="O304" s="2">
        <v>10</v>
      </c>
    </row>
    <row r="305" spans="1:36" x14ac:dyDescent="0.2">
      <c r="A305" s="3" t="s">
        <v>0</v>
      </c>
      <c r="B305" s="3" t="s">
        <v>173</v>
      </c>
      <c r="C305" s="3" t="s">
        <v>274</v>
      </c>
      <c r="D305" s="3" t="s">
        <v>362</v>
      </c>
      <c r="E305" s="3" t="s">
        <v>394</v>
      </c>
      <c r="F305" s="2">
        <v>22</v>
      </c>
      <c r="G305" s="4" t="s">
        <v>92</v>
      </c>
      <c r="H305" s="2">
        <v>2005</v>
      </c>
      <c r="I305" t="s">
        <v>383</v>
      </c>
      <c r="J305" s="5" t="s">
        <v>361</v>
      </c>
      <c r="K305" s="7" t="s">
        <v>276</v>
      </c>
      <c r="L305" s="2" t="s">
        <v>398</v>
      </c>
      <c r="M305" s="2" t="s">
        <v>8</v>
      </c>
      <c r="N305" s="2">
        <v>0</v>
      </c>
      <c r="O305" s="2">
        <v>10</v>
      </c>
    </row>
    <row r="306" spans="1:36" x14ac:dyDescent="0.2">
      <c r="A306" s="3" t="s">
        <v>0</v>
      </c>
      <c r="B306" s="3" t="s">
        <v>175</v>
      </c>
      <c r="C306" s="3" t="s">
        <v>274</v>
      </c>
      <c r="D306" s="3" t="s">
        <v>362</v>
      </c>
      <c r="E306" s="3" t="s">
        <v>394</v>
      </c>
      <c r="F306" s="2">
        <v>23</v>
      </c>
      <c r="G306" s="4" t="s">
        <v>52</v>
      </c>
      <c r="H306" s="2">
        <v>2006</v>
      </c>
      <c r="I306" t="s">
        <v>384</v>
      </c>
      <c r="J306" s="5" t="s">
        <v>361</v>
      </c>
      <c r="K306" s="7" t="s">
        <v>276</v>
      </c>
      <c r="L306" s="2" t="s">
        <v>398</v>
      </c>
      <c r="M306" s="2" t="s">
        <v>8</v>
      </c>
      <c r="N306" s="2">
        <v>0</v>
      </c>
      <c r="O306" s="2">
        <v>10</v>
      </c>
    </row>
    <row r="307" spans="1:36" x14ac:dyDescent="0.2">
      <c r="A307" s="3" t="s">
        <v>0</v>
      </c>
      <c r="B307" s="3" t="s">
        <v>177</v>
      </c>
      <c r="C307" s="3" t="s">
        <v>274</v>
      </c>
      <c r="D307" s="3" t="s">
        <v>362</v>
      </c>
      <c r="E307" s="3" t="s">
        <v>394</v>
      </c>
      <c r="F307" s="2">
        <v>24</v>
      </c>
      <c r="G307" s="4" t="s">
        <v>95</v>
      </c>
      <c r="H307" s="2">
        <v>2007</v>
      </c>
      <c r="I307" t="s">
        <v>385</v>
      </c>
      <c r="J307" s="5" t="s">
        <v>361</v>
      </c>
      <c r="K307" s="7" t="s">
        <v>276</v>
      </c>
      <c r="L307" s="2" t="s">
        <v>398</v>
      </c>
      <c r="M307" s="2" t="s">
        <v>8</v>
      </c>
      <c r="N307" s="2">
        <v>0</v>
      </c>
      <c r="O307" s="2">
        <v>10</v>
      </c>
    </row>
    <row r="308" spans="1:36" x14ac:dyDescent="0.2">
      <c r="A308" s="3" t="s">
        <v>0</v>
      </c>
      <c r="B308" s="3" t="s">
        <v>179</v>
      </c>
      <c r="C308" s="3" t="s">
        <v>274</v>
      </c>
      <c r="D308" s="3" t="s">
        <v>362</v>
      </c>
      <c r="E308" s="3" t="s">
        <v>394</v>
      </c>
      <c r="F308" s="2">
        <v>25</v>
      </c>
      <c r="G308" s="4" t="s">
        <v>70</v>
      </c>
      <c r="H308" s="2">
        <v>2008</v>
      </c>
      <c r="I308" t="s">
        <v>386</v>
      </c>
      <c r="J308" s="5" t="s">
        <v>361</v>
      </c>
      <c r="K308" s="7" t="s">
        <v>276</v>
      </c>
      <c r="L308" s="2" t="s">
        <v>398</v>
      </c>
      <c r="M308" s="2" t="s">
        <v>8</v>
      </c>
      <c r="N308" s="2">
        <v>0</v>
      </c>
      <c r="O308" s="2">
        <v>10</v>
      </c>
    </row>
    <row r="309" spans="1:36" x14ac:dyDescent="0.2">
      <c r="A309" s="3" t="s">
        <v>0</v>
      </c>
      <c r="B309" s="3" t="s">
        <v>181</v>
      </c>
      <c r="C309" s="3" t="s">
        <v>274</v>
      </c>
      <c r="D309" s="3" t="s">
        <v>362</v>
      </c>
      <c r="E309" s="3" t="s">
        <v>394</v>
      </c>
      <c r="F309" s="2">
        <v>26</v>
      </c>
      <c r="G309" s="4" t="s">
        <v>16</v>
      </c>
      <c r="H309" s="2">
        <v>2009</v>
      </c>
      <c r="I309" t="s">
        <v>387</v>
      </c>
      <c r="J309" s="5" t="s">
        <v>361</v>
      </c>
      <c r="K309" s="7" t="s">
        <v>276</v>
      </c>
      <c r="L309" s="2" t="s">
        <v>398</v>
      </c>
      <c r="M309" s="2" t="s">
        <v>8</v>
      </c>
      <c r="N309" s="2">
        <v>0</v>
      </c>
      <c r="O309" s="2">
        <v>10</v>
      </c>
    </row>
    <row r="310" spans="1:36" x14ac:dyDescent="0.2">
      <c r="A310" s="3" t="s">
        <v>0</v>
      </c>
      <c r="B310" s="3" t="s">
        <v>183</v>
      </c>
      <c r="C310" s="3" t="s">
        <v>274</v>
      </c>
      <c r="D310" s="3" t="s">
        <v>362</v>
      </c>
      <c r="E310" s="3" t="s">
        <v>394</v>
      </c>
      <c r="F310" s="2">
        <v>27</v>
      </c>
      <c r="G310" s="4" t="s">
        <v>34</v>
      </c>
      <c r="H310" s="2">
        <v>2010</v>
      </c>
      <c r="I310" t="s">
        <v>388</v>
      </c>
      <c r="J310" s="5" t="s">
        <v>361</v>
      </c>
      <c r="K310" s="7" t="s">
        <v>276</v>
      </c>
      <c r="L310" s="2" t="s">
        <v>398</v>
      </c>
      <c r="M310" s="2" t="s">
        <v>8</v>
      </c>
      <c r="N310" s="2">
        <v>0</v>
      </c>
      <c r="O310" s="2">
        <v>10</v>
      </c>
    </row>
    <row r="311" spans="1:36" x14ac:dyDescent="0.2">
      <c r="A311" s="3" t="s">
        <v>0</v>
      </c>
      <c r="B311" s="3" t="s">
        <v>185</v>
      </c>
      <c r="C311" s="3" t="s">
        <v>274</v>
      </c>
      <c r="D311" s="3" t="s">
        <v>362</v>
      </c>
      <c r="E311" s="3" t="s">
        <v>394</v>
      </c>
      <c r="F311" s="2">
        <v>28</v>
      </c>
      <c r="G311" s="4" t="s">
        <v>46</v>
      </c>
      <c r="H311" s="2">
        <v>2011</v>
      </c>
      <c r="I311" t="s">
        <v>389</v>
      </c>
      <c r="J311" s="5" t="s">
        <v>361</v>
      </c>
      <c r="K311" s="7" t="s">
        <v>276</v>
      </c>
      <c r="L311" s="2" t="s">
        <v>398</v>
      </c>
      <c r="M311" s="2" t="s">
        <v>8</v>
      </c>
      <c r="N311" s="2">
        <v>0</v>
      </c>
      <c r="O311" s="2">
        <v>10</v>
      </c>
    </row>
    <row r="312" spans="1:36" x14ac:dyDescent="0.2">
      <c r="A312" s="3" t="s">
        <v>0</v>
      </c>
      <c r="B312" s="3" t="s">
        <v>187</v>
      </c>
      <c r="C312" s="3" t="s">
        <v>274</v>
      </c>
      <c r="D312" s="3" t="s">
        <v>362</v>
      </c>
      <c r="E312" s="3" t="s">
        <v>394</v>
      </c>
      <c r="F312" s="2">
        <v>29</v>
      </c>
      <c r="G312" s="4" t="s">
        <v>61</v>
      </c>
      <c r="H312" s="2">
        <v>2012</v>
      </c>
      <c r="I312" t="s">
        <v>390</v>
      </c>
      <c r="J312" s="5" t="s">
        <v>361</v>
      </c>
      <c r="K312" s="7" t="s">
        <v>276</v>
      </c>
      <c r="L312" s="2" t="s">
        <v>398</v>
      </c>
      <c r="M312" s="2" t="s">
        <v>8</v>
      </c>
      <c r="N312" s="2">
        <v>0</v>
      </c>
      <c r="O312" s="2">
        <v>10</v>
      </c>
    </row>
    <row r="313" spans="1:36" x14ac:dyDescent="0.2">
      <c r="A313" s="3" t="s">
        <v>0</v>
      </c>
      <c r="B313" s="3" t="s">
        <v>189</v>
      </c>
      <c r="C313" s="3" t="s">
        <v>274</v>
      </c>
      <c r="D313" s="3" t="s">
        <v>362</v>
      </c>
      <c r="E313" s="3" t="s">
        <v>394</v>
      </c>
      <c r="F313" s="2">
        <v>30</v>
      </c>
      <c r="G313" s="4" t="s">
        <v>86</v>
      </c>
      <c r="H313" s="2">
        <v>2013</v>
      </c>
      <c r="I313" t="s">
        <v>391</v>
      </c>
      <c r="J313" s="5" t="s">
        <v>361</v>
      </c>
      <c r="K313" s="7" t="s">
        <v>276</v>
      </c>
      <c r="L313" s="2" t="s">
        <v>398</v>
      </c>
      <c r="M313" s="2" t="s">
        <v>8</v>
      </c>
      <c r="N313" s="2">
        <v>0</v>
      </c>
      <c r="O313" s="2">
        <v>10</v>
      </c>
    </row>
    <row r="314" spans="1:36" x14ac:dyDescent="0.2">
      <c r="A314" s="3" t="s">
        <v>0</v>
      </c>
      <c r="B314" s="3" t="str">
        <f>G314&amp;"p"</f>
        <v>bep</v>
      </c>
      <c r="C314" s="3" t="s">
        <v>274</v>
      </c>
      <c r="D314" s="3" t="s">
        <v>362</v>
      </c>
      <c r="E314" s="3" t="s">
        <v>394</v>
      </c>
      <c r="F314" s="2">
        <v>31</v>
      </c>
      <c r="G314" s="4" t="s">
        <v>22</v>
      </c>
      <c r="H314" s="2">
        <v>2014</v>
      </c>
      <c r="I314" t="s">
        <v>392</v>
      </c>
      <c r="J314" s="5" t="s">
        <v>361</v>
      </c>
      <c r="K314" s="7" t="s">
        <v>276</v>
      </c>
      <c r="L314" s="2" t="s">
        <v>398</v>
      </c>
      <c r="M314" s="2" t="s">
        <v>8</v>
      </c>
      <c r="N314" s="2">
        <v>0</v>
      </c>
      <c r="O314" s="2">
        <v>10</v>
      </c>
    </row>
    <row r="315" spans="1:36" x14ac:dyDescent="0.2">
      <c r="A315" s="3" t="s">
        <v>0</v>
      </c>
      <c r="B315" s="3" t="str">
        <f>G315&amp;"p"</f>
        <v>bfp</v>
      </c>
      <c r="C315" s="3" t="s">
        <v>274</v>
      </c>
      <c r="D315" s="3" t="s">
        <v>362</v>
      </c>
      <c r="E315" s="3" t="s">
        <v>394</v>
      </c>
      <c r="F315" s="2">
        <v>32</v>
      </c>
      <c r="G315" s="4" t="s">
        <v>28</v>
      </c>
      <c r="H315" s="2">
        <v>2015</v>
      </c>
      <c r="I315" t="s">
        <v>393</v>
      </c>
      <c r="J315" s="5" t="s">
        <v>361</v>
      </c>
      <c r="K315" s="7" t="s">
        <v>276</v>
      </c>
      <c r="L315" s="2" t="s">
        <v>398</v>
      </c>
      <c r="M315" s="2" t="s">
        <v>8</v>
      </c>
      <c r="N315" s="2">
        <v>0</v>
      </c>
      <c r="O315" s="2">
        <v>10</v>
      </c>
    </row>
    <row r="316" spans="1:36" x14ac:dyDescent="0.2">
      <c r="A316" s="3" t="s">
        <v>0</v>
      </c>
      <c r="B316" s="3" t="str">
        <f>G316&amp;"p"</f>
        <v>bgp</v>
      </c>
      <c r="C316" s="3" t="s">
        <v>274</v>
      </c>
      <c r="D316" s="3" t="s">
        <v>362</v>
      </c>
      <c r="E316" s="3" t="s">
        <v>394</v>
      </c>
      <c r="F316" s="2">
        <v>33</v>
      </c>
      <c r="G316" s="4" t="s">
        <v>76</v>
      </c>
      <c r="H316">
        <v>2016</v>
      </c>
      <c r="I316" t="s">
        <v>395</v>
      </c>
      <c r="J316" s="5" t="s">
        <v>361</v>
      </c>
      <c r="K316" s="7" t="s">
        <v>276</v>
      </c>
      <c r="L316" s="2" t="s">
        <v>398</v>
      </c>
      <c r="M316" s="2" t="s">
        <v>8</v>
      </c>
      <c r="N316" s="2">
        <v>0</v>
      </c>
      <c r="O316" s="2">
        <v>10</v>
      </c>
    </row>
    <row r="317" spans="1:36" x14ac:dyDescent="0.2">
      <c r="A317" s="3" t="s">
        <v>0</v>
      </c>
      <c r="B317" s="3" t="str">
        <f>G317&amp;"p"</f>
        <v>bhp</v>
      </c>
      <c r="C317" s="3" t="s">
        <v>274</v>
      </c>
      <c r="D317" s="3" t="s">
        <v>362</v>
      </c>
      <c r="E317" s="3" t="s">
        <v>394</v>
      </c>
      <c r="F317" s="2">
        <v>34</v>
      </c>
      <c r="G317" s="4" t="s">
        <v>67</v>
      </c>
      <c r="H317">
        <v>2017</v>
      </c>
      <c r="I317" t="s">
        <v>396</v>
      </c>
      <c r="J317" s="5" t="s">
        <v>361</v>
      </c>
      <c r="K317" s="7" t="s">
        <v>276</v>
      </c>
      <c r="L317" s="2" t="s">
        <v>398</v>
      </c>
      <c r="M317" s="2" t="s">
        <v>8</v>
      </c>
      <c r="N317" s="2">
        <v>0</v>
      </c>
      <c r="O317" s="2">
        <v>10</v>
      </c>
    </row>
    <row r="318" spans="1:36" x14ac:dyDescent="0.2">
      <c r="A318" s="3" t="s">
        <v>0</v>
      </c>
      <c r="B318" s="3" t="str">
        <f>G318&amp;"p"</f>
        <v>bip</v>
      </c>
      <c r="C318" s="3" t="s">
        <v>274</v>
      </c>
      <c r="D318" s="3" t="s">
        <v>362</v>
      </c>
      <c r="E318" s="3" t="s">
        <v>394</v>
      </c>
      <c r="F318" s="2">
        <v>35</v>
      </c>
      <c r="G318" s="4" t="s">
        <v>312</v>
      </c>
      <c r="H318">
        <v>2018</v>
      </c>
      <c r="I318" t="s">
        <v>397</v>
      </c>
      <c r="J318" s="5" t="s">
        <v>361</v>
      </c>
      <c r="K318" s="7" t="s">
        <v>276</v>
      </c>
      <c r="L318" s="2" t="s">
        <v>398</v>
      </c>
      <c r="M318" s="2" t="s">
        <v>8</v>
      </c>
      <c r="N318" s="2">
        <v>0</v>
      </c>
      <c r="O318" s="2">
        <v>10</v>
      </c>
    </row>
    <row r="319" spans="1:36" ht="17.25" customHeight="1" x14ac:dyDescent="0.2">
      <c r="A319" s="28" t="s">
        <v>0</v>
      </c>
      <c r="B319" s="28" t="s">
        <v>157</v>
      </c>
      <c r="C319" s="3" t="s">
        <v>4182</v>
      </c>
      <c r="D319" s="28" t="s">
        <v>1389</v>
      </c>
      <c r="E319" s="28" t="s">
        <v>1390</v>
      </c>
      <c r="F319" s="2">
        <v>16</v>
      </c>
      <c r="G319" s="4" t="s">
        <v>25</v>
      </c>
      <c r="H319" s="2">
        <v>1999</v>
      </c>
      <c r="I319" s="2" t="s">
        <v>1391</v>
      </c>
      <c r="J319" s="2" t="s">
        <v>1392</v>
      </c>
      <c r="K319" s="22" t="s">
        <v>1393</v>
      </c>
      <c r="L319" s="2"/>
      <c r="M319" s="2" t="s">
        <v>1126</v>
      </c>
      <c r="N319" s="2"/>
      <c r="O319" s="2"/>
      <c r="P319" s="2" t="s">
        <v>1127</v>
      </c>
      <c r="Q319" s="2" t="s">
        <v>1127</v>
      </c>
      <c r="R319" s="2"/>
      <c r="S319" s="2"/>
      <c r="T319" s="2"/>
      <c r="U319" s="2"/>
      <c r="V319" s="2"/>
      <c r="W319" s="2"/>
      <c r="X319" s="2"/>
      <c r="Y319" s="2"/>
      <c r="Z319" s="2"/>
      <c r="AA319" s="2"/>
      <c r="AB319" s="2"/>
      <c r="AC319" s="2"/>
      <c r="AD319" s="2"/>
      <c r="AE319" s="2"/>
      <c r="AF319" s="2"/>
      <c r="AG319" s="2"/>
      <c r="AH319" s="2"/>
      <c r="AI319" s="2"/>
      <c r="AJ319" s="2"/>
    </row>
    <row r="320" spans="1:36" ht="17.25" customHeight="1" x14ac:dyDescent="0.2">
      <c r="A320" s="28" t="s">
        <v>0</v>
      </c>
      <c r="B320" s="28" t="s">
        <v>159</v>
      </c>
      <c r="C320" s="3" t="s">
        <v>4182</v>
      </c>
      <c r="D320" s="28" t="s">
        <v>1389</v>
      </c>
      <c r="E320" s="28" t="s">
        <v>1390</v>
      </c>
      <c r="F320" s="2">
        <v>17</v>
      </c>
      <c r="G320" s="4" t="s">
        <v>73</v>
      </c>
      <c r="H320" s="2">
        <v>2000</v>
      </c>
      <c r="I320" s="2" t="s">
        <v>1394</v>
      </c>
      <c r="J320" s="2" t="s">
        <v>1392</v>
      </c>
      <c r="K320" s="22" t="s">
        <v>1393</v>
      </c>
      <c r="L320" s="2"/>
      <c r="M320" s="2" t="s">
        <v>1126</v>
      </c>
      <c r="N320" s="2"/>
      <c r="O320" s="2"/>
      <c r="P320" s="2" t="s">
        <v>1127</v>
      </c>
      <c r="Q320" s="2" t="s">
        <v>1127</v>
      </c>
      <c r="R320" s="2"/>
      <c r="S320" s="2"/>
      <c r="T320" s="2"/>
      <c r="U320" s="2"/>
      <c r="V320" s="2"/>
      <c r="W320" s="2"/>
      <c r="X320" s="2"/>
      <c r="Y320" s="2"/>
      <c r="Z320" s="2"/>
      <c r="AA320" s="2"/>
      <c r="AB320" s="2"/>
      <c r="AC320" s="2"/>
      <c r="AD320" s="2"/>
      <c r="AE320" s="2"/>
      <c r="AF320" s="2"/>
      <c r="AG320" s="2"/>
      <c r="AH320" s="2"/>
      <c r="AI320" s="2"/>
      <c r="AJ320" s="2"/>
    </row>
    <row r="321" spans="1:36" ht="17.25" customHeight="1" x14ac:dyDescent="0.2">
      <c r="A321" s="28" t="s">
        <v>0</v>
      </c>
      <c r="B321" s="28" t="s">
        <v>161</v>
      </c>
      <c r="C321" s="3" t="s">
        <v>4182</v>
      </c>
      <c r="D321" s="28" t="s">
        <v>1389</v>
      </c>
      <c r="E321" s="28" t="s">
        <v>1390</v>
      </c>
      <c r="F321" s="2">
        <v>18</v>
      </c>
      <c r="G321" s="4" t="s">
        <v>58</v>
      </c>
      <c r="H321" s="2">
        <v>2001</v>
      </c>
      <c r="I321" s="2" t="s">
        <v>1395</v>
      </c>
      <c r="J321" s="2" t="s">
        <v>1392</v>
      </c>
      <c r="K321" s="22" t="s">
        <v>1393</v>
      </c>
      <c r="L321" s="2"/>
      <c r="M321" s="2" t="s">
        <v>1126</v>
      </c>
      <c r="N321" s="2"/>
      <c r="O321" s="2"/>
      <c r="P321" s="2" t="s">
        <v>1127</v>
      </c>
      <c r="Q321" s="2" t="s">
        <v>1127</v>
      </c>
      <c r="R321" s="2"/>
      <c r="S321" s="2"/>
      <c r="T321" s="2"/>
      <c r="U321" s="2"/>
      <c r="V321" s="2"/>
      <c r="W321" s="2"/>
      <c r="X321" s="2"/>
      <c r="Y321" s="2"/>
      <c r="Z321" s="2"/>
      <c r="AA321" s="2"/>
      <c r="AB321" s="2"/>
      <c r="AC321" s="2"/>
      <c r="AD321" s="2"/>
      <c r="AE321" s="2"/>
      <c r="AF321" s="2"/>
      <c r="AG321" s="2"/>
      <c r="AH321" s="2"/>
      <c r="AI321" s="2"/>
      <c r="AJ321" s="2"/>
    </row>
    <row r="322" spans="1:36" ht="17.25" customHeight="1" x14ac:dyDescent="0.2">
      <c r="A322" s="28" t="s">
        <v>0</v>
      </c>
      <c r="B322" s="28" t="s">
        <v>163</v>
      </c>
      <c r="C322" s="3" t="s">
        <v>4182</v>
      </c>
      <c r="D322" s="28" t="s">
        <v>1389</v>
      </c>
      <c r="E322" s="28" t="s">
        <v>1390</v>
      </c>
      <c r="F322" s="2">
        <v>19</v>
      </c>
      <c r="G322" s="4" t="s">
        <v>4</v>
      </c>
      <c r="H322" s="2">
        <v>2002</v>
      </c>
      <c r="I322" s="2" t="s">
        <v>1396</v>
      </c>
      <c r="J322" s="2" t="s">
        <v>1392</v>
      </c>
      <c r="K322" s="22" t="s">
        <v>1393</v>
      </c>
      <c r="L322" s="2"/>
      <c r="M322" s="2" t="s">
        <v>1126</v>
      </c>
      <c r="N322" s="2"/>
      <c r="O322" s="2"/>
      <c r="P322" s="2" t="s">
        <v>1127</v>
      </c>
      <c r="Q322" s="2" t="s">
        <v>1127</v>
      </c>
      <c r="R322" s="2"/>
      <c r="S322" s="2"/>
      <c r="T322" s="2"/>
      <c r="U322" s="2"/>
      <c r="V322" s="2"/>
      <c r="W322" s="2"/>
      <c r="X322" s="2"/>
      <c r="Y322" s="2"/>
      <c r="Z322" s="2"/>
      <c r="AA322" s="2"/>
      <c r="AB322" s="2"/>
      <c r="AC322" s="2"/>
      <c r="AD322" s="2"/>
      <c r="AE322" s="2"/>
      <c r="AF322" s="2"/>
      <c r="AG322" s="2"/>
      <c r="AH322" s="2"/>
      <c r="AI322" s="2"/>
      <c r="AJ322" s="2"/>
    </row>
    <row r="323" spans="1:36" ht="17.25" customHeight="1" x14ac:dyDescent="0.2">
      <c r="A323" s="28" t="s">
        <v>0</v>
      </c>
      <c r="B323" s="28" t="s">
        <v>165</v>
      </c>
      <c r="C323" s="3" t="s">
        <v>4182</v>
      </c>
      <c r="D323" s="28" t="s">
        <v>1389</v>
      </c>
      <c r="E323" s="28" t="s">
        <v>1390</v>
      </c>
      <c r="F323" s="2">
        <v>20</v>
      </c>
      <c r="G323" s="4" t="s">
        <v>83</v>
      </c>
      <c r="H323" s="2">
        <v>2003</v>
      </c>
      <c r="I323" s="2" t="s">
        <v>1397</v>
      </c>
      <c r="J323" s="2" t="s">
        <v>1392</v>
      </c>
      <c r="K323" s="22" t="s">
        <v>1393</v>
      </c>
      <c r="L323" s="2"/>
      <c r="M323" s="2" t="s">
        <v>1126</v>
      </c>
      <c r="N323" s="2"/>
      <c r="O323" s="2"/>
      <c r="P323" s="2" t="s">
        <v>1127</v>
      </c>
      <c r="Q323" s="2" t="s">
        <v>1127</v>
      </c>
      <c r="R323" s="2"/>
      <c r="S323" s="2"/>
      <c r="T323" s="2"/>
      <c r="U323" s="2"/>
      <c r="V323" s="2"/>
      <c r="W323" s="2"/>
      <c r="X323" s="2"/>
      <c r="Y323" s="2"/>
      <c r="Z323" s="2"/>
      <c r="AA323" s="2"/>
      <c r="AB323" s="2"/>
      <c r="AC323" s="2"/>
      <c r="AD323" s="2"/>
      <c r="AE323" s="2"/>
      <c r="AF323" s="2"/>
      <c r="AG323" s="2"/>
      <c r="AH323" s="2"/>
      <c r="AI323" s="2"/>
      <c r="AJ323" s="2"/>
    </row>
    <row r="324" spans="1:36" ht="17.25" customHeight="1" x14ac:dyDescent="0.2">
      <c r="A324" s="28" t="s">
        <v>0</v>
      </c>
      <c r="B324" s="28" t="s">
        <v>167</v>
      </c>
      <c r="C324" s="3" t="s">
        <v>4182</v>
      </c>
      <c r="D324" s="28" t="s">
        <v>1389</v>
      </c>
      <c r="E324" s="28" t="s">
        <v>1390</v>
      </c>
      <c r="F324" s="2">
        <v>21</v>
      </c>
      <c r="G324" s="4" t="s">
        <v>64</v>
      </c>
      <c r="H324" s="2">
        <v>2004</v>
      </c>
      <c r="I324" s="2" t="s">
        <v>1398</v>
      </c>
      <c r="J324" s="2" t="s">
        <v>1392</v>
      </c>
      <c r="K324" s="22" t="s">
        <v>1393</v>
      </c>
      <c r="L324" s="2"/>
      <c r="M324" s="2" t="s">
        <v>1126</v>
      </c>
      <c r="N324" s="2"/>
      <c r="O324" s="2"/>
      <c r="P324" s="2" t="s">
        <v>1127</v>
      </c>
      <c r="Q324" s="2" t="s">
        <v>1127</v>
      </c>
      <c r="R324" s="2"/>
      <c r="S324" s="2"/>
      <c r="T324" s="2"/>
      <c r="U324" s="2"/>
      <c r="V324" s="2"/>
      <c r="W324" s="2"/>
      <c r="X324" s="2"/>
      <c r="Y324" s="2"/>
      <c r="Z324" s="2"/>
      <c r="AA324" s="2"/>
      <c r="AB324" s="2"/>
      <c r="AC324" s="2"/>
      <c r="AD324" s="2"/>
      <c r="AE324" s="2"/>
      <c r="AF324" s="2"/>
      <c r="AG324" s="2"/>
      <c r="AH324" s="2"/>
      <c r="AI324" s="2"/>
      <c r="AJ324" s="2"/>
    </row>
    <row r="325" spans="1:36" ht="17.25" customHeight="1" x14ac:dyDescent="0.2">
      <c r="A325" s="28" t="s">
        <v>0</v>
      </c>
      <c r="B325" s="28" t="s">
        <v>169</v>
      </c>
      <c r="C325" s="3" t="s">
        <v>4182</v>
      </c>
      <c r="D325" s="28" t="s">
        <v>1389</v>
      </c>
      <c r="E325" s="28" t="s">
        <v>1390</v>
      </c>
      <c r="F325" s="2">
        <v>22</v>
      </c>
      <c r="G325" s="4" t="s">
        <v>92</v>
      </c>
      <c r="H325" s="2">
        <v>2005</v>
      </c>
      <c r="I325" s="2" t="s">
        <v>1399</v>
      </c>
      <c r="J325" s="2" t="s">
        <v>1392</v>
      </c>
      <c r="K325" s="22" t="s">
        <v>1393</v>
      </c>
      <c r="L325" s="2"/>
      <c r="M325" s="2" t="s">
        <v>1126</v>
      </c>
      <c r="N325" s="2"/>
      <c r="O325" s="2"/>
      <c r="P325" s="2" t="s">
        <v>1127</v>
      </c>
      <c r="Q325" s="2" t="s">
        <v>1127</v>
      </c>
      <c r="R325" s="2"/>
      <c r="S325" s="2"/>
      <c r="T325" s="2"/>
      <c r="U325" s="2"/>
      <c r="V325" s="2"/>
      <c r="W325" s="2"/>
      <c r="X325" s="2"/>
      <c r="Y325" s="2"/>
      <c r="Z325" s="2"/>
      <c r="AA325" s="2"/>
      <c r="AB325" s="2"/>
      <c r="AC325" s="2"/>
      <c r="AD325" s="2"/>
      <c r="AE325" s="2"/>
      <c r="AF325" s="2"/>
      <c r="AG325" s="2"/>
      <c r="AH325" s="2"/>
      <c r="AI325" s="2"/>
      <c r="AJ325" s="2"/>
    </row>
    <row r="326" spans="1:36" ht="17.25" customHeight="1" x14ac:dyDescent="0.2">
      <c r="A326" s="28" t="s">
        <v>0</v>
      </c>
      <c r="B326" s="28" t="s">
        <v>171</v>
      </c>
      <c r="C326" s="3" t="s">
        <v>4182</v>
      </c>
      <c r="D326" s="28" t="s">
        <v>1389</v>
      </c>
      <c r="E326" s="28" t="s">
        <v>1390</v>
      </c>
      <c r="F326" s="2">
        <v>23</v>
      </c>
      <c r="G326" s="4" t="s">
        <v>52</v>
      </c>
      <c r="H326" s="2">
        <v>2006</v>
      </c>
      <c r="I326" s="2" t="s">
        <v>1400</v>
      </c>
      <c r="J326" s="2" t="s">
        <v>1392</v>
      </c>
      <c r="K326" s="22" t="s">
        <v>1393</v>
      </c>
      <c r="L326" s="2"/>
      <c r="M326" s="2" t="s">
        <v>1126</v>
      </c>
      <c r="N326" s="2"/>
      <c r="O326" s="2"/>
      <c r="P326" s="2" t="s">
        <v>1127</v>
      </c>
      <c r="Q326" s="2" t="s">
        <v>1127</v>
      </c>
      <c r="R326" s="2"/>
      <c r="S326" s="2"/>
      <c r="T326" s="2"/>
      <c r="U326" s="2"/>
      <c r="V326" s="2"/>
      <c r="W326" s="2"/>
      <c r="X326" s="2"/>
      <c r="Y326" s="2"/>
      <c r="Z326" s="2"/>
      <c r="AA326" s="2"/>
      <c r="AB326" s="2"/>
      <c r="AC326" s="2"/>
      <c r="AD326" s="2"/>
      <c r="AE326" s="2"/>
      <c r="AF326" s="2"/>
      <c r="AG326" s="2"/>
      <c r="AH326" s="2"/>
      <c r="AI326" s="2"/>
      <c r="AJ326" s="2"/>
    </row>
    <row r="327" spans="1:36" ht="17.25" customHeight="1" x14ac:dyDescent="0.2">
      <c r="A327" s="28" t="s">
        <v>0</v>
      </c>
      <c r="B327" s="28" t="s">
        <v>173</v>
      </c>
      <c r="C327" s="3" t="s">
        <v>4182</v>
      </c>
      <c r="D327" s="28" t="s">
        <v>1389</v>
      </c>
      <c r="E327" s="28" t="s">
        <v>1390</v>
      </c>
      <c r="F327" s="2">
        <v>24</v>
      </c>
      <c r="G327" s="4" t="s">
        <v>95</v>
      </c>
      <c r="H327" s="2">
        <v>2007</v>
      </c>
      <c r="I327" s="2" t="s">
        <v>1401</v>
      </c>
      <c r="J327" s="2" t="s">
        <v>1392</v>
      </c>
      <c r="K327" s="22" t="s">
        <v>1393</v>
      </c>
      <c r="L327" s="2"/>
      <c r="M327" s="2" t="s">
        <v>1126</v>
      </c>
      <c r="N327" s="2"/>
      <c r="O327" s="2"/>
      <c r="P327" s="2" t="s">
        <v>1127</v>
      </c>
      <c r="Q327" s="2" t="s">
        <v>1127</v>
      </c>
      <c r="R327" s="2"/>
      <c r="S327" s="2"/>
      <c r="T327" s="2"/>
      <c r="U327" s="2"/>
      <c r="V327" s="2"/>
      <c r="W327" s="2"/>
      <c r="X327" s="2"/>
      <c r="Y327" s="2"/>
      <c r="Z327" s="2"/>
      <c r="AA327" s="2"/>
      <c r="AB327" s="2"/>
      <c r="AC327" s="2"/>
      <c r="AD327" s="2"/>
      <c r="AE327" s="2"/>
      <c r="AF327" s="2"/>
      <c r="AG327" s="2"/>
      <c r="AH327" s="2"/>
      <c r="AI327" s="2"/>
      <c r="AJ327" s="2"/>
    </row>
    <row r="328" spans="1:36" ht="17.25" customHeight="1" x14ac:dyDescent="0.2">
      <c r="A328" s="28" t="s">
        <v>0</v>
      </c>
      <c r="B328" s="28" t="s">
        <v>175</v>
      </c>
      <c r="C328" s="3" t="s">
        <v>4182</v>
      </c>
      <c r="D328" s="28" t="s">
        <v>1389</v>
      </c>
      <c r="E328" s="28" t="s">
        <v>1390</v>
      </c>
      <c r="F328" s="2">
        <v>25</v>
      </c>
      <c r="G328" s="4" t="s">
        <v>70</v>
      </c>
      <c r="H328" s="2">
        <v>2008</v>
      </c>
      <c r="I328" s="2" t="s">
        <v>1402</v>
      </c>
      <c r="J328" s="2" t="s">
        <v>1392</v>
      </c>
      <c r="K328" s="22" t="s">
        <v>1393</v>
      </c>
      <c r="L328" s="2"/>
      <c r="M328" s="2" t="s">
        <v>1126</v>
      </c>
      <c r="N328" s="2"/>
      <c r="O328" s="2"/>
      <c r="P328" s="2" t="s">
        <v>1127</v>
      </c>
      <c r="Q328" s="2" t="s">
        <v>1127</v>
      </c>
      <c r="R328" s="2"/>
      <c r="S328" s="2"/>
      <c r="T328" s="2"/>
      <c r="U328" s="2"/>
      <c r="V328" s="2"/>
      <c r="W328" s="2"/>
      <c r="X328" s="2"/>
      <c r="Y328" s="2"/>
      <c r="Z328" s="2"/>
      <c r="AA328" s="2"/>
      <c r="AB328" s="2"/>
      <c r="AC328" s="2"/>
      <c r="AD328" s="2"/>
      <c r="AE328" s="2"/>
      <c r="AF328" s="2"/>
      <c r="AG328" s="2"/>
      <c r="AH328" s="2"/>
      <c r="AI328" s="2"/>
      <c r="AJ328" s="2"/>
    </row>
    <row r="329" spans="1:36" ht="17.25" customHeight="1" x14ac:dyDescent="0.2">
      <c r="A329" s="28" t="s">
        <v>0</v>
      </c>
      <c r="B329" s="28" t="s">
        <v>177</v>
      </c>
      <c r="C329" s="3" t="s">
        <v>4182</v>
      </c>
      <c r="D329" s="28" t="s">
        <v>1389</v>
      </c>
      <c r="E329" s="28" t="s">
        <v>1390</v>
      </c>
      <c r="F329" s="2">
        <v>26</v>
      </c>
      <c r="G329" s="4" t="s">
        <v>16</v>
      </c>
      <c r="H329" s="2">
        <v>2009</v>
      </c>
      <c r="I329" s="2" t="s">
        <v>1403</v>
      </c>
      <c r="J329" s="2" t="s">
        <v>1392</v>
      </c>
      <c r="K329" s="22" t="s">
        <v>1393</v>
      </c>
      <c r="L329" s="2"/>
      <c r="M329" s="2" t="s">
        <v>1126</v>
      </c>
      <c r="N329" s="2"/>
      <c r="O329" s="2"/>
      <c r="P329" s="2" t="s">
        <v>1127</v>
      </c>
      <c r="Q329" s="2" t="s">
        <v>1127</v>
      </c>
      <c r="R329" s="2"/>
      <c r="S329" s="2"/>
      <c r="T329" s="2"/>
      <c r="U329" s="2"/>
      <c r="V329" s="2"/>
      <c r="W329" s="2"/>
      <c r="X329" s="2"/>
      <c r="Y329" s="2"/>
      <c r="Z329" s="2"/>
      <c r="AA329" s="2"/>
      <c r="AB329" s="2"/>
      <c r="AC329" s="2"/>
      <c r="AD329" s="2"/>
      <c r="AE329" s="2"/>
      <c r="AF329" s="2"/>
      <c r="AG329" s="2"/>
      <c r="AH329" s="2"/>
      <c r="AI329" s="2"/>
      <c r="AJ329" s="2"/>
    </row>
    <row r="330" spans="1:36" ht="17.25" customHeight="1" x14ac:dyDescent="0.2">
      <c r="A330" s="28" t="s">
        <v>0</v>
      </c>
      <c r="B330" s="28" t="s">
        <v>179</v>
      </c>
      <c r="C330" s="3" t="s">
        <v>4182</v>
      </c>
      <c r="D330" s="28" t="s">
        <v>1389</v>
      </c>
      <c r="E330" s="28" t="s">
        <v>1390</v>
      </c>
      <c r="F330" s="2">
        <v>27</v>
      </c>
      <c r="G330" s="4" t="s">
        <v>34</v>
      </c>
      <c r="H330" s="2">
        <v>2010</v>
      </c>
      <c r="I330" s="2" t="s">
        <v>1404</v>
      </c>
      <c r="J330" s="2" t="s">
        <v>1392</v>
      </c>
      <c r="K330" s="22" t="s">
        <v>1393</v>
      </c>
      <c r="L330" s="2"/>
      <c r="M330" s="2" t="s">
        <v>1126</v>
      </c>
      <c r="N330" s="2"/>
      <c r="O330" s="2"/>
      <c r="P330" s="2" t="s">
        <v>1127</v>
      </c>
      <c r="Q330" s="2" t="s">
        <v>1127</v>
      </c>
      <c r="R330" s="2"/>
      <c r="S330" s="2"/>
      <c r="T330" s="2"/>
      <c r="U330" s="2"/>
      <c r="V330" s="2"/>
      <c r="W330" s="2"/>
      <c r="X330" s="2"/>
      <c r="Y330" s="2"/>
      <c r="Z330" s="2"/>
      <c r="AA330" s="2"/>
      <c r="AB330" s="2"/>
      <c r="AC330" s="2"/>
      <c r="AD330" s="2"/>
      <c r="AE330" s="2"/>
      <c r="AF330" s="2"/>
      <c r="AG330" s="2"/>
      <c r="AH330" s="2"/>
      <c r="AI330" s="2"/>
      <c r="AJ330" s="2"/>
    </row>
    <row r="331" spans="1:36" ht="17.25" customHeight="1" x14ac:dyDescent="0.2">
      <c r="A331" s="28" t="s">
        <v>0</v>
      </c>
      <c r="B331" s="28" t="s">
        <v>181</v>
      </c>
      <c r="C331" s="3" t="s">
        <v>4182</v>
      </c>
      <c r="D331" s="28" t="s">
        <v>1389</v>
      </c>
      <c r="E331" s="28" t="s">
        <v>1390</v>
      </c>
      <c r="F331" s="2">
        <v>28</v>
      </c>
      <c r="G331" s="4" t="s">
        <v>46</v>
      </c>
      <c r="H331" s="2">
        <v>2011</v>
      </c>
      <c r="I331" s="2" t="s">
        <v>1405</v>
      </c>
      <c r="J331" s="2" t="s">
        <v>1392</v>
      </c>
      <c r="K331" s="22" t="s">
        <v>1393</v>
      </c>
      <c r="L331" s="2"/>
      <c r="M331" s="2" t="s">
        <v>1126</v>
      </c>
      <c r="N331" s="2"/>
      <c r="O331" s="2"/>
      <c r="P331" s="2" t="s">
        <v>1127</v>
      </c>
      <c r="Q331" s="2" t="s">
        <v>1127</v>
      </c>
      <c r="R331" s="2"/>
      <c r="S331" s="2"/>
      <c r="T331" s="2"/>
      <c r="U331" s="2"/>
      <c r="V331" s="2"/>
      <c r="W331" s="2"/>
      <c r="X331" s="2"/>
      <c r="Y331" s="2"/>
      <c r="Z331" s="2"/>
      <c r="AA331" s="2"/>
      <c r="AB331" s="2"/>
      <c r="AC331" s="2"/>
      <c r="AD331" s="2"/>
      <c r="AE331" s="2"/>
      <c r="AF331" s="2"/>
      <c r="AG331" s="2"/>
      <c r="AH331" s="2"/>
      <c r="AI331" s="2"/>
      <c r="AJ331" s="2"/>
    </row>
    <row r="332" spans="1:36" ht="17.25" customHeight="1" x14ac:dyDescent="0.2">
      <c r="A332" s="28" t="s">
        <v>0</v>
      </c>
      <c r="B332" s="28" t="s">
        <v>183</v>
      </c>
      <c r="C332" s="3" t="s">
        <v>4182</v>
      </c>
      <c r="D332" s="28" t="s">
        <v>1389</v>
      </c>
      <c r="E332" s="28" t="s">
        <v>1390</v>
      </c>
      <c r="F332" s="2">
        <v>29</v>
      </c>
      <c r="G332" s="4" t="s">
        <v>61</v>
      </c>
      <c r="H332" s="2">
        <v>2012</v>
      </c>
      <c r="I332" s="2" t="s">
        <v>1406</v>
      </c>
      <c r="J332" s="2" t="s">
        <v>1392</v>
      </c>
      <c r="K332" s="22" t="s">
        <v>1393</v>
      </c>
      <c r="L332" s="2"/>
      <c r="M332" s="2" t="s">
        <v>1126</v>
      </c>
      <c r="N332" s="2"/>
      <c r="O332" s="2"/>
      <c r="P332" s="2" t="s">
        <v>1127</v>
      </c>
      <c r="Q332" s="2" t="s">
        <v>1127</v>
      </c>
      <c r="R332" s="2"/>
      <c r="S332" s="2"/>
      <c r="T332" s="2"/>
      <c r="U332" s="2"/>
      <c r="V332" s="2"/>
      <c r="W332" s="2"/>
      <c r="X332" s="2"/>
      <c r="Y332" s="2"/>
      <c r="Z332" s="2"/>
      <c r="AA332" s="2"/>
      <c r="AB332" s="2"/>
      <c r="AC332" s="2"/>
      <c r="AD332" s="2"/>
      <c r="AE332" s="2"/>
      <c r="AF332" s="2"/>
      <c r="AG332" s="2"/>
      <c r="AH332" s="2"/>
      <c r="AI332" s="2"/>
      <c r="AJ332" s="2"/>
    </row>
    <row r="333" spans="1:36" ht="17.25" customHeight="1" x14ac:dyDescent="0.2">
      <c r="A333" s="28" t="s">
        <v>0</v>
      </c>
      <c r="B333" s="28" t="s">
        <v>185</v>
      </c>
      <c r="C333" s="3" t="s">
        <v>4182</v>
      </c>
      <c r="D333" s="28" t="s">
        <v>1389</v>
      </c>
      <c r="E333" s="28" t="s">
        <v>1390</v>
      </c>
      <c r="F333" s="2">
        <v>30</v>
      </c>
      <c r="G333" s="4" t="s">
        <v>86</v>
      </c>
      <c r="H333" s="2">
        <v>2013</v>
      </c>
      <c r="I333" s="2" t="s">
        <v>1407</v>
      </c>
      <c r="J333" s="2" t="s">
        <v>1392</v>
      </c>
      <c r="K333" s="22" t="s">
        <v>1393</v>
      </c>
      <c r="L333" s="2"/>
      <c r="M333" s="2" t="s">
        <v>1126</v>
      </c>
      <c r="N333" s="2"/>
      <c r="O333" s="2"/>
      <c r="P333" s="2" t="s">
        <v>1127</v>
      </c>
      <c r="Q333" s="2" t="s">
        <v>1127</v>
      </c>
      <c r="R333" s="2"/>
      <c r="S333" s="2"/>
      <c r="T333" s="2"/>
      <c r="U333" s="2"/>
      <c r="V333" s="2"/>
      <c r="W333" s="2"/>
      <c r="X333" s="2"/>
      <c r="Y333" s="2"/>
      <c r="Z333" s="2"/>
      <c r="AA333" s="2"/>
      <c r="AB333" s="2"/>
      <c r="AC333" s="2"/>
      <c r="AD333" s="2"/>
      <c r="AE333" s="2"/>
      <c r="AF333" s="2"/>
      <c r="AG333" s="2"/>
      <c r="AH333" s="2"/>
      <c r="AI333" s="2"/>
      <c r="AJ333" s="2"/>
    </row>
    <row r="334" spans="1:36" ht="17.25" customHeight="1" x14ac:dyDescent="0.2">
      <c r="A334" s="28" t="s">
        <v>0</v>
      </c>
      <c r="B334" s="28" t="s">
        <v>187</v>
      </c>
      <c r="C334" s="3" t="s">
        <v>4182</v>
      </c>
      <c r="D334" s="28" t="s">
        <v>1389</v>
      </c>
      <c r="E334" s="28" t="s">
        <v>1390</v>
      </c>
      <c r="F334" s="2">
        <v>31</v>
      </c>
      <c r="G334" s="4" t="s">
        <v>22</v>
      </c>
      <c r="H334" s="2">
        <v>2014</v>
      </c>
      <c r="I334" s="2" t="s">
        <v>1408</v>
      </c>
      <c r="J334" s="2" t="s">
        <v>1392</v>
      </c>
      <c r="K334" s="22" t="s">
        <v>1393</v>
      </c>
      <c r="L334" s="2"/>
      <c r="M334" s="2" t="s">
        <v>1126</v>
      </c>
      <c r="N334" s="2"/>
      <c r="O334" s="2"/>
      <c r="P334" s="2" t="s">
        <v>1127</v>
      </c>
      <c r="Q334" s="2" t="s">
        <v>1127</v>
      </c>
      <c r="R334" s="2"/>
      <c r="S334" s="2"/>
      <c r="T334" s="2"/>
      <c r="U334" s="2"/>
      <c r="V334" s="2"/>
      <c r="W334" s="2"/>
      <c r="X334" s="2"/>
      <c r="Y334" s="2"/>
      <c r="Z334" s="2"/>
      <c r="AA334" s="2"/>
      <c r="AB334" s="2"/>
      <c r="AC334" s="2"/>
      <c r="AD334" s="2"/>
      <c r="AE334" s="2"/>
      <c r="AF334" s="2"/>
      <c r="AG334" s="2"/>
      <c r="AH334" s="2"/>
      <c r="AI334" s="2"/>
      <c r="AJ334" s="2"/>
    </row>
    <row r="335" spans="1:36" ht="17.25" customHeight="1" x14ac:dyDescent="0.2">
      <c r="A335" s="28" t="s">
        <v>0</v>
      </c>
      <c r="B335" s="28" t="s">
        <v>189</v>
      </c>
      <c r="C335" s="3" t="s">
        <v>4182</v>
      </c>
      <c r="D335" s="28" t="s">
        <v>1389</v>
      </c>
      <c r="E335" s="28" t="s">
        <v>1390</v>
      </c>
      <c r="F335" s="2">
        <v>32</v>
      </c>
      <c r="G335" s="4" t="s">
        <v>28</v>
      </c>
      <c r="H335" s="2">
        <v>2015</v>
      </c>
      <c r="I335" s="2" t="s">
        <v>1409</v>
      </c>
      <c r="J335" s="2" t="s">
        <v>1392</v>
      </c>
      <c r="K335" s="22" t="s">
        <v>1393</v>
      </c>
      <c r="L335" s="2"/>
      <c r="M335" s="2" t="s">
        <v>1126</v>
      </c>
      <c r="N335" s="2"/>
      <c r="O335" s="2"/>
      <c r="P335" s="2" t="s">
        <v>1127</v>
      </c>
      <c r="Q335" s="2" t="s">
        <v>1127</v>
      </c>
      <c r="R335" s="2"/>
      <c r="S335" s="2"/>
      <c r="T335" s="2"/>
      <c r="U335" s="2"/>
      <c r="V335" s="2"/>
      <c r="W335" s="2"/>
      <c r="X335" s="2"/>
      <c r="Y335" s="2"/>
      <c r="Z335" s="2"/>
      <c r="AA335" s="2"/>
      <c r="AB335" s="2"/>
      <c r="AC335" s="2"/>
      <c r="AD335" s="2"/>
      <c r="AE335" s="2"/>
      <c r="AF335" s="2"/>
      <c r="AG335" s="2"/>
      <c r="AH335" s="2"/>
      <c r="AI335" s="2"/>
      <c r="AJ335" s="2"/>
    </row>
    <row r="336" spans="1:36" ht="17.25" customHeight="1" x14ac:dyDescent="0.2">
      <c r="A336" s="27" t="s">
        <v>0</v>
      </c>
      <c r="B336" s="27" t="s">
        <v>15</v>
      </c>
      <c r="C336" s="3" t="s">
        <v>4182</v>
      </c>
      <c r="D336" s="27" t="s">
        <v>1353</v>
      </c>
      <c r="E336" s="27" t="s">
        <v>1354</v>
      </c>
      <c r="F336" s="2">
        <v>1</v>
      </c>
      <c r="G336" s="4" t="s">
        <v>40</v>
      </c>
      <c r="H336" s="2">
        <v>1984</v>
      </c>
      <c r="I336" s="2" t="s">
        <v>1355</v>
      </c>
      <c r="J336" s="2" t="s">
        <v>1356</v>
      </c>
      <c r="L336" s="2"/>
      <c r="M336" s="2" t="s">
        <v>1126</v>
      </c>
      <c r="N336" s="2"/>
      <c r="O336" s="2"/>
      <c r="P336" s="2" t="s">
        <v>1127</v>
      </c>
      <c r="Q336" s="2" t="s">
        <v>1127</v>
      </c>
      <c r="R336" s="2"/>
      <c r="S336" s="2"/>
      <c r="T336" s="2"/>
      <c r="U336" s="2"/>
      <c r="V336" s="2"/>
      <c r="W336" s="2"/>
      <c r="X336" s="2"/>
      <c r="Y336" s="2"/>
      <c r="Z336" s="2"/>
      <c r="AA336" s="2"/>
      <c r="AB336" s="2"/>
      <c r="AC336" s="2"/>
      <c r="AD336" s="2"/>
      <c r="AE336" s="2"/>
      <c r="AF336" s="2"/>
      <c r="AG336" s="2"/>
      <c r="AH336" s="2"/>
      <c r="AI336" s="2"/>
      <c r="AJ336" s="2"/>
    </row>
    <row r="337" spans="1:36" ht="17.25" customHeight="1" x14ac:dyDescent="0.2">
      <c r="A337" s="27" t="s">
        <v>0</v>
      </c>
      <c r="B337" s="27" t="s">
        <v>30</v>
      </c>
      <c r="C337" s="3" t="s">
        <v>4182</v>
      </c>
      <c r="D337" s="27" t="s">
        <v>1353</v>
      </c>
      <c r="E337" s="27" t="s">
        <v>1354</v>
      </c>
      <c r="F337" s="2">
        <v>2</v>
      </c>
      <c r="G337" s="4" t="s">
        <v>37</v>
      </c>
      <c r="H337" s="2">
        <v>1985</v>
      </c>
      <c r="I337" s="2" t="s">
        <v>1357</v>
      </c>
      <c r="J337" s="2" t="s">
        <v>1356</v>
      </c>
      <c r="L337" s="2"/>
      <c r="M337" s="2" t="s">
        <v>1126</v>
      </c>
      <c r="N337" s="2"/>
      <c r="O337" s="2"/>
      <c r="P337" s="2" t="s">
        <v>1127</v>
      </c>
      <c r="Q337" s="2" t="s">
        <v>1127</v>
      </c>
      <c r="R337" s="2"/>
      <c r="S337" s="2"/>
      <c r="T337" s="2"/>
      <c r="U337" s="2"/>
      <c r="V337" s="2"/>
      <c r="W337" s="2"/>
      <c r="X337" s="2"/>
      <c r="Y337" s="2"/>
      <c r="Z337" s="2"/>
      <c r="AA337" s="2"/>
      <c r="AB337" s="2"/>
      <c r="AC337" s="2"/>
      <c r="AD337" s="2"/>
      <c r="AE337" s="2"/>
      <c r="AF337" s="2"/>
      <c r="AG337" s="2"/>
      <c r="AH337" s="2"/>
      <c r="AI337" s="2"/>
      <c r="AJ337" s="2"/>
    </row>
    <row r="338" spans="1:36" ht="17.25" customHeight="1" x14ac:dyDescent="0.2">
      <c r="A338" s="27" t="s">
        <v>0</v>
      </c>
      <c r="B338" s="27" t="s">
        <v>94</v>
      </c>
      <c r="C338" s="3" t="s">
        <v>4182</v>
      </c>
      <c r="D338" s="27" t="s">
        <v>1353</v>
      </c>
      <c r="E338" s="27" t="s">
        <v>1354</v>
      </c>
      <c r="F338" s="2">
        <v>3</v>
      </c>
      <c r="G338" s="4" t="s">
        <v>80</v>
      </c>
      <c r="H338" s="2">
        <v>1986</v>
      </c>
      <c r="I338" s="2" t="s">
        <v>1358</v>
      </c>
      <c r="J338" s="2" t="s">
        <v>1356</v>
      </c>
      <c r="K338" s="2"/>
      <c r="L338" s="2"/>
      <c r="M338" s="2" t="s">
        <v>1126</v>
      </c>
      <c r="N338" s="2"/>
      <c r="O338" s="2"/>
      <c r="P338" s="2" t="s">
        <v>1127</v>
      </c>
      <c r="Q338" s="2" t="s">
        <v>1127</v>
      </c>
      <c r="R338" s="2"/>
      <c r="S338" s="2"/>
      <c r="T338" s="2"/>
      <c r="U338" s="2"/>
      <c r="V338" s="2"/>
      <c r="W338" s="2"/>
      <c r="X338" s="2"/>
      <c r="Y338" s="2"/>
      <c r="Z338" s="2"/>
      <c r="AA338" s="2"/>
      <c r="AB338" s="2"/>
      <c r="AC338" s="2"/>
      <c r="AD338" s="2"/>
      <c r="AE338" s="2"/>
      <c r="AF338" s="2"/>
      <c r="AG338" s="2"/>
      <c r="AH338" s="2"/>
      <c r="AI338" s="2"/>
      <c r="AJ338" s="2"/>
    </row>
    <row r="339" spans="1:36" ht="17.25" customHeight="1" x14ac:dyDescent="0.2">
      <c r="A339" s="27" t="s">
        <v>0</v>
      </c>
      <c r="B339" s="27" t="s">
        <v>1</v>
      </c>
      <c r="C339" s="3" t="s">
        <v>4182</v>
      </c>
      <c r="D339" s="27" t="s">
        <v>1353</v>
      </c>
      <c r="E339" s="27" t="s">
        <v>1354</v>
      </c>
      <c r="F339" s="2">
        <v>4</v>
      </c>
      <c r="G339" s="4" t="s">
        <v>31</v>
      </c>
      <c r="H339" s="2">
        <v>1987</v>
      </c>
      <c r="I339" s="2" t="s">
        <v>1359</v>
      </c>
      <c r="J339" s="2" t="s">
        <v>1356</v>
      </c>
      <c r="K339" s="2"/>
      <c r="L339" s="2"/>
      <c r="M339" s="2" t="s">
        <v>1126</v>
      </c>
      <c r="N339" s="2"/>
      <c r="O339" s="2"/>
      <c r="P339" s="2" t="s">
        <v>1127</v>
      </c>
      <c r="Q339" s="2" t="s">
        <v>1127</v>
      </c>
      <c r="R339" s="2"/>
      <c r="S339" s="2"/>
      <c r="T339" s="2"/>
      <c r="U339" s="2"/>
      <c r="V339" s="2"/>
      <c r="W339" s="2"/>
      <c r="X339" s="2"/>
      <c r="Y339" s="2"/>
      <c r="Z339" s="2"/>
      <c r="AA339" s="2"/>
      <c r="AB339" s="2"/>
      <c r="AC339" s="2"/>
      <c r="AD339" s="2"/>
      <c r="AE339" s="2"/>
      <c r="AF339" s="2"/>
      <c r="AG339" s="2"/>
      <c r="AH339" s="2"/>
      <c r="AI339" s="2"/>
      <c r="AJ339" s="2"/>
    </row>
    <row r="340" spans="1:36" ht="17.25" customHeight="1" x14ac:dyDescent="0.2">
      <c r="A340" s="27" t="s">
        <v>0</v>
      </c>
      <c r="B340" s="27" t="s">
        <v>48</v>
      </c>
      <c r="C340" s="3" t="s">
        <v>4182</v>
      </c>
      <c r="D340" s="27" t="s">
        <v>1353</v>
      </c>
      <c r="E340" s="27" t="s">
        <v>1354</v>
      </c>
      <c r="F340" s="2">
        <v>5</v>
      </c>
      <c r="G340" s="4" t="s">
        <v>13</v>
      </c>
      <c r="H340" s="2">
        <v>1988</v>
      </c>
      <c r="I340" s="2" t="s">
        <v>1360</v>
      </c>
      <c r="J340" s="2" t="s">
        <v>1356</v>
      </c>
      <c r="K340" s="2"/>
      <c r="L340" s="2"/>
      <c r="M340" s="2" t="s">
        <v>1126</v>
      </c>
      <c r="N340" s="2"/>
      <c r="O340" s="2"/>
      <c r="P340" s="2" t="s">
        <v>1127</v>
      </c>
      <c r="Q340" s="2" t="s">
        <v>1127</v>
      </c>
      <c r="R340" s="2"/>
      <c r="S340" s="2"/>
      <c r="T340" s="2"/>
      <c r="U340" s="2"/>
      <c r="V340" s="2"/>
      <c r="W340" s="2"/>
      <c r="X340" s="2"/>
      <c r="Y340" s="2"/>
      <c r="Z340" s="2"/>
      <c r="AA340" s="2"/>
      <c r="AB340" s="2"/>
      <c r="AC340" s="2"/>
      <c r="AD340" s="2"/>
      <c r="AE340" s="2"/>
      <c r="AF340" s="2"/>
      <c r="AG340" s="2"/>
      <c r="AH340" s="2"/>
      <c r="AI340" s="2"/>
      <c r="AJ340" s="2"/>
    </row>
    <row r="341" spans="1:36" ht="17.25" customHeight="1" x14ac:dyDescent="0.2">
      <c r="A341" s="27" t="s">
        <v>0</v>
      </c>
      <c r="B341" s="27" t="s">
        <v>60</v>
      </c>
      <c r="C341" s="3" t="s">
        <v>4182</v>
      </c>
      <c r="D341" s="27" t="s">
        <v>1353</v>
      </c>
      <c r="E341" s="27" t="s">
        <v>1354</v>
      </c>
      <c r="F341" s="2">
        <v>6</v>
      </c>
      <c r="G341" s="4" t="s">
        <v>49</v>
      </c>
      <c r="H341" s="2">
        <v>1989</v>
      </c>
      <c r="I341" s="2" t="s">
        <v>1361</v>
      </c>
      <c r="J341" s="2" t="s">
        <v>1356</v>
      </c>
      <c r="K341" s="2"/>
      <c r="L341" s="2"/>
      <c r="M341" s="2" t="s">
        <v>1126</v>
      </c>
      <c r="N341" s="2"/>
      <c r="O341" s="2"/>
      <c r="P341" s="2" t="s">
        <v>1127</v>
      </c>
      <c r="Q341" s="2" t="s">
        <v>1127</v>
      </c>
      <c r="R341" s="2"/>
      <c r="S341" s="2"/>
      <c r="T341" s="2"/>
      <c r="U341" s="2"/>
      <c r="V341" s="2"/>
      <c r="W341" s="2"/>
      <c r="X341" s="2"/>
      <c r="Y341" s="2"/>
      <c r="Z341" s="2"/>
      <c r="AA341" s="2"/>
      <c r="AB341" s="2"/>
      <c r="AC341" s="2"/>
      <c r="AD341" s="2"/>
      <c r="AE341" s="2"/>
      <c r="AF341" s="2"/>
      <c r="AG341" s="2"/>
      <c r="AH341" s="2"/>
      <c r="AI341" s="2"/>
      <c r="AJ341" s="2"/>
    </row>
    <row r="342" spans="1:36" ht="17.25" customHeight="1" x14ac:dyDescent="0.2">
      <c r="A342" s="27" t="s">
        <v>0</v>
      </c>
      <c r="B342" s="27" t="s">
        <v>51</v>
      </c>
      <c r="C342" s="3" t="s">
        <v>4182</v>
      </c>
      <c r="D342" s="27" t="s">
        <v>1353</v>
      </c>
      <c r="E342" s="27" t="s">
        <v>1354</v>
      </c>
      <c r="F342" s="2">
        <v>7</v>
      </c>
      <c r="G342" s="4" t="s">
        <v>101</v>
      </c>
      <c r="H342" s="2">
        <v>1990</v>
      </c>
      <c r="I342" s="2" t="s">
        <v>1362</v>
      </c>
      <c r="J342" s="2" t="s">
        <v>1356</v>
      </c>
      <c r="K342" s="2"/>
      <c r="L342" s="2"/>
      <c r="M342" s="2" t="s">
        <v>1126</v>
      </c>
      <c r="N342" s="2"/>
      <c r="O342" s="2"/>
      <c r="P342" s="2" t="s">
        <v>1127</v>
      </c>
      <c r="Q342" s="2" t="s">
        <v>1127</v>
      </c>
      <c r="R342" s="2"/>
      <c r="S342" s="2"/>
      <c r="T342" s="2"/>
      <c r="U342" s="2"/>
      <c r="V342" s="2"/>
      <c r="W342" s="2"/>
      <c r="X342" s="2"/>
      <c r="Y342" s="2"/>
      <c r="Z342" s="2"/>
      <c r="AA342" s="2"/>
      <c r="AB342" s="2"/>
      <c r="AC342" s="2"/>
      <c r="AD342" s="2"/>
      <c r="AE342" s="2"/>
      <c r="AF342" s="2"/>
      <c r="AG342" s="2"/>
      <c r="AH342" s="2"/>
      <c r="AI342" s="2"/>
      <c r="AJ342" s="2"/>
    </row>
    <row r="343" spans="1:36" ht="17.25" customHeight="1" x14ac:dyDescent="0.2">
      <c r="A343" s="27" t="s">
        <v>0</v>
      </c>
      <c r="B343" s="27" t="s">
        <v>24</v>
      </c>
      <c r="C343" s="3" t="s">
        <v>4182</v>
      </c>
      <c r="D343" s="27" t="s">
        <v>1353</v>
      </c>
      <c r="E343" s="27" t="s">
        <v>1354</v>
      </c>
      <c r="F343" s="2">
        <v>8</v>
      </c>
      <c r="G343" s="4" t="s">
        <v>10</v>
      </c>
      <c r="H343" s="2">
        <v>1991</v>
      </c>
      <c r="I343" s="2" t="s">
        <v>1363</v>
      </c>
      <c r="J343" s="2" t="s">
        <v>1356</v>
      </c>
      <c r="K343" s="2"/>
      <c r="L343" s="2"/>
      <c r="M343" s="2" t="s">
        <v>1126</v>
      </c>
      <c r="N343" s="2"/>
      <c r="O343" s="2"/>
      <c r="P343" s="2" t="s">
        <v>1127</v>
      </c>
      <c r="Q343" s="2" t="s">
        <v>1127</v>
      </c>
      <c r="R343" s="2"/>
      <c r="S343" s="2"/>
      <c r="T343" s="2"/>
      <c r="U343" s="2"/>
      <c r="V343" s="2"/>
      <c r="W343" s="2"/>
      <c r="X343" s="2"/>
      <c r="Y343" s="2"/>
      <c r="Z343" s="2"/>
      <c r="AA343" s="2"/>
      <c r="AB343" s="2"/>
      <c r="AC343" s="2"/>
      <c r="AD343" s="2"/>
      <c r="AE343" s="2"/>
      <c r="AF343" s="2"/>
      <c r="AG343" s="2"/>
      <c r="AH343" s="2"/>
      <c r="AI343" s="2"/>
      <c r="AJ343" s="2"/>
    </row>
    <row r="344" spans="1:36" ht="17.25" customHeight="1" x14ac:dyDescent="0.2">
      <c r="A344" s="27" t="s">
        <v>0</v>
      </c>
      <c r="B344" s="27" t="s">
        <v>85</v>
      </c>
      <c r="C344" s="3" t="s">
        <v>4182</v>
      </c>
      <c r="D344" s="27" t="s">
        <v>1353</v>
      </c>
      <c r="E344" s="27" t="s">
        <v>1354</v>
      </c>
      <c r="F344" s="2">
        <v>9</v>
      </c>
      <c r="G344" s="4" t="s">
        <v>55</v>
      </c>
      <c r="H344" s="2">
        <v>1992</v>
      </c>
      <c r="I344" s="2" t="s">
        <v>1364</v>
      </c>
      <c r="J344" s="2" t="s">
        <v>1356</v>
      </c>
      <c r="K344" s="2"/>
      <c r="L344" s="2"/>
      <c r="M344" s="2" t="s">
        <v>1126</v>
      </c>
      <c r="N344" s="2"/>
      <c r="O344" s="2"/>
      <c r="P344" s="2" t="s">
        <v>1127</v>
      </c>
      <c r="Q344" s="2" t="s">
        <v>1127</v>
      </c>
      <c r="R344" s="2"/>
      <c r="S344" s="2"/>
      <c r="T344" s="2"/>
      <c r="U344" s="2"/>
      <c r="V344" s="2"/>
      <c r="W344" s="2"/>
      <c r="X344" s="2"/>
      <c r="Y344" s="2"/>
      <c r="Z344" s="2"/>
      <c r="AA344" s="2"/>
      <c r="AB344" s="2"/>
      <c r="AC344" s="2"/>
      <c r="AD344" s="2"/>
      <c r="AE344" s="2"/>
      <c r="AF344" s="2"/>
      <c r="AG344" s="2"/>
      <c r="AH344" s="2"/>
      <c r="AI344" s="2"/>
      <c r="AJ344" s="2"/>
    </row>
    <row r="345" spans="1:36" ht="17.25" customHeight="1" x14ac:dyDescent="0.2">
      <c r="A345" s="27" t="s">
        <v>0</v>
      </c>
      <c r="B345" s="27" t="s">
        <v>45</v>
      </c>
      <c r="C345" s="3" t="s">
        <v>4182</v>
      </c>
      <c r="D345" s="27" t="s">
        <v>1353</v>
      </c>
      <c r="E345" s="27" t="s">
        <v>1354</v>
      </c>
      <c r="F345" s="2">
        <v>10</v>
      </c>
      <c r="G345" s="4" t="s">
        <v>98</v>
      </c>
      <c r="H345" s="2">
        <v>1993</v>
      </c>
      <c r="I345" s="2" t="s">
        <v>1365</v>
      </c>
      <c r="J345" s="2" t="s">
        <v>1356</v>
      </c>
      <c r="K345" s="2"/>
      <c r="L345" s="2"/>
      <c r="M345" s="2" t="s">
        <v>1126</v>
      </c>
      <c r="N345" s="2"/>
      <c r="O345" s="2"/>
      <c r="P345" s="2" t="s">
        <v>1127</v>
      </c>
      <c r="Q345" s="2" t="s">
        <v>1127</v>
      </c>
      <c r="R345" s="2"/>
      <c r="S345" s="2"/>
      <c r="T345" s="2"/>
      <c r="U345" s="2"/>
      <c r="V345" s="2"/>
      <c r="W345" s="2"/>
      <c r="X345" s="2"/>
      <c r="Y345" s="2"/>
      <c r="Z345" s="2"/>
      <c r="AA345" s="2"/>
      <c r="AB345" s="2"/>
      <c r="AC345" s="2"/>
      <c r="AD345" s="2"/>
      <c r="AE345" s="2"/>
      <c r="AF345" s="2"/>
      <c r="AG345" s="2"/>
      <c r="AH345" s="2"/>
      <c r="AI345" s="2"/>
      <c r="AJ345" s="2"/>
    </row>
    <row r="346" spans="1:36" ht="17.25" customHeight="1" x14ac:dyDescent="0.2">
      <c r="A346" s="27" t="s">
        <v>0</v>
      </c>
      <c r="B346" s="27" t="s">
        <v>42</v>
      </c>
      <c r="C346" s="3" t="s">
        <v>4182</v>
      </c>
      <c r="D346" s="27" t="s">
        <v>1353</v>
      </c>
      <c r="E346" s="27" t="s">
        <v>1354</v>
      </c>
      <c r="F346" s="2">
        <v>11</v>
      </c>
      <c r="G346" s="4" t="s">
        <v>104</v>
      </c>
      <c r="H346" s="2">
        <v>1994</v>
      </c>
      <c r="I346" s="2" t="s">
        <v>1366</v>
      </c>
      <c r="J346" s="2" t="s">
        <v>1356</v>
      </c>
      <c r="K346" s="2"/>
      <c r="L346" s="2"/>
      <c r="M346" s="2" t="s">
        <v>1126</v>
      </c>
      <c r="N346" s="2"/>
      <c r="O346" s="2"/>
      <c r="P346" s="2" t="s">
        <v>1127</v>
      </c>
      <c r="Q346" s="2" t="s">
        <v>1127</v>
      </c>
      <c r="R346" s="2"/>
      <c r="S346" s="2"/>
      <c r="T346" s="2"/>
      <c r="U346" s="2"/>
      <c r="V346" s="2"/>
      <c r="W346" s="2"/>
      <c r="X346" s="2"/>
      <c r="Y346" s="2"/>
      <c r="Z346" s="2"/>
      <c r="AA346" s="2"/>
      <c r="AB346" s="2"/>
      <c r="AC346" s="2"/>
      <c r="AD346" s="2"/>
      <c r="AE346" s="2"/>
      <c r="AF346" s="2"/>
      <c r="AG346" s="2"/>
      <c r="AH346" s="2"/>
      <c r="AI346" s="2"/>
      <c r="AJ346" s="2"/>
    </row>
    <row r="347" spans="1:36" ht="17.25" customHeight="1" x14ac:dyDescent="0.2">
      <c r="A347" s="27" t="s">
        <v>0</v>
      </c>
      <c r="B347" s="27" t="s">
        <v>82</v>
      </c>
      <c r="C347" s="3" t="s">
        <v>4182</v>
      </c>
      <c r="D347" s="27" t="s">
        <v>1353</v>
      </c>
      <c r="E347" s="27" t="s">
        <v>1354</v>
      </c>
      <c r="F347" s="2">
        <v>12</v>
      </c>
      <c r="G347" s="4" t="s">
        <v>89</v>
      </c>
      <c r="H347" s="2">
        <v>1995</v>
      </c>
      <c r="I347" s="2" t="s">
        <v>1367</v>
      </c>
      <c r="J347" s="2" t="s">
        <v>1356</v>
      </c>
      <c r="K347" s="2"/>
      <c r="L347" s="2"/>
      <c r="M347" s="2" t="s">
        <v>1126</v>
      </c>
      <c r="N347" s="2"/>
      <c r="O347" s="2"/>
      <c r="P347" s="2" t="s">
        <v>1127</v>
      </c>
      <c r="Q347" s="2" t="s">
        <v>1127</v>
      </c>
      <c r="R347" s="2"/>
      <c r="S347" s="2"/>
      <c r="T347" s="2"/>
      <c r="U347" s="2"/>
      <c r="V347" s="2"/>
      <c r="W347" s="2"/>
      <c r="X347" s="2"/>
      <c r="Y347" s="2"/>
      <c r="Z347" s="2"/>
      <c r="AA347" s="2"/>
      <c r="AB347" s="2"/>
      <c r="AC347" s="2"/>
      <c r="AD347" s="2"/>
      <c r="AE347" s="2"/>
      <c r="AF347" s="2"/>
      <c r="AG347" s="2"/>
      <c r="AH347" s="2"/>
      <c r="AI347" s="2"/>
      <c r="AJ347" s="2"/>
    </row>
    <row r="348" spans="1:36" ht="17.25" customHeight="1" x14ac:dyDescent="0.2">
      <c r="A348" s="27" t="s">
        <v>0</v>
      </c>
      <c r="B348" s="27" t="s">
        <v>12</v>
      </c>
      <c r="C348" s="3" t="s">
        <v>4182</v>
      </c>
      <c r="D348" s="27" t="s">
        <v>1353</v>
      </c>
      <c r="E348" s="27" t="s">
        <v>1354</v>
      </c>
      <c r="F348" s="2">
        <v>13</v>
      </c>
      <c r="G348" s="4" t="s">
        <v>107</v>
      </c>
      <c r="H348" s="2">
        <v>1996</v>
      </c>
      <c r="I348" s="2" t="s">
        <v>1368</v>
      </c>
      <c r="J348" s="2" t="s">
        <v>1356</v>
      </c>
      <c r="K348" s="2"/>
      <c r="L348" s="2"/>
      <c r="M348" s="2" t="s">
        <v>1126</v>
      </c>
      <c r="N348" s="2"/>
      <c r="O348" s="2"/>
      <c r="P348" s="2" t="s">
        <v>1127</v>
      </c>
      <c r="Q348" s="2" t="s">
        <v>1127</v>
      </c>
      <c r="R348" s="2"/>
      <c r="S348" s="2"/>
      <c r="T348" s="2"/>
      <c r="U348" s="2"/>
      <c r="V348" s="2"/>
      <c r="W348" s="2"/>
      <c r="X348" s="2"/>
      <c r="Y348" s="2"/>
      <c r="Z348" s="2"/>
      <c r="AA348" s="2"/>
      <c r="AB348" s="2"/>
      <c r="AC348" s="2"/>
      <c r="AD348" s="2"/>
      <c r="AE348" s="2"/>
      <c r="AF348" s="2"/>
      <c r="AG348" s="2"/>
      <c r="AH348" s="2"/>
      <c r="AI348" s="2"/>
      <c r="AJ348" s="2"/>
    </row>
    <row r="349" spans="1:36" ht="17.25" customHeight="1" x14ac:dyDescent="0.2">
      <c r="A349" s="27" t="s">
        <v>0</v>
      </c>
      <c r="B349" s="27" t="s">
        <v>88</v>
      </c>
      <c r="C349" s="3" t="s">
        <v>4182</v>
      </c>
      <c r="D349" s="27" t="s">
        <v>1353</v>
      </c>
      <c r="E349" s="27" t="s">
        <v>1354</v>
      </c>
      <c r="F349" s="2">
        <v>14</v>
      </c>
      <c r="G349" s="4" t="s">
        <v>43</v>
      </c>
      <c r="H349" s="2">
        <v>1997</v>
      </c>
      <c r="I349" s="2" t="s">
        <v>1369</v>
      </c>
      <c r="J349" s="2" t="s">
        <v>1356</v>
      </c>
      <c r="K349" s="2"/>
      <c r="L349" s="2"/>
      <c r="M349" s="2" t="s">
        <v>1126</v>
      </c>
      <c r="N349" s="2"/>
      <c r="O349" s="2"/>
      <c r="P349" s="2" t="s">
        <v>1127</v>
      </c>
      <c r="Q349" s="2" t="s">
        <v>1127</v>
      </c>
      <c r="R349" s="2"/>
      <c r="S349" s="2"/>
      <c r="T349" s="2"/>
      <c r="U349" s="2"/>
      <c r="V349" s="2"/>
      <c r="W349" s="2"/>
      <c r="X349" s="2"/>
      <c r="Y349" s="2"/>
      <c r="Z349" s="2"/>
      <c r="AA349" s="2"/>
      <c r="AB349" s="2"/>
      <c r="AC349" s="2"/>
      <c r="AD349" s="2"/>
      <c r="AE349" s="2"/>
      <c r="AF349" s="2"/>
      <c r="AG349" s="2"/>
      <c r="AH349" s="2"/>
      <c r="AI349" s="2"/>
      <c r="AJ349" s="2"/>
    </row>
    <row r="350" spans="1:36" ht="17.25" customHeight="1" x14ac:dyDescent="0.2">
      <c r="A350" s="27" t="s">
        <v>0</v>
      </c>
      <c r="B350" s="27" t="s">
        <v>21</v>
      </c>
      <c r="C350" s="3" t="s">
        <v>4182</v>
      </c>
      <c r="D350" s="27" t="s">
        <v>1353</v>
      </c>
      <c r="E350" s="27" t="s">
        <v>1354</v>
      </c>
      <c r="F350" s="2">
        <v>15</v>
      </c>
      <c r="G350" s="4" t="s">
        <v>19</v>
      </c>
      <c r="H350" s="2">
        <v>1998</v>
      </c>
      <c r="I350" s="2" t="s">
        <v>1370</v>
      </c>
      <c r="J350" s="2" t="s">
        <v>1356</v>
      </c>
      <c r="K350" s="2"/>
      <c r="L350" s="2"/>
      <c r="M350" s="2" t="s">
        <v>1126</v>
      </c>
      <c r="N350" s="2"/>
      <c r="O350" s="2"/>
      <c r="P350" s="2" t="s">
        <v>1127</v>
      </c>
      <c r="Q350" s="2" t="s">
        <v>1127</v>
      </c>
      <c r="R350" s="2"/>
      <c r="S350" s="2"/>
      <c r="T350" s="2"/>
      <c r="U350" s="2"/>
      <c r="V350" s="2"/>
      <c r="W350" s="2"/>
      <c r="X350" s="2"/>
      <c r="Y350" s="2"/>
      <c r="Z350" s="2"/>
      <c r="AA350" s="2"/>
      <c r="AB350" s="2"/>
      <c r="AC350" s="2"/>
      <c r="AD350" s="2"/>
      <c r="AE350" s="2"/>
      <c r="AF350" s="2"/>
      <c r="AG350" s="2"/>
      <c r="AH350" s="2"/>
      <c r="AI350" s="2"/>
      <c r="AJ350" s="2"/>
    </row>
    <row r="351" spans="1:36" ht="17.25" customHeight="1" x14ac:dyDescent="0.2">
      <c r="A351" s="27" t="s">
        <v>0</v>
      </c>
      <c r="B351" s="27" t="s">
        <v>9</v>
      </c>
      <c r="C351" s="3" t="s">
        <v>4182</v>
      </c>
      <c r="D351" s="27" t="s">
        <v>1353</v>
      </c>
      <c r="E351" s="27" t="s">
        <v>1354</v>
      </c>
      <c r="F351" s="2">
        <v>16</v>
      </c>
      <c r="G351" s="4" t="s">
        <v>25</v>
      </c>
      <c r="H351" s="2">
        <v>1999</v>
      </c>
      <c r="I351" s="2" t="s">
        <v>1371</v>
      </c>
      <c r="J351" s="2" t="s">
        <v>1356</v>
      </c>
      <c r="K351" s="2"/>
      <c r="L351" s="2"/>
      <c r="M351" s="2" t="s">
        <v>1126</v>
      </c>
      <c r="N351" s="2"/>
      <c r="O351" s="2"/>
      <c r="P351" s="2" t="s">
        <v>1127</v>
      </c>
      <c r="Q351" s="2" t="s">
        <v>1127</v>
      </c>
      <c r="R351" s="2"/>
      <c r="S351" s="2"/>
      <c r="T351" s="2"/>
      <c r="U351" s="2"/>
      <c r="V351" s="2"/>
      <c r="W351" s="2"/>
      <c r="X351" s="2"/>
      <c r="Y351" s="2"/>
      <c r="Z351" s="2"/>
      <c r="AA351" s="2"/>
      <c r="AB351" s="2"/>
      <c r="AC351" s="2"/>
      <c r="AD351" s="2"/>
      <c r="AE351" s="2"/>
      <c r="AF351" s="2"/>
      <c r="AG351" s="2"/>
      <c r="AH351" s="2"/>
      <c r="AI351" s="2"/>
      <c r="AJ351" s="2"/>
    </row>
    <row r="352" spans="1:36" ht="17.25" customHeight="1" x14ac:dyDescent="0.2">
      <c r="A352" s="27" t="s">
        <v>0</v>
      </c>
      <c r="B352" s="27" t="s">
        <v>72</v>
      </c>
      <c r="C352" s="3" t="s">
        <v>4182</v>
      </c>
      <c r="D352" s="27" t="s">
        <v>1353</v>
      </c>
      <c r="E352" s="27" t="s">
        <v>1354</v>
      </c>
      <c r="F352" s="2">
        <v>17</v>
      </c>
      <c r="G352" s="4" t="s">
        <v>73</v>
      </c>
      <c r="H352" s="2">
        <v>2000</v>
      </c>
      <c r="I352" s="2" t="s">
        <v>1372</v>
      </c>
      <c r="J352" s="2" t="s">
        <v>1356</v>
      </c>
      <c r="K352" s="2"/>
      <c r="L352" s="2"/>
      <c r="M352" s="2" t="s">
        <v>1126</v>
      </c>
      <c r="N352" s="2"/>
      <c r="O352" s="2"/>
      <c r="P352" s="2" t="s">
        <v>1127</v>
      </c>
      <c r="Q352" s="2" t="s">
        <v>1127</v>
      </c>
      <c r="R352" s="2"/>
      <c r="S352" s="2"/>
      <c r="T352" s="2"/>
      <c r="U352" s="2"/>
      <c r="V352" s="2"/>
      <c r="W352" s="2"/>
      <c r="X352" s="2"/>
      <c r="Y352" s="2"/>
      <c r="Z352" s="2"/>
      <c r="AA352" s="2"/>
      <c r="AB352" s="2"/>
      <c r="AC352" s="2"/>
      <c r="AD352" s="2"/>
      <c r="AE352" s="2"/>
      <c r="AF352" s="2"/>
      <c r="AG352" s="2"/>
      <c r="AH352" s="2"/>
      <c r="AI352" s="2"/>
      <c r="AJ352" s="2"/>
    </row>
    <row r="353" spans="1:36" ht="17.25" customHeight="1" x14ac:dyDescent="0.2">
      <c r="A353" s="27" t="s">
        <v>0</v>
      </c>
      <c r="B353" s="27" t="s">
        <v>106</v>
      </c>
      <c r="C353" s="3" t="s">
        <v>4182</v>
      </c>
      <c r="D353" s="27" t="s">
        <v>1353</v>
      </c>
      <c r="E353" s="27" t="s">
        <v>1354</v>
      </c>
      <c r="F353" s="2">
        <v>18</v>
      </c>
      <c r="G353" s="4" t="s">
        <v>58</v>
      </c>
      <c r="H353" s="2">
        <v>2001</v>
      </c>
      <c r="I353" s="2" t="s">
        <v>1373</v>
      </c>
      <c r="J353" s="2" t="s">
        <v>1356</v>
      </c>
      <c r="K353" s="2"/>
      <c r="L353" s="2"/>
      <c r="M353" s="2" t="s">
        <v>1126</v>
      </c>
      <c r="N353" s="2"/>
      <c r="O353" s="2"/>
      <c r="P353" s="2" t="s">
        <v>1127</v>
      </c>
      <c r="Q353" s="2" t="s">
        <v>1127</v>
      </c>
      <c r="R353" s="2"/>
      <c r="S353" s="2"/>
      <c r="T353" s="2"/>
      <c r="U353" s="2"/>
      <c r="V353" s="2"/>
      <c r="W353" s="2"/>
      <c r="X353" s="2"/>
      <c r="Y353" s="2"/>
      <c r="Z353" s="2"/>
      <c r="AA353" s="2"/>
      <c r="AB353" s="2"/>
      <c r="AC353" s="2"/>
      <c r="AD353" s="2"/>
      <c r="AE353" s="2"/>
      <c r="AF353" s="2"/>
      <c r="AG353" s="2"/>
      <c r="AH353" s="2"/>
      <c r="AI353" s="2"/>
      <c r="AJ353" s="2"/>
    </row>
    <row r="354" spans="1:36" ht="17.25" customHeight="1" x14ac:dyDescent="0.2">
      <c r="A354" s="27" t="s">
        <v>0</v>
      </c>
      <c r="B354" s="27" t="s">
        <v>63</v>
      </c>
      <c r="C354" s="3" t="s">
        <v>4182</v>
      </c>
      <c r="D354" s="27" t="s">
        <v>1353</v>
      </c>
      <c r="E354" s="27" t="s">
        <v>1354</v>
      </c>
      <c r="F354" s="2">
        <v>19</v>
      </c>
      <c r="G354" s="4" t="s">
        <v>4</v>
      </c>
      <c r="H354" s="2">
        <v>2002</v>
      </c>
      <c r="I354" s="2" t="s">
        <v>1374</v>
      </c>
      <c r="J354" s="2" t="s">
        <v>1356</v>
      </c>
      <c r="K354" s="2"/>
      <c r="L354" s="2"/>
      <c r="M354" s="2" t="s">
        <v>1126</v>
      </c>
      <c r="N354" s="2"/>
      <c r="O354" s="2"/>
      <c r="P354" s="2" t="s">
        <v>1127</v>
      </c>
      <c r="Q354" s="2" t="s">
        <v>1127</v>
      </c>
      <c r="R354" s="2"/>
      <c r="S354" s="2"/>
      <c r="T354" s="2"/>
      <c r="U354" s="2"/>
      <c r="V354" s="2"/>
      <c r="W354" s="2"/>
      <c r="X354" s="2"/>
      <c r="Y354" s="2"/>
      <c r="Z354" s="2"/>
      <c r="AA354" s="2"/>
      <c r="AB354" s="2"/>
      <c r="AC354" s="2"/>
      <c r="AD354" s="2"/>
      <c r="AE354" s="2"/>
      <c r="AF354" s="2"/>
      <c r="AG354" s="2"/>
      <c r="AH354" s="2"/>
      <c r="AI354" s="2"/>
      <c r="AJ354" s="2"/>
    </row>
    <row r="355" spans="1:36" ht="17.25" customHeight="1" x14ac:dyDescent="0.2">
      <c r="A355" s="27" t="s">
        <v>0</v>
      </c>
      <c r="B355" s="27" t="s">
        <v>97</v>
      </c>
      <c r="C355" s="3" t="s">
        <v>4182</v>
      </c>
      <c r="D355" s="27" t="s">
        <v>1353</v>
      </c>
      <c r="E355" s="27" t="s">
        <v>1354</v>
      </c>
      <c r="F355" s="2">
        <v>20</v>
      </c>
      <c r="G355" s="4" t="s">
        <v>83</v>
      </c>
      <c r="H355" s="2">
        <v>2003</v>
      </c>
      <c r="I355" s="2" t="s">
        <v>1375</v>
      </c>
      <c r="J355" s="2" t="s">
        <v>1356</v>
      </c>
      <c r="K355" s="2"/>
      <c r="L355" s="2"/>
      <c r="M355" s="2" t="s">
        <v>1126</v>
      </c>
      <c r="N355" s="2"/>
      <c r="O355" s="2"/>
      <c r="P355" s="2" t="s">
        <v>1127</v>
      </c>
      <c r="Q355" s="2" t="s">
        <v>1127</v>
      </c>
      <c r="R355" s="2"/>
      <c r="S355" s="2"/>
      <c r="T355" s="2"/>
      <c r="U355" s="2"/>
      <c r="V355" s="2"/>
      <c r="W355" s="2"/>
      <c r="X355" s="2"/>
      <c r="Y355" s="2"/>
      <c r="Z355" s="2"/>
      <c r="AA355" s="2"/>
      <c r="AB355" s="2"/>
      <c r="AC355" s="2"/>
      <c r="AD355" s="2"/>
      <c r="AE355" s="2"/>
      <c r="AF355" s="2"/>
      <c r="AG355" s="2"/>
      <c r="AH355" s="2"/>
      <c r="AI355" s="2"/>
      <c r="AJ355" s="2"/>
    </row>
    <row r="356" spans="1:36" ht="17.25" customHeight="1" x14ac:dyDescent="0.2">
      <c r="A356" s="27" t="s">
        <v>0</v>
      </c>
      <c r="B356" s="27" t="s">
        <v>69</v>
      </c>
      <c r="C356" s="3" t="s">
        <v>4182</v>
      </c>
      <c r="D356" s="27" t="s">
        <v>1353</v>
      </c>
      <c r="E356" s="27" t="s">
        <v>1354</v>
      </c>
      <c r="F356" s="2">
        <v>21</v>
      </c>
      <c r="G356" s="4" t="s">
        <v>64</v>
      </c>
      <c r="H356" s="2">
        <v>2004</v>
      </c>
      <c r="I356" s="2" t="s">
        <v>1376</v>
      </c>
      <c r="J356" s="2" t="s">
        <v>1356</v>
      </c>
      <c r="K356" s="2"/>
      <c r="L356" s="2"/>
      <c r="M356" s="2" t="s">
        <v>1126</v>
      </c>
      <c r="N356" s="2"/>
      <c r="O356" s="2"/>
      <c r="P356" s="2" t="s">
        <v>1127</v>
      </c>
      <c r="Q356" s="2" t="s">
        <v>1127</v>
      </c>
      <c r="R356" s="2"/>
      <c r="S356" s="2"/>
      <c r="T356" s="2"/>
      <c r="U356" s="2"/>
      <c r="V356" s="2"/>
      <c r="W356" s="2"/>
      <c r="X356" s="2"/>
      <c r="Y356" s="2"/>
      <c r="Z356" s="2"/>
      <c r="AA356" s="2"/>
      <c r="AB356" s="2"/>
      <c r="AC356" s="2"/>
      <c r="AD356" s="2"/>
      <c r="AE356" s="2"/>
      <c r="AF356" s="2"/>
      <c r="AG356" s="2"/>
      <c r="AH356" s="2"/>
      <c r="AI356" s="2"/>
      <c r="AJ356" s="2"/>
    </row>
    <row r="357" spans="1:36" ht="17.25" customHeight="1" x14ac:dyDescent="0.2">
      <c r="A357" s="27" t="s">
        <v>0</v>
      </c>
      <c r="B357" s="27" t="s">
        <v>100</v>
      </c>
      <c r="C357" s="3" t="s">
        <v>4182</v>
      </c>
      <c r="D357" s="27" t="s">
        <v>1353</v>
      </c>
      <c r="E357" s="27" t="s">
        <v>1354</v>
      </c>
      <c r="F357" s="2">
        <v>22</v>
      </c>
      <c r="G357" s="4" t="s">
        <v>92</v>
      </c>
      <c r="H357" s="2">
        <v>2005</v>
      </c>
      <c r="I357" s="2" t="s">
        <v>1377</v>
      </c>
      <c r="J357" s="2" t="s">
        <v>1356</v>
      </c>
      <c r="K357" s="2"/>
      <c r="L357" s="2"/>
      <c r="M357" s="2" t="s">
        <v>1126</v>
      </c>
      <c r="N357" s="2"/>
      <c r="O357" s="2"/>
      <c r="P357" s="2" t="s">
        <v>1127</v>
      </c>
      <c r="Q357" s="2" t="s">
        <v>1127</v>
      </c>
      <c r="R357" s="2"/>
      <c r="S357" s="2"/>
      <c r="T357" s="2"/>
      <c r="U357" s="2"/>
      <c r="V357" s="2"/>
      <c r="W357" s="2"/>
      <c r="X357" s="2"/>
      <c r="Y357" s="2"/>
      <c r="Z357" s="2"/>
      <c r="AA357" s="2"/>
      <c r="AB357" s="2"/>
      <c r="AC357" s="2"/>
      <c r="AD357" s="2"/>
      <c r="AE357" s="2"/>
      <c r="AF357" s="2"/>
      <c r="AG357" s="2"/>
      <c r="AH357" s="2"/>
      <c r="AI357" s="2"/>
      <c r="AJ357" s="2"/>
    </row>
    <row r="358" spans="1:36" ht="17.25" customHeight="1" x14ac:dyDescent="0.2">
      <c r="A358" s="27" t="s">
        <v>0</v>
      </c>
      <c r="B358" s="27" t="s">
        <v>79</v>
      </c>
      <c r="C358" s="3" t="s">
        <v>4182</v>
      </c>
      <c r="D358" s="27" t="s">
        <v>1353</v>
      </c>
      <c r="E358" s="27" t="s">
        <v>1354</v>
      </c>
      <c r="F358" s="2">
        <v>23</v>
      </c>
      <c r="G358" s="4" t="s">
        <v>52</v>
      </c>
      <c r="H358" s="2">
        <v>2006</v>
      </c>
      <c r="I358" s="2" t="s">
        <v>1378</v>
      </c>
      <c r="J358" s="2" t="s">
        <v>1356</v>
      </c>
      <c r="K358" s="2"/>
      <c r="L358" s="2"/>
      <c r="M358" s="2" t="s">
        <v>1126</v>
      </c>
      <c r="N358" s="2"/>
      <c r="O358" s="2"/>
      <c r="P358" s="2" t="s">
        <v>1127</v>
      </c>
      <c r="Q358" s="2" t="s">
        <v>1127</v>
      </c>
      <c r="R358" s="2"/>
      <c r="S358" s="2"/>
      <c r="T358" s="2"/>
      <c r="U358" s="2"/>
      <c r="V358" s="2"/>
      <c r="W358" s="2"/>
      <c r="X358" s="2"/>
      <c r="Y358" s="2"/>
      <c r="Z358" s="2"/>
      <c r="AA358" s="2"/>
      <c r="AB358" s="2"/>
      <c r="AC358" s="2"/>
      <c r="AD358" s="2"/>
      <c r="AE358" s="2"/>
      <c r="AF358" s="2"/>
      <c r="AG358" s="2"/>
      <c r="AH358" s="2"/>
      <c r="AI358" s="2"/>
      <c r="AJ358" s="2"/>
    </row>
    <row r="359" spans="1:36" ht="17.25" customHeight="1" x14ac:dyDescent="0.2">
      <c r="A359" s="27" t="s">
        <v>0</v>
      </c>
      <c r="B359" s="27" t="s">
        <v>39</v>
      </c>
      <c r="C359" s="3" t="s">
        <v>4182</v>
      </c>
      <c r="D359" s="27" t="s">
        <v>1353</v>
      </c>
      <c r="E359" s="27" t="s">
        <v>1354</v>
      </c>
      <c r="F359" s="2">
        <v>24</v>
      </c>
      <c r="G359" s="4" t="s">
        <v>95</v>
      </c>
      <c r="H359" s="2">
        <v>2007</v>
      </c>
      <c r="I359" s="2" t="s">
        <v>1379</v>
      </c>
      <c r="J359" s="2" t="s">
        <v>1356</v>
      </c>
      <c r="K359" s="2"/>
      <c r="L359" s="2"/>
      <c r="M359" s="2" t="s">
        <v>1126</v>
      </c>
      <c r="N359" s="2"/>
      <c r="O359" s="2"/>
      <c r="P359" s="2" t="s">
        <v>1127</v>
      </c>
      <c r="Q359" s="2" t="s">
        <v>1127</v>
      </c>
      <c r="R359" s="2"/>
      <c r="S359" s="2"/>
      <c r="T359" s="2"/>
      <c r="U359" s="2"/>
      <c r="V359" s="2"/>
      <c r="W359" s="2"/>
      <c r="X359" s="2"/>
      <c r="Y359" s="2"/>
      <c r="Z359" s="2"/>
      <c r="AA359" s="2"/>
      <c r="AB359" s="2"/>
      <c r="AC359" s="2"/>
      <c r="AD359" s="2"/>
      <c r="AE359" s="2"/>
      <c r="AF359" s="2"/>
      <c r="AG359" s="2"/>
      <c r="AH359" s="2"/>
      <c r="AI359" s="2"/>
      <c r="AJ359" s="2"/>
    </row>
    <row r="360" spans="1:36" ht="17.25" customHeight="1" x14ac:dyDescent="0.2">
      <c r="A360" s="27" t="s">
        <v>0</v>
      </c>
      <c r="B360" s="27" t="s">
        <v>36</v>
      </c>
      <c r="C360" s="3" t="s">
        <v>4182</v>
      </c>
      <c r="D360" s="27" t="s">
        <v>1353</v>
      </c>
      <c r="E360" s="27" t="s">
        <v>1354</v>
      </c>
      <c r="F360" s="2">
        <v>25</v>
      </c>
      <c r="G360" s="4" t="s">
        <v>70</v>
      </c>
      <c r="H360" s="2">
        <v>2008</v>
      </c>
      <c r="I360" s="2" t="s">
        <v>1380</v>
      </c>
      <c r="J360" s="2" t="s">
        <v>1356</v>
      </c>
      <c r="K360" s="2"/>
      <c r="L360" s="2"/>
      <c r="M360" s="2" t="s">
        <v>1126</v>
      </c>
      <c r="N360" s="2"/>
      <c r="O360" s="2"/>
      <c r="P360" s="2" t="s">
        <v>1127</v>
      </c>
      <c r="Q360" s="2" t="s">
        <v>1127</v>
      </c>
      <c r="R360" s="2"/>
      <c r="S360" s="2"/>
      <c r="T360" s="2"/>
      <c r="U360" s="2"/>
      <c r="V360" s="2"/>
      <c r="W360" s="2"/>
      <c r="X360" s="2"/>
      <c r="Y360" s="2"/>
      <c r="Z360" s="2"/>
      <c r="AA360" s="2"/>
      <c r="AB360" s="2"/>
      <c r="AC360" s="2"/>
      <c r="AD360" s="2"/>
      <c r="AE360" s="2"/>
      <c r="AF360" s="2"/>
      <c r="AG360" s="2"/>
      <c r="AH360" s="2"/>
      <c r="AI360" s="2"/>
      <c r="AJ360" s="2"/>
    </row>
    <row r="361" spans="1:36" ht="17.25" customHeight="1" x14ac:dyDescent="0.2">
      <c r="A361" s="27" t="s">
        <v>0</v>
      </c>
      <c r="B361" s="27" t="s">
        <v>91</v>
      </c>
      <c r="C361" s="3" t="s">
        <v>4182</v>
      </c>
      <c r="D361" s="27" t="s">
        <v>1353</v>
      </c>
      <c r="E361" s="27" t="s">
        <v>1354</v>
      </c>
      <c r="F361" s="2">
        <v>26</v>
      </c>
      <c r="G361" s="4" t="s">
        <v>16</v>
      </c>
      <c r="H361" s="2">
        <v>2009</v>
      </c>
      <c r="I361" s="2" t="s">
        <v>1381</v>
      </c>
      <c r="J361" s="2" t="s">
        <v>1356</v>
      </c>
      <c r="K361" s="2"/>
      <c r="L361" s="2"/>
      <c r="M361" s="2" t="s">
        <v>1126</v>
      </c>
      <c r="N361" s="2"/>
      <c r="O361" s="2"/>
      <c r="P361" s="2" t="s">
        <v>1127</v>
      </c>
      <c r="Q361" s="2" t="s">
        <v>1127</v>
      </c>
      <c r="R361" s="2"/>
      <c r="S361" s="2"/>
      <c r="T361" s="2"/>
      <c r="U361" s="2"/>
      <c r="V361" s="2"/>
      <c r="W361" s="2"/>
      <c r="X361" s="2"/>
      <c r="Y361" s="2"/>
      <c r="Z361" s="2"/>
      <c r="AA361" s="2"/>
      <c r="AB361" s="2"/>
      <c r="AC361" s="2"/>
      <c r="AD361" s="2"/>
      <c r="AE361" s="2"/>
      <c r="AF361" s="2"/>
      <c r="AG361" s="2"/>
      <c r="AH361" s="2"/>
      <c r="AI361" s="2"/>
      <c r="AJ361" s="2"/>
    </row>
    <row r="362" spans="1:36" ht="17.25" customHeight="1" x14ac:dyDescent="0.2">
      <c r="A362" s="27" t="s">
        <v>0</v>
      </c>
      <c r="B362" s="27" t="s">
        <v>103</v>
      </c>
      <c r="C362" s="3" t="s">
        <v>4182</v>
      </c>
      <c r="D362" s="27" t="s">
        <v>1353</v>
      </c>
      <c r="E362" s="27" t="s">
        <v>1354</v>
      </c>
      <c r="F362" s="2">
        <v>27</v>
      </c>
      <c r="G362" s="4" t="s">
        <v>34</v>
      </c>
      <c r="H362" s="2">
        <v>2010</v>
      </c>
      <c r="I362" s="2" t="s">
        <v>1382</v>
      </c>
      <c r="J362" s="2" t="s">
        <v>1356</v>
      </c>
      <c r="K362" s="2"/>
      <c r="L362" s="2"/>
      <c r="M362" s="2" t="s">
        <v>1126</v>
      </c>
      <c r="N362" s="2"/>
      <c r="O362" s="2"/>
      <c r="P362" s="2" t="s">
        <v>1127</v>
      </c>
      <c r="Q362" s="2" t="s">
        <v>1127</v>
      </c>
      <c r="R362" s="2"/>
      <c r="S362" s="2"/>
      <c r="T362" s="2"/>
      <c r="U362" s="2"/>
      <c r="V362" s="2"/>
      <c r="W362" s="2"/>
      <c r="X362" s="2"/>
      <c r="Y362" s="2"/>
      <c r="Z362" s="2"/>
      <c r="AA362" s="2"/>
      <c r="AB362" s="2"/>
      <c r="AC362" s="2"/>
      <c r="AD362" s="2"/>
      <c r="AE362" s="2"/>
      <c r="AF362" s="2"/>
      <c r="AG362" s="2"/>
      <c r="AH362" s="2"/>
      <c r="AI362" s="2"/>
      <c r="AJ362" s="2"/>
    </row>
    <row r="363" spans="1:36" ht="17.25" customHeight="1" x14ac:dyDescent="0.2">
      <c r="A363" s="27" t="s">
        <v>0</v>
      </c>
      <c r="B363" s="27" t="s">
        <v>33</v>
      </c>
      <c r="C363" s="3" t="s">
        <v>4182</v>
      </c>
      <c r="D363" s="27" t="s">
        <v>1353</v>
      </c>
      <c r="E363" s="27" t="s">
        <v>1354</v>
      </c>
      <c r="F363" s="2">
        <v>28</v>
      </c>
      <c r="G363" s="4" t="s">
        <v>46</v>
      </c>
      <c r="H363" s="2">
        <v>2011</v>
      </c>
      <c r="I363" s="2" t="s">
        <v>1383</v>
      </c>
      <c r="J363" s="2" t="s">
        <v>1356</v>
      </c>
      <c r="K363" s="2"/>
      <c r="L363" s="2"/>
      <c r="M363" s="2" t="s">
        <v>1126</v>
      </c>
      <c r="N363" s="2"/>
      <c r="O363" s="2"/>
      <c r="P363" s="2" t="s">
        <v>1127</v>
      </c>
      <c r="Q363" s="2" t="s">
        <v>1127</v>
      </c>
      <c r="R363" s="2"/>
      <c r="S363" s="2"/>
      <c r="T363" s="2"/>
      <c r="U363" s="2"/>
      <c r="V363" s="2"/>
      <c r="W363" s="2"/>
      <c r="X363" s="2"/>
      <c r="Y363" s="2"/>
      <c r="Z363" s="2"/>
      <c r="AA363" s="2"/>
      <c r="AB363" s="2"/>
      <c r="AC363" s="2"/>
      <c r="AD363" s="2"/>
      <c r="AE363" s="2"/>
      <c r="AF363" s="2"/>
      <c r="AG363" s="2"/>
      <c r="AH363" s="2"/>
      <c r="AI363" s="2"/>
      <c r="AJ363" s="2"/>
    </row>
    <row r="364" spans="1:36" ht="17.25" customHeight="1" x14ac:dyDescent="0.2">
      <c r="A364" s="27" t="s">
        <v>0</v>
      </c>
      <c r="B364" s="27" t="s">
        <v>27</v>
      </c>
      <c r="C364" s="3" t="s">
        <v>4182</v>
      </c>
      <c r="D364" s="27" t="s">
        <v>1353</v>
      </c>
      <c r="E364" s="27" t="s">
        <v>1354</v>
      </c>
      <c r="F364" s="2">
        <v>29</v>
      </c>
      <c r="G364" s="4" t="s">
        <v>61</v>
      </c>
      <c r="H364" s="2">
        <v>2012</v>
      </c>
      <c r="I364" s="2" t="s">
        <v>1384</v>
      </c>
      <c r="J364" s="2" t="s">
        <v>1356</v>
      </c>
      <c r="K364" s="2"/>
      <c r="L364" s="2"/>
      <c r="M364" s="2" t="s">
        <v>1126</v>
      </c>
      <c r="N364" s="2"/>
      <c r="O364" s="2"/>
      <c r="P364" s="2" t="s">
        <v>1127</v>
      </c>
      <c r="Q364" s="2" t="s">
        <v>1127</v>
      </c>
      <c r="R364" s="2"/>
      <c r="S364" s="2"/>
      <c r="T364" s="2"/>
      <c r="U364" s="2"/>
      <c r="V364" s="2"/>
      <c r="W364" s="2"/>
      <c r="X364" s="2"/>
      <c r="Y364" s="2"/>
      <c r="Z364" s="2"/>
      <c r="AA364" s="2"/>
      <c r="AB364" s="2"/>
      <c r="AC364" s="2"/>
      <c r="AD364" s="2"/>
      <c r="AE364" s="2"/>
      <c r="AF364" s="2"/>
      <c r="AG364" s="2"/>
      <c r="AH364" s="2"/>
      <c r="AI364" s="2"/>
      <c r="AJ364" s="2"/>
    </row>
    <row r="365" spans="1:36" ht="17.25" customHeight="1" x14ac:dyDescent="0.2">
      <c r="A365" s="27" t="s">
        <v>0</v>
      </c>
      <c r="B365" s="27" t="s">
        <v>54</v>
      </c>
      <c r="C365" s="3" t="s">
        <v>4182</v>
      </c>
      <c r="D365" s="27" t="s">
        <v>1353</v>
      </c>
      <c r="E365" s="27" t="s">
        <v>1354</v>
      </c>
      <c r="F365" s="2">
        <v>30</v>
      </c>
      <c r="G365" s="4" t="s">
        <v>86</v>
      </c>
      <c r="H365" s="2">
        <v>2013</v>
      </c>
      <c r="I365" s="2" t="s">
        <v>1385</v>
      </c>
      <c r="J365" s="2" t="s">
        <v>1356</v>
      </c>
      <c r="K365" s="2"/>
      <c r="L365" s="2"/>
      <c r="M365" s="2" t="s">
        <v>1126</v>
      </c>
      <c r="N365" s="2"/>
      <c r="O365" s="2"/>
      <c r="P365" s="2" t="s">
        <v>1127</v>
      </c>
      <c r="Q365" s="2" t="s">
        <v>1127</v>
      </c>
      <c r="R365" s="2"/>
      <c r="S365" s="2"/>
      <c r="T365" s="2"/>
      <c r="U365" s="2"/>
      <c r="V365" s="2"/>
      <c r="W365" s="2"/>
      <c r="X365" s="2"/>
      <c r="Y365" s="2"/>
      <c r="Z365" s="2"/>
      <c r="AA365" s="2"/>
      <c r="AB365" s="2"/>
      <c r="AC365" s="2"/>
      <c r="AD365" s="2"/>
      <c r="AE365" s="2"/>
      <c r="AF365" s="2"/>
      <c r="AG365" s="2"/>
      <c r="AH365" s="2"/>
      <c r="AI365" s="2"/>
      <c r="AJ365" s="2"/>
    </row>
    <row r="366" spans="1:36" ht="17.25" customHeight="1" x14ac:dyDescent="0.2">
      <c r="A366" s="27" t="s">
        <v>0</v>
      </c>
      <c r="B366" s="27" t="s">
        <v>57</v>
      </c>
      <c r="C366" s="3" t="s">
        <v>4182</v>
      </c>
      <c r="D366" s="27" t="s">
        <v>1353</v>
      </c>
      <c r="E366" s="27" t="s">
        <v>1354</v>
      </c>
      <c r="F366" s="2">
        <v>31</v>
      </c>
      <c r="G366" s="4" t="s">
        <v>22</v>
      </c>
      <c r="H366" s="2">
        <v>2014</v>
      </c>
      <c r="I366" s="2" t="s">
        <v>1386</v>
      </c>
      <c r="J366" s="2" t="s">
        <v>1356</v>
      </c>
      <c r="K366" s="2"/>
      <c r="L366" s="2"/>
      <c r="M366" s="2" t="s">
        <v>1126</v>
      </c>
      <c r="N366" s="2"/>
      <c r="O366" s="2"/>
      <c r="P366" s="2" t="s">
        <v>1127</v>
      </c>
      <c r="Q366" s="2" t="s">
        <v>1127</v>
      </c>
      <c r="R366" s="2"/>
      <c r="S366" s="2"/>
      <c r="T366" s="2"/>
      <c r="U366" s="2"/>
      <c r="V366" s="2"/>
      <c r="W366" s="2"/>
      <c r="X366" s="2"/>
      <c r="Y366" s="2"/>
      <c r="Z366" s="2"/>
      <c r="AA366" s="2"/>
      <c r="AB366" s="2"/>
      <c r="AC366" s="2"/>
      <c r="AD366" s="2"/>
      <c r="AE366" s="2"/>
      <c r="AF366" s="2"/>
      <c r="AG366" s="2"/>
      <c r="AH366" s="2"/>
      <c r="AI366" s="2"/>
      <c r="AJ366" s="2"/>
    </row>
    <row r="367" spans="1:36" ht="17.25" customHeight="1" x14ac:dyDescent="0.2">
      <c r="A367" s="27" t="s">
        <v>0</v>
      </c>
      <c r="B367" s="27" t="s">
        <v>18</v>
      </c>
      <c r="C367" s="3" t="s">
        <v>4182</v>
      </c>
      <c r="D367" s="27" t="s">
        <v>1353</v>
      </c>
      <c r="E367" s="27" t="s">
        <v>1354</v>
      </c>
      <c r="F367" s="2">
        <v>32</v>
      </c>
      <c r="G367" s="4" t="s">
        <v>28</v>
      </c>
      <c r="H367" s="2">
        <v>2015</v>
      </c>
      <c r="I367" s="2" t="s">
        <v>1387</v>
      </c>
      <c r="J367" s="2" t="s">
        <v>1356</v>
      </c>
      <c r="K367" s="2"/>
      <c r="L367" s="2"/>
      <c r="M367" s="2" t="s">
        <v>1126</v>
      </c>
      <c r="N367" s="2"/>
      <c r="O367" s="2"/>
      <c r="P367" s="2" t="s">
        <v>1127</v>
      </c>
      <c r="Q367" s="2" t="s">
        <v>1127</v>
      </c>
      <c r="R367" s="2"/>
      <c r="S367" s="2"/>
      <c r="T367" s="2"/>
      <c r="U367" s="2"/>
      <c r="V367" s="2"/>
      <c r="W367" s="2"/>
      <c r="X367" s="2"/>
      <c r="Y367" s="2"/>
      <c r="Z367" s="2"/>
      <c r="AA367" s="2"/>
      <c r="AB367" s="2"/>
      <c r="AC367" s="2"/>
      <c r="AD367" s="2"/>
      <c r="AE367" s="2"/>
      <c r="AF367" s="2"/>
      <c r="AG367" s="2"/>
      <c r="AH367" s="2"/>
      <c r="AI367" s="2"/>
      <c r="AJ367" s="2"/>
    </row>
    <row r="368" spans="1:36" ht="17.25" customHeight="1" x14ac:dyDescent="0.2">
      <c r="A368" s="27" t="s">
        <v>0</v>
      </c>
      <c r="B368" s="27" t="s">
        <v>75</v>
      </c>
      <c r="C368" s="3" t="s">
        <v>4182</v>
      </c>
      <c r="D368" s="27" t="s">
        <v>1353</v>
      </c>
      <c r="E368" s="27" t="s">
        <v>1354</v>
      </c>
      <c r="F368" s="2">
        <v>33</v>
      </c>
      <c r="G368" s="4" t="s">
        <v>76</v>
      </c>
      <c r="H368" s="2">
        <v>2016</v>
      </c>
      <c r="I368" s="2" t="s">
        <v>1388</v>
      </c>
      <c r="J368" s="2" t="s">
        <v>1356</v>
      </c>
      <c r="K368" s="2"/>
      <c r="L368" s="2"/>
      <c r="M368" s="2" t="s">
        <v>1126</v>
      </c>
      <c r="N368" s="2"/>
      <c r="O368" s="2"/>
      <c r="P368" s="2" t="s">
        <v>1127</v>
      </c>
      <c r="Q368" s="2" t="s">
        <v>1127</v>
      </c>
      <c r="R368" s="2"/>
      <c r="S368" s="2"/>
      <c r="T368" s="2"/>
      <c r="U368" s="2"/>
      <c r="V368" s="2"/>
      <c r="W368" s="2"/>
      <c r="X368" s="2"/>
      <c r="Y368" s="2"/>
      <c r="Z368" s="2"/>
      <c r="AA368" s="2"/>
      <c r="AB368" s="2"/>
      <c r="AC368" s="2"/>
      <c r="AD368" s="2"/>
      <c r="AE368" s="2"/>
      <c r="AF368" s="2"/>
      <c r="AG368" s="2"/>
      <c r="AH368" s="2"/>
      <c r="AI368" s="2"/>
      <c r="AJ368" s="2"/>
    </row>
    <row r="369" spans="1:36" ht="17.25" customHeight="1" x14ac:dyDescent="0.2">
      <c r="A369" s="26" t="s">
        <v>0</v>
      </c>
      <c r="B369" s="26" t="s">
        <v>15</v>
      </c>
      <c r="C369" s="3" t="s">
        <v>4182</v>
      </c>
      <c r="D369" s="26" t="s">
        <v>1128</v>
      </c>
      <c r="E369" s="26" t="s">
        <v>1129</v>
      </c>
      <c r="F369" s="2">
        <v>1</v>
      </c>
      <c r="G369" s="4" t="s">
        <v>40</v>
      </c>
      <c r="H369" s="2">
        <v>1984</v>
      </c>
      <c r="I369" s="2" t="s">
        <v>1130</v>
      </c>
      <c r="J369" s="2" t="s">
        <v>1131</v>
      </c>
      <c r="K369" s="2"/>
      <c r="L369" s="2"/>
      <c r="M369" s="2" t="s">
        <v>1132</v>
      </c>
      <c r="N369" s="2"/>
      <c r="O369" s="2"/>
      <c r="P369" s="2" t="s">
        <v>1127</v>
      </c>
      <c r="Q369" s="2" t="s">
        <v>1127</v>
      </c>
      <c r="R369" s="2"/>
      <c r="S369" s="2"/>
      <c r="T369" s="2"/>
      <c r="U369" s="2"/>
      <c r="V369" s="2"/>
      <c r="W369" s="2"/>
      <c r="X369" s="2"/>
      <c r="Y369" s="2"/>
      <c r="Z369" s="2"/>
      <c r="AA369" s="2"/>
      <c r="AB369" s="2"/>
      <c r="AC369" s="2"/>
      <c r="AD369" s="2"/>
      <c r="AE369" s="2"/>
      <c r="AF369" s="2"/>
      <c r="AG369" s="2"/>
      <c r="AH369" s="2"/>
      <c r="AI369" s="2"/>
      <c r="AJ369" s="2"/>
    </row>
    <row r="370" spans="1:36" ht="17.25" customHeight="1" x14ac:dyDescent="0.2">
      <c r="A370" s="26" t="s">
        <v>0</v>
      </c>
      <c r="B370" s="26" t="s">
        <v>30</v>
      </c>
      <c r="C370" s="3" t="s">
        <v>4182</v>
      </c>
      <c r="D370" s="26" t="s">
        <v>1128</v>
      </c>
      <c r="E370" s="26" t="s">
        <v>1129</v>
      </c>
      <c r="F370" s="2">
        <v>2</v>
      </c>
      <c r="G370" s="4" t="s">
        <v>37</v>
      </c>
      <c r="H370" s="2">
        <v>1985</v>
      </c>
      <c r="I370" s="2" t="s">
        <v>1133</v>
      </c>
      <c r="J370" s="2" t="s">
        <v>1131</v>
      </c>
      <c r="K370" s="2"/>
      <c r="L370" s="2"/>
      <c r="M370" s="2" t="s">
        <v>1132</v>
      </c>
      <c r="N370" s="2"/>
      <c r="O370" s="2"/>
      <c r="P370" s="2" t="s">
        <v>1127</v>
      </c>
      <c r="Q370" s="2" t="s">
        <v>1127</v>
      </c>
      <c r="R370" s="2"/>
      <c r="S370" s="2"/>
      <c r="T370" s="2"/>
      <c r="U370" s="2"/>
      <c r="V370" s="2"/>
      <c r="W370" s="2"/>
      <c r="X370" s="2"/>
      <c r="Y370" s="2"/>
      <c r="Z370" s="2"/>
      <c r="AA370" s="2"/>
      <c r="AB370" s="2"/>
      <c r="AC370" s="2"/>
      <c r="AD370" s="2"/>
      <c r="AE370" s="2"/>
      <c r="AF370" s="2"/>
      <c r="AG370" s="2"/>
      <c r="AH370" s="2"/>
      <c r="AI370" s="2"/>
      <c r="AJ370" s="2"/>
    </row>
    <row r="371" spans="1:36" ht="17.25" customHeight="1" x14ac:dyDescent="0.2">
      <c r="A371" s="26" t="s">
        <v>0</v>
      </c>
      <c r="B371" s="26" t="s">
        <v>94</v>
      </c>
      <c r="C371" s="3" t="s">
        <v>4182</v>
      </c>
      <c r="D371" s="26" t="s">
        <v>1128</v>
      </c>
      <c r="E371" s="26" t="s">
        <v>1129</v>
      </c>
      <c r="F371" s="2">
        <v>3</v>
      </c>
      <c r="G371" s="4" t="s">
        <v>80</v>
      </c>
      <c r="H371" s="2">
        <v>1986</v>
      </c>
      <c r="I371" s="2" t="s">
        <v>1134</v>
      </c>
      <c r="J371" s="2" t="s">
        <v>1131</v>
      </c>
      <c r="K371" s="2"/>
      <c r="L371" s="2"/>
      <c r="M371" s="2" t="s">
        <v>1132</v>
      </c>
      <c r="N371" s="2"/>
      <c r="O371" s="2"/>
      <c r="P371" s="2" t="s">
        <v>1127</v>
      </c>
      <c r="Q371" s="2" t="s">
        <v>1127</v>
      </c>
      <c r="R371" s="2"/>
      <c r="S371" s="2"/>
      <c r="T371" s="2"/>
      <c r="U371" s="2"/>
      <c r="V371" s="2"/>
      <c r="W371" s="2"/>
      <c r="X371" s="2"/>
      <c r="Y371" s="2"/>
      <c r="Z371" s="2"/>
      <c r="AA371" s="2"/>
      <c r="AB371" s="2"/>
      <c r="AC371" s="2"/>
      <c r="AD371" s="2"/>
      <c r="AE371" s="2"/>
      <c r="AF371" s="2"/>
      <c r="AG371" s="2"/>
      <c r="AH371" s="2"/>
      <c r="AI371" s="2"/>
      <c r="AJ371" s="2"/>
    </row>
    <row r="372" spans="1:36" ht="17.25" customHeight="1" x14ac:dyDescent="0.2">
      <c r="A372" s="26" t="s">
        <v>0</v>
      </c>
      <c r="B372" s="26" t="s">
        <v>1</v>
      </c>
      <c r="C372" s="3" t="s">
        <v>4182</v>
      </c>
      <c r="D372" s="26" t="s">
        <v>1128</v>
      </c>
      <c r="E372" s="26" t="s">
        <v>1129</v>
      </c>
      <c r="F372" s="2">
        <v>4</v>
      </c>
      <c r="G372" s="4" t="s">
        <v>31</v>
      </c>
      <c r="H372" s="2">
        <v>1987</v>
      </c>
      <c r="I372" s="2" t="s">
        <v>1135</v>
      </c>
      <c r="J372" s="2" t="s">
        <v>1131</v>
      </c>
      <c r="K372" s="2"/>
      <c r="L372" s="2"/>
      <c r="M372" s="2" t="s">
        <v>1132</v>
      </c>
      <c r="N372" s="2"/>
      <c r="O372" s="2"/>
      <c r="P372" s="2" t="s">
        <v>1127</v>
      </c>
      <c r="Q372" s="2" t="s">
        <v>1127</v>
      </c>
      <c r="R372" s="2"/>
      <c r="S372" s="2"/>
      <c r="T372" s="2"/>
      <c r="U372" s="2"/>
      <c r="V372" s="2"/>
      <c r="W372" s="2"/>
      <c r="X372" s="2"/>
      <c r="Y372" s="2"/>
      <c r="Z372" s="2"/>
      <c r="AA372" s="2"/>
      <c r="AB372" s="2"/>
      <c r="AC372" s="2"/>
      <c r="AD372" s="2"/>
      <c r="AE372" s="2"/>
      <c r="AF372" s="2"/>
      <c r="AG372" s="2"/>
      <c r="AH372" s="2"/>
      <c r="AI372" s="2"/>
      <c r="AJ372" s="2"/>
    </row>
    <row r="373" spans="1:36" ht="17.25" customHeight="1" x14ac:dyDescent="0.2">
      <c r="A373" s="26" t="s">
        <v>0</v>
      </c>
      <c r="B373" s="26" t="s">
        <v>48</v>
      </c>
      <c r="C373" s="3" t="s">
        <v>4182</v>
      </c>
      <c r="D373" s="26" t="s">
        <v>1128</v>
      </c>
      <c r="E373" s="26" t="s">
        <v>1129</v>
      </c>
      <c r="F373" s="2">
        <v>5</v>
      </c>
      <c r="G373" s="4" t="s">
        <v>13</v>
      </c>
      <c r="H373" s="2">
        <v>1988</v>
      </c>
      <c r="I373" s="2" t="s">
        <v>1136</v>
      </c>
      <c r="J373" s="2" t="s">
        <v>1131</v>
      </c>
      <c r="K373" s="2"/>
      <c r="L373" s="2"/>
      <c r="M373" s="2" t="s">
        <v>1132</v>
      </c>
      <c r="N373" s="2"/>
      <c r="O373" s="2"/>
      <c r="P373" s="2" t="s">
        <v>1127</v>
      </c>
      <c r="Q373" s="2" t="s">
        <v>1127</v>
      </c>
      <c r="R373" s="2"/>
      <c r="S373" s="2"/>
      <c r="T373" s="2"/>
      <c r="U373" s="2"/>
      <c r="V373" s="2"/>
      <c r="W373" s="2"/>
      <c r="X373" s="2"/>
      <c r="Y373" s="2"/>
      <c r="Z373" s="2"/>
      <c r="AA373" s="2"/>
      <c r="AB373" s="2"/>
      <c r="AC373" s="2"/>
      <c r="AD373" s="2"/>
      <c r="AE373" s="2"/>
      <c r="AF373" s="2"/>
      <c r="AG373" s="2"/>
      <c r="AH373" s="2"/>
      <c r="AI373" s="2"/>
      <c r="AJ373" s="2"/>
    </row>
    <row r="374" spans="1:36" ht="17.25" customHeight="1" x14ac:dyDescent="0.2">
      <c r="A374" s="26" t="s">
        <v>0</v>
      </c>
      <c r="B374" s="26" t="s">
        <v>60</v>
      </c>
      <c r="C374" s="3" t="s">
        <v>4182</v>
      </c>
      <c r="D374" s="26" t="s">
        <v>1128</v>
      </c>
      <c r="E374" s="26" t="s">
        <v>1129</v>
      </c>
      <c r="F374" s="2">
        <v>6</v>
      </c>
      <c r="G374" s="4" t="s">
        <v>49</v>
      </c>
      <c r="H374" s="2">
        <v>1989</v>
      </c>
      <c r="I374" s="2" t="s">
        <v>1137</v>
      </c>
      <c r="J374" s="2" t="s">
        <v>1131</v>
      </c>
      <c r="K374" s="2"/>
      <c r="L374" s="2"/>
      <c r="M374" s="2" t="s">
        <v>1132</v>
      </c>
      <c r="N374" s="2"/>
      <c r="O374" s="2"/>
      <c r="P374" s="2" t="s">
        <v>1127</v>
      </c>
      <c r="Q374" s="2" t="s">
        <v>1127</v>
      </c>
      <c r="R374" s="2"/>
      <c r="S374" s="2"/>
      <c r="T374" s="2"/>
      <c r="U374" s="2"/>
      <c r="V374" s="2"/>
      <c r="W374" s="2"/>
      <c r="X374" s="2"/>
      <c r="Y374" s="2"/>
      <c r="Z374" s="2"/>
      <c r="AA374" s="2"/>
      <c r="AB374" s="2"/>
      <c r="AC374" s="2"/>
      <c r="AD374" s="2"/>
      <c r="AE374" s="2"/>
      <c r="AF374" s="2"/>
      <c r="AG374" s="2"/>
      <c r="AH374" s="2"/>
      <c r="AI374" s="2"/>
      <c r="AJ374" s="2"/>
    </row>
    <row r="375" spans="1:36" ht="17.25" customHeight="1" x14ac:dyDescent="0.2">
      <c r="A375" s="26" t="s">
        <v>0</v>
      </c>
      <c r="B375" s="26" t="s">
        <v>51</v>
      </c>
      <c r="C375" s="3" t="s">
        <v>4182</v>
      </c>
      <c r="D375" s="26" t="s">
        <v>1128</v>
      </c>
      <c r="E375" s="26" t="s">
        <v>1129</v>
      </c>
      <c r="F375" s="2">
        <v>7</v>
      </c>
      <c r="G375" s="4" t="s">
        <v>101</v>
      </c>
      <c r="H375" s="2">
        <v>1990</v>
      </c>
      <c r="I375" s="2" t="s">
        <v>1138</v>
      </c>
      <c r="J375" s="2" t="s">
        <v>1131</v>
      </c>
      <c r="K375" s="2"/>
      <c r="L375" s="2"/>
      <c r="M375" s="2" t="s">
        <v>1132</v>
      </c>
      <c r="N375" s="2"/>
      <c r="O375" s="2"/>
      <c r="P375" s="2" t="s">
        <v>1127</v>
      </c>
      <c r="Q375" s="2" t="s">
        <v>1127</v>
      </c>
      <c r="R375" s="2"/>
      <c r="S375" s="2"/>
      <c r="T375" s="2"/>
      <c r="U375" s="2"/>
      <c r="V375" s="2"/>
      <c r="W375" s="2"/>
      <c r="X375" s="2"/>
      <c r="Y375" s="2"/>
      <c r="Z375" s="2"/>
      <c r="AA375" s="2"/>
      <c r="AB375" s="2"/>
      <c r="AC375" s="2"/>
      <c r="AD375" s="2"/>
      <c r="AE375" s="2"/>
      <c r="AF375" s="2"/>
      <c r="AG375" s="2"/>
      <c r="AH375" s="2"/>
      <c r="AI375" s="2"/>
      <c r="AJ375" s="2"/>
    </row>
    <row r="376" spans="1:36" ht="17.25" customHeight="1" x14ac:dyDescent="0.2">
      <c r="A376" s="26" t="s">
        <v>0</v>
      </c>
      <c r="B376" s="26" t="s">
        <v>24</v>
      </c>
      <c r="C376" s="3" t="s">
        <v>4182</v>
      </c>
      <c r="D376" s="26" t="s">
        <v>1128</v>
      </c>
      <c r="E376" s="26" t="s">
        <v>1129</v>
      </c>
      <c r="F376" s="2">
        <v>8</v>
      </c>
      <c r="G376" s="4" t="s">
        <v>10</v>
      </c>
      <c r="H376" s="2">
        <v>1991</v>
      </c>
      <c r="I376" s="2" t="s">
        <v>1139</v>
      </c>
      <c r="J376" s="2" t="s">
        <v>1131</v>
      </c>
      <c r="K376" s="2"/>
      <c r="L376" s="2"/>
      <c r="M376" s="2" t="s">
        <v>1132</v>
      </c>
      <c r="N376" s="2"/>
      <c r="O376" s="2"/>
      <c r="P376" s="2" t="s">
        <v>1127</v>
      </c>
      <c r="Q376" s="2" t="s">
        <v>1127</v>
      </c>
      <c r="R376" s="2"/>
      <c r="S376" s="2"/>
      <c r="T376" s="2"/>
      <c r="U376" s="2"/>
      <c r="V376" s="2"/>
      <c r="W376" s="2"/>
      <c r="X376" s="2"/>
      <c r="Y376" s="2"/>
      <c r="Z376" s="2"/>
      <c r="AA376" s="2"/>
      <c r="AB376" s="2"/>
      <c r="AC376" s="2"/>
      <c r="AD376" s="2"/>
      <c r="AE376" s="2"/>
      <c r="AF376" s="2"/>
      <c r="AG376" s="2"/>
      <c r="AH376" s="2"/>
      <c r="AI376" s="2"/>
      <c r="AJ376" s="2"/>
    </row>
    <row r="377" spans="1:36" ht="17.25" customHeight="1" x14ac:dyDescent="0.2">
      <c r="A377" s="26" t="s">
        <v>0</v>
      </c>
      <c r="B377" s="26" t="s">
        <v>85</v>
      </c>
      <c r="C377" s="3" t="s">
        <v>4182</v>
      </c>
      <c r="D377" s="26" t="s">
        <v>1128</v>
      </c>
      <c r="E377" s="26" t="s">
        <v>1129</v>
      </c>
      <c r="F377" s="2">
        <v>9</v>
      </c>
      <c r="G377" s="4" t="s">
        <v>55</v>
      </c>
      <c r="H377" s="2">
        <v>1992</v>
      </c>
      <c r="I377" s="2" t="s">
        <v>1140</v>
      </c>
      <c r="J377" s="2" t="s">
        <v>1131</v>
      </c>
      <c r="K377" s="2"/>
      <c r="L377" s="2"/>
      <c r="M377" s="2" t="s">
        <v>1132</v>
      </c>
      <c r="N377" s="2"/>
      <c r="O377" s="2"/>
      <c r="P377" s="2" t="s">
        <v>1127</v>
      </c>
      <c r="Q377" s="2" t="s">
        <v>1127</v>
      </c>
      <c r="R377" s="2"/>
      <c r="S377" s="2"/>
      <c r="T377" s="2"/>
      <c r="U377" s="2"/>
      <c r="V377" s="2"/>
      <c r="W377" s="2"/>
      <c r="X377" s="2"/>
      <c r="Y377" s="2"/>
      <c r="Z377" s="2"/>
      <c r="AA377" s="2"/>
      <c r="AB377" s="2"/>
      <c r="AC377" s="2"/>
      <c r="AD377" s="2"/>
      <c r="AE377" s="2"/>
      <c r="AF377" s="2"/>
      <c r="AG377" s="2"/>
      <c r="AH377" s="2"/>
      <c r="AI377" s="2"/>
      <c r="AJ377" s="2"/>
    </row>
    <row r="378" spans="1:36" ht="17.25" customHeight="1" x14ac:dyDescent="0.2">
      <c r="A378" s="26" t="s">
        <v>0</v>
      </c>
      <c r="B378" s="26" t="s">
        <v>45</v>
      </c>
      <c r="C378" s="3" t="s">
        <v>4182</v>
      </c>
      <c r="D378" s="26" t="s">
        <v>1128</v>
      </c>
      <c r="E378" s="26" t="s">
        <v>1129</v>
      </c>
      <c r="F378" s="2">
        <v>10</v>
      </c>
      <c r="G378" s="4" t="s">
        <v>98</v>
      </c>
      <c r="H378" s="2">
        <v>1993</v>
      </c>
      <c r="I378" s="2" t="s">
        <v>1141</v>
      </c>
      <c r="J378" s="2" t="s">
        <v>1131</v>
      </c>
      <c r="K378" s="2"/>
      <c r="L378" s="2"/>
      <c r="M378" s="2" t="s">
        <v>1132</v>
      </c>
      <c r="N378" s="2"/>
      <c r="O378" s="2"/>
      <c r="P378" s="2" t="s">
        <v>1127</v>
      </c>
      <c r="Q378" s="2" t="s">
        <v>1127</v>
      </c>
      <c r="R378" s="2"/>
      <c r="S378" s="2"/>
      <c r="T378" s="2"/>
      <c r="U378" s="2"/>
      <c r="V378" s="2"/>
      <c r="W378" s="2"/>
      <c r="X378" s="2"/>
      <c r="Y378" s="2"/>
      <c r="Z378" s="2"/>
      <c r="AA378" s="2"/>
      <c r="AB378" s="2"/>
      <c r="AC378" s="2"/>
      <c r="AD378" s="2"/>
      <c r="AE378" s="2"/>
      <c r="AF378" s="2"/>
      <c r="AG378" s="2"/>
      <c r="AH378" s="2"/>
      <c r="AI378" s="2"/>
      <c r="AJ378" s="2"/>
    </row>
    <row r="379" spans="1:36" ht="17.25" customHeight="1" x14ac:dyDescent="0.2">
      <c r="A379" s="26" t="s">
        <v>0</v>
      </c>
      <c r="B379" s="26" t="s">
        <v>42</v>
      </c>
      <c r="C379" s="3" t="s">
        <v>4182</v>
      </c>
      <c r="D379" s="26" t="s">
        <v>1128</v>
      </c>
      <c r="E379" s="26" t="s">
        <v>1129</v>
      </c>
      <c r="F379" s="2">
        <v>11</v>
      </c>
      <c r="G379" s="4" t="s">
        <v>104</v>
      </c>
      <c r="H379" s="2">
        <v>1994</v>
      </c>
      <c r="I379" s="2" t="s">
        <v>1142</v>
      </c>
      <c r="J379" s="2" t="s">
        <v>1131</v>
      </c>
      <c r="K379" s="2"/>
      <c r="L379" s="2"/>
      <c r="M379" s="2" t="s">
        <v>1132</v>
      </c>
      <c r="N379" s="2"/>
      <c r="O379" s="2"/>
      <c r="P379" s="2" t="s">
        <v>1127</v>
      </c>
      <c r="Q379" s="2" t="s">
        <v>1127</v>
      </c>
      <c r="R379" s="2"/>
      <c r="S379" s="2"/>
      <c r="T379" s="2"/>
      <c r="U379" s="2"/>
      <c r="V379" s="2"/>
      <c r="W379" s="2"/>
      <c r="X379" s="2"/>
      <c r="Y379" s="2"/>
      <c r="Z379" s="2"/>
      <c r="AA379" s="2"/>
      <c r="AB379" s="2"/>
      <c r="AC379" s="2"/>
      <c r="AD379" s="2"/>
      <c r="AE379" s="2"/>
      <c r="AF379" s="2"/>
      <c r="AG379" s="2"/>
      <c r="AH379" s="2"/>
      <c r="AI379" s="2"/>
      <c r="AJ379" s="2"/>
    </row>
    <row r="380" spans="1:36" ht="17.25" customHeight="1" x14ac:dyDescent="0.2">
      <c r="A380" s="26" t="s">
        <v>0</v>
      </c>
      <c r="B380" s="26" t="s">
        <v>82</v>
      </c>
      <c r="C380" s="3" t="s">
        <v>4182</v>
      </c>
      <c r="D380" s="26" t="s">
        <v>1128</v>
      </c>
      <c r="E380" s="26" t="s">
        <v>1129</v>
      </c>
      <c r="F380" s="2">
        <v>12</v>
      </c>
      <c r="G380" s="4" t="s">
        <v>89</v>
      </c>
      <c r="H380" s="2">
        <v>1995</v>
      </c>
      <c r="I380" s="2" t="s">
        <v>1143</v>
      </c>
      <c r="J380" s="2" t="s">
        <v>1131</v>
      </c>
      <c r="K380" s="2"/>
      <c r="L380" s="2"/>
      <c r="M380" s="2" t="s">
        <v>1132</v>
      </c>
      <c r="N380" s="2"/>
      <c r="O380" s="2"/>
      <c r="P380" s="2" t="s">
        <v>1127</v>
      </c>
      <c r="Q380" s="2" t="s">
        <v>1127</v>
      </c>
      <c r="R380" s="2"/>
      <c r="S380" s="2"/>
      <c r="T380" s="2"/>
      <c r="U380" s="2"/>
      <c r="V380" s="2"/>
      <c r="W380" s="2"/>
      <c r="X380" s="2"/>
      <c r="Y380" s="2"/>
      <c r="Z380" s="2"/>
      <c r="AA380" s="2"/>
      <c r="AB380" s="2"/>
      <c r="AC380" s="2"/>
      <c r="AD380" s="2"/>
      <c r="AE380" s="2"/>
      <c r="AF380" s="2"/>
      <c r="AG380" s="2"/>
      <c r="AH380" s="2"/>
      <c r="AI380" s="2"/>
      <c r="AJ380" s="2"/>
    </row>
    <row r="381" spans="1:36" ht="17.25" customHeight="1" x14ac:dyDescent="0.2">
      <c r="A381" s="26" t="s">
        <v>0</v>
      </c>
      <c r="B381" s="26" t="s">
        <v>12</v>
      </c>
      <c r="C381" s="3" t="s">
        <v>4182</v>
      </c>
      <c r="D381" s="26" t="s">
        <v>1128</v>
      </c>
      <c r="E381" s="26" t="s">
        <v>1129</v>
      </c>
      <c r="F381" s="2">
        <v>13</v>
      </c>
      <c r="G381" s="4" t="s">
        <v>107</v>
      </c>
      <c r="H381" s="2">
        <v>1996</v>
      </c>
      <c r="I381" s="2" t="s">
        <v>1144</v>
      </c>
      <c r="J381" s="2" t="s">
        <v>1131</v>
      </c>
      <c r="K381" s="2"/>
      <c r="L381" s="2"/>
      <c r="M381" s="2" t="s">
        <v>1132</v>
      </c>
      <c r="N381" s="2"/>
      <c r="O381" s="2"/>
      <c r="P381" s="2" t="s">
        <v>1127</v>
      </c>
      <c r="Q381" s="2" t="s">
        <v>1127</v>
      </c>
      <c r="R381" s="2"/>
      <c r="S381" s="2"/>
      <c r="T381" s="2"/>
      <c r="U381" s="2"/>
      <c r="V381" s="2"/>
      <c r="W381" s="2"/>
      <c r="X381" s="2"/>
      <c r="Y381" s="2"/>
      <c r="Z381" s="2"/>
      <c r="AA381" s="2"/>
      <c r="AB381" s="2"/>
      <c r="AC381" s="2"/>
      <c r="AD381" s="2"/>
      <c r="AE381" s="2"/>
      <c r="AF381" s="2"/>
      <c r="AG381" s="2"/>
      <c r="AH381" s="2"/>
      <c r="AI381" s="2"/>
      <c r="AJ381" s="2"/>
    </row>
    <row r="382" spans="1:36" ht="17.25" customHeight="1" x14ac:dyDescent="0.2">
      <c r="A382" s="26" t="s">
        <v>0</v>
      </c>
      <c r="B382" s="26" t="s">
        <v>88</v>
      </c>
      <c r="C382" s="3" t="s">
        <v>4182</v>
      </c>
      <c r="D382" s="26" t="s">
        <v>1128</v>
      </c>
      <c r="E382" s="26" t="s">
        <v>1129</v>
      </c>
      <c r="F382" s="2">
        <v>14</v>
      </c>
      <c r="G382" s="4" t="s">
        <v>43</v>
      </c>
      <c r="H382" s="2">
        <v>1997</v>
      </c>
      <c r="I382" s="2" t="s">
        <v>1145</v>
      </c>
      <c r="J382" s="2" t="s">
        <v>1131</v>
      </c>
      <c r="K382" s="2"/>
      <c r="L382" s="2"/>
      <c r="M382" s="2" t="s">
        <v>1132</v>
      </c>
      <c r="N382" s="2"/>
      <c r="O382" s="2"/>
      <c r="P382" s="2" t="s">
        <v>1127</v>
      </c>
      <c r="Q382" s="2" t="s">
        <v>1127</v>
      </c>
      <c r="R382" s="2"/>
      <c r="S382" s="2"/>
      <c r="T382" s="2"/>
      <c r="U382" s="2"/>
      <c r="V382" s="2"/>
      <c r="W382" s="2"/>
      <c r="X382" s="2"/>
      <c r="Y382" s="2"/>
      <c r="Z382" s="2"/>
      <c r="AA382" s="2"/>
      <c r="AB382" s="2"/>
      <c r="AC382" s="2"/>
      <c r="AD382" s="2"/>
      <c r="AE382" s="2"/>
      <c r="AF382" s="2"/>
      <c r="AG382" s="2"/>
      <c r="AH382" s="2"/>
      <c r="AI382" s="2"/>
      <c r="AJ382" s="2"/>
    </row>
    <row r="383" spans="1:36" ht="17.25" customHeight="1" x14ac:dyDescent="0.2">
      <c r="A383" s="26" t="s">
        <v>0</v>
      </c>
      <c r="B383" s="26" t="s">
        <v>21</v>
      </c>
      <c r="C383" s="3" t="s">
        <v>4182</v>
      </c>
      <c r="D383" s="26" t="s">
        <v>1128</v>
      </c>
      <c r="E383" s="26" t="s">
        <v>1129</v>
      </c>
      <c r="F383" s="2">
        <v>15</v>
      </c>
      <c r="G383" s="4" t="s">
        <v>19</v>
      </c>
      <c r="H383" s="2">
        <v>1998</v>
      </c>
      <c r="I383" s="2" t="s">
        <v>1146</v>
      </c>
      <c r="J383" s="2" t="s">
        <v>1131</v>
      </c>
      <c r="K383" s="2"/>
      <c r="L383" s="2"/>
      <c r="M383" s="2" t="s">
        <v>1132</v>
      </c>
      <c r="N383" s="2"/>
      <c r="O383" s="2"/>
      <c r="P383" s="2" t="s">
        <v>1127</v>
      </c>
      <c r="Q383" s="2" t="s">
        <v>1127</v>
      </c>
      <c r="R383" s="2"/>
      <c r="S383" s="2"/>
      <c r="T383" s="2"/>
      <c r="U383" s="2"/>
      <c r="V383" s="2"/>
      <c r="W383" s="2"/>
      <c r="X383" s="2"/>
      <c r="Y383" s="2"/>
      <c r="Z383" s="2"/>
      <c r="AA383" s="2"/>
      <c r="AB383" s="2"/>
      <c r="AC383" s="2"/>
      <c r="AD383" s="2"/>
      <c r="AE383" s="2"/>
      <c r="AF383" s="2"/>
      <c r="AG383" s="2"/>
      <c r="AH383" s="2"/>
      <c r="AI383" s="2"/>
      <c r="AJ383" s="2"/>
    </row>
    <row r="384" spans="1:36" ht="17.25" customHeight="1" x14ac:dyDescent="0.2">
      <c r="A384" s="26" t="s">
        <v>0</v>
      </c>
      <c r="B384" s="26" t="s">
        <v>9</v>
      </c>
      <c r="C384" s="3" t="s">
        <v>4182</v>
      </c>
      <c r="D384" s="26" t="s">
        <v>1128</v>
      </c>
      <c r="E384" s="26" t="s">
        <v>1129</v>
      </c>
      <c r="F384" s="2">
        <v>16</v>
      </c>
      <c r="G384" s="4" t="s">
        <v>25</v>
      </c>
      <c r="H384" s="2">
        <v>1999</v>
      </c>
      <c r="I384" s="2" t="s">
        <v>1147</v>
      </c>
      <c r="J384" s="2" t="s">
        <v>1131</v>
      </c>
      <c r="K384" s="2"/>
      <c r="L384" s="2"/>
      <c r="M384" s="2" t="s">
        <v>1132</v>
      </c>
      <c r="N384" s="2"/>
      <c r="O384" s="2"/>
      <c r="P384" s="2" t="s">
        <v>1127</v>
      </c>
      <c r="Q384" s="2" t="s">
        <v>1127</v>
      </c>
      <c r="R384" s="2"/>
      <c r="S384" s="2"/>
      <c r="T384" s="2"/>
      <c r="U384" s="2"/>
      <c r="V384" s="2"/>
      <c r="W384" s="2"/>
      <c r="X384" s="2"/>
      <c r="Y384" s="2"/>
      <c r="Z384" s="2"/>
      <c r="AA384" s="2"/>
      <c r="AB384" s="2"/>
      <c r="AC384" s="2"/>
      <c r="AD384" s="2"/>
      <c r="AE384" s="2"/>
      <c r="AF384" s="2"/>
      <c r="AG384" s="2"/>
      <c r="AH384" s="2"/>
      <c r="AI384" s="2"/>
      <c r="AJ384" s="2"/>
    </row>
    <row r="385" spans="1:36" ht="17.25" customHeight="1" x14ac:dyDescent="0.2">
      <c r="A385" s="26" t="s">
        <v>0</v>
      </c>
      <c r="B385" s="26" t="s">
        <v>72</v>
      </c>
      <c r="C385" s="3" t="s">
        <v>4182</v>
      </c>
      <c r="D385" s="26" t="s">
        <v>1128</v>
      </c>
      <c r="E385" s="26" t="s">
        <v>1129</v>
      </c>
      <c r="F385" s="2">
        <v>17</v>
      </c>
      <c r="G385" s="4" t="s">
        <v>73</v>
      </c>
      <c r="H385" s="2">
        <v>2000</v>
      </c>
      <c r="I385" s="2" t="s">
        <v>1148</v>
      </c>
      <c r="J385" s="2" t="s">
        <v>1131</v>
      </c>
      <c r="K385" s="2"/>
      <c r="L385" s="2"/>
      <c r="M385" s="2" t="s">
        <v>1132</v>
      </c>
      <c r="N385" s="2"/>
      <c r="O385" s="2"/>
      <c r="P385" s="2" t="s">
        <v>1127</v>
      </c>
      <c r="Q385" s="2" t="s">
        <v>1127</v>
      </c>
      <c r="R385" s="2"/>
      <c r="S385" s="2"/>
      <c r="T385" s="2"/>
      <c r="U385" s="2"/>
      <c r="V385" s="2"/>
      <c r="W385" s="2"/>
      <c r="X385" s="2"/>
      <c r="Y385" s="2"/>
      <c r="Z385" s="2"/>
      <c r="AA385" s="2"/>
      <c r="AB385" s="2"/>
      <c r="AC385" s="2"/>
      <c r="AD385" s="2"/>
      <c r="AE385" s="2"/>
      <c r="AF385" s="2"/>
      <c r="AG385" s="2"/>
      <c r="AH385" s="2"/>
      <c r="AI385" s="2"/>
      <c r="AJ385" s="2"/>
    </row>
    <row r="386" spans="1:36" ht="17.25" customHeight="1" x14ac:dyDescent="0.2">
      <c r="A386" s="26" t="s">
        <v>0</v>
      </c>
      <c r="B386" s="26" t="s">
        <v>106</v>
      </c>
      <c r="C386" s="3" t="s">
        <v>4182</v>
      </c>
      <c r="D386" s="26" t="s">
        <v>1128</v>
      </c>
      <c r="E386" s="26" t="s">
        <v>1129</v>
      </c>
      <c r="F386" s="2">
        <v>18</v>
      </c>
      <c r="G386" s="4" t="s">
        <v>58</v>
      </c>
      <c r="H386" s="2">
        <v>2001</v>
      </c>
      <c r="I386" s="2" t="s">
        <v>1149</v>
      </c>
      <c r="J386" s="2" t="s">
        <v>1131</v>
      </c>
      <c r="K386" s="2"/>
      <c r="L386" s="2"/>
      <c r="M386" s="2" t="s">
        <v>1132</v>
      </c>
      <c r="N386" s="2"/>
      <c r="O386" s="2"/>
      <c r="P386" s="2" t="s">
        <v>1127</v>
      </c>
      <c r="Q386" s="2" t="s">
        <v>1127</v>
      </c>
      <c r="R386" s="2"/>
      <c r="S386" s="2"/>
      <c r="T386" s="2"/>
      <c r="U386" s="2"/>
      <c r="V386" s="2"/>
      <c r="W386" s="2"/>
      <c r="X386" s="2"/>
      <c r="Y386" s="2"/>
      <c r="Z386" s="2"/>
      <c r="AA386" s="2"/>
      <c r="AB386" s="2"/>
      <c r="AC386" s="2"/>
      <c r="AD386" s="2"/>
      <c r="AE386" s="2"/>
      <c r="AF386" s="2"/>
      <c r="AG386" s="2"/>
      <c r="AH386" s="2"/>
      <c r="AI386" s="2"/>
      <c r="AJ386" s="2"/>
    </row>
    <row r="387" spans="1:36" ht="17.25" customHeight="1" x14ac:dyDescent="0.2">
      <c r="A387" s="26" t="s">
        <v>0</v>
      </c>
      <c r="B387" s="26" t="s">
        <v>63</v>
      </c>
      <c r="C387" s="3" t="s">
        <v>4182</v>
      </c>
      <c r="D387" s="26" t="s">
        <v>1128</v>
      </c>
      <c r="E387" s="26" t="s">
        <v>1129</v>
      </c>
      <c r="F387" s="2">
        <v>19</v>
      </c>
      <c r="G387" s="4" t="s">
        <v>4</v>
      </c>
      <c r="H387" s="2">
        <v>2002</v>
      </c>
      <c r="I387" s="2" t="s">
        <v>1150</v>
      </c>
      <c r="J387" s="2" t="s">
        <v>1131</v>
      </c>
      <c r="K387" s="2"/>
      <c r="L387" s="2"/>
      <c r="M387" s="2" t="s">
        <v>1132</v>
      </c>
      <c r="N387" s="2"/>
      <c r="O387" s="2"/>
      <c r="P387" s="2" t="s">
        <v>1127</v>
      </c>
      <c r="Q387" s="2" t="s">
        <v>1127</v>
      </c>
      <c r="R387" s="2"/>
      <c r="S387" s="2"/>
      <c r="T387" s="2"/>
      <c r="U387" s="2"/>
      <c r="V387" s="2"/>
      <c r="W387" s="2"/>
      <c r="X387" s="2"/>
      <c r="Y387" s="2"/>
      <c r="Z387" s="2"/>
      <c r="AA387" s="2"/>
      <c r="AB387" s="2"/>
      <c r="AC387" s="2"/>
      <c r="AD387" s="2"/>
      <c r="AE387" s="2"/>
      <c r="AF387" s="2"/>
      <c r="AG387" s="2"/>
      <c r="AH387" s="2"/>
      <c r="AI387" s="2"/>
      <c r="AJ387" s="2"/>
    </row>
    <row r="388" spans="1:36" ht="17.25" customHeight="1" x14ac:dyDescent="0.2">
      <c r="A388" s="26" t="s">
        <v>0</v>
      </c>
      <c r="B388" s="26" t="s">
        <v>97</v>
      </c>
      <c r="C388" s="3" t="s">
        <v>4182</v>
      </c>
      <c r="D388" s="26" t="s">
        <v>1128</v>
      </c>
      <c r="E388" s="26" t="s">
        <v>1129</v>
      </c>
      <c r="F388" s="2">
        <v>20</v>
      </c>
      <c r="G388" s="4" t="s">
        <v>83</v>
      </c>
      <c r="H388" s="2">
        <v>2003</v>
      </c>
      <c r="I388" s="2" t="s">
        <v>1151</v>
      </c>
      <c r="J388" s="2" t="s">
        <v>1131</v>
      </c>
      <c r="K388" s="2"/>
      <c r="L388" s="2"/>
      <c r="M388" s="2" t="s">
        <v>1132</v>
      </c>
      <c r="N388" s="2"/>
      <c r="O388" s="2"/>
      <c r="P388" s="2" t="s">
        <v>1127</v>
      </c>
      <c r="Q388" s="2" t="s">
        <v>1127</v>
      </c>
      <c r="R388" s="2"/>
      <c r="S388" s="2"/>
      <c r="T388" s="2"/>
      <c r="U388" s="2"/>
      <c r="V388" s="2"/>
      <c r="W388" s="2"/>
      <c r="X388" s="2"/>
      <c r="Y388" s="2"/>
      <c r="Z388" s="2"/>
      <c r="AA388" s="2"/>
      <c r="AB388" s="2"/>
      <c r="AC388" s="2"/>
      <c r="AD388" s="2"/>
      <c r="AE388" s="2"/>
      <c r="AF388" s="2"/>
      <c r="AG388" s="2"/>
      <c r="AH388" s="2"/>
      <c r="AI388" s="2"/>
      <c r="AJ388" s="2"/>
    </row>
    <row r="389" spans="1:36" ht="17.25" customHeight="1" x14ac:dyDescent="0.2">
      <c r="A389" s="26" t="s">
        <v>0</v>
      </c>
      <c r="B389" s="26" t="s">
        <v>69</v>
      </c>
      <c r="C389" s="3" t="s">
        <v>4182</v>
      </c>
      <c r="D389" s="26" t="s">
        <v>1128</v>
      </c>
      <c r="E389" s="26" t="s">
        <v>1129</v>
      </c>
      <c r="F389" s="2">
        <v>21</v>
      </c>
      <c r="G389" s="4" t="s">
        <v>64</v>
      </c>
      <c r="H389" s="2">
        <v>2004</v>
      </c>
      <c r="I389" s="2" t="s">
        <v>1152</v>
      </c>
      <c r="J389" s="2" t="s">
        <v>1131</v>
      </c>
      <c r="K389" s="2"/>
      <c r="L389" s="2"/>
      <c r="M389" s="2" t="s">
        <v>1132</v>
      </c>
      <c r="N389" s="2"/>
      <c r="O389" s="2"/>
      <c r="P389" s="2" t="s">
        <v>1127</v>
      </c>
      <c r="Q389" s="2" t="s">
        <v>1127</v>
      </c>
      <c r="R389" s="2"/>
      <c r="S389" s="2"/>
      <c r="T389" s="2"/>
      <c r="U389" s="2"/>
      <c r="V389" s="2"/>
      <c r="W389" s="2"/>
      <c r="X389" s="2"/>
      <c r="Y389" s="2"/>
      <c r="Z389" s="2"/>
      <c r="AA389" s="2"/>
      <c r="AB389" s="2"/>
      <c r="AC389" s="2"/>
      <c r="AD389" s="2"/>
      <c r="AE389" s="2"/>
      <c r="AF389" s="2"/>
      <c r="AG389" s="2"/>
      <c r="AH389" s="2"/>
      <c r="AI389" s="2"/>
      <c r="AJ389" s="2"/>
    </row>
    <row r="390" spans="1:36" ht="17.25" customHeight="1" x14ac:dyDescent="0.2">
      <c r="A390" s="26" t="s">
        <v>0</v>
      </c>
      <c r="B390" s="26" t="s">
        <v>100</v>
      </c>
      <c r="C390" s="3" t="s">
        <v>4182</v>
      </c>
      <c r="D390" s="26" t="s">
        <v>1128</v>
      </c>
      <c r="E390" s="26" t="s">
        <v>1129</v>
      </c>
      <c r="F390" s="2">
        <v>22</v>
      </c>
      <c r="G390" s="4" t="s">
        <v>92</v>
      </c>
      <c r="H390" s="2">
        <v>2005</v>
      </c>
      <c r="I390" s="2" t="s">
        <v>1153</v>
      </c>
      <c r="J390" s="2" t="s">
        <v>1131</v>
      </c>
      <c r="K390" s="2"/>
      <c r="L390" s="2"/>
      <c r="M390" s="2" t="s">
        <v>1132</v>
      </c>
      <c r="N390" s="2"/>
      <c r="O390" s="2"/>
      <c r="P390" s="2" t="s">
        <v>1127</v>
      </c>
      <c r="Q390" s="2" t="s">
        <v>1127</v>
      </c>
      <c r="R390" s="2"/>
      <c r="S390" s="2"/>
      <c r="T390" s="2"/>
      <c r="U390" s="2"/>
      <c r="V390" s="2"/>
      <c r="W390" s="2"/>
      <c r="X390" s="2"/>
      <c r="Y390" s="2"/>
      <c r="Z390" s="2"/>
      <c r="AA390" s="2"/>
      <c r="AB390" s="2"/>
      <c r="AC390" s="2"/>
      <c r="AD390" s="2"/>
      <c r="AE390" s="2"/>
      <c r="AF390" s="2"/>
      <c r="AG390" s="2"/>
      <c r="AH390" s="2"/>
      <c r="AI390" s="2"/>
      <c r="AJ390" s="2"/>
    </row>
    <row r="391" spans="1:36" ht="17.25" customHeight="1" x14ac:dyDescent="0.2">
      <c r="A391" s="26" t="s">
        <v>0</v>
      </c>
      <c r="B391" s="26" t="s">
        <v>79</v>
      </c>
      <c r="C391" s="3" t="s">
        <v>4182</v>
      </c>
      <c r="D391" s="26" t="s">
        <v>1128</v>
      </c>
      <c r="E391" s="26" t="s">
        <v>1129</v>
      </c>
      <c r="F391" s="2">
        <v>23</v>
      </c>
      <c r="G391" s="4" t="s">
        <v>52</v>
      </c>
      <c r="H391" s="2">
        <v>2006</v>
      </c>
      <c r="I391" s="2" t="s">
        <v>1154</v>
      </c>
      <c r="J391" s="2" t="s">
        <v>1131</v>
      </c>
      <c r="K391" s="2"/>
      <c r="L391" s="2"/>
      <c r="M391" s="2" t="s">
        <v>1132</v>
      </c>
      <c r="N391" s="2"/>
      <c r="O391" s="2"/>
      <c r="P391" s="2" t="s">
        <v>1127</v>
      </c>
      <c r="Q391" s="2" t="s">
        <v>1127</v>
      </c>
      <c r="R391" s="2"/>
      <c r="S391" s="2"/>
      <c r="T391" s="2"/>
      <c r="U391" s="2"/>
      <c r="V391" s="2"/>
      <c r="W391" s="2"/>
      <c r="X391" s="2"/>
      <c r="Y391" s="2"/>
      <c r="Z391" s="2"/>
      <c r="AA391" s="2"/>
      <c r="AB391" s="2"/>
      <c r="AC391" s="2"/>
      <c r="AD391" s="2"/>
      <c r="AE391" s="2"/>
      <c r="AF391" s="2"/>
      <c r="AG391" s="2"/>
      <c r="AH391" s="2"/>
      <c r="AI391" s="2"/>
      <c r="AJ391" s="2"/>
    </row>
    <row r="392" spans="1:36" ht="17.25" customHeight="1" x14ac:dyDescent="0.2">
      <c r="A392" s="26" t="s">
        <v>0</v>
      </c>
      <c r="B392" s="26" t="s">
        <v>39</v>
      </c>
      <c r="C392" s="3" t="s">
        <v>4182</v>
      </c>
      <c r="D392" s="26" t="s">
        <v>1128</v>
      </c>
      <c r="E392" s="26" t="s">
        <v>1129</v>
      </c>
      <c r="F392" s="2">
        <v>24</v>
      </c>
      <c r="G392" s="4" t="s">
        <v>95</v>
      </c>
      <c r="H392" s="2">
        <v>2007</v>
      </c>
      <c r="I392" s="2" t="s">
        <v>1155</v>
      </c>
      <c r="J392" s="2" t="s">
        <v>1131</v>
      </c>
      <c r="K392" s="2"/>
      <c r="L392" s="2"/>
      <c r="M392" s="2" t="s">
        <v>1132</v>
      </c>
      <c r="N392" s="2"/>
      <c r="O392" s="2"/>
      <c r="P392" s="2" t="s">
        <v>1127</v>
      </c>
      <c r="Q392" s="2" t="s">
        <v>1127</v>
      </c>
      <c r="R392" s="2"/>
      <c r="S392" s="2"/>
      <c r="T392" s="2"/>
      <c r="U392" s="2"/>
      <c r="V392" s="2"/>
      <c r="W392" s="2"/>
      <c r="X392" s="2"/>
      <c r="Y392" s="2"/>
      <c r="Z392" s="2"/>
      <c r="AA392" s="2"/>
      <c r="AB392" s="2"/>
      <c r="AC392" s="2"/>
      <c r="AD392" s="2"/>
      <c r="AE392" s="2"/>
      <c r="AF392" s="2"/>
      <c r="AG392" s="2"/>
      <c r="AH392" s="2"/>
      <c r="AI392" s="2"/>
      <c r="AJ392" s="2"/>
    </row>
    <row r="393" spans="1:36" ht="17.25" customHeight="1" x14ac:dyDescent="0.2">
      <c r="A393" s="26" t="s">
        <v>0</v>
      </c>
      <c r="B393" s="26" t="s">
        <v>36</v>
      </c>
      <c r="C393" s="3" t="s">
        <v>4182</v>
      </c>
      <c r="D393" s="26" t="s">
        <v>1128</v>
      </c>
      <c r="E393" s="26" t="s">
        <v>1129</v>
      </c>
      <c r="F393" s="2">
        <v>25</v>
      </c>
      <c r="G393" s="4" t="s">
        <v>70</v>
      </c>
      <c r="H393" s="2">
        <v>2008</v>
      </c>
      <c r="I393" s="2" t="s">
        <v>1156</v>
      </c>
      <c r="J393" s="2" t="s">
        <v>1131</v>
      </c>
      <c r="K393" s="2"/>
      <c r="L393" s="2"/>
      <c r="M393" s="2" t="s">
        <v>1132</v>
      </c>
      <c r="N393" s="2"/>
      <c r="O393" s="2"/>
      <c r="P393" s="2" t="s">
        <v>1127</v>
      </c>
      <c r="Q393" s="2" t="s">
        <v>1127</v>
      </c>
      <c r="R393" s="2"/>
      <c r="S393" s="2"/>
      <c r="T393" s="2"/>
      <c r="U393" s="2"/>
      <c r="V393" s="2"/>
      <c r="W393" s="2"/>
      <c r="X393" s="2"/>
      <c r="Y393" s="2"/>
      <c r="Z393" s="2"/>
      <c r="AA393" s="2"/>
      <c r="AB393" s="2"/>
      <c r="AC393" s="2"/>
      <c r="AD393" s="2"/>
      <c r="AE393" s="2"/>
      <c r="AF393" s="2"/>
      <c r="AG393" s="2"/>
      <c r="AH393" s="2"/>
      <c r="AI393" s="2"/>
      <c r="AJ393" s="2"/>
    </row>
    <row r="394" spans="1:36" ht="17.25" customHeight="1" x14ac:dyDescent="0.2">
      <c r="A394" s="26" t="s">
        <v>0</v>
      </c>
      <c r="B394" s="26" t="s">
        <v>91</v>
      </c>
      <c r="C394" s="3" t="s">
        <v>4182</v>
      </c>
      <c r="D394" s="26" t="s">
        <v>1128</v>
      </c>
      <c r="E394" s="26" t="s">
        <v>1129</v>
      </c>
      <c r="F394" s="2">
        <v>26</v>
      </c>
      <c r="G394" s="4" t="s">
        <v>16</v>
      </c>
      <c r="H394" s="2">
        <v>2009</v>
      </c>
      <c r="I394" s="2" t="s">
        <v>1157</v>
      </c>
      <c r="J394" s="2" t="s">
        <v>1131</v>
      </c>
      <c r="K394" s="2"/>
      <c r="L394" s="2"/>
      <c r="M394" s="2" t="s">
        <v>1132</v>
      </c>
      <c r="N394" s="2"/>
      <c r="O394" s="2"/>
      <c r="P394" s="2" t="s">
        <v>1127</v>
      </c>
      <c r="Q394" s="2" t="s">
        <v>1127</v>
      </c>
      <c r="R394" s="2"/>
      <c r="S394" s="2"/>
      <c r="T394" s="2"/>
      <c r="U394" s="2"/>
      <c r="V394" s="2"/>
      <c r="W394" s="2"/>
      <c r="X394" s="2"/>
      <c r="Y394" s="2"/>
      <c r="Z394" s="2"/>
      <c r="AA394" s="2"/>
      <c r="AB394" s="2"/>
      <c r="AC394" s="2"/>
      <c r="AD394" s="2"/>
      <c r="AE394" s="2"/>
      <c r="AF394" s="2"/>
      <c r="AG394" s="2"/>
      <c r="AH394" s="2"/>
      <c r="AI394" s="2"/>
      <c r="AJ394" s="2"/>
    </row>
    <row r="395" spans="1:36" ht="17.25" customHeight="1" x14ac:dyDescent="0.2">
      <c r="A395" s="26" t="s">
        <v>0</v>
      </c>
      <c r="B395" s="26" t="s">
        <v>103</v>
      </c>
      <c r="C395" s="3" t="s">
        <v>4182</v>
      </c>
      <c r="D395" s="26" t="s">
        <v>1128</v>
      </c>
      <c r="E395" s="26" t="s">
        <v>1129</v>
      </c>
      <c r="F395" s="2">
        <v>27</v>
      </c>
      <c r="G395" s="4" t="s">
        <v>34</v>
      </c>
      <c r="H395" s="2">
        <v>2010</v>
      </c>
      <c r="I395" s="2" t="s">
        <v>1158</v>
      </c>
      <c r="J395" s="2" t="s">
        <v>1131</v>
      </c>
      <c r="K395" s="2"/>
      <c r="L395" s="2"/>
      <c r="M395" s="2" t="s">
        <v>1132</v>
      </c>
      <c r="N395" s="2"/>
      <c r="O395" s="2"/>
      <c r="P395" s="2" t="s">
        <v>1127</v>
      </c>
      <c r="Q395" s="2" t="s">
        <v>1127</v>
      </c>
      <c r="R395" s="2"/>
      <c r="S395" s="2"/>
      <c r="T395" s="2"/>
      <c r="U395" s="2"/>
      <c r="V395" s="2"/>
      <c r="W395" s="2"/>
      <c r="X395" s="2"/>
      <c r="Y395" s="2"/>
      <c r="Z395" s="2"/>
      <c r="AA395" s="2"/>
      <c r="AB395" s="2"/>
      <c r="AC395" s="2"/>
      <c r="AD395" s="2"/>
      <c r="AE395" s="2"/>
      <c r="AF395" s="2"/>
      <c r="AG395" s="2"/>
      <c r="AH395" s="2"/>
      <c r="AI395" s="2"/>
      <c r="AJ395" s="2"/>
    </row>
    <row r="396" spans="1:36" ht="17.25" customHeight="1" x14ac:dyDescent="0.2">
      <c r="A396" s="26" t="s">
        <v>0</v>
      </c>
      <c r="B396" s="26" t="s">
        <v>33</v>
      </c>
      <c r="C396" s="3" t="s">
        <v>4182</v>
      </c>
      <c r="D396" s="26" t="s">
        <v>1128</v>
      </c>
      <c r="E396" s="26" t="s">
        <v>1129</v>
      </c>
      <c r="F396" s="2">
        <v>28</v>
      </c>
      <c r="G396" s="4" t="s">
        <v>46</v>
      </c>
      <c r="H396" s="2">
        <v>2011</v>
      </c>
      <c r="I396" s="2" t="s">
        <v>1159</v>
      </c>
      <c r="J396" s="2" t="s">
        <v>1131</v>
      </c>
      <c r="K396" s="2"/>
      <c r="L396" s="2"/>
      <c r="M396" s="2" t="s">
        <v>1132</v>
      </c>
      <c r="N396" s="2"/>
      <c r="O396" s="2"/>
      <c r="P396" s="2" t="s">
        <v>1127</v>
      </c>
      <c r="Q396" s="2" t="s">
        <v>1127</v>
      </c>
      <c r="R396" s="2"/>
      <c r="S396" s="2"/>
      <c r="T396" s="2"/>
      <c r="U396" s="2"/>
      <c r="V396" s="2"/>
      <c r="W396" s="2"/>
      <c r="X396" s="2"/>
      <c r="Y396" s="2"/>
      <c r="Z396" s="2"/>
      <c r="AA396" s="2"/>
      <c r="AB396" s="2"/>
      <c r="AC396" s="2"/>
      <c r="AD396" s="2"/>
      <c r="AE396" s="2"/>
      <c r="AF396" s="2"/>
      <c r="AG396" s="2"/>
      <c r="AH396" s="2"/>
      <c r="AI396" s="2"/>
      <c r="AJ396" s="2"/>
    </row>
    <row r="397" spans="1:36" ht="17.25" customHeight="1" x14ac:dyDescent="0.2">
      <c r="A397" s="26" t="s">
        <v>0</v>
      </c>
      <c r="B397" s="26" t="s">
        <v>27</v>
      </c>
      <c r="C397" s="3" t="s">
        <v>4182</v>
      </c>
      <c r="D397" s="26" t="s">
        <v>1128</v>
      </c>
      <c r="E397" s="26" t="s">
        <v>1129</v>
      </c>
      <c r="F397" s="2">
        <v>29</v>
      </c>
      <c r="G397" s="4" t="s">
        <v>61</v>
      </c>
      <c r="H397" s="2">
        <v>2012</v>
      </c>
      <c r="I397" s="2" t="s">
        <v>1160</v>
      </c>
      <c r="J397" s="2" t="s">
        <v>1131</v>
      </c>
      <c r="K397" s="2"/>
      <c r="L397" s="2"/>
      <c r="M397" s="2" t="s">
        <v>1132</v>
      </c>
      <c r="N397" s="2"/>
      <c r="O397" s="2"/>
      <c r="P397" s="2" t="s">
        <v>1127</v>
      </c>
      <c r="Q397" s="2" t="s">
        <v>1127</v>
      </c>
      <c r="R397" s="2"/>
      <c r="S397" s="2"/>
      <c r="T397" s="2"/>
      <c r="U397" s="2"/>
      <c r="V397" s="2"/>
      <c r="W397" s="2"/>
      <c r="X397" s="2"/>
      <c r="Y397" s="2"/>
      <c r="Z397" s="2"/>
      <c r="AA397" s="2"/>
      <c r="AB397" s="2"/>
      <c r="AC397" s="2"/>
      <c r="AD397" s="2"/>
      <c r="AE397" s="2"/>
      <c r="AF397" s="2"/>
      <c r="AG397" s="2"/>
      <c r="AH397" s="2"/>
      <c r="AI397" s="2"/>
      <c r="AJ397" s="2"/>
    </row>
    <row r="398" spans="1:36" ht="17.25" customHeight="1" x14ac:dyDescent="0.2">
      <c r="A398" s="26" t="s">
        <v>0</v>
      </c>
      <c r="B398" s="26" t="s">
        <v>54</v>
      </c>
      <c r="C398" s="3" t="s">
        <v>4182</v>
      </c>
      <c r="D398" s="26" t="s">
        <v>1128</v>
      </c>
      <c r="E398" s="26" t="s">
        <v>1129</v>
      </c>
      <c r="F398" s="2">
        <v>30</v>
      </c>
      <c r="G398" s="4" t="s">
        <v>86</v>
      </c>
      <c r="H398" s="2">
        <v>2013</v>
      </c>
      <c r="I398" s="2" t="s">
        <v>1161</v>
      </c>
      <c r="J398" s="2" t="s">
        <v>1131</v>
      </c>
      <c r="K398" s="2"/>
      <c r="L398" s="2"/>
      <c r="M398" s="2" t="s">
        <v>1132</v>
      </c>
      <c r="N398" s="2"/>
      <c r="O398" s="2"/>
      <c r="P398" s="2" t="s">
        <v>1127</v>
      </c>
      <c r="Q398" s="2" t="s">
        <v>1127</v>
      </c>
      <c r="R398" s="2"/>
      <c r="S398" s="2"/>
      <c r="T398" s="2"/>
      <c r="U398" s="2"/>
      <c r="V398" s="2"/>
      <c r="W398" s="2"/>
      <c r="X398" s="2"/>
      <c r="Y398" s="2"/>
      <c r="Z398" s="2"/>
      <c r="AA398" s="2"/>
      <c r="AB398" s="2"/>
      <c r="AC398" s="2"/>
      <c r="AD398" s="2"/>
      <c r="AE398" s="2"/>
      <c r="AF398" s="2"/>
      <c r="AG398" s="2"/>
      <c r="AH398" s="2"/>
      <c r="AI398" s="2"/>
      <c r="AJ398" s="2"/>
    </row>
    <row r="399" spans="1:36" ht="17.25" customHeight="1" x14ac:dyDescent="0.2">
      <c r="A399" s="26" t="s">
        <v>0</v>
      </c>
      <c r="B399" s="26" t="s">
        <v>57</v>
      </c>
      <c r="C399" s="3" t="s">
        <v>4182</v>
      </c>
      <c r="D399" s="26" t="s">
        <v>1128</v>
      </c>
      <c r="E399" s="26" t="s">
        <v>1129</v>
      </c>
      <c r="F399" s="2">
        <v>31</v>
      </c>
      <c r="G399" s="4" t="s">
        <v>22</v>
      </c>
      <c r="H399" s="2">
        <v>2014</v>
      </c>
      <c r="I399" s="2" t="s">
        <v>1162</v>
      </c>
      <c r="J399" s="2" t="s">
        <v>1131</v>
      </c>
      <c r="K399" s="2"/>
      <c r="L399" s="2"/>
      <c r="M399" s="2" t="s">
        <v>1132</v>
      </c>
      <c r="N399" s="2"/>
      <c r="O399" s="2"/>
      <c r="P399" s="2" t="s">
        <v>1127</v>
      </c>
      <c r="Q399" s="2" t="s">
        <v>1127</v>
      </c>
      <c r="R399" s="2"/>
      <c r="S399" s="2"/>
      <c r="T399" s="2"/>
      <c r="U399" s="2"/>
      <c r="V399" s="2"/>
      <c r="W399" s="2"/>
      <c r="X399" s="2"/>
      <c r="Y399" s="2"/>
      <c r="Z399" s="2"/>
      <c r="AA399" s="2"/>
      <c r="AB399" s="2"/>
      <c r="AC399" s="2"/>
      <c r="AD399" s="2"/>
      <c r="AE399" s="2"/>
      <c r="AF399" s="2"/>
      <c r="AG399" s="2"/>
      <c r="AH399" s="2"/>
      <c r="AI399" s="2"/>
      <c r="AJ399" s="2"/>
    </row>
    <row r="400" spans="1:36" ht="17.25" customHeight="1" x14ac:dyDescent="0.2">
      <c r="A400" s="26" t="s">
        <v>0</v>
      </c>
      <c r="B400" s="26" t="s">
        <v>18</v>
      </c>
      <c r="C400" s="3" t="s">
        <v>4182</v>
      </c>
      <c r="D400" s="26" t="s">
        <v>1128</v>
      </c>
      <c r="E400" s="26" t="s">
        <v>1129</v>
      </c>
      <c r="F400" s="2">
        <v>32</v>
      </c>
      <c r="G400" s="4" t="s">
        <v>28</v>
      </c>
      <c r="H400" s="2">
        <v>2015</v>
      </c>
      <c r="I400" s="2" t="s">
        <v>1163</v>
      </c>
      <c r="J400" s="2" t="s">
        <v>1131</v>
      </c>
      <c r="K400" s="2"/>
      <c r="L400" s="2"/>
      <c r="M400" s="2" t="s">
        <v>1132</v>
      </c>
      <c r="N400" s="2"/>
      <c r="O400" s="2"/>
      <c r="P400" s="2" t="s">
        <v>1127</v>
      </c>
      <c r="Q400" s="2" t="s">
        <v>1127</v>
      </c>
      <c r="R400" s="2"/>
      <c r="S400" s="2"/>
      <c r="T400" s="2"/>
      <c r="U400" s="2"/>
      <c r="V400" s="2"/>
      <c r="W400" s="2"/>
      <c r="X400" s="2"/>
      <c r="Y400" s="2"/>
      <c r="Z400" s="2"/>
      <c r="AA400" s="2"/>
      <c r="AB400" s="2"/>
      <c r="AC400" s="2"/>
      <c r="AD400" s="2"/>
      <c r="AE400" s="2"/>
      <c r="AF400" s="2"/>
      <c r="AG400" s="2"/>
      <c r="AH400" s="2"/>
      <c r="AI400" s="2"/>
      <c r="AJ400" s="2"/>
    </row>
    <row r="401" spans="1:36" ht="17.25" customHeight="1" x14ac:dyDescent="0.2">
      <c r="A401" s="26" t="s">
        <v>0</v>
      </c>
      <c r="B401" s="26" t="s">
        <v>75</v>
      </c>
      <c r="C401" s="3" t="s">
        <v>4182</v>
      </c>
      <c r="D401" s="26" t="s">
        <v>1128</v>
      </c>
      <c r="E401" s="26" t="s">
        <v>1129</v>
      </c>
      <c r="F401" s="2">
        <v>33</v>
      </c>
      <c r="G401" s="4" t="s">
        <v>76</v>
      </c>
      <c r="H401" s="2">
        <v>2016</v>
      </c>
      <c r="I401" s="2" t="s">
        <v>1164</v>
      </c>
      <c r="J401" s="2" t="s">
        <v>1131</v>
      </c>
      <c r="K401" s="2"/>
      <c r="L401" s="2"/>
      <c r="M401" s="2" t="s">
        <v>1132</v>
      </c>
      <c r="N401" s="2"/>
      <c r="O401" s="2"/>
      <c r="P401" s="2" t="s">
        <v>1127</v>
      </c>
      <c r="Q401" s="2" t="s">
        <v>1127</v>
      </c>
      <c r="R401" s="2"/>
      <c r="S401" s="2"/>
      <c r="T401" s="2"/>
      <c r="U401" s="2"/>
      <c r="V401" s="2"/>
      <c r="W401" s="2"/>
      <c r="X401" s="2"/>
      <c r="Y401" s="2"/>
      <c r="Z401" s="2"/>
      <c r="AA401" s="2"/>
      <c r="AB401" s="2"/>
      <c r="AC401" s="2"/>
      <c r="AD401" s="2"/>
      <c r="AE401" s="2"/>
      <c r="AF401" s="2"/>
      <c r="AG401" s="2"/>
      <c r="AH401" s="2"/>
      <c r="AI401" s="2"/>
      <c r="AJ401" s="2"/>
    </row>
    <row r="402" spans="1:36" ht="17.25" customHeight="1" x14ac:dyDescent="0.2">
      <c r="A402" s="26" t="s">
        <v>0</v>
      </c>
      <c r="B402" s="26" t="s">
        <v>15</v>
      </c>
      <c r="C402" s="3" t="s">
        <v>4182</v>
      </c>
      <c r="D402" s="26" t="s">
        <v>1128</v>
      </c>
      <c r="E402" s="26" t="s">
        <v>1165</v>
      </c>
      <c r="F402" s="2">
        <v>1</v>
      </c>
      <c r="G402" s="4" t="s">
        <v>40</v>
      </c>
      <c r="H402" s="2">
        <v>1984</v>
      </c>
      <c r="I402" s="2" t="s">
        <v>1166</v>
      </c>
      <c r="J402" s="2" t="s">
        <v>1167</v>
      </c>
      <c r="K402" s="2"/>
      <c r="L402" s="2"/>
      <c r="M402" s="2" t="s">
        <v>1132</v>
      </c>
      <c r="N402" s="2"/>
      <c r="O402" s="2"/>
      <c r="P402" s="2" t="s">
        <v>1127</v>
      </c>
      <c r="Q402" s="2" t="s">
        <v>1127</v>
      </c>
      <c r="R402" s="2"/>
      <c r="S402" s="2"/>
      <c r="T402" s="2"/>
      <c r="U402" s="2"/>
      <c r="V402" s="2"/>
      <c r="W402" s="2"/>
      <c r="X402" s="2"/>
      <c r="Y402" s="2"/>
      <c r="Z402" s="2"/>
      <c r="AA402" s="2"/>
      <c r="AB402" s="2"/>
      <c r="AC402" s="2"/>
      <c r="AD402" s="2"/>
      <c r="AE402" s="2"/>
      <c r="AF402" s="2"/>
      <c r="AG402" s="2"/>
      <c r="AH402" s="2"/>
      <c r="AI402" s="2"/>
      <c r="AJ402" s="2"/>
    </row>
    <row r="403" spans="1:36" ht="17.25" customHeight="1" x14ac:dyDescent="0.2">
      <c r="A403" s="26" t="s">
        <v>0</v>
      </c>
      <c r="B403" s="26" t="s">
        <v>30</v>
      </c>
      <c r="C403" s="3" t="s">
        <v>4182</v>
      </c>
      <c r="D403" s="26" t="s">
        <v>1128</v>
      </c>
      <c r="E403" s="26" t="s">
        <v>1165</v>
      </c>
      <c r="F403" s="2">
        <v>2</v>
      </c>
      <c r="G403" s="4" t="s">
        <v>37</v>
      </c>
      <c r="H403" s="2">
        <v>1985</v>
      </c>
      <c r="I403" s="2" t="s">
        <v>1168</v>
      </c>
      <c r="J403" s="2" t="s">
        <v>1167</v>
      </c>
      <c r="K403" s="2"/>
      <c r="L403" s="2"/>
      <c r="M403" s="2" t="s">
        <v>1132</v>
      </c>
      <c r="N403" s="2"/>
      <c r="O403" s="2"/>
      <c r="P403" s="2" t="s">
        <v>1127</v>
      </c>
      <c r="Q403" s="2" t="s">
        <v>1127</v>
      </c>
      <c r="R403" s="2"/>
      <c r="S403" s="2"/>
      <c r="T403" s="2"/>
      <c r="U403" s="2"/>
      <c r="V403" s="2"/>
      <c r="W403" s="2"/>
      <c r="X403" s="2"/>
      <c r="Y403" s="2"/>
      <c r="Z403" s="2"/>
      <c r="AA403" s="2"/>
      <c r="AB403" s="2"/>
      <c r="AC403" s="2"/>
      <c r="AD403" s="2"/>
      <c r="AE403" s="2"/>
      <c r="AF403" s="2"/>
      <c r="AG403" s="2"/>
      <c r="AH403" s="2"/>
      <c r="AI403" s="2"/>
      <c r="AJ403" s="2"/>
    </row>
    <row r="404" spans="1:36" ht="17.25" customHeight="1" x14ac:dyDescent="0.2">
      <c r="A404" s="26" t="s">
        <v>0</v>
      </c>
      <c r="B404" s="26" t="s">
        <v>94</v>
      </c>
      <c r="C404" s="3" t="s">
        <v>4182</v>
      </c>
      <c r="D404" s="26" t="s">
        <v>1128</v>
      </c>
      <c r="E404" s="26" t="s">
        <v>1165</v>
      </c>
      <c r="F404" s="2">
        <v>3</v>
      </c>
      <c r="G404" s="4" t="s">
        <v>80</v>
      </c>
      <c r="H404" s="2">
        <v>1986</v>
      </c>
      <c r="I404" s="2" t="s">
        <v>1169</v>
      </c>
      <c r="J404" s="2" t="s">
        <v>1167</v>
      </c>
      <c r="K404" s="2"/>
      <c r="L404" s="2"/>
      <c r="M404" s="2" t="s">
        <v>1132</v>
      </c>
      <c r="N404" s="2"/>
      <c r="O404" s="2"/>
      <c r="P404" s="2" t="s">
        <v>1127</v>
      </c>
      <c r="Q404" s="2" t="s">
        <v>1127</v>
      </c>
      <c r="R404" s="2"/>
      <c r="S404" s="2"/>
      <c r="T404" s="2"/>
      <c r="U404" s="2"/>
      <c r="V404" s="2"/>
      <c r="W404" s="2"/>
      <c r="X404" s="2"/>
      <c r="Y404" s="2"/>
      <c r="Z404" s="2"/>
      <c r="AA404" s="2"/>
      <c r="AB404" s="2"/>
      <c r="AC404" s="2"/>
      <c r="AD404" s="2"/>
      <c r="AE404" s="2"/>
      <c r="AF404" s="2"/>
      <c r="AG404" s="2"/>
      <c r="AH404" s="2"/>
      <c r="AI404" s="2"/>
      <c r="AJ404" s="2"/>
    </row>
    <row r="405" spans="1:36" ht="17.25" customHeight="1" x14ac:dyDescent="0.2">
      <c r="A405" s="26" t="s">
        <v>0</v>
      </c>
      <c r="B405" s="26" t="s">
        <v>1</v>
      </c>
      <c r="C405" s="3" t="s">
        <v>4182</v>
      </c>
      <c r="D405" s="26" t="s">
        <v>1128</v>
      </c>
      <c r="E405" s="26" t="s">
        <v>1165</v>
      </c>
      <c r="F405" s="2">
        <v>4</v>
      </c>
      <c r="G405" s="4" t="s">
        <v>31</v>
      </c>
      <c r="H405" s="2">
        <v>1987</v>
      </c>
      <c r="I405" s="2" t="s">
        <v>1170</v>
      </c>
      <c r="J405" s="2" t="s">
        <v>1167</v>
      </c>
      <c r="K405" s="2"/>
      <c r="L405" s="2"/>
      <c r="M405" s="2" t="s">
        <v>1132</v>
      </c>
      <c r="N405" s="2"/>
      <c r="O405" s="2"/>
      <c r="P405" s="2" t="s">
        <v>1127</v>
      </c>
      <c r="Q405" s="2" t="s">
        <v>1127</v>
      </c>
      <c r="R405" s="2"/>
      <c r="S405" s="2"/>
      <c r="T405" s="2"/>
      <c r="U405" s="2"/>
      <c r="V405" s="2"/>
      <c r="W405" s="2"/>
      <c r="X405" s="2"/>
      <c r="Y405" s="2"/>
      <c r="Z405" s="2"/>
      <c r="AA405" s="2"/>
      <c r="AB405" s="2"/>
      <c r="AC405" s="2"/>
      <c r="AD405" s="2"/>
      <c r="AE405" s="2"/>
      <c r="AF405" s="2"/>
      <c r="AG405" s="2"/>
      <c r="AH405" s="2"/>
      <c r="AI405" s="2"/>
      <c r="AJ405" s="2"/>
    </row>
    <row r="406" spans="1:36" ht="17.25" customHeight="1" x14ac:dyDescent="0.2">
      <c r="A406" s="26" t="s">
        <v>0</v>
      </c>
      <c r="B406" s="26" t="s">
        <v>48</v>
      </c>
      <c r="C406" s="3" t="s">
        <v>4182</v>
      </c>
      <c r="D406" s="26" t="s">
        <v>1128</v>
      </c>
      <c r="E406" s="26" t="s">
        <v>1165</v>
      </c>
      <c r="F406" s="2">
        <v>5</v>
      </c>
      <c r="G406" s="4" t="s">
        <v>13</v>
      </c>
      <c r="H406" s="2">
        <v>1988</v>
      </c>
      <c r="I406" s="2" t="s">
        <v>1171</v>
      </c>
      <c r="J406" s="2" t="s">
        <v>1167</v>
      </c>
      <c r="K406" s="2"/>
      <c r="L406" s="2"/>
      <c r="M406" s="2" t="s">
        <v>1132</v>
      </c>
      <c r="N406" s="2"/>
      <c r="O406" s="2"/>
      <c r="P406" s="2" t="s">
        <v>1127</v>
      </c>
      <c r="Q406" s="2" t="s">
        <v>1127</v>
      </c>
      <c r="R406" s="2"/>
      <c r="S406" s="2"/>
      <c r="T406" s="2"/>
      <c r="U406" s="2"/>
      <c r="V406" s="2"/>
      <c r="W406" s="2"/>
      <c r="X406" s="2"/>
      <c r="Y406" s="2"/>
      <c r="Z406" s="2"/>
      <c r="AA406" s="2"/>
      <c r="AB406" s="2"/>
      <c r="AC406" s="2"/>
      <c r="AD406" s="2"/>
      <c r="AE406" s="2"/>
      <c r="AF406" s="2"/>
      <c r="AG406" s="2"/>
      <c r="AH406" s="2"/>
      <c r="AI406" s="2"/>
      <c r="AJ406" s="2"/>
    </row>
    <row r="407" spans="1:36" ht="17.25" customHeight="1" x14ac:dyDescent="0.2">
      <c r="A407" s="26" t="s">
        <v>0</v>
      </c>
      <c r="B407" s="26" t="s">
        <v>60</v>
      </c>
      <c r="C407" s="3" t="s">
        <v>4182</v>
      </c>
      <c r="D407" s="26" t="s">
        <v>1128</v>
      </c>
      <c r="E407" s="26" t="s">
        <v>1165</v>
      </c>
      <c r="F407" s="2">
        <v>6</v>
      </c>
      <c r="G407" s="4" t="s">
        <v>49</v>
      </c>
      <c r="H407" s="2">
        <v>1989</v>
      </c>
      <c r="I407" s="2" t="s">
        <v>1172</v>
      </c>
      <c r="J407" s="2" t="s">
        <v>1167</v>
      </c>
      <c r="K407" s="2"/>
      <c r="L407" s="2"/>
      <c r="M407" s="2" t="s">
        <v>1132</v>
      </c>
      <c r="N407" s="2"/>
      <c r="O407" s="2"/>
      <c r="P407" s="2" t="s">
        <v>1127</v>
      </c>
      <c r="Q407" s="2" t="s">
        <v>1127</v>
      </c>
      <c r="R407" s="2"/>
      <c r="S407" s="2"/>
      <c r="T407" s="2"/>
      <c r="U407" s="2"/>
      <c r="V407" s="2"/>
      <c r="W407" s="2"/>
      <c r="X407" s="2"/>
      <c r="Y407" s="2"/>
      <c r="Z407" s="2"/>
      <c r="AA407" s="2"/>
      <c r="AB407" s="2"/>
      <c r="AC407" s="2"/>
      <c r="AD407" s="2"/>
      <c r="AE407" s="2"/>
      <c r="AF407" s="2"/>
      <c r="AG407" s="2"/>
      <c r="AH407" s="2"/>
      <c r="AI407" s="2"/>
      <c r="AJ407" s="2"/>
    </row>
    <row r="408" spans="1:36" ht="17.25" customHeight="1" x14ac:dyDescent="0.2">
      <c r="A408" s="26" t="s">
        <v>0</v>
      </c>
      <c r="B408" s="26" t="s">
        <v>51</v>
      </c>
      <c r="C408" s="3" t="s">
        <v>4182</v>
      </c>
      <c r="D408" s="26" t="s">
        <v>1128</v>
      </c>
      <c r="E408" s="26" t="s">
        <v>1165</v>
      </c>
      <c r="F408" s="2">
        <v>7</v>
      </c>
      <c r="G408" s="4" t="s">
        <v>101</v>
      </c>
      <c r="H408" s="2">
        <v>1990</v>
      </c>
      <c r="I408" s="2" t="s">
        <v>1173</v>
      </c>
      <c r="J408" s="2" t="s">
        <v>1167</v>
      </c>
      <c r="K408" s="2"/>
      <c r="L408" s="2"/>
      <c r="M408" s="2" t="s">
        <v>1132</v>
      </c>
      <c r="N408" s="2"/>
      <c r="O408" s="2"/>
      <c r="P408" s="2" t="s">
        <v>1127</v>
      </c>
      <c r="Q408" s="2" t="s">
        <v>1127</v>
      </c>
      <c r="R408" s="2"/>
      <c r="S408" s="2"/>
      <c r="T408" s="2"/>
      <c r="U408" s="2"/>
      <c r="V408" s="2"/>
      <c r="W408" s="2"/>
      <c r="X408" s="2"/>
      <c r="Y408" s="2"/>
      <c r="Z408" s="2"/>
      <c r="AA408" s="2"/>
      <c r="AB408" s="2"/>
      <c r="AC408" s="2"/>
      <c r="AD408" s="2"/>
      <c r="AE408" s="2"/>
      <c r="AF408" s="2"/>
      <c r="AG408" s="2"/>
      <c r="AH408" s="2"/>
      <c r="AI408" s="2"/>
      <c r="AJ408" s="2"/>
    </row>
    <row r="409" spans="1:36" ht="17.25" customHeight="1" x14ac:dyDescent="0.2">
      <c r="A409" s="26" t="s">
        <v>0</v>
      </c>
      <c r="B409" s="26" t="s">
        <v>24</v>
      </c>
      <c r="C409" s="3" t="s">
        <v>4182</v>
      </c>
      <c r="D409" s="26" t="s">
        <v>1128</v>
      </c>
      <c r="E409" s="26" t="s">
        <v>1165</v>
      </c>
      <c r="F409" s="2">
        <v>8</v>
      </c>
      <c r="G409" s="4" t="s">
        <v>10</v>
      </c>
      <c r="H409" s="2">
        <v>1991</v>
      </c>
      <c r="I409" s="2" t="s">
        <v>1174</v>
      </c>
      <c r="J409" s="2" t="s">
        <v>1167</v>
      </c>
      <c r="K409" s="2"/>
      <c r="L409" s="2"/>
      <c r="M409" s="2" t="s">
        <v>1132</v>
      </c>
      <c r="N409" s="2"/>
      <c r="O409" s="2"/>
      <c r="P409" s="2" t="s">
        <v>1127</v>
      </c>
      <c r="Q409" s="2" t="s">
        <v>1127</v>
      </c>
      <c r="R409" s="2"/>
      <c r="S409" s="2"/>
      <c r="T409" s="2"/>
      <c r="U409" s="2"/>
      <c r="V409" s="2"/>
      <c r="W409" s="2"/>
      <c r="X409" s="2"/>
      <c r="Y409" s="2"/>
      <c r="Z409" s="2"/>
      <c r="AA409" s="2"/>
      <c r="AB409" s="2"/>
      <c r="AC409" s="2"/>
      <c r="AD409" s="2"/>
      <c r="AE409" s="2"/>
      <c r="AF409" s="2"/>
      <c r="AG409" s="2"/>
      <c r="AH409" s="2"/>
      <c r="AI409" s="2"/>
      <c r="AJ409" s="2"/>
    </row>
    <row r="410" spans="1:36" ht="17.25" customHeight="1" x14ac:dyDescent="0.2">
      <c r="A410" s="26" t="s">
        <v>0</v>
      </c>
      <c r="B410" s="26" t="s">
        <v>85</v>
      </c>
      <c r="C410" s="3" t="s">
        <v>4182</v>
      </c>
      <c r="D410" s="26" t="s">
        <v>1128</v>
      </c>
      <c r="E410" s="26" t="s">
        <v>1165</v>
      </c>
      <c r="F410" s="2">
        <v>9</v>
      </c>
      <c r="G410" s="4" t="s">
        <v>55</v>
      </c>
      <c r="H410" s="2">
        <v>1992</v>
      </c>
      <c r="I410" s="2" t="s">
        <v>1175</v>
      </c>
      <c r="J410" s="2" t="s">
        <v>1167</v>
      </c>
      <c r="K410" s="2"/>
      <c r="L410" s="2"/>
      <c r="M410" s="2" t="s">
        <v>1132</v>
      </c>
      <c r="N410" s="2"/>
      <c r="O410" s="2"/>
      <c r="P410" s="2" t="s">
        <v>1127</v>
      </c>
      <c r="Q410" s="2" t="s">
        <v>1127</v>
      </c>
      <c r="R410" s="2"/>
      <c r="S410" s="2"/>
      <c r="T410" s="2"/>
      <c r="U410" s="2"/>
      <c r="V410" s="2"/>
      <c r="W410" s="2"/>
      <c r="X410" s="2"/>
      <c r="Y410" s="2"/>
      <c r="Z410" s="2"/>
      <c r="AA410" s="2"/>
      <c r="AB410" s="2"/>
      <c r="AC410" s="2"/>
      <c r="AD410" s="2"/>
      <c r="AE410" s="2"/>
      <c r="AF410" s="2"/>
      <c r="AG410" s="2"/>
      <c r="AH410" s="2"/>
      <c r="AI410" s="2"/>
      <c r="AJ410" s="2"/>
    </row>
    <row r="411" spans="1:36" ht="17.25" customHeight="1" x14ac:dyDescent="0.2">
      <c r="A411" s="26" t="s">
        <v>0</v>
      </c>
      <c r="B411" s="26" t="s">
        <v>45</v>
      </c>
      <c r="C411" s="3" t="s">
        <v>4182</v>
      </c>
      <c r="D411" s="26" t="s">
        <v>1128</v>
      </c>
      <c r="E411" s="26" t="s">
        <v>1165</v>
      </c>
      <c r="F411" s="2">
        <v>10</v>
      </c>
      <c r="G411" s="4" t="s">
        <v>98</v>
      </c>
      <c r="H411" s="2">
        <v>1993</v>
      </c>
      <c r="I411" s="2" t="s">
        <v>1176</v>
      </c>
      <c r="J411" s="2" t="s">
        <v>1167</v>
      </c>
      <c r="K411" s="2"/>
      <c r="L411" s="2"/>
      <c r="M411" s="2" t="s">
        <v>1132</v>
      </c>
      <c r="N411" s="2"/>
      <c r="O411" s="2"/>
      <c r="P411" s="2" t="s">
        <v>1127</v>
      </c>
      <c r="Q411" s="2" t="s">
        <v>1127</v>
      </c>
      <c r="R411" s="2"/>
      <c r="S411" s="2"/>
      <c r="T411" s="2"/>
      <c r="U411" s="2"/>
      <c r="V411" s="2"/>
      <c r="W411" s="2"/>
      <c r="X411" s="2"/>
      <c r="Y411" s="2"/>
      <c r="Z411" s="2"/>
      <c r="AA411" s="2"/>
      <c r="AB411" s="2"/>
      <c r="AC411" s="2"/>
      <c r="AD411" s="2"/>
      <c r="AE411" s="2"/>
      <c r="AF411" s="2"/>
      <c r="AG411" s="2"/>
      <c r="AH411" s="2"/>
      <c r="AI411" s="2"/>
      <c r="AJ411" s="2"/>
    </row>
    <row r="412" spans="1:36" ht="17.25" customHeight="1" x14ac:dyDescent="0.2">
      <c r="A412" s="26" t="s">
        <v>0</v>
      </c>
      <c r="B412" s="26" t="s">
        <v>42</v>
      </c>
      <c r="C412" s="3" t="s">
        <v>4182</v>
      </c>
      <c r="D412" s="26" t="s">
        <v>1128</v>
      </c>
      <c r="E412" s="26" t="s">
        <v>1165</v>
      </c>
      <c r="F412" s="2">
        <v>11</v>
      </c>
      <c r="G412" s="4" t="s">
        <v>104</v>
      </c>
      <c r="H412" s="2">
        <v>1994</v>
      </c>
      <c r="I412" s="2" t="s">
        <v>1177</v>
      </c>
      <c r="J412" s="2" t="s">
        <v>1167</v>
      </c>
      <c r="K412" s="2"/>
      <c r="L412" s="2"/>
      <c r="M412" s="2" t="s">
        <v>1132</v>
      </c>
      <c r="N412" s="2"/>
      <c r="O412" s="2"/>
      <c r="P412" s="2" t="s">
        <v>1127</v>
      </c>
      <c r="Q412" s="2" t="s">
        <v>1127</v>
      </c>
      <c r="R412" s="2"/>
      <c r="S412" s="2"/>
      <c r="T412" s="2"/>
      <c r="U412" s="2"/>
      <c r="V412" s="2"/>
      <c r="W412" s="2"/>
      <c r="X412" s="2"/>
      <c r="Y412" s="2"/>
      <c r="Z412" s="2"/>
      <c r="AA412" s="2"/>
      <c r="AB412" s="2"/>
      <c r="AC412" s="2"/>
      <c r="AD412" s="2"/>
      <c r="AE412" s="2"/>
      <c r="AF412" s="2"/>
      <c r="AG412" s="2"/>
      <c r="AH412" s="2"/>
      <c r="AI412" s="2"/>
      <c r="AJ412" s="2"/>
    </row>
    <row r="413" spans="1:36" ht="17.25" customHeight="1" x14ac:dyDescent="0.2">
      <c r="A413" s="26" t="s">
        <v>0</v>
      </c>
      <c r="B413" s="26" t="s">
        <v>82</v>
      </c>
      <c r="C413" s="3" t="s">
        <v>4182</v>
      </c>
      <c r="D413" s="26" t="s">
        <v>1128</v>
      </c>
      <c r="E413" s="26" t="s">
        <v>1165</v>
      </c>
      <c r="F413" s="2">
        <v>12</v>
      </c>
      <c r="G413" s="4" t="s">
        <v>89</v>
      </c>
      <c r="H413" s="2">
        <v>1995</v>
      </c>
      <c r="I413" s="2" t="s">
        <v>1178</v>
      </c>
      <c r="J413" s="2" t="s">
        <v>1167</v>
      </c>
      <c r="K413" s="2"/>
      <c r="L413" s="2"/>
      <c r="M413" s="2" t="s">
        <v>1132</v>
      </c>
      <c r="N413" s="2"/>
      <c r="O413" s="2"/>
      <c r="P413" s="2" t="s">
        <v>1127</v>
      </c>
      <c r="Q413" s="2" t="s">
        <v>1127</v>
      </c>
      <c r="R413" s="2"/>
      <c r="S413" s="2"/>
      <c r="T413" s="2"/>
      <c r="U413" s="2"/>
      <c r="V413" s="2"/>
      <c r="W413" s="2"/>
      <c r="X413" s="2"/>
      <c r="Y413" s="2"/>
      <c r="Z413" s="2"/>
      <c r="AA413" s="2"/>
      <c r="AB413" s="2"/>
      <c r="AC413" s="2"/>
      <c r="AD413" s="2"/>
      <c r="AE413" s="2"/>
      <c r="AF413" s="2"/>
      <c r="AG413" s="2"/>
      <c r="AH413" s="2"/>
      <c r="AI413" s="2"/>
      <c r="AJ413" s="2"/>
    </row>
    <row r="414" spans="1:36" ht="17.25" customHeight="1" x14ac:dyDescent="0.2">
      <c r="A414" s="26" t="s">
        <v>0</v>
      </c>
      <c r="B414" s="26" t="s">
        <v>12</v>
      </c>
      <c r="C414" s="3" t="s">
        <v>4182</v>
      </c>
      <c r="D414" s="26" t="s">
        <v>1128</v>
      </c>
      <c r="E414" s="26" t="s">
        <v>1165</v>
      </c>
      <c r="F414" s="2">
        <v>13</v>
      </c>
      <c r="G414" s="4" t="s">
        <v>107</v>
      </c>
      <c r="H414" s="2">
        <v>1996</v>
      </c>
      <c r="I414" s="2" t="s">
        <v>1179</v>
      </c>
      <c r="J414" s="2" t="s">
        <v>1167</v>
      </c>
      <c r="K414" s="2"/>
      <c r="L414" s="2"/>
      <c r="M414" s="2" t="s">
        <v>1132</v>
      </c>
      <c r="N414" s="2"/>
      <c r="O414" s="2"/>
      <c r="P414" s="2" t="s">
        <v>1127</v>
      </c>
      <c r="Q414" s="2" t="s">
        <v>1127</v>
      </c>
      <c r="R414" s="2"/>
      <c r="S414" s="2"/>
      <c r="T414" s="2"/>
      <c r="U414" s="2"/>
      <c r="V414" s="2"/>
      <c r="W414" s="2"/>
      <c r="X414" s="2"/>
      <c r="Y414" s="2"/>
      <c r="Z414" s="2"/>
      <c r="AA414" s="2"/>
      <c r="AB414" s="2"/>
      <c r="AC414" s="2"/>
      <c r="AD414" s="2"/>
      <c r="AE414" s="2"/>
      <c r="AF414" s="2"/>
      <c r="AG414" s="2"/>
      <c r="AH414" s="2"/>
      <c r="AI414" s="2"/>
      <c r="AJ414" s="2"/>
    </row>
    <row r="415" spans="1:36" ht="17.25" customHeight="1" x14ac:dyDescent="0.2">
      <c r="A415" s="26" t="s">
        <v>0</v>
      </c>
      <c r="B415" s="26" t="s">
        <v>88</v>
      </c>
      <c r="C415" s="3" t="s">
        <v>4182</v>
      </c>
      <c r="D415" s="26" t="s">
        <v>1128</v>
      </c>
      <c r="E415" s="26" t="s">
        <v>1165</v>
      </c>
      <c r="F415" s="2">
        <v>14</v>
      </c>
      <c r="G415" s="4" t="s">
        <v>43</v>
      </c>
      <c r="H415" s="2">
        <v>1997</v>
      </c>
      <c r="I415" s="2" t="s">
        <v>1180</v>
      </c>
      <c r="J415" s="2" t="s">
        <v>1167</v>
      </c>
      <c r="K415" s="2"/>
      <c r="L415" s="2"/>
      <c r="M415" s="2" t="s">
        <v>1132</v>
      </c>
      <c r="N415" s="2"/>
      <c r="O415" s="2"/>
      <c r="P415" s="2" t="s">
        <v>1127</v>
      </c>
      <c r="Q415" s="2" t="s">
        <v>1127</v>
      </c>
      <c r="R415" s="2"/>
      <c r="S415" s="2"/>
      <c r="T415" s="2"/>
      <c r="U415" s="2"/>
      <c r="V415" s="2"/>
      <c r="W415" s="2"/>
      <c r="X415" s="2"/>
      <c r="Y415" s="2"/>
      <c r="Z415" s="2"/>
      <c r="AA415" s="2"/>
      <c r="AB415" s="2"/>
      <c r="AC415" s="2"/>
      <c r="AD415" s="2"/>
      <c r="AE415" s="2"/>
      <c r="AF415" s="2"/>
      <c r="AG415" s="2"/>
      <c r="AH415" s="2"/>
      <c r="AI415" s="2"/>
      <c r="AJ415" s="2"/>
    </row>
    <row r="416" spans="1:36" ht="17.25" customHeight="1" x14ac:dyDescent="0.2">
      <c r="A416" s="26" t="s">
        <v>0</v>
      </c>
      <c r="B416" s="26" t="s">
        <v>21</v>
      </c>
      <c r="C416" s="3" t="s">
        <v>4182</v>
      </c>
      <c r="D416" s="26" t="s">
        <v>1128</v>
      </c>
      <c r="E416" s="26" t="s">
        <v>1165</v>
      </c>
      <c r="F416" s="2">
        <v>15</v>
      </c>
      <c r="G416" s="4" t="s">
        <v>19</v>
      </c>
      <c r="H416" s="2">
        <v>1998</v>
      </c>
      <c r="I416" s="2" t="s">
        <v>1181</v>
      </c>
      <c r="J416" s="2" t="s">
        <v>1167</v>
      </c>
      <c r="K416" s="2"/>
      <c r="L416" s="2"/>
      <c r="M416" s="2" t="s">
        <v>1132</v>
      </c>
      <c r="N416" s="2"/>
      <c r="O416" s="2"/>
      <c r="P416" s="2" t="s">
        <v>1127</v>
      </c>
      <c r="Q416" s="2" t="s">
        <v>1127</v>
      </c>
      <c r="R416" s="2"/>
      <c r="S416" s="2"/>
      <c r="T416" s="2"/>
      <c r="U416" s="2"/>
      <c r="V416" s="2"/>
      <c r="W416" s="2"/>
      <c r="X416" s="2"/>
      <c r="Y416" s="2"/>
      <c r="Z416" s="2"/>
      <c r="AA416" s="2"/>
      <c r="AB416" s="2"/>
      <c r="AC416" s="2"/>
      <c r="AD416" s="2"/>
      <c r="AE416" s="2"/>
      <c r="AF416" s="2"/>
      <c r="AG416" s="2"/>
      <c r="AH416" s="2"/>
      <c r="AI416" s="2"/>
      <c r="AJ416" s="2"/>
    </row>
    <row r="417" spans="1:36" ht="17.25" customHeight="1" x14ac:dyDescent="0.2">
      <c r="A417" s="26" t="s">
        <v>0</v>
      </c>
      <c r="B417" s="26" t="s">
        <v>9</v>
      </c>
      <c r="C417" s="3" t="s">
        <v>4182</v>
      </c>
      <c r="D417" s="26" t="s">
        <v>1128</v>
      </c>
      <c r="E417" s="26" t="s">
        <v>1165</v>
      </c>
      <c r="F417" s="2">
        <v>16</v>
      </c>
      <c r="G417" s="4" t="s">
        <v>25</v>
      </c>
      <c r="H417" s="2">
        <v>1999</v>
      </c>
      <c r="I417" s="2" t="s">
        <v>1182</v>
      </c>
      <c r="J417" s="2" t="s">
        <v>1167</v>
      </c>
      <c r="K417" s="2"/>
      <c r="L417" s="2"/>
      <c r="M417" s="2" t="s">
        <v>1132</v>
      </c>
      <c r="N417" s="2"/>
      <c r="O417" s="2"/>
      <c r="P417" s="2" t="s">
        <v>1127</v>
      </c>
      <c r="Q417" s="2" t="s">
        <v>1127</v>
      </c>
      <c r="R417" s="2"/>
      <c r="S417" s="2"/>
      <c r="T417" s="2"/>
      <c r="U417" s="2"/>
      <c r="V417" s="2"/>
      <c r="W417" s="2"/>
      <c r="X417" s="2"/>
      <c r="Y417" s="2"/>
      <c r="Z417" s="2"/>
      <c r="AA417" s="2"/>
      <c r="AB417" s="2"/>
      <c r="AC417" s="2"/>
      <c r="AD417" s="2"/>
      <c r="AE417" s="2"/>
      <c r="AF417" s="2"/>
      <c r="AG417" s="2"/>
      <c r="AH417" s="2"/>
      <c r="AI417" s="2"/>
      <c r="AJ417" s="2"/>
    </row>
    <row r="418" spans="1:36" ht="17.25" customHeight="1" x14ac:dyDescent="0.2">
      <c r="A418" s="26" t="s">
        <v>0</v>
      </c>
      <c r="B418" s="26" t="s">
        <v>72</v>
      </c>
      <c r="C418" s="3" t="s">
        <v>4182</v>
      </c>
      <c r="D418" s="26" t="s">
        <v>1128</v>
      </c>
      <c r="E418" s="26" t="s">
        <v>1165</v>
      </c>
      <c r="F418" s="2">
        <v>17</v>
      </c>
      <c r="G418" s="4" t="s">
        <v>73</v>
      </c>
      <c r="H418" s="2">
        <v>2000</v>
      </c>
      <c r="I418" s="2" t="s">
        <v>1183</v>
      </c>
      <c r="J418" s="2" t="s">
        <v>1167</v>
      </c>
      <c r="K418" s="2"/>
      <c r="L418" s="2"/>
      <c r="M418" s="2" t="s">
        <v>1132</v>
      </c>
      <c r="N418" s="2"/>
      <c r="O418" s="2"/>
      <c r="P418" s="2" t="s">
        <v>1127</v>
      </c>
      <c r="Q418" s="2" t="s">
        <v>1127</v>
      </c>
      <c r="R418" s="2"/>
      <c r="S418" s="2"/>
      <c r="T418" s="2"/>
      <c r="U418" s="2"/>
      <c r="V418" s="2"/>
      <c r="W418" s="2"/>
      <c r="X418" s="2"/>
      <c r="Y418" s="2"/>
      <c r="Z418" s="2"/>
      <c r="AA418" s="2"/>
      <c r="AB418" s="2"/>
      <c r="AC418" s="2"/>
      <c r="AD418" s="2"/>
      <c r="AE418" s="2"/>
      <c r="AF418" s="2"/>
      <c r="AG418" s="2"/>
      <c r="AH418" s="2"/>
      <c r="AI418" s="2"/>
      <c r="AJ418" s="2"/>
    </row>
    <row r="419" spans="1:36" ht="17.25" customHeight="1" x14ac:dyDescent="0.2">
      <c r="A419" s="26" t="s">
        <v>0</v>
      </c>
      <c r="B419" s="26" t="s">
        <v>106</v>
      </c>
      <c r="C419" s="3" t="s">
        <v>4182</v>
      </c>
      <c r="D419" s="26" t="s">
        <v>1128</v>
      </c>
      <c r="E419" s="26" t="s">
        <v>1165</v>
      </c>
      <c r="F419" s="2">
        <v>18</v>
      </c>
      <c r="G419" s="4" t="s">
        <v>58</v>
      </c>
      <c r="H419" s="2">
        <v>2001</v>
      </c>
      <c r="I419" s="2" t="s">
        <v>1184</v>
      </c>
      <c r="J419" s="2" t="s">
        <v>1167</v>
      </c>
      <c r="K419" s="2"/>
      <c r="L419" s="2"/>
      <c r="M419" s="2" t="s">
        <v>1132</v>
      </c>
      <c r="N419" s="2"/>
      <c r="O419" s="2"/>
      <c r="P419" s="2" t="s">
        <v>1127</v>
      </c>
      <c r="Q419" s="2" t="s">
        <v>1127</v>
      </c>
      <c r="R419" s="2"/>
      <c r="S419" s="2"/>
      <c r="T419" s="2"/>
      <c r="U419" s="2"/>
      <c r="V419" s="2"/>
      <c r="W419" s="2"/>
      <c r="X419" s="2"/>
      <c r="Y419" s="2"/>
      <c r="Z419" s="2"/>
      <c r="AA419" s="2"/>
      <c r="AB419" s="2"/>
      <c r="AC419" s="2"/>
      <c r="AD419" s="2"/>
      <c r="AE419" s="2"/>
      <c r="AF419" s="2"/>
      <c r="AG419" s="2"/>
      <c r="AH419" s="2"/>
      <c r="AI419" s="2"/>
      <c r="AJ419" s="2"/>
    </row>
    <row r="420" spans="1:36" ht="17.25" customHeight="1" x14ac:dyDescent="0.2">
      <c r="A420" s="26" t="s">
        <v>0</v>
      </c>
      <c r="B420" s="26" t="s">
        <v>63</v>
      </c>
      <c r="C420" s="3" t="s">
        <v>4182</v>
      </c>
      <c r="D420" s="26" t="s">
        <v>1128</v>
      </c>
      <c r="E420" s="26" t="s">
        <v>1165</v>
      </c>
      <c r="F420" s="2">
        <v>19</v>
      </c>
      <c r="G420" s="4" t="s">
        <v>4</v>
      </c>
      <c r="H420" s="2">
        <v>2002</v>
      </c>
      <c r="I420" s="2" t="s">
        <v>1185</v>
      </c>
      <c r="J420" s="2" t="s">
        <v>1167</v>
      </c>
      <c r="K420" s="2"/>
      <c r="L420" s="2"/>
      <c r="M420" s="2" t="s">
        <v>1132</v>
      </c>
      <c r="N420" s="2"/>
      <c r="O420" s="2"/>
      <c r="P420" s="2" t="s">
        <v>1127</v>
      </c>
      <c r="Q420" s="2" t="s">
        <v>1127</v>
      </c>
      <c r="R420" s="2"/>
      <c r="S420" s="2"/>
      <c r="T420" s="2"/>
      <c r="U420" s="2"/>
      <c r="V420" s="2"/>
      <c r="W420" s="2"/>
      <c r="X420" s="2"/>
      <c r="Y420" s="2"/>
      <c r="Z420" s="2"/>
      <c r="AA420" s="2"/>
      <c r="AB420" s="2"/>
      <c r="AC420" s="2"/>
      <c r="AD420" s="2"/>
      <c r="AE420" s="2"/>
      <c r="AF420" s="2"/>
      <c r="AG420" s="2"/>
      <c r="AH420" s="2"/>
      <c r="AI420" s="2"/>
      <c r="AJ420" s="2"/>
    </row>
    <row r="421" spans="1:36" ht="17.25" customHeight="1" x14ac:dyDescent="0.2">
      <c r="A421" s="26" t="s">
        <v>0</v>
      </c>
      <c r="B421" s="26" t="s">
        <v>97</v>
      </c>
      <c r="C421" s="3" t="s">
        <v>4182</v>
      </c>
      <c r="D421" s="26" t="s">
        <v>1128</v>
      </c>
      <c r="E421" s="26" t="s">
        <v>1165</v>
      </c>
      <c r="F421" s="2">
        <v>20</v>
      </c>
      <c r="G421" s="4" t="s">
        <v>83</v>
      </c>
      <c r="H421" s="2">
        <v>2003</v>
      </c>
      <c r="I421" s="2" t="s">
        <v>1186</v>
      </c>
      <c r="J421" s="2" t="s">
        <v>1167</v>
      </c>
      <c r="K421" s="2"/>
      <c r="L421" s="2"/>
      <c r="M421" s="2" t="s">
        <v>1132</v>
      </c>
      <c r="N421" s="2"/>
      <c r="O421" s="2"/>
      <c r="P421" s="2" t="s">
        <v>1127</v>
      </c>
      <c r="Q421" s="2" t="s">
        <v>1127</v>
      </c>
      <c r="R421" s="2"/>
      <c r="S421" s="2"/>
      <c r="T421" s="2"/>
      <c r="U421" s="2"/>
      <c r="V421" s="2"/>
      <c r="W421" s="2"/>
      <c r="X421" s="2"/>
      <c r="Y421" s="2"/>
      <c r="Z421" s="2"/>
      <c r="AA421" s="2"/>
      <c r="AB421" s="2"/>
      <c r="AC421" s="2"/>
      <c r="AD421" s="2"/>
      <c r="AE421" s="2"/>
      <c r="AF421" s="2"/>
      <c r="AG421" s="2"/>
      <c r="AH421" s="2"/>
      <c r="AI421" s="2"/>
      <c r="AJ421" s="2"/>
    </row>
    <row r="422" spans="1:36" ht="17.25" customHeight="1" x14ac:dyDescent="0.2">
      <c r="A422" s="26" t="s">
        <v>0</v>
      </c>
      <c r="B422" s="26" t="s">
        <v>69</v>
      </c>
      <c r="C422" s="3" t="s">
        <v>4182</v>
      </c>
      <c r="D422" s="26" t="s">
        <v>1128</v>
      </c>
      <c r="E422" s="26" t="s">
        <v>1165</v>
      </c>
      <c r="F422" s="2">
        <v>21</v>
      </c>
      <c r="G422" s="4" t="s">
        <v>64</v>
      </c>
      <c r="H422" s="2">
        <v>2004</v>
      </c>
      <c r="I422" s="2" t="s">
        <v>1187</v>
      </c>
      <c r="J422" s="2" t="s">
        <v>1167</v>
      </c>
      <c r="K422" s="2"/>
      <c r="L422" s="2"/>
      <c r="M422" s="2" t="s">
        <v>1132</v>
      </c>
      <c r="N422" s="2"/>
      <c r="O422" s="2"/>
      <c r="P422" s="2" t="s">
        <v>1127</v>
      </c>
      <c r="Q422" s="2" t="s">
        <v>1127</v>
      </c>
      <c r="R422" s="2"/>
      <c r="S422" s="2"/>
      <c r="T422" s="2"/>
      <c r="U422" s="2"/>
      <c r="V422" s="2"/>
      <c r="W422" s="2"/>
      <c r="X422" s="2"/>
      <c r="Y422" s="2"/>
      <c r="Z422" s="2"/>
      <c r="AA422" s="2"/>
      <c r="AB422" s="2"/>
      <c r="AC422" s="2"/>
      <c r="AD422" s="2"/>
      <c r="AE422" s="2"/>
      <c r="AF422" s="2"/>
      <c r="AG422" s="2"/>
      <c r="AH422" s="2"/>
      <c r="AI422" s="2"/>
      <c r="AJ422" s="2"/>
    </row>
    <row r="423" spans="1:36" ht="17.25" customHeight="1" x14ac:dyDescent="0.2">
      <c r="A423" s="26" t="s">
        <v>0</v>
      </c>
      <c r="B423" s="26" t="s">
        <v>100</v>
      </c>
      <c r="C423" s="3" t="s">
        <v>4182</v>
      </c>
      <c r="D423" s="26" t="s">
        <v>1128</v>
      </c>
      <c r="E423" s="26" t="s">
        <v>1165</v>
      </c>
      <c r="F423" s="2">
        <v>22</v>
      </c>
      <c r="G423" s="4" t="s">
        <v>92</v>
      </c>
      <c r="H423" s="2">
        <v>2005</v>
      </c>
      <c r="I423" s="2" t="s">
        <v>1188</v>
      </c>
      <c r="J423" s="2" t="s">
        <v>1167</v>
      </c>
      <c r="K423" s="2"/>
      <c r="L423" s="2"/>
      <c r="M423" s="2" t="s">
        <v>1132</v>
      </c>
      <c r="N423" s="2"/>
      <c r="O423" s="2"/>
      <c r="P423" s="2" t="s">
        <v>1127</v>
      </c>
      <c r="Q423" s="2" t="s">
        <v>1127</v>
      </c>
      <c r="R423" s="2"/>
      <c r="S423" s="2"/>
      <c r="T423" s="2"/>
      <c r="U423" s="2"/>
      <c r="V423" s="2"/>
      <c r="W423" s="2"/>
      <c r="X423" s="2"/>
      <c r="Y423" s="2"/>
      <c r="Z423" s="2"/>
      <c r="AA423" s="2"/>
      <c r="AB423" s="2"/>
      <c r="AC423" s="2"/>
      <c r="AD423" s="2"/>
      <c r="AE423" s="2"/>
      <c r="AF423" s="2"/>
      <c r="AG423" s="2"/>
      <c r="AH423" s="2"/>
      <c r="AI423" s="2"/>
      <c r="AJ423" s="2"/>
    </row>
    <row r="424" spans="1:36" ht="17.25" customHeight="1" x14ac:dyDescent="0.2">
      <c r="A424" s="26" t="s">
        <v>0</v>
      </c>
      <c r="B424" s="26" t="s">
        <v>79</v>
      </c>
      <c r="C424" s="3" t="s">
        <v>4182</v>
      </c>
      <c r="D424" s="26" t="s">
        <v>1128</v>
      </c>
      <c r="E424" s="26" t="s">
        <v>1165</v>
      </c>
      <c r="F424" s="2">
        <v>23</v>
      </c>
      <c r="G424" s="4" t="s">
        <v>52</v>
      </c>
      <c r="H424" s="2">
        <v>2006</v>
      </c>
      <c r="I424" s="2" t="s">
        <v>1189</v>
      </c>
      <c r="J424" s="2" t="s">
        <v>1167</v>
      </c>
      <c r="K424" s="2"/>
      <c r="L424" s="2"/>
      <c r="M424" s="2" t="s">
        <v>1132</v>
      </c>
      <c r="N424" s="2"/>
      <c r="O424" s="2"/>
      <c r="P424" s="2" t="s">
        <v>1127</v>
      </c>
      <c r="Q424" s="2" t="s">
        <v>1127</v>
      </c>
      <c r="R424" s="2"/>
      <c r="S424" s="2"/>
      <c r="T424" s="2"/>
      <c r="U424" s="2"/>
      <c r="V424" s="2"/>
      <c r="W424" s="2"/>
      <c r="X424" s="2"/>
      <c r="Y424" s="2"/>
      <c r="Z424" s="2"/>
      <c r="AA424" s="2"/>
      <c r="AB424" s="2"/>
      <c r="AC424" s="2"/>
      <c r="AD424" s="2"/>
      <c r="AE424" s="2"/>
      <c r="AF424" s="2"/>
      <c r="AG424" s="2"/>
      <c r="AH424" s="2"/>
      <c r="AI424" s="2"/>
      <c r="AJ424" s="2"/>
    </row>
    <row r="425" spans="1:36" ht="17.25" customHeight="1" x14ac:dyDescent="0.2">
      <c r="A425" s="26" t="s">
        <v>0</v>
      </c>
      <c r="B425" s="26" t="s">
        <v>39</v>
      </c>
      <c r="C425" s="3" t="s">
        <v>4182</v>
      </c>
      <c r="D425" s="26" t="s">
        <v>1128</v>
      </c>
      <c r="E425" s="26" t="s">
        <v>1165</v>
      </c>
      <c r="F425" s="2">
        <v>24</v>
      </c>
      <c r="G425" s="4" t="s">
        <v>95</v>
      </c>
      <c r="H425" s="2">
        <v>2007</v>
      </c>
      <c r="I425" s="2" t="s">
        <v>1190</v>
      </c>
      <c r="J425" s="2" t="s">
        <v>1167</v>
      </c>
      <c r="K425" s="2"/>
      <c r="L425" s="2"/>
      <c r="M425" s="2" t="s">
        <v>1132</v>
      </c>
      <c r="N425" s="2"/>
      <c r="O425" s="2"/>
      <c r="P425" s="2" t="s">
        <v>1127</v>
      </c>
      <c r="Q425" s="2" t="s">
        <v>1127</v>
      </c>
      <c r="R425" s="2"/>
      <c r="S425" s="2"/>
      <c r="T425" s="2"/>
      <c r="U425" s="2"/>
      <c r="V425" s="2"/>
      <c r="W425" s="2"/>
      <c r="X425" s="2"/>
      <c r="Y425" s="2"/>
      <c r="Z425" s="2"/>
      <c r="AA425" s="2"/>
      <c r="AB425" s="2"/>
      <c r="AC425" s="2"/>
      <c r="AD425" s="2"/>
      <c r="AE425" s="2"/>
      <c r="AF425" s="2"/>
      <c r="AG425" s="2"/>
      <c r="AH425" s="2"/>
      <c r="AI425" s="2"/>
      <c r="AJ425" s="2"/>
    </row>
    <row r="426" spans="1:36" ht="17.25" customHeight="1" x14ac:dyDescent="0.2">
      <c r="A426" s="26" t="s">
        <v>0</v>
      </c>
      <c r="B426" s="26" t="s">
        <v>36</v>
      </c>
      <c r="C426" s="3" t="s">
        <v>4182</v>
      </c>
      <c r="D426" s="26" t="s">
        <v>1128</v>
      </c>
      <c r="E426" s="26" t="s">
        <v>1165</v>
      </c>
      <c r="F426" s="2">
        <v>25</v>
      </c>
      <c r="G426" s="4" t="s">
        <v>70</v>
      </c>
      <c r="H426" s="2">
        <v>2008</v>
      </c>
      <c r="I426" s="2" t="s">
        <v>1191</v>
      </c>
      <c r="J426" s="2" t="s">
        <v>1167</v>
      </c>
      <c r="K426" s="2"/>
      <c r="L426" s="2"/>
      <c r="M426" s="2" t="s">
        <v>1132</v>
      </c>
      <c r="N426" s="2"/>
      <c r="O426" s="2"/>
      <c r="P426" s="2" t="s">
        <v>1127</v>
      </c>
      <c r="Q426" s="2" t="s">
        <v>1127</v>
      </c>
      <c r="R426" s="2"/>
      <c r="S426" s="2"/>
      <c r="T426" s="2"/>
      <c r="U426" s="2"/>
      <c r="V426" s="2"/>
      <c r="W426" s="2"/>
      <c r="X426" s="2"/>
      <c r="Y426" s="2"/>
      <c r="Z426" s="2"/>
      <c r="AA426" s="2"/>
      <c r="AB426" s="2"/>
      <c r="AC426" s="2"/>
      <c r="AD426" s="2"/>
      <c r="AE426" s="2"/>
      <c r="AF426" s="2"/>
      <c r="AG426" s="2"/>
      <c r="AH426" s="2"/>
      <c r="AI426" s="2"/>
      <c r="AJ426" s="2"/>
    </row>
    <row r="427" spans="1:36" ht="17.25" customHeight="1" x14ac:dyDescent="0.2">
      <c r="A427" s="26" t="s">
        <v>0</v>
      </c>
      <c r="B427" s="26" t="s">
        <v>91</v>
      </c>
      <c r="C427" s="3" t="s">
        <v>4182</v>
      </c>
      <c r="D427" s="26" t="s">
        <v>1128</v>
      </c>
      <c r="E427" s="26" t="s">
        <v>1165</v>
      </c>
      <c r="F427" s="2">
        <v>26</v>
      </c>
      <c r="G427" s="4" t="s">
        <v>16</v>
      </c>
      <c r="H427" s="2">
        <v>2009</v>
      </c>
      <c r="I427" s="2" t="s">
        <v>1192</v>
      </c>
      <c r="J427" s="2" t="s">
        <v>1167</v>
      </c>
      <c r="K427" s="2"/>
      <c r="L427" s="2"/>
      <c r="M427" s="2" t="s">
        <v>1132</v>
      </c>
      <c r="N427" s="2"/>
      <c r="O427" s="2"/>
      <c r="P427" s="2" t="s">
        <v>1127</v>
      </c>
      <c r="Q427" s="2" t="s">
        <v>1127</v>
      </c>
      <c r="R427" s="2"/>
      <c r="S427" s="2"/>
      <c r="T427" s="2"/>
      <c r="U427" s="2"/>
      <c r="V427" s="2"/>
      <c r="W427" s="2"/>
      <c r="X427" s="2"/>
      <c r="Y427" s="2"/>
      <c r="Z427" s="2"/>
      <c r="AA427" s="2"/>
      <c r="AB427" s="2"/>
      <c r="AC427" s="2"/>
      <c r="AD427" s="2"/>
      <c r="AE427" s="2"/>
      <c r="AF427" s="2"/>
      <c r="AG427" s="2"/>
      <c r="AH427" s="2"/>
      <c r="AI427" s="2"/>
      <c r="AJ427" s="2"/>
    </row>
    <row r="428" spans="1:36" ht="17.25" customHeight="1" x14ac:dyDescent="0.2">
      <c r="A428" s="26" t="s">
        <v>0</v>
      </c>
      <c r="B428" s="26" t="s">
        <v>103</v>
      </c>
      <c r="C428" s="3" t="s">
        <v>4182</v>
      </c>
      <c r="D428" s="26" t="s">
        <v>1128</v>
      </c>
      <c r="E428" s="26" t="s">
        <v>1165</v>
      </c>
      <c r="F428" s="2">
        <v>27</v>
      </c>
      <c r="G428" s="4" t="s">
        <v>34</v>
      </c>
      <c r="H428" s="2">
        <v>2010</v>
      </c>
      <c r="I428" s="2" t="s">
        <v>1193</v>
      </c>
      <c r="J428" s="2" t="s">
        <v>1167</v>
      </c>
      <c r="K428" s="2"/>
      <c r="L428" s="2"/>
      <c r="M428" s="2" t="s">
        <v>1132</v>
      </c>
      <c r="N428" s="2"/>
      <c r="O428" s="2"/>
      <c r="P428" s="2" t="s">
        <v>1127</v>
      </c>
      <c r="Q428" s="2" t="s">
        <v>1127</v>
      </c>
      <c r="R428" s="2"/>
      <c r="S428" s="2"/>
      <c r="T428" s="2"/>
      <c r="U428" s="2"/>
      <c r="V428" s="2"/>
      <c r="W428" s="2"/>
      <c r="X428" s="2"/>
      <c r="Y428" s="2"/>
      <c r="Z428" s="2"/>
      <c r="AA428" s="2"/>
      <c r="AB428" s="2"/>
      <c r="AC428" s="2"/>
      <c r="AD428" s="2"/>
      <c r="AE428" s="2"/>
      <c r="AF428" s="2"/>
      <c r="AG428" s="2"/>
      <c r="AH428" s="2"/>
      <c r="AI428" s="2"/>
      <c r="AJ428" s="2"/>
    </row>
    <row r="429" spans="1:36" ht="17.25" customHeight="1" x14ac:dyDescent="0.2">
      <c r="A429" s="26" t="s">
        <v>0</v>
      </c>
      <c r="B429" s="26" t="s">
        <v>33</v>
      </c>
      <c r="C429" s="3" t="s">
        <v>4182</v>
      </c>
      <c r="D429" s="26" t="s">
        <v>1128</v>
      </c>
      <c r="E429" s="26" t="s">
        <v>1165</v>
      </c>
      <c r="F429" s="2">
        <v>28</v>
      </c>
      <c r="G429" s="4" t="s">
        <v>46</v>
      </c>
      <c r="H429" s="2">
        <v>2011</v>
      </c>
      <c r="I429" s="2" t="s">
        <v>1194</v>
      </c>
      <c r="J429" s="2" t="s">
        <v>1167</v>
      </c>
      <c r="K429" s="2"/>
      <c r="L429" s="2"/>
      <c r="M429" s="2" t="s">
        <v>1132</v>
      </c>
      <c r="N429" s="2"/>
      <c r="O429" s="2"/>
      <c r="P429" s="2" t="s">
        <v>1127</v>
      </c>
      <c r="Q429" s="2" t="s">
        <v>1127</v>
      </c>
      <c r="R429" s="2"/>
      <c r="S429" s="2"/>
      <c r="T429" s="2"/>
      <c r="U429" s="2"/>
      <c r="V429" s="2"/>
      <c r="W429" s="2"/>
      <c r="X429" s="2"/>
      <c r="Y429" s="2"/>
      <c r="Z429" s="2"/>
      <c r="AA429" s="2"/>
      <c r="AB429" s="2"/>
      <c r="AC429" s="2"/>
      <c r="AD429" s="2"/>
      <c r="AE429" s="2"/>
      <c r="AF429" s="2"/>
      <c r="AG429" s="2"/>
      <c r="AH429" s="2"/>
      <c r="AI429" s="2"/>
      <c r="AJ429" s="2"/>
    </row>
    <row r="430" spans="1:36" ht="17.25" customHeight="1" x14ac:dyDescent="0.2">
      <c r="A430" s="26" t="s">
        <v>0</v>
      </c>
      <c r="B430" s="26" t="s">
        <v>27</v>
      </c>
      <c r="C430" s="3" t="s">
        <v>4182</v>
      </c>
      <c r="D430" s="26" t="s">
        <v>1128</v>
      </c>
      <c r="E430" s="26" t="s">
        <v>1165</v>
      </c>
      <c r="F430" s="2">
        <v>29</v>
      </c>
      <c r="G430" s="4" t="s">
        <v>61</v>
      </c>
      <c r="H430" s="2">
        <v>2012</v>
      </c>
      <c r="I430" s="2" t="s">
        <v>1195</v>
      </c>
      <c r="J430" s="2" t="s">
        <v>1167</v>
      </c>
      <c r="K430" s="2"/>
      <c r="L430" s="2"/>
      <c r="M430" s="2" t="s">
        <v>1132</v>
      </c>
      <c r="N430" s="2"/>
      <c r="O430" s="2"/>
      <c r="P430" s="2" t="s">
        <v>1127</v>
      </c>
      <c r="Q430" s="2" t="s">
        <v>1127</v>
      </c>
      <c r="R430" s="2"/>
      <c r="S430" s="2"/>
      <c r="T430" s="2"/>
      <c r="U430" s="2"/>
      <c r="V430" s="2"/>
      <c r="W430" s="2"/>
      <c r="X430" s="2"/>
      <c r="Y430" s="2"/>
      <c r="Z430" s="2"/>
      <c r="AA430" s="2"/>
      <c r="AB430" s="2"/>
      <c r="AC430" s="2"/>
      <c r="AD430" s="2"/>
      <c r="AE430" s="2"/>
      <c r="AF430" s="2"/>
      <c r="AG430" s="2"/>
      <c r="AH430" s="2"/>
      <c r="AI430" s="2"/>
      <c r="AJ430" s="2"/>
    </row>
    <row r="431" spans="1:36" ht="17.25" customHeight="1" x14ac:dyDescent="0.2">
      <c r="A431" s="26" t="s">
        <v>0</v>
      </c>
      <c r="B431" s="26" t="s">
        <v>54</v>
      </c>
      <c r="C431" s="3" t="s">
        <v>4182</v>
      </c>
      <c r="D431" s="26" t="s">
        <v>1128</v>
      </c>
      <c r="E431" s="26" t="s">
        <v>1165</v>
      </c>
      <c r="F431" s="2">
        <v>30</v>
      </c>
      <c r="G431" s="4" t="s">
        <v>86</v>
      </c>
      <c r="H431" s="2">
        <v>2013</v>
      </c>
      <c r="I431" s="2" t="s">
        <v>1196</v>
      </c>
      <c r="J431" s="2" t="s">
        <v>1167</v>
      </c>
      <c r="K431" s="2"/>
      <c r="L431" s="2"/>
      <c r="M431" s="2" t="s">
        <v>1132</v>
      </c>
      <c r="N431" s="2"/>
      <c r="O431" s="2"/>
      <c r="P431" s="2" t="s">
        <v>1127</v>
      </c>
      <c r="Q431" s="2" t="s">
        <v>1127</v>
      </c>
      <c r="R431" s="2"/>
      <c r="S431" s="2"/>
      <c r="T431" s="2"/>
      <c r="U431" s="2"/>
      <c r="V431" s="2"/>
      <c r="W431" s="2"/>
      <c r="X431" s="2"/>
      <c r="Y431" s="2"/>
      <c r="Z431" s="2"/>
      <c r="AA431" s="2"/>
      <c r="AB431" s="2"/>
      <c r="AC431" s="2"/>
      <c r="AD431" s="2"/>
      <c r="AE431" s="2"/>
      <c r="AF431" s="2"/>
      <c r="AG431" s="2"/>
      <c r="AH431" s="2"/>
      <c r="AI431" s="2"/>
      <c r="AJ431" s="2"/>
    </row>
    <row r="432" spans="1:36" ht="17.25" customHeight="1" x14ac:dyDescent="0.2">
      <c r="A432" s="26" t="s">
        <v>0</v>
      </c>
      <c r="B432" s="26" t="s">
        <v>57</v>
      </c>
      <c r="C432" s="3" t="s">
        <v>4182</v>
      </c>
      <c r="D432" s="26" t="s">
        <v>1128</v>
      </c>
      <c r="E432" s="26" t="s">
        <v>1165</v>
      </c>
      <c r="F432" s="2">
        <v>31</v>
      </c>
      <c r="G432" s="4" t="s">
        <v>22</v>
      </c>
      <c r="H432" s="2">
        <v>2014</v>
      </c>
      <c r="I432" s="2" t="s">
        <v>1197</v>
      </c>
      <c r="J432" s="2" t="s">
        <v>1167</v>
      </c>
      <c r="K432" s="2"/>
      <c r="L432" s="2"/>
      <c r="M432" s="2" t="s">
        <v>1132</v>
      </c>
      <c r="N432" s="2"/>
      <c r="O432" s="2"/>
      <c r="P432" s="2" t="s">
        <v>1127</v>
      </c>
      <c r="Q432" s="2" t="s">
        <v>1127</v>
      </c>
      <c r="R432" s="2"/>
      <c r="S432" s="2"/>
      <c r="T432" s="2"/>
      <c r="U432" s="2"/>
      <c r="V432" s="2"/>
      <c r="W432" s="2"/>
      <c r="X432" s="2"/>
      <c r="Y432" s="2"/>
      <c r="Z432" s="2"/>
      <c r="AA432" s="2"/>
      <c r="AB432" s="2"/>
      <c r="AC432" s="2"/>
      <c r="AD432" s="2"/>
      <c r="AE432" s="2"/>
      <c r="AF432" s="2"/>
      <c r="AG432" s="2"/>
      <c r="AH432" s="2"/>
      <c r="AI432" s="2"/>
      <c r="AJ432" s="2"/>
    </row>
    <row r="433" spans="1:36" ht="17.25" customHeight="1" x14ac:dyDescent="0.2">
      <c r="A433" s="26" t="s">
        <v>0</v>
      </c>
      <c r="B433" s="26" t="s">
        <v>18</v>
      </c>
      <c r="C433" s="3" t="s">
        <v>4182</v>
      </c>
      <c r="D433" s="26" t="s">
        <v>1128</v>
      </c>
      <c r="E433" s="26" t="s">
        <v>1165</v>
      </c>
      <c r="F433" s="2">
        <v>32</v>
      </c>
      <c r="G433" s="4" t="s">
        <v>28</v>
      </c>
      <c r="H433" s="2">
        <v>2015</v>
      </c>
      <c r="I433" s="2" t="s">
        <v>1198</v>
      </c>
      <c r="J433" s="2" t="s">
        <v>1167</v>
      </c>
      <c r="K433" s="2"/>
      <c r="L433" s="2"/>
      <c r="M433" s="2" t="s">
        <v>1132</v>
      </c>
      <c r="N433" s="2"/>
      <c r="O433" s="2"/>
      <c r="P433" s="2" t="s">
        <v>1127</v>
      </c>
      <c r="Q433" s="2" t="s">
        <v>1127</v>
      </c>
      <c r="R433" s="2"/>
      <c r="S433" s="2"/>
      <c r="T433" s="2"/>
      <c r="U433" s="2"/>
      <c r="V433" s="2"/>
      <c r="W433" s="2"/>
      <c r="X433" s="2"/>
      <c r="Y433" s="2"/>
      <c r="Z433" s="2"/>
      <c r="AA433" s="2"/>
      <c r="AB433" s="2"/>
      <c r="AC433" s="2"/>
      <c r="AD433" s="2"/>
      <c r="AE433" s="2"/>
      <c r="AF433" s="2"/>
      <c r="AG433" s="2"/>
      <c r="AH433" s="2"/>
      <c r="AI433" s="2"/>
      <c r="AJ433" s="2"/>
    </row>
    <row r="434" spans="1:36" ht="17.25" customHeight="1" x14ac:dyDescent="0.2">
      <c r="A434" s="26" t="s">
        <v>0</v>
      </c>
      <c r="B434" s="26" t="s">
        <v>75</v>
      </c>
      <c r="C434" s="3" t="s">
        <v>4182</v>
      </c>
      <c r="D434" s="26" t="s">
        <v>1128</v>
      </c>
      <c r="E434" s="26" t="s">
        <v>1165</v>
      </c>
      <c r="F434" s="2">
        <v>33</v>
      </c>
      <c r="G434" s="4" t="s">
        <v>76</v>
      </c>
      <c r="H434" s="2">
        <v>2016</v>
      </c>
      <c r="I434" s="2" t="s">
        <v>1199</v>
      </c>
      <c r="J434" s="2" t="s">
        <v>1167</v>
      </c>
      <c r="K434" s="2"/>
      <c r="L434" s="2"/>
      <c r="M434" s="2" t="s">
        <v>1132</v>
      </c>
      <c r="N434" s="2"/>
      <c r="O434" s="2"/>
      <c r="P434" s="2" t="s">
        <v>1127</v>
      </c>
      <c r="Q434" s="2" t="s">
        <v>1127</v>
      </c>
      <c r="R434" s="2"/>
      <c r="S434" s="2"/>
      <c r="T434" s="2"/>
      <c r="U434" s="2"/>
      <c r="V434" s="2"/>
      <c r="W434" s="2"/>
      <c r="X434" s="2"/>
      <c r="Y434" s="2"/>
      <c r="Z434" s="2"/>
      <c r="AA434" s="2"/>
      <c r="AB434" s="2"/>
      <c r="AC434" s="2"/>
      <c r="AD434" s="2"/>
      <c r="AE434" s="2"/>
      <c r="AF434" s="2"/>
      <c r="AG434" s="2"/>
      <c r="AH434" s="2"/>
      <c r="AI434" s="2"/>
      <c r="AJ434" s="2"/>
    </row>
    <row r="435" spans="1:36" ht="17.25" customHeight="1" x14ac:dyDescent="0.2">
      <c r="A435" s="26" t="s">
        <v>0</v>
      </c>
      <c r="B435" s="26" t="s">
        <v>177</v>
      </c>
      <c r="C435" s="3" t="s">
        <v>4182</v>
      </c>
      <c r="D435" s="26" t="s">
        <v>1128</v>
      </c>
      <c r="E435" s="26" t="s">
        <v>1200</v>
      </c>
      <c r="F435" s="2">
        <v>26</v>
      </c>
      <c r="G435" s="4" t="s">
        <v>16</v>
      </c>
      <c r="H435" s="2">
        <v>2009</v>
      </c>
      <c r="I435" s="2" t="s">
        <v>1201</v>
      </c>
      <c r="J435" s="2" t="s">
        <v>1202</v>
      </c>
      <c r="K435" s="2" t="s">
        <v>1203</v>
      </c>
      <c r="L435" s="2"/>
      <c r="M435" s="2" t="s">
        <v>1132</v>
      </c>
      <c r="N435" s="2"/>
      <c r="O435" s="2"/>
      <c r="P435" s="2" t="s">
        <v>1127</v>
      </c>
      <c r="Q435" s="2" t="s">
        <v>1127</v>
      </c>
      <c r="R435" s="2"/>
      <c r="S435" s="2"/>
      <c r="T435" s="2"/>
      <c r="U435" s="2"/>
      <c r="V435" s="2"/>
      <c r="W435" s="2"/>
      <c r="X435" s="2"/>
      <c r="Y435" s="2"/>
      <c r="Z435" s="2"/>
      <c r="AA435" s="2"/>
      <c r="AB435" s="2"/>
      <c r="AC435" s="2"/>
      <c r="AD435" s="2"/>
      <c r="AE435" s="2"/>
      <c r="AF435" s="2"/>
      <c r="AG435" s="2"/>
      <c r="AH435" s="2"/>
      <c r="AI435" s="2"/>
      <c r="AJ435" s="2"/>
    </row>
    <row r="436" spans="1:36" ht="17.25" customHeight="1" x14ac:dyDescent="0.2">
      <c r="A436" s="26" t="s">
        <v>0</v>
      </c>
      <c r="B436" s="26" t="s">
        <v>181</v>
      </c>
      <c r="C436" s="3" t="s">
        <v>4182</v>
      </c>
      <c r="D436" s="26" t="s">
        <v>1128</v>
      </c>
      <c r="E436" s="26" t="s">
        <v>1200</v>
      </c>
      <c r="F436" s="2">
        <v>28</v>
      </c>
      <c r="G436" s="4" t="s">
        <v>46</v>
      </c>
      <c r="H436" s="2">
        <v>2011</v>
      </c>
      <c r="I436" s="2" t="s">
        <v>1204</v>
      </c>
      <c r="J436" s="2" t="s">
        <v>1202</v>
      </c>
      <c r="K436" s="2" t="s">
        <v>1203</v>
      </c>
      <c r="L436" s="2"/>
      <c r="M436" s="2" t="s">
        <v>1132</v>
      </c>
      <c r="N436" s="2"/>
      <c r="O436" s="2"/>
      <c r="P436" s="2" t="s">
        <v>1127</v>
      </c>
      <c r="Q436" s="2" t="s">
        <v>1127</v>
      </c>
      <c r="R436" s="2"/>
      <c r="S436" s="2"/>
      <c r="T436" s="2"/>
      <c r="U436" s="2"/>
      <c r="V436" s="2"/>
      <c r="W436" s="2"/>
      <c r="X436" s="2"/>
      <c r="Y436" s="2"/>
      <c r="Z436" s="2"/>
      <c r="AA436" s="2"/>
      <c r="AB436" s="2"/>
      <c r="AC436" s="2"/>
      <c r="AD436" s="2"/>
      <c r="AE436" s="2"/>
      <c r="AF436" s="2"/>
      <c r="AG436" s="2"/>
      <c r="AH436" s="2"/>
      <c r="AI436" s="2"/>
      <c r="AJ436" s="2"/>
    </row>
    <row r="437" spans="1:36" ht="17.25" customHeight="1" x14ac:dyDescent="0.2">
      <c r="A437" s="26" t="s">
        <v>0</v>
      </c>
      <c r="B437" s="26" t="s">
        <v>185</v>
      </c>
      <c r="C437" s="3" t="s">
        <v>4182</v>
      </c>
      <c r="D437" s="26" t="s">
        <v>1128</v>
      </c>
      <c r="E437" s="26" t="s">
        <v>1200</v>
      </c>
      <c r="F437" s="2">
        <v>30</v>
      </c>
      <c r="G437" s="4" t="s">
        <v>86</v>
      </c>
      <c r="H437" s="2">
        <v>2013</v>
      </c>
      <c r="I437" s="2" t="s">
        <v>1205</v>
      </c>
      <c r="J437" s="2" t="s">
        <v>1202</v>
      </c>
      <c r="K437" s="2" t="s">
        <v>1203</v>
      </c>
      <c r="L437" s="2"/>
      <c r="M437" s="2" t="s">
        <v>1132</v>
      </c>
      <c r="N437" s="2"/>
      <c r="O437" s="2"/>
      <c r="P437" s="2" t="s">
        <v>1127</v>
      </c>
      <c r="Q437" s="2" t="s">
        <v>1127</v>
      </c>
      <c r="R437" s="2"/>
      <c r="S437" s="2"/>
      <c r="T437" s="2"/>
      <c r="U437" s="2"/>
      <c r="V437" s="2"/>
      <c r="W437" s="2"/>
      <c r="X437" s="2"/>
      <c r="Y437" s="2"/>
      <c r="Z437" s="2"/>
      <c r="AA437" s="2"/>
      <c r="AB437" s="2"/>
      <c r="AC437" s="2"/>
      <c r="AD437" s="2"/>
      <c r="AE437" s="2"/>
      <c r="AF437" s="2"/>
      <c r="AG437" s="2"/>
      <c r="AH437" s="2"/>
      <c r="AI437" s="2"/>
      <c r="AJ437" s="2"/>
    </row>
    <row r="438" spans="1:36" ht="17.25" customHeight="1" x14ac:dyDescent="0.2">
      <c r="A438" s="26" t="s">
        <v>0</v>
      </c>
      <c r="B438" s="26" t="s">
        <v>189</v>
      </c>
      <c r="C438" s="3" t="s">
        <v>4182</v>
      </c>
      <c r="D438" s="26" t="s">
        <v>1128</v>
      </c>
      <c r="E438" s="26" t="s">
        <v>1200</v>
      </c>
      <c r="F438" s="2">
        <v>32</v>
      </c>
      <c r="G438" s="4" t="s">
        <v>28</v>
      </c>
      <c r="H438" s="2">
        <v>2015</v>
      </c>
      <c r="I438" s="2" t="s">
        <v>1206</v>
      </c>
      <c r="J438" s="2" t="s">
        <v>1202</v>
      </c>
      <c r="K438" s="2" t="s">
        <v>1203</v>
      </c>
      <c r="L438" s="2"/>
      <c r="M438" s="2" t="s">
        <v>1132</v>
      </c>
      <c r="N438" s="2"/>
      <c r="O438" s="2"/>
      <c r="P438" s="2" t="s">
        <v>1127</v>
      </c>
      <c r="Q438" s="2" t="s">
        <v>1127</v>
      </c>
      <c r="R438" s="2"/>
      <c r="S438" s="2"/>
      <c r="T438" s="2"/>
      <c r="U438" s="2"/>
      <c r="V438" s="2"/>
      <c r="W438" s="2"/>
      <c r="X438" s="2"/>
      <c r="Y438" s="2"/>
      <c r="Z438" s="2"/>
      <c r="AA438" s="2"/>
      <c r="AB438" s="2"/>
      <c r="AC438" s="2"/>
      <c r="AD438" s="2"/>
      <c r="AE438" s="2"/>
      <c r="AF438" s="2"/>
      <c r="AG438" s="2"/>
      <c r="AH438" s="2"/>
      <c r="AI438" s="2"/>
      <c r="AJ438" s="2"/>
    </row>
    <row r="439" spans="1:36" ht="17.25" customHeight="1" x14ac:dyDescent="0.2">
      <c r="A439" s="26" t="s">
        <v>0</v>
      </c>
      <c r="B439" s="26" t="s">
        <v>124</v>
      </c>
      <c r="C439" s="3" t="s">
        <v>4182</v>
      </c>
      <c r="D439" s="26" t="s">
        <v>1128</v>
      </c>
      <c r="E439" s="26" t="s">
        <v>1207</v>
      </c>
      <c r="F439" s="2">
        <v>1</v>
      </c>
      <c r="G439" s="4" t="s">
        <v>40</v>
      </c>
      <c r="H439" s="2">
        <v>1984</v>
      </c>
      <c r="I439" s="2" t="s">
        <v>1208</v>
      </c>
      <c r="J439" s="2" t="s">
        <v>1209</v>
      </c>
      <c r="K439" s="2"/>
      <c r="L439" s="2"/>
      <c r="M439" s="2" t="s">
        <v>1132</v>
      </c>
      <c r="N439" s="2"/>
      <c r="O439" s="2"/>
      <c r="P439" s="2" t="s">
        <v>1127</v>
      </c>
      <c r="Q439" s="2" t="s">
        <v>1127</v>
      </c>
      <c r="R439" s="2"/>
      <c r="S439" s="2"/>
      <c r="T439" s="2"/>
      <c r="U439" s="2"/>
      <c r="V439" s="2"/>
      <c r="W439" s="2"/>
      <c r="X439" s="2"/>
      <c r="Y439" s="2"/>
      <c r="Z439" s="2"/>
      <c r="AA439" s="2"/>
      <c r="AB439" s="2"/>
      <c r="AC439" s="2"/>
      <c r="AD439" s="2"/>
      <c r="AE439" s="2"/>
      <c r="AF439" s="2"/>
      <c r="AG439" s="2"/>
      <c r="AH439" s="2"/>
      <c r="AI439" s="2"/>
      <c r="AJ439" s="2"/>
    </row>
    <row r="440" spans="1:36" ht="17.25" customHeight="1" x14ac:dyDescent="0.2">
      <c r="A440" s="26" t="s">
        <v>0</v>
      </c>
      <c r="B440" s="26" t="s">
        <v>129</v>
      </c>
      <c r="C440" s="3" t="s">
        <v>4182</v>
      </c>
      <c r="D440" s="26" t="s">
        <v>1128</v>
      </c>
      <c r="E440" s="26" t="s">
        <v>1207</v>
      </c>
      <c r="F440" s="2">
        <v>2</v>
      </c>
      <c r="G440" s="4" t="s">
        <v>37</v>
      </c>
      <c r="H440" s="2">
        <v>1985</v>
      </c>
      <c r="I440" s="2" t="s">
        <v>1210</v>
      </c>
      <c r="J440" s="2" t="s">
        <v>1209</v>
      </c>
      <c r="K440" s="2"/>
      <c r="L440" s="2"/>
      <c r="M440" s="2" t="s">
        <v>1132</v>
      </c>
      <c r="N440" s="2"/>
      <c r="O440" s="2"/>
      <c r="P440" s="2" t="s">
        <v>1127</v>
      </c>
      <c r="Q440" s="2" t="s">
        <v>1127</v>
      </c>
      <c r="R440" s="2"/>
      <c r="S440" s="2"/>
      <c r="T440" s="2"/>
      <c r="U440" s="2"/>
      <c r="V440" s="2"/>
      <c r="W440" s="2"/>
      <c r="X440" s="2"/>
      <c r="Y440" s="2"/>
      <c r="Z440" s="2"/>
      <c r="AA440" s="2"/>
      <c r="AB440" s="2"/>
      <c r="AC440" s="2"/>
      <c r="AD440" s="2"/>
      <c r="AE440" s="2"/>
      <c r="AF440" s="2"/>
      <c r="AG440" s="2"/>
      <c r="AH440" s="2"/>
      <c r="AI440" s="2"/>
      <c r="AJ440" s="2"/>
    </row>
    <row r="441" spans="1:36" ht="17.25" customHeight="1" x14ac:dyDescent="0.2">
      <c r="A441" s="26" t="s">
        <v>0</v>
      </c>
      <c r="B441" s="26" t="s">
        <v>131</v>
      </c>
      <c r="C441" s="3" t="s">
        <v>4182</v>
      </c>
      <c r="D441" s="26" t="s">
        <v>1128</v>
      </c>
      <c r="E441" s="26" t="s">
        <v>1207</v>
      </c>
      <c r="F441" s="2">
        <v>3</v>
      </c>
      <c r="G441" s="4" t="s">
        <v>80</v>
      </c>
      <c r="H441" s="2">
        <v>1986</v>
      </c>
      <c r="I441" s="2" t="s">
        <v>1211</v>
      </c>
      <c r="J441" s="2" t="s">
        <v>1209</v>
      </c>
      <c r="K441" s="2"/>
      <c r="L441" s="2"/>
      <c r="M441" s="2" t="s">
        <v>1132</v>
      </c>
      <c r="N441" s="2"/>
      <c r="O441" s="2"/>
      <c r="P441" s="2" t="s">
        <v>1127</v>
      </c>
      <c r="Q441" s="2" t="s">
        <v>1127</v>
      </c>
      <c r="R441" s="2"/>
      <c r="S441" s="2"/>
      <c r="T441" s="2"/>
      <c r="U441" s="2"/>
      <c r="V441" s="2"/>
      <c r="W441" s="2"/>
      <c r="X441" s="2"/>
      <c r="Y441" s="2"/>
      <c r="Z441" s="2"/>
      <c r="AA441" s="2"/>
      <c r="AB441" s="2"/>
      <c r="AC441" s="2"/>
      <c r="AD441" s="2"/>
      <c r="AE441" s="2"/>
      <c r="AF441" s="2"/>
      <c r="AG441" s="2"/>
      <c r="AH441" s="2"/>
      <c r="AI441" s="2"/>
      <c r="AJ441" s="2"/>
    </row>
    <row r="442" spans="1:36" ht="17.25" customHeight="1" x14ac:dyDescent="0.2">
      <c r="A442" s="26" t="s">
        <v>0</v>
      </c>
      <c r="B442" s="26" t="s">
        <v>133</v>
      </c>
      <c r="C442" s="3" t="s">
        <v>4182</v>
      </c>
      <c r="D442" s="26" t="s">
        <v>1128</v>
      </c>
      <c r="E442" s="26" t="s">
        <v>1207</v>
      </c>
      <c r="F442" s="2">
        <v>4</v>
      </c>
      <c r="G442" s="4" t="s">
        <v>31</v>
      </c>
      <c r="H442" s="2">
        <v>1987</v>
      </c>
      <c r="I442" s="2" t="s">
        <v>1212</v>
      </c>
      <c r="J442" s="2" t="s">
        <v>1209</v>
      </c>
      <c r="K442" s="2"/>
      <c r="L442" s="2"/>
      <c r="M442" s="2" t="s">
        <v>1132</v>
      </c>
      <c r="N442" s="2"/>
      <c r="O442" s="2"/>
      <c r="P442" s="2" t="s">
        <v>1127</v>
      </c>
      <c r="Q442" s="2" t="s">
        <v>1127</v>
      </c>
      <c r="R442" s="2"/>
      <c r="S442" s="2"/>
      <c r="T442" s="2"/>
      <c r="U442" s="2"/>
      <c r="V442" s="2"/>
      <c r="W442" s="2"/>
      <c r="X442" s="2"/>
      <c r="Y442" s="2"/>
      <c r="Z442" s="2"/>
      <c r="AA442" s="2"/>
      <c r="AB442" s="2"/>
      <c r="AC442" s="2"/>
      <c r="AD442" s="2"/>
      <c r="AE442" s="2"/>
      <c r="AF442" s="2"/>
      <c r="AG442" s="2"/>
      <c r="AH442" s="2"/>
      <c r="AI442" s="2"/>
      <c r="AJ442" s="2"/>
    </row>
    <row r="443" spans="1:36" ht="17.25" customHeight="1" x14ac:dyDescent="0.2">
      <c r="A443" s="26" t="s">
        <v>0</v>
      </c>
      <c r="B443" s="26" t="s">
        <v>135</v>
      </c>
      <c r="C443" s="3" t="s">
        <v>4182</v>
      </c>
      <c r="D443" s="26" t="s">
        <v>1128</v>
      </c>
      <c r="E443" s="26" t="s">
        <v>1207</v>
      </c>
      <c r="F443" s="2">
        <v>5</v>
      </c>
      <c r="G443" s="4" t="s">
        <v>13</v>
      </c>
      <c r="H443" s="2">
        <v>1988</v>
      </c>
      <c r="I443" s="2" t="s">
        <v>1213</v>
      </c>
      <c r="J443" s="2" t="s">
        <v>1209</v>
      </c>
      <c r="K443" s="2"/>
      <c r="L443" s="2"/>
      <c r="M443" s="2" t="s">
        <v>1132</v>
      </c>
      <c r="N443" s="2"/>
      <c r="O443" s="2"/>
      <c r="P443" s="2" t="s">
        <v>1127</v>
      </c>
      <c r="Q443" s="2" t="s">
        <v>1127</v>
      </c>
      <c r="R443" s="2"/>
      <c r="S443" s="2"/>
      <c r="T443" s="2"/>
      <c r="U443" s="2"/>
      <c r="V443" s="2"/>
      <c r="W443" s="2"/>
      <c r="X443" s="2"/>
      <c r="Y443" s="2"/>
      <c r="Z443" s="2"/>
      <c r="AA443" s="2"/>
      <c r="AB443" s="2"/>
      <c r="AC443" s="2"/>
      <c r="AD443" s="2"/>
      <c r="AE443" s="2"/>
      <c r="AF443" s="2"/>
      <c r="AG443" s="2"/>
      <c r="AH443" s="2"/>
      <c r="AI443" s="2"/>
      <c r="AJ443" s="2"/>
    </row>
    <row r="444" spans="1:36" ht="17.25" customHeight="1" x14ac:dyDescent="0.2">
      <c r="A444" s="26" t="s">
        <v>0</v>
      </c>
      <c r="B444" s="26" t="s">
        <v>137</v>
      </c>
      <c r="C444" s="3" t="s">
        <v>4182</v>
      </c>
      <c r="D444" s="26" t="s">
        <v>1128</v>
      </c>
      <c r="E444" s="26" t="s">
        <v>1207</v>
      </c>
      <c r="F444" s="2">
        <v>6</v>
      </c>
      <c r="G444" s="4" t="s">
        <v>49</v>
      </c>
      <c r="H444" s="2">
        <v>1989</v>
      </c>
      <c r="I444" s="2" t="s">
        <v>1214</v>
      </c>
      <c r="J444" s="2" t="s">
        <v>1209</v>
      </c>
      <c r="K444" s="2"/>
      <c r="L444" s="2"/>
      <c r="M444" s="2" t="s">
        <v>1132</v>
      </c>
      <c r="N444" s="2"/>
      <c r="O444" s="2"/>
      <c r="P444" s="2" t="s">
        <v>1127</v>
      </c>
      <c r="Q444" s="2" t="s">
        <v>1127</v>
      </c>
      <c r="R444" s="2"/>
      <c r="S444" s="2"/>
      <c r="T444" s="2"/>
      <c r="U444" s="2"/>
      <c r="V444" s="2"/>
      <c r="W444" s="2"/>
      <c r="X444" s="2"/>
      <c r="Y444" s="2"/>
      <c r="Z444" s="2"/>
      <c r="AA444" s="2"/>
      <c r="AB444" s="2"/>
      <c r="AC444" s="2"/>
      <c r="AD444" s="2"/>
      <c r="AE444" s="2"/>
      <c r="AF444" s="2"/>
      <c r="AG444" s="2"/>
      <c r="AH444" s="2"/>
      <c r="AI444" s="2"/>
      <c r="AJ444" s="2"/>
    </row>
    <row r="445" spans="1:36" ht="17.25" customHeight="1" x14ac:dyDescent="0.2">
      <c r="A445" s="26" t="s">
        <v>0</v>
      </c>
      <c r="B445" s="26" t="s">
        <v>141</v>
      </c>
      <c r="C445" s="3" t="s">
        <v>4182</v>
      </c>
      <c r="D445" s="26" t="s">
        <v>1128</v>
      </c>
      <c r="E445" s="26" t="s">
        <v>1207</v>
      </c>
      <c r="F445" s="2">
        <v>8</v>
      </c>
      <c r="G445" s="4" t="s">
        <v>10</v>
      </c>
      <c r="H445" s="2">
        <v>1991</v>
      </c>
      <c r="I445" s="2" t="s">
        <v>1215</v>
      </c>
      <c r="J445" s="2" t="s">
        <v>1209</v>
      </c>
      <c r="K445" s="2"/>
      <c r="L445" s="2"/>
      <c r="M445" s="2" t="s">
        <v>1132</v>
      </c>
      <c r="N445" s="2"/>
      <c r="O445" s="2"/>
      <c r="P445" s="2" t="s">
        <v>1127</v>
      </c>
      <c r="Q445" s="2" t="s">
        <v>1127</v>
      </c>
      <c r="R445" s="2"/>
      <c r="S445" s="2"/>
      <c r="T445" s="2"/>
      <c r="U445" s="2"/>
      <c r="V445" s="2"/>
      <c r="W445" s="2"/>
      <c r="X445" s="2"/>
      <c r="Y445" s="2"/>
      <c r="Z445" s="2"/>
      <c r="AA445" s="2"/>
      <c r="AB445" s="2"/>
      <c r="AC445" s="2"/>
      <c r="AD445" s="2"/>
      <c r="AE445" s="2"/>
      <c r="AF445" s="2"/>
      <c r="AG445" s="2"/>
      <c r="AH445" s="2"/>
      <c r="AI445" s="2"/>
      <c r="AJ445" s="2"/>
    </row>
    <row r="446" spans="1:36" ht="17.25" customHeight="1" x14ac:dyDescent="0.2">
      <c r="A446" s="26" t="s">
        <v>0</v>
      </c>
      <c r="B446" s="26" t="s">
        <v>177</v>
      </c>
      <c r="C446" s="3" t="s">
        <v>4182</v>
      </c>
      <c r="D446" s="26" t="s">
        <v>1128</v>
      </c>
      <c r="E446" s="26" t="s">
        <v>1207</v>
      </c>
      <c r="F446" s="2">
        <v>26</v>
      </c>
      <c r="G446" s="4" t="s">
        <v>16</v>
      </c>
      <c r="H446" s="2">
        <v>2009</v>
      </c>
      <c r="I446" s="2" t="s">
        <v>1216</v>
      </c>
      <c r="J446" s="2" t="s">
        <v>1217</v>
      </c>
      <c r="K446" s="2"/>
      <c r="L446" s="2"/>
      <c r="M446" s="2" t="s">
        <v>1132</v>
      </c>
      <c r="N446" s="2"/>
      <c r="O446" s="2"/>
      <c r="P446" s="2" t="s">
        <v>1127</v>
      </c>
      <c r="Q446" s="2" t="s">
        <v>1127</v>
      </c>
      <c r="R446" s="2"/>
      <c r="S446" s="2"/>
      <c r="T446" s="2"/>
      <c r="U446" s="2"/>
      <c r="V446" s="2"/>
      <c r="W446" s="2"/>
      <c r="X446" s="2"/>
      <c r="Y446" s="2"/>
      <c r="Z446" s="2"/>
      <c r="AA446" s="2"/>
      <c r="AB446" s="2"/>
      <c r="AC446" s="2"/>
      <c r="AD446" s="2"/>
      <c r="AE446" s="2"/>
      <c r="AF446" s="2"/>
      <c r="AG446" s="2"/>
      <c r="AH446" s="2"/>
      <c r="AI446" s="2"/>
      <c r="AJ446" s="2"/>
    </row>
    <row r="447" spans="1:36" ht="17.25" customHeight="1" x14ac:dyDescent="0.2">
      <c r="A447" s="26" t="s">
        <v>0</v>
      </c>
      <c r="B447" s="26" t="s">
        <v>179</v>
      </c>
      <c r="C447" s="3" t="s">
        <v>4182</v>
      </c>
      <c r="D447" s="26" t="s">
        <v>1128</v>
      </c>
      <c r="E447" s="26" t="s">
        <v>1207</v>
      </c>
      <c r="F447" s="2">
        <v>27</v>
      </c>
      <c r="G447" s="4" t="s">
        <v>34</v>
      </c>
      <c r="H447" s="2">
        <v>2010</v>
      </c>
      <c r="I447" s="2" t="s">
        <v>1218</v>
      </c>
      <c r="J447" s="2" t="s">
        <v>1217</v>
      </c>
      <c r="K447" s="2"/>
      <c r="L447" s="2"/>
      <c r="M447" s="2" t="s">
        <v>1132</v>
      </c>
      <c r="N447" s="2"/>
      <c r="O447" s="2"/>
      <c r="P447" s="2" t="s">
        <v>1127</v>
      </c>
      <c r="Q447" s="2" t="s">
        <v>1127</v>
      </c>
      <c r="R447" s="2"/>
      <c r="S447" s="2"/>
      <c r="T447" s="2"/>
      <c r="U447" s="2"/>
      <c r="V447" s="2"/>
      <c r="W447" s="2"/>
      <c r="X447" s="2"/>
      <c r="Y447" s="2"/>
      <c r="Z447" s="2"/>
      <c r="AA447" s="2"/>
      <c r="AB447" s="2"/>
      <c r="AC447" s="2"/>
      <c r="AD447" s="2"/>
      <c r="AE447" s="2"/>
      <c r="AF447" s="2"/>
      <c r="AG447" s="2"/>
      <c r="AH447" s="2"/>
      <c r="AI447" s="2"/>
      <c r="AJ447" s="2"/>
    </row>
    <row r="448" spans="1:36" ht="17.25" customHeight="1" x14ac:dyDescent="0.2">
      <c r="A448" s="26" t="s">
        <v>0</v>
      </c>
      <c r="B448" s="26" t="s">
        <v>181</v>
      </c>
      <c r="C448" s="3" t="s">
        <v>4182</v>
      </c>
      <c r="D448" s="26" t="s">
        <v>1128</v>
      </c>
      <c r="E448" s="26" t="s">
        <v>1207</v>
      </c>
      <c r="F448" s="2">
        <v>28</v>
      </c>
      <c r="G448" s="4" t="s">
        <v>46</v>
      </c>
      <c r="H448" s="2">
        <v>2011</v>
      </c>
      <c r="I448" s="2" t="s">
        <v>1219</v>
      </c>
      <c r="J448" s="2" t="s">
        <v>1220</v>
      </c>
      <c r="K448" s="2"/>
      <c r="L448" s="2"/>
      <c r="M448" s="2" t="s">
        <v>1132</v>
      </c>
      <c r="N448" s="2"/>
      <c r="O448" s="2"/>
      <c r="P448" s="2" t="s">
        <v>1127</v>
      </c>
      <c r="Q448" s="2" t="s">
        <v>1127</v>
      </c>
      <c r="R448" s="2"/>
      <c r="S448" s="2"/>
      <c r="T448" s="2"/>
      <c r="U448" s="2"/>
      <c r="V448" s="2"/>
      <c r="W448" s="2"/>
      <c r="X448" s="2"/>
      <c r="Y448" s="2"/>
      <c r="Z448" s="2"/>
      <c r="AA448" s="2"/>
      <c r="AB448" s="2"/>
      <c r="AC448" s="2"/>
      <c r="AD448" s="2"/>
      <c r="AE448" s="2"/>
      <c r="AF448" s="2"/>
      <c r="AG448" s="2"/>
      <c r="AH448" s="2"/>
      <c r="AI448" s="2"/>
      <c r="AJ448" s="2"/>
    </row>
    <row r="449" spans="1:36" ht="17.25" customHeight="1" x14ac:dyDescent="0.2">
      <c r="A449" s="26" t="s">
        <v>0</v>
      </c>
      <c r="B449" s="26" t="s">
        <v>183</v>
      </c>
      <c r="C449" s="3" t="s">
        <v>4182</v>
      </c>
      <c r="D449" s="26" t="s">
        <v>1128</v>
      </c>
      <c r="E449" s="26" t="s">
        <v>1207</v>
      </c>
      <c r="F449" s="2">
        <v>29</v>
      </c>
      <c r="G449" s="4" t="s">
        <v>61</v>
      </c>
      <c r="H449" s="2">
        <v>2012</v>
      </c>
      <c r="I449" s="2" t="s">
        <v>1221</v>
      </c>
      <c r="J449" s="2" t="s">
        <v>1217</v>
      </c>
      <c r="K449" s="2"/>
      <c r="L449" s="2"/>
      <c r="M449" s="2" t="s">
        <v>1132</v>
      </c>
      <c r="N449" s="2"/>
      <c r="O449" s="2"/>
      <c r="P449" s="2" t="s">
        <v>1127</v>
      </c>
      <c r="Q449" s="2" t="s">
        <v>1127</v>
      </c>
      <c r="R449" s="2"/>
      <c r="S449" s="2"/>
      <c r="T449" s="2"/>
      <c r="U449" s="2"/>
      <c r="V449" s="2"/>
      <c r="W449" s="2"/>
      <c r="X449" s="2"/>
      <c r="Y449" s="2"/>
      <c r="Z449" s="2"/>
      <c r="AA449" s="2"/>
      <c r="AB449" s="2"/>
      <c r="AC449" s="2"/>
      <c r="AD449" s="2"/>
      <c r="AE449" s="2"/>
      <c r="AF449" s="2"/>
      <c r="AG449" s="2"/>
      <c r="AH449" s="2"/>
      <c r="AI449" s="2"/>
      <c r="AJ449" s="2"/>
    </row>
    <row r="450" spans="1:36" ht="17.25" customHeight="1" x14ac:dyDescent="0.2">
      <c r="A450" s="26" t="s">
        <v>0</v>
      </c>
      <c r="B450" s="26" t="s">
        <v>185</v>
      </c>
      <c r="C450" s="3" t="s">
        <v>4182</v>
      </c>
      <c r="D450" s="26" t="s">
        <v>1128</v>
      </c>
      <c r="E450" s="26" t="s">
        <v>1207</v>
      </c>
      <c r="F450" s="2">
        <v>30</v>
      </c>
      <c r="G450" s="4" t="s">
        <v>86</v>
      </c>
      <c r="H450" s="2">
        <v>2013</v>
      </c>
      <c r="I450" s="2" t="s">
        <v>1222</v>
      </c>
      <c r="J450" s="2" t="s">
        <v>1220</v>
      </c>
      <c r="K450" s="2"/>
      <c r="L450" s="2"/>
      <c r="M450" s="2" t="s">
        <v>1132</v>
      </c>
      <c r="N450" s="2"/>
      <c r="O450" s="2"/>
      <c r="P450" s="2" t="s">
        <v>1127</v>
      </c>
      <c r="Q450" s="2" t="s">
        <v>1127</v>
      </c>
      <c r="R450" s="2"/>
      <c r="S450" s="2"/>
      <c r="T450" s="2"/>
      <c r="U450" s="2"/>
      <c r="V450" s="2"/>
      <c r="W450" s="2"/>
      <c r="X450" s="2"/>
      <c r="Y450" s="2"/>
      <c r="Z450" s="2"/>
      <c r="AA450" s="2"/>
      <c r="AB450" s="2"/>
      <c r="AC450" s="2"/>
      <c r="AD450" s="2"/>
      <c r="AE450" s="2"/>
      <c r="AF450" s="2"/>
      <c r="AG450" s="2"/>
      <c r="AH450" s="2"/>
      <c r="AI450" s="2"/>
      <c r="AJ450" s="2"/>
    </row>
    <row r="451" spans="1:36" ht="17.25" customHeight="1" x14ac:dyDescent="0.2">
      <c r="A451" s="26" t="s">
        <v>0</v>
      </c>
      <c r="B451" s="26" t="s">
        <v>187</v>
      </c>
      <c r="C451" s="3" t="s">
        <v>4182</v>
      </c>
      <c r="D451" s="26" t="s">
        <v>1128</v>
      </c>
      <c r="E451" s="26" t="s">
        <v>1207</v>
      </c>
      <c r="F451" s="2">
        <v>31</v>
      </c>
      <c r="G451" s="4" t="s">
        <v>22</v>
      </c>
      <c r="H451" s="2">
        <v>2014</v>
      </c>
      <c r="I451" s="2" t="s">
        <v>1223</v>
      </c>
      <c r="J451" s="2" t="s">
        <v>1217</v>
      </c>
      <c r="K451" s="2"/>
      <c r="L451" s="2"/>
      <c r="M451" s="2" t="s">
        <v>1132</v>
      </c>
      <c r="N451" s="2"/>
      <c r="O451" s="2"/>
      <c r="P451" s="2" t="s">
        <v>1127</v>
      </c>
      <c r="Q451" s="2" t="s">
        <v>1127</v>
      </c>
      <c r="R451" s="2"/>
      <c r="S451" s="2"/>
      <c r="T451" s="2"/>
      <c r="U451" s="2"/>
      <c r="V451" s="2"/>
      <c r="W451" s="2"/>
      <c r="X451" s="2"/>
      <c r="Y451" s="2"/>
      <c r="Z451" s="2"/>
      <c r="AA451" s="2"/>
      <c r="AB451" s="2"/>
      <c r="AC451" s="2"/>
      <c r="AD451" s="2"/>
      <c r="AE451" s="2"/>
      <c r="AF451" s="2"/>
      <c r="AG451" s="2"/>
      <c r="AH451" s="2"/>
      <c r="AI451" s="2"/>
      <c r="AJ451" s="2"/>
    </row>
    <row r="452" spans="1:36" ht="17.25" customHeight="1" x14ac:dyDescent="0.2">
      <c r="A452" s="26" t="s">
        <v>0</v>
      </c>
      <c r="B452" s="26" t="s">
        <v>1224</v>
      </c>
      <c r="C452" s="3" t="s">
        <v>4182</v>
      </c>
      <c r="D452" s="26" t="s">
        <v>1128</v>
      </c>
      <c r="E452" s="26" t="s">
        <v>1207</v>
      </c>
      <c r="F452" s="2">
        <v>33</v>
      </c>
      <c r="G452" s="4" t="s">
        <v>76</v>
      </c>
      <c r="H452" s="2">
        <v>2016</v>
      </c>
      <c r="I452" s="2" t="s">
        <v>1225</v>
      </c>
      <c r="J452" s="2" t="s">
        <v>1217</v>
      </c>
      <c r="K452" s="2"/>
      <c r="L452" s="2"/>
      <c r="M452" s="2" t="s">
        <v>1132</v>
      </c>
      <c r="N452" s="2"/>
      <c r="O452" s="2"/>
      <c r="P452" s="2" t="s">
        <v>1127</v>
      </c>
      <c r="Q452" s="2" t="s">
        <v>1127</v>
      </c>
      <c r="R452" s="2"/>
      <c r="S452" s="2"/>
      <c r="T452" s="2"/>
      <c r="U452" s="2"/>
      <c r="V452" s="2"/>
      <c r="W452" s="2"/>
      <c r="X452" s="2"/>
      <c r="Y452" s="2"/>
      <c r="Z452" s="2"/>
      <c r="AA452" s="2"/>
      <c r="AB452" s="2"/>
      <c r="AC452" s="2"/>
      <c r="AD452" s="2"/>
      <c r="AE452" s="2"/>
      <c r="AF452" s="2"/>
      <c r="AG452" s="2"/>
      <c r="AH452" s="2"/>
      <c r="AI452" s="2"/>
      <c r="AJ452" s="2"/>
    </row>
    <row r="453" spans="1:36" ht="17.25" customHeight="1" x14ac:dyDescent="0.2">
      <c r="A453" s="26" t="s">
        <v>0</v>
      </c>
      <c r="B453" s="26" t="s">
        <v>177</v>
      </c>
      <c r="C453" s="3" t="s">
        <v>4182</v>
      </c>
      <c r="D453" s="26" t="s">
        <v>1128</v>
      </c>
      <c r="E453" s="26" t="s">
        <v>1226</v>
      </c>
      <c r="F453" s="2">
        <v>26</v>
      </c>
      <c r="G453" s="4" t="s">
        <v>16</v>
      </c>
      <c r="H453" s="2">
        <v>2009</v>
      </c>
      <c r="I453" s="2" t="s">
        <v>1227</v>
      </c>
      <c r="J453" s="2" t="s">
        <v>1228</v>
      </c>
      <c r="K453" s="2"/>
      <c r="L453" s="2"/>
      <c r="M453" s="2" t="s">
        <v>1132</v>
      </c>
      <c r="N453" s="2"/>
      <c r="O453" s="2"/>
      <c r="P453" s="2" t="s">
        <v>1127</v>
      </c>
      <c r="Q453" s="2" t="s">
        <v>1127</v>
      </c>
      <c r="R453" s="2"/>
      <c r="S453" s="2"/>
      <c r="T453" s="2"/>
      <c r="U453" s="2"/>
      <c r="V453" s="2"/>
      <c r="W453" s="2"/>
      <c r="X453" s="2"/>
      <c r="Y453" s="2"/>
      <c r="Z453" s="2"/>
      <c r="AA453" s="2"/>
      <c r="AB453" s="2"/>
      <c r="AC453" s="2"/>
      <c r="AD453" s="2"/>
      <c r="AE453" s="2"/>
      <c r="AF453" s="2"/>
      <c r="AG453" s="2"/>
      <c r="AH453" s="2"/>
      <c r="AI453" s="2"/>
      <c r="AJ453" s="2"/>
    </row>
    <row r="454" spans="1:36" ht="17.25" customHeight="1" x14ac:dyDescent="0.2">
      <c r="A454" s="26" t="s">
        <v>0</v>
      </c>
      <c r="B454" s="26" t="s">
        <v>181</v>
      </c>
      <c r="C454" s="3" t="s">
        <v>4182</v>
      </c>
      <c r="D454" s="26" t="s">
        <v>1128</v>
      </c>
      <c r="E454" s="26" t="s">
        <v>1226</v>
      </c>
      <c r="F454" s="2">
        <v>28</v>
      </c>
      <c r="G454" s="4" t="s">
        <v>46</v>
      </c>
      <c r="H454" s="2">
        <v>2011</v>
      </c>
      <c r="I454" s="2" t="s">
        <v>1229</v>
      </c>
      <c r="J454" s="2" t="s">
        <v>1228</v>
      </c>
      <c r="K454" s="2"/>
      <c r="L454" s="2"/>
      <c r="M454" s="2" t="s">
        <v>1132</v>
      </c>
      <c r="N454" s="2"/>
      <c r="O454" s="2"/>
      <c r="P454" s="2" t="s">
        <v>1127</v>
      </c>
      <c r="Q454" s="2" t="s">
        <v>1127</v>
      </c>
      <c r="R454" s="2"/>
      <c r="S454" s="2"/>
      <c r="T454" s="2"/>
      <c r="U454" s="2"/>
      <c r="V454" s="2"/>
      <c r="W454" s="2"/>
      <c r="X454" s="2"/>
      <c r="Y454" s="2"/>
      <c r="Z454" s="2"/>
      <c r="AA454" s="2"/>
      <c r="AB454" s="2"/>
      <c r="AC454" s="2"/>
      <c r="AD454" s="2"/>
      <c r="AE454" s="2"/>
      <c r="AF454" s="2"/>
      <c r="AG454" s="2"/>
      <c r="AH454" s="2"/>
      <c r="AI454" s="2"/>
      <c r="AJ454" s="2"/>
    </row>
    <row r="455" spans="1:36" ht="17.25" customHeight="1" x14ac:dyDescent="0.2">
      <c r="A455" s="26" t="s">
        <v>0</v>
      </c>
      <c r="B455" s="26" t="s">
        <v>185</v>
      </c>
      <c r="C455" s="3" t="s">
        <v>4182</v>
      </c>
      <c r="D455" s="26" t="s">
        <v>1128</v>
      </c>
      <c r="E455" s="26" t="s">
        <v>1226</v>
      </c>
      <c r="F455" s="2">
        <v>30</v>
      </c>
      <c r="G455" s="4" t="s">
        <v>86</v>
      </c>
      <c r="H455" s="2">
        <v>2013</v>
      </c>
      <c r="I455" s="2" t="s">
        <v>1230</v>
      </c>
      <c r="J455" s="2" t="s">
        <v>1228</v>
      </c>
      <c r="K455" s="2"/>
      <c r="L455" s="2"/>
      <c r="M455" s="2" t="s">
        <v>1132</v>
      </c>
      <c r="N455" s="2"/>
      <c r="O455" s="2"/>
      <c r="P455" s="2" t="s">
        <v>1127</v>
      </c>
      <c r="Q455" s="2" t="s">
        <v>1127</v>
      </c>
      <c r="R455" s="2"/>
      <c r="S455" s="2"/>
      <c r="T455" s="2"/>
      <c r="U455" s="2"/>
      <c r="V455" s="2"/>
      <c r="W455" s="2"/>
      <c r="X455" s="2"/>
      <c r="Y455" s="2"/>
      <c r="Z455" s="2"/>
      <c r="AA455" s="2"/>
      <c r="AB455" s="2"/>
      <c r="AC455" s="2"/>
      <c r="AD455" s="2"/>
      <c r="AE455" s="2"/>
      <c r="AF455" s="2"/>
      <c r="AG455" s="2"/>
      <c r="AH455" s="2"/>
      <c r="AI455" s="2"/>
      <c r="AJ455" s="2"/>
    </row>
    <row r="456" spans="1:36" ht="17.25" customHeight="1" x14ac:dyDescent="0.2">
      <c r="A456" s="26" t="s">
        <v>0</v>
      </c>
      <c r="B456" s="26" t="s">
        <v>189</v>
      </c>
      <c r="C456" s="3" t="s">
        <v>4182</v>
      </c>
      <c r="D456" s="26" t="s">
        <v>1128</v>
      </c>
      <c r="E456" s="26" t="s">
        <v>1226</v>
      </c>
      <c r="F456" s="2">
        <v>32</v>
      </c>
      <c r="G456" s="4" t="s">
        <v>28</v>
      </c>
      <c r="H456" s="2">
        <v>2015</v>
      </c>
      <c r="I456" s="2" t="s">
        <v>1231</v>
      </c>
      <c r="J456" s="2" t="s">
        <v>1228</v>
      </c>
      <c r="K456" s="2"/>
      <c r="L456" s="2"/>
      <c r="M456" s="2" t="s">
        <v>1132</v>
      </c>
      <c r="N456" s="2"/>
      <c r="O456" s="2"/>
      <c r="P456" s="2" t="s">
        <v>1127</v>
      </c>
      <c r="Q456" s="2" t="s">
        <v>1127</v>
      </c>
      <c r="R456" s="2"/>
      <c r="S456" s="2"/>
      <c r="T456" s="2"/>
      <c r="U456" s="2"/>
      <c r="V456" s="2"/>
      <c r="W456" s="2"/>
      <c r="X456" s="2"/>
      <c r="Y456" s="2"/>
      <c r="Z456" s="2"/>
      <c r="AA456" s="2"/>
      <c r="AB456" s="2"/>
      <c r="AC456" s="2"/>
      <c r="AD456" s="2"/>
      <c r="AE456" s="2"/>
      <c r="AF456" s="2"/>
      <c r="AG456" s="2"/>
      <c r="AH456" s="2"/>
      <c r="AI456" s="2"/>
      <c r="AJ456" s="2"/>
    </row>
    <row r="457" spans="1:36" ht="17.25" customHeight="1" x14ac:dyDescent="0.2">
      <c r="A457" s="26" t="s">
        <v>0</v>
      </c>
      <c r="B457" s="26" t="s">
        <v>177</v>
      </c>
      <c r="C457" s="3" t="s">
        <v>4182</v>
      </c>
      <c r="D457" s="26" t="s">
        <v>1128</v>
      </c>
      <c r="E457" s="26" t="s">
        <v>1232</v>
      </c>
      <c r="F457" s="2">
        <v>26</v>
      </c>
      <c r="G457" s="4" t="s">
        <v>16</v>
      </c>
      <c r="H457" s="2">
        <v>2009</v>
      </c>
      <c r="I457" s="2" t="s">
        <v>1233</v>
      </c>
      <c r="J457" s="2" t="s">
        <v>1234</v>
      </c>
      <c r="K457" s="2" t="s">
        <v>1203</v>
      </c>
      <c r="L457" s="2"/>
      <c r="M457" s="2" t="s">
        <v>1132</v>
      </c>
      <c r="N457" s="2"/>
      <c r="O457" s="2"/>
      <c r="P457" s="2" t="s">
        <v>1127</v>
      </c>
      <c r="Q457" s="2" t="s">
        <v>1127</v>
      </c>
      <c r="R457" s="2"/>
      <c r="S457" s="2"/>
      <c r="T457" s="2"/>
      <c r="U457" s="2"/>
      <c r="V457" s="2"/>
      <c r="W457" s="2"/>
      <c r="X457" s="2"/>
      <c r="Y457" s="2"/>
      <c r="Z457" s="2"/>
      <c r="AA457" s="2"/>
      <c r="AB457" s="2"/>
      <c r="AC457" s="2"/>
      <c r="AD457" s="2"/>
      <c r="AE457" s="2"/>
      <c r="AF457" s="2"/>
      <c r="AG457" s="2"/>
      <c r="AH457" s="2"/>
      <c r="AI457" s="2"/>
      <c r="AJ457" s="2"/>
    </row>
    <row r="458" spans="1:36" ht="17.25" customHeight="1" x14ac:dyDescent="0.2">
      <c r="A458" s="26" t="s">
        <v>0</v>
      </c>
      <c r="B458" s="26" t="s">
        <v>181</v>
      </c>
      <c r="C458" s="3" t="s">
        <v>4182</v>
      </c>
      <c r="D458" s="26" t="s">
        <v>1128</v>
      </c>
      <c r="E458" s="26" t="s">
        <v>1232</v>
      </c>
      <c r="F458" s="2">
        <v>28</v>
      </c>
      <c r="G458" s="4" t="s">
        <v>46</v>
      </c>
      <c r="H458" s="2">
        <v>2011</v>
      </c>
      <c r="I458" s="2" t="s">
        <v>1235</v>
      </c>
      <c r="J458" s="2" t="s">
        <v>1234</v>
      </c>
      <c r="K458" s="2" t="s">
        <v>1203</v>
      </c>
      <c r="L458" s="2"/>
      <c r="M458" s="2" t="s">
        <v>1132</v>
      </c>
      <c r="N458" s="2"/>
      <c r="O458" s="2"/>
      <c r="P458" s="2" t="s">
        <v>1127</v>
      </c>
      <c r="Q458" s="2" t="s">
        <v>1127</v>
      </c>
      <c r="R458" s="2"/>
      <c r="S458" s="2"/>
      <c r="T458" s="2"/>
      <c r="U458" s="2"/>
      <c r="V458" s="2"/>
      <c r="W458" s="2"/>
      <c r="X458" s="2"/>
      <c r="Y458" s="2"/>
      <c r="Z458" s="2"/>
      <c r="AA458" s="2"/>
      <c r="AB458" s="2"/>
      <c r="AC458" s="2"/>
      <c r="AD458" s="2"/>
      <c r="AE458" s="2"/>
      <c r="AF458" s="2"/>
      <c r="AG458" s="2"/>
      <c r="AH458" s="2"/>
      <c r="AI458" s="2"/>
      <c r="AJ458" s="2"/>
    </row>
    <row r="459" spans="1:36" ht="17.25" customHeight="1" x14ac:dyDescent="0.2">
      <c r="A459" s="26" t="s">
        <v>0</v>
      </c>
      <c r="B459" s="26" t="s">
        <v>185</v>
      </c>
      <c r="C459" s="3" t="s">
        <v>4182</v>
      </c>
      <c r="D459" s="26" t="s">
        <v>1128</v>
      </c>
      <c r="E459" s="26" t="s">
        <v>1232</v>
      </c>
      <c r="F459" s="2">
        <v>30</v>
      </c>
      <c r="G459" s="4" t="s">
        <v>86</v>
      </c>
      <c r="H459" s="2">
        <v>2013</v>
      </c>
      <c r="I459" s="2" t="s">
        <v>1236</v>
      </c>
      <c r="J459" s="2" t="s">
        <v>1234</v>
      </c>
      <c r="K459" s="2" t="s">
        <v>1203</v>
      </c>
      <c r="L459" s="2"/>
      <c r="M459" s="2" t="s">
        <v>1132</v>
      </c>
      <c r="N459" s="2"/>
      <c r="O459" s="2"/>
      <c r="P459" s="2" t="s">
        <v>1127</v>
      </c>
      <c r="Q459" s="2" t="s">
        <v>1127</v>
      </c>
      <c r="R459" s="2"/>
      <c r="S459" s="2"/>
      <c r="T459" s="2"/>
      <c r="U459" s="2"/>
      <c r="V459" s="2"/>
      <c r="W459" s="2"/>
      <c r="X459" s="2"/>
      <c r="Y459" s="2"/>
      <c r="Z459" s="2"/>
      <c r="AA459" s="2"/>
      <c r="AB459" s="2"/>
      <c r="AC459" s="2"/>
      <c r="AD459" s="2"/>
      <c r="AE459" s="2"/>
      <c r="AF459" s="2"/>
      <c r="AG459" s="2"/>
      <c r="AH459" s="2"/>
      <c r="AI459" s="2"/>
      <c r="AJ459" s="2"/>
    </row>
    <row r="460" spans="1:36" ht="17.25" customHeight="1" x14ac:dyDescent="0.2">
      <c r="A460" s="26" t="s">
        <v>0</v>
      </c>
      <c r="B460" s="26" t="s">
        <v>189</v>
      </c>
      <c r="C460" s="3" t="s">
        <v>4182</v>
      </c>
      <c r="D460" s="26" t="s">
        <v>1128</v>
      </c>
      <c r="E460" s="26" t="s">
        <v>1232</v>
      </c>
      <c r="F460" s="2">
        <v>32</v>
      </c>
      <c r="G460" s="4" t="s">
        <v>28</v>
      </c>
      <c r="H460" s="2">
        <v>2015</v>
      </c>
      <c r="I460" s="2" t="s">
        <v>1237</v>
      </c>
      <c r="J460" s="2" t="s">
        <v>1234</v>
      </c>
      <c r="K460" s="2" t="s">
        <v>1203</v>
      </c>
      <c r="L460" s="2"/>
      <c r="M460" s="2" t="s">
        <v>1132</v>
      </c>
      <c r="N460" s="2"/>
      <c r="O460" s="2"/>
      <c r="P460" s="2" t="s">
        <v>1127</v>
      </c>
      <c r="Q460" s="2" t="s">
        <v>1127</v>
      </c>
      <c r="R460" s="2"/>
      <c r="S460" s="2"/>
      <c r="T460" s="2"/>
      <c r="U460" s="2"/>
      <c r="V460" s="2"/>
      <c r="W460" s="2"/>
      <c r="X460" s="2"/>
      <c r="Y460" s="2"/>
      <c r="Z460" s="2"/>
      <c r="AA460" s="2"/>
      <c r="AB460" s="2"/>
      <c r="AC460" s="2"/>
      <c r="AD460" s="2"/>
      <c r="AE460" s="2"/>
      <c r="AF460" s="2"/>
      <c r="AG460" s="2"/>
      <c r="AH460" s="2"/>
      <c r="AI460" s="2"/>
      <c r="AJ460" s="2"/>
    </row>
    <row r="461" spans="1:36" ht="17.25" customHeight="1" x14ac:dyDescent="0.2">
      <c r="A461" s="26" t="s">
        <v>0</v>
      </c>
      <c r="B461" s="26" t="s">
        <v>15</v>
      </c>
      <c r="C461" s="3" t="s">
        <v>4182</v>
      </c>
      <c r="D461" s="26" t="s">
        <v>1128</v>
      </c>
      <c r="E461" s="26" t="s">
        <v>1232</v>
      </c>
      <c r="F461" s="2">
        <v>1</v>
      </c>
      <c r="G461" s="4" t="s">
        <v>40</v>
      </c>
      <c r="H461" s="2">
        <v>1984</v>
      </c>
      <c r="I461" s="2" t="s">
        <v>1238</v>
      </c>
      <c r="J461" s="2" t="s">
        <v>1239</v>
      </c>
      <c r="K461" s="2"/>
      <c r="L461" s="2"/>
      <c r="M461" s="2" t="s">
        <v>1132</v>
      </c>
      <c r="N461" s="2"/>
      <c r="O461" s="2"/>
      <c r="P461" s="2" t="s">
        <v>1127</v>
      </c>
      <c r="Q461" s="2" t="s">
        <v>1127</v>
      </c>
      <c r="R461" s="2"/>
      <c r="S461" s="2"/>
      <c r="T461" s="2"/>
      <c r="U461" s="2"/>
      <c r="V461" s="2"/>
      <c r="W461" s="2"/>
      <c r="X461" s="2"/>
      <c r="Y461" s="2"/>
      <c r="Z461" s="2"/>
      <c r="AA461" s="2"/>
      <c r="AB461" s="2"/>
      <c r="AC461" s="2"/>
      <c r="AD461" s="2"/>
      <c r="AE461" s="2"/>
      <c r="AF461" s="2"/>
      <c r="AG461" s="2"/>
      <c r="AH461" s="2"/>
      <c r="AI461" s="2"/>
      <c r="AJ461" s="2"/>
    </row>
    <row r="462" spans="1:36" ht="17.25" customHeight="1" x14ac:dyDescent="0.2">
      <c r="A462" s="26" t="s">
        <v>0</v>
      </c>
      <c r="B462" s="26" t="s">
        <v>30</v>
      </c>
      <c r="C462" s="3" t="s">
        <v>4182</v>
      </c>
      <c r="D462" s="26" t="s">
        <v>1128</v>
      </c>
      <c r="E462" s="26" t="s">
        <v>1232</v>
      </c>
      <c r="F462" s="2">
        <v>2</v>
      </c>
      <c r="G462" s="4" t="s">
        <v>37</v>
      </c>
      <c r="H462" s="2">
        <v>1985</v>
      </c>
      <c r="I462" s="2" t="s">
        <v>1240</v>
      </c>
      <c r="J462" s="2" t="s">
        <v>1239</v>
      </c>
      <c r="K462" s="2"/>
      <c r="L462" s="2"/>
      <c r="M462" s="2" t="s">
        <v>1132</v>
      </c>
      <c r="N462" s="2"/>
      <c r="O462" s="2"/>
      <c r="P462" s="2" t="s">
        <v>1127</v>
      </c>
      <c r="Q462" s="2" t="s">
        <v>1127</v>
      </c>
      <c r="R462" s="2"/>
      <c r="S462" s="2"/>
      <c r="T462" s="2"/>
      <c r="U462" s="2"/>
      <c r="V462" s="2"/>
      <c r="W462" s="2"/>
      <c r="X462" s="2"/>
      <c r="Y462" s="2"/>
      <c r="Z462" s="2"/>
      <c r="AA462" s="2"/>
      <c r="AB462" s="2"/>
      <c r="AC462" s="2"/>
      <c r="AD462" s="2"/>
      <c r="AE462" s="2"/>
      <c r="AF462" s="2"/>
      <c r="AG462" s="2"/>
      <c r="AH462" s="2"/>
      <c r="AI462" s="2"/>
      <c r="AJ462" s="2"/>
    </row>
    <row r="463" spans="1:36" ht="17.25" customHeight="1" x14ac:dyDescent="0.2">
      <c r="A463" s="26" t="s">
        <v>0</v>
      </c>
      <c r="B463" s="26" t="s">
        <v>94</v>
      </c>
      <c r="C463" s="3" t="s">
        <v>4182</v>
      </c>
      <c r="D463" s="26" t="s">
        <v>1128</v>
      </c>
      <c r="E463" s="26" t="s">
        <v>1232</v>
      </c>
      <c r="F463" s="2">
        <v>3</v>
      </c>
      <c r="G463" s="4" t="s">
        <v>80</v>
      </c>
      <c r="H463" s="2">
        <v>1986</v>
      </c>
      <c r="I463" s="2" t="s">
        <v>1241</v>
      </c>
      <c r="J463" s="2" t="s">
        <v>1239</v>
      </c>
      <c r="K463" s="2"/>
      <c r="L463" s="2"/>
      <c r="M463" s="2" t="s">
        <v>1132</v>
      </c>
      <c r="N463" s="2"/>
      <c r="O463" s="2"/>
      <c r="P463" s="2" t="s">
        <v>1127</v>
      </c>
      <c r="Q463" s="2" t="s">
        <v>1127</v>
      </c>
      <c r="R463" s="2"/>
      <c r="S463" s="2"/>
      <c r="T463" s="2"/>
      <c r="U463" s="2"/>
      <c r="V463" s="2"/>
      <c r="W463" s="2"/>
      <c r="X463" s="2"/>
      <c r="Y463" s="2"/>
      <c r="Z463" s="2"/>
      <c r="AA463" s="2"/>
      <c r="AB463" s="2"/>
      <c r="AC463" s="2"/>
      <c r="AD463" s="2"/>
      <c r="AE463" s="2"/>
      <c r="AF463" s="2"/>
      <c r="AG463" s="2"/>
      <c r="AH463" s="2"/>
      <c r="AI463" s="2"/>
      <c r="AJ463" s="2"/>
    </row>
    <row r="464" spans="1:36" ht="17.25" customHeight="1" x14ac:dyDescent="0.2">
      <c r="A464" s="26" t="s">
        <v>0</v>
      </c>
      <c r="B464" s="26" t="s">
        <v>1</v>
      </c>
      <c r="C464" s="3" t="s">
        <v>4182</v>
      </c>
      <c r="D464" s="26" t="s">
        <v>1128</v>
      </c>
      <c r="E464" s="26" t="s">
        <v>1232</v>
      </c>
      <c r="F464" s="2">
        <v>4</v>
      </c>
      <c r="G464" s="4" t="s">
        <v>31</v>
      </c>
      <c r="H464" s="2">
        <v>1987</v>
      </c>
      <c r="I464" s="2" t="s">
        <v>1242</v>
      </c>
      <c r="J464" s="2" t="s">
        <v>1239</v>
      </c>
      <c r="K464" s="2"/>
      <c r="L464" s="2"/>
      <c r="M464" s="2" t="s">
        <v>1132</v>
      </c>
      <c r="N464" s="2"/>
      <c r="O464" s="2"/>
      <c r="P464" s="2" t="s">
        <v>1127</v>
      </c>
      <c r="Q464" s="2" t="s">
        <v>1127</v>
      </c>
      <c r="R464" s="2"/>
      <c r="S464" s="2"/>
      <c r="T464" s="2"/>
      <c r="U464" s="2"/>
      <c r="V464" s="2"/>
      <c r="W464" s="2"/>
      <c r="X464" s="2"/>
      <c r="Y464" s="2"/>
      <c r="Z464" s="2"/>
      <c r="AA464" s="2"/>
      <c r="AB464" s="2"/>
      <c r="AC464" s="2"/>
      <c r="AD464" s="2"/>
      <c r="AE464" s="2"/>
      <c r="AF464" s="2"/>
      <c r="AG464" s="2"/>
      <c r="AH464" s="2"/>
      <c r="AI464" s="2"/>
      <c r="AJ464" s="2"/>
    </row>
    <row r="465" spans="1:36" ht="17.25" customHeight="1" x14ac:dyDescent="0.2">
      <c r="A465" s="26" t="s">
        <v>0</v>
      </c>
      <c r="B465" s="26" t="s">
        <v>48</v>
      </c>
      <c r="C465" s="3" t="s">
        <v>4182</v>
      </c>
      <c r="D465" s="26" t="s">
        <v>1128</v>
      </c>
      <c r="E465" s="26" t="s">
        <v>1232</v>
      </c>
      <c r="F465" s="2">
        <v>5</v>
      </c>
      <c r="G465" s="4" t="s">
        <v>13</v>
      </c>
      <c r="H465" s="2">
        <v>1988</v>
      </c>
      <c r="I465" s="2" t="s">
        <v>1243</v>
      </c>
      <c r="J465" s="2" t="s">
        <v>1239</v>
      </c>
      <c r="K465" s="2"/>
      <c r="L465" s="2"/>
      <c r="M465" s="2" t="s">
        <v>1132</v>
      </c>
      <c r="N465" s="2"/>
      <c r="O465" s="2"/>
      <c r="P465" s="2" t="s">
        <v>1127</v>
      </c>
      <c r="Q465" s="2" t="s">
        <v>1127</v>
      </c>
      <c r="R465" s="2"/>
      <c r="S465" s="2"/>
      <c r="T465" s="2"/>
      <c r="U465" s="2"/>
      <c r="V465" s="2"/>
      <c r="W465" s="2"/>
      <c r="X465" s="2"/>
      <c r="Y465" s="2"/>
      <c r="Z465" s="2"/>
      <c r="AA465" s="2"/>
      <c r="AB465" s="2"/>
      <c r="AC465" s="2"/>
      <c r="AD465" s="2"/>
      <c r="AE465" s="2"/>
      <c r="AF465" s="2"/>
      <c r="AG465" s="2"/>
      <c r="AH465" s="2"/>
      <c r="AI465" s="2"/>
      <c r="AJ465" s="2"/>
    </row>
    <row r="466" spans="1:36" ht="17.25" customHeight="1" x14ac:dyDescent="0.2">
      <c r="A466" s="26" t="s">
        <v>0</v>
      </c>
      <c r="B466" s="26" t="s">
        <v>60</v>
      </c>
      <c r="C466" s="3" t="s">
        <v>4182</v>
      </c>
      <c r="D466" s="26" t="s">
        <v>1128</v>
      </c>
      <c r="E466" s="26" t="s">
        <v>1232</v>
      </c>
      <c r="F466" s="2">
        <v>6</v>
      </c>
      <c r="G466" s="4" t="s">
        <v>49</v>
      </c>
      <c r="H466" s="2">
        <v>1989</v>
      </c>
      <c r="I466" s="2" t="s">
        <v>1244</v>
      </c>
      <c r="J466" s="2" t="s">
        <v>1239</v>
      </c>
      <c r="K466" s="2"/>
      <c r="L466" s="2"/>
      <c r="M466" s="2" t="s">
        <v>1132</v>
      </c>
      <c r="N466" s="2"/>
      <c r="O466" s="2"/>
      <c r="P466" s="2" t="s">
        <v>1127</v>
      </c>
      <c r="Q466" s="2" t="s">
        <v>1127</v>
      </c>
      <c r="R466" s="2"/>
      <c r="S466" s="2"/>
      <c r="T466" s="2"/>
      <c r="U466" s="2"/>
      <c r="V466" s="2"/>
      <c r="W466" s="2"/>
      <c r="X466" s="2"/>
      <c r="Y466" s="2"/>
      <c r="Z466" s="2"/>
      <c r="AA466" s="2"/>
      <c r="AB466" s="2"/>
      <c r="AC466" s="2"/>
      <c r="AD466" s="2"/>
      <c r="AE466" s="2"/>
      <c r="AF466" s="2"/>
      <c r="AG466" s="2"/>
      <c r="AH466" s="2"/>
      <c r="AI466" s="2"/>
      <c r="AJ466" s="2"/>
    </row>
    <row r="467" spans="1:36" ht="17.25" customHeight="1" x14ac:dyDescent="0.2">
      <c r="A467" s="26" t="s">
        <v>0</v>
      </c>
      <c r="B467" s="26" t="s">
        <v>51</v>
      </c>
      <c r="C467" s="3" t="s">
        <v>4182</v>
      </c>
      <c r="D467" s="26" t="s">
        <v>1128</v>
      </c>
      <c r="E467" s="26" t="s">
        <v>1232</v>
      </c>
      <c r="F467" s="2">
        <v>7</v>
      </c>
      <c r="G467" s="4" t="s">
        <v>101</v>
      </c>
      <c r="H467" s="2">
        <v>1990</v>
      </c>
      <c r="I467" s="2" t="s">
        <v>1245</v>
      </c>
      <c r="J467" s="2" t="s">
        <v>1239</v>
      </c>
      <c r="K467" s="2"/>
      <c r="L467" s="2"/>
      <c r="M467" s="2" t="s">
        <v>1132</v>
      </c>
      <c r="N467" s="2"/>
      <c r="O467" s="2"/>
      <c r="P467" s="2" t="s">
        <v>1127</v>
      </c>
      <c r="Q467" s="2" t="s">
        <v>1127</v>
      </c>
      <c r="R467" s="2"/>
      <c r="S467" s="2"/>
      <c r="T467" s="2"/>
      <c r="U467" s="2"/>
      <c r="V467" s="2"/>
      <c r="W467" s="2"/>
      <c r="X467" s="2"/>
      <c r="Y467" s="2"/>
      <c r="Z467" s="2"/>
      <c r="AA467" s="2"/>
      <c r="AB467" s="2"/>
      <c r="AC467" s="2"/>
      <c r="AD467" s="2"/>
      <c r="AE467" s="2"/>
      <c r="AF467" s="2"/>
      <c r="AG467" s="2"/>
      <c r="AH467" s="2"/>
      <c r="AI467" s="2"/>
      <c r="AJ467" s="2"/>
    </row>
    <row r="468" spans="1:36" ht="17.25" customHeight="1" x14ac:dyDescent="0.2">
      <c r="A468" s="26" t="s">
        <v>0</v>
      </c>
      <c r="B468" s="26" t="s">
        <v>24</v>
      </c>
      <c r="C468" s="3" t="s">
        <v>4182</v>
      </c>
      <c r="D468" s="26" t="s">
        <v>1128</v>
      </c>
      <c r="E468" s="26" t="s">
        <v>1232</v>
      </c>
      <c r="F468" s="2">
        <v>8</v>
      </c>
      <c r="G468" s="4" t="s">
        <v>10</v>
      </c>
      <c r="H468" s="2">
        <v>1991</v>
      </c>
      <c r="I468" s="2" t="s">
        <v>1246</v>
      </c>
      <c r="J468" s="2" t="s">
        <v>1239</v>
      </c>
      <c r="K468" s="2"/>
      <c r="L468" s="2"/>
      <c r="M468" s="2" t="s">
        <v>1132</v>
      </c>
      <c r="N468" s="2"/>
      <c r="O468" s="2"/>
      <c r="P468" s="2" t="s">
        <v>1127</v>
      </c>
      <c r="Q468" s="2" t="s">
        <v>1127</v>
      </c>
      <c r="R468" s="2"/>
      <c r="S468" s="2"/>
      <c r="T468" s="2"/>
      <c r="U468" s="2"/>
      <c r="V468" s="2"/>
      <c r="W468" s="2"/>
      <c r="X468" s="2"/>
      <c r="Y468" s="2"/>
      <c r="Z468" s="2"/>
      <c r="AA468" s="2"/>
      <c r="AB468" s="2"/>
      <c r="AC468" s="2"/>
      <c r="AD468" s="2"/>
      <c r="AE468" s="2"/>
      <c r="AF468" s="2"/>
      <c r="AG468" s="2"/>
      <c r="AH468" s="2"/>
      <c r="AI468" s="2"/>
      <c r="AJ468" s="2"/>
    </row>
    <row r="469" spans="1:36" ht="17.25" customHeight="1" x14ac:dyDescent="0.2">
      <c r="A469" s="26" t="s">
        <v>0</v>
      </c>
      <c r="B469" s="26" t="s">
        <v>85</v>
      </c>
      <c r="C469" s="3" t="s">
        <v>4182</v>
      </c>
      <c r="D469" s="26" t="s">
        <v>1128</v>
      </c>
      <c r="E469" s="26" t="s">
        <v>1232</v>
      </c>
      <c r="F469" s="2">
        <v>9</v>
      </c>
      <c r="G469" s="4" t="s">
        <v>55</v>
      </c>
      <c r="H469" s="2">
        <v>1992</v>
      </c>
      <c r="I469" s="2" t="s">
        <v>1247</v>
      </c>
      <c r="J469" s="2" t="s">
        <v>1239</v>
      </c>
      <c r="K469" s="2"/>
      <c r="L469" s="2"/>
      <c r="M469" s="2" t="s">
        <v>1132</v>
      </c>
      <c r="N469" s="2"/>
      <c r="O469" s="2"/>
      <c r="P469" s="2" t="s">
        <v>1127</v>
      </c>
      <c r="Q469" s="2" t="s">
        <v>1127</v>
      </c>
      <c r="R469" s="2"/>
      <c r="S469" s="2"/>
      <c r="T469" s="2"/>
      <c r="U469" s="2"/>
      <c r="V469" s="2"/>
      <c r="W469" s="2"/>
      <c r="X469" s="2"/>
      <c r="Y469" s="2"/>
      <c r="Z469" s="2"/>
      <c r="AA469" s="2"/>
      <c r="AB469" s="2"/>
      <c r="AC469" s="2"/>
      <c r="AD469" s="2"/>
      <c r="AE469" s="2"/>
      <c r="AF469" s="2"/>
      <c r="AG469" s="2"/>
      <c r="AH469" s="2"/>
      <c r="AI469" s="2"/>
      <c r="AJ469" s="2"/>
    </row>
    <row r="470" spans="1:36" ht="17.25" customHeight="1" x14ac:dyDescent="0.2">
      <c r="A470" s="26" t="s">
        <v>0</v>
      </c>
      <c r="B470" s="26" t="s">
        <v>45</v>
      </c>
      <c r="C470" s="3" t="s">
        <v>4182</v>
      </c>
      <c r="D470" s="26" t="s">
        <v>1128</v>
      </c>
      <c r="E470" s="26" t="s">
        <v>1232</v>
      </c>
      <c r="F470" s="2">
        <v>10</v>
      </c>
      <c r="G470" s="4" t="s">
        <v>98</v>
      </c>
      <c r="H470" s="2">
        <v>1993</v>
      </c>
      <c r="I470" s="2" t="s">
        <v>1248</v>
      </c>
      <c r="J470" s="2" t="s">
        <v>1239</v>
      </c>
      <c r="K470" s="2"/>
      <c r="L470" s="2"/>
      <c r="M470" s="2" t="s">
        <v>1132</v>
      </c>
      <c r="N470" s="2"/>
      <c r="O470" s="2"/>
      <c r="P470" s="2" t="s">
        <v>1127</v>
      </c>
      <c r="Q470" s="2" t="s">
        <v>1127</v>
      </c>
      <c r="R470" s="2"/>
      <c r="S470" s="2"/>
      <c r="T470" s="2"/>
      <c r="U470" s="2"/>
      <c r="V470" s="2"/>
      <c r="W470" s="2"/>
      <c r="X470" s="2"/>
      <c r="Y470" s="2"/>
      <c r="Z470" s="2"/>
      <c r="AA470" s="2"/>
      <c r="AB470" s="2"/>
      <c r="AC470" s="2"/>
      <c r="AD470" s="2"/>
      <c r="AE470" s="2"/>
      <c r="AF470" s="2"/>
      <c r="AG470" s="2"/>
      <c r="AH470" s="2"/>
      <c r="AI470" s="2"/>
      <c r="AJ470" s="2"/>
    </row>
    <row r="471" spans="1:36" ht="17.25" customHeight="1" x14ac:dyDescent="0.2">
      <c r="A471" s="26" t="s">
        <v>0</v>
      </c>
      <c r="B471" s="26" t="s">
        <v>42</v>
      </c>
      <c r="C471" s="3" t="s">
        <v>4182</v>
      </c>
      <c r="D471" s="26" t="s">
        <v>1128</v>
      </c>
      <c r="E471" s="26" t="s">
        <v>1232</v>
      </c>
      <c r="F471" s="2">
        <v>11</v>
      </c>
      <c r="G471" s="4" t="s">
        <v>104</v>
      </c>
      <c r="H471" s="2">
        <v>1994</v>
      </c>
      <c r="I471" s="2" t="s">
        <v>1249</v>
      </c>
      <c r="J471" s="2" t="s">
        <v>1239</v>
      </c>
      <c r="K471" s="2"/>
      <c r="L471" s="2"/>
      <c r="M471" s="2" t="s">
        <v>1132</v>
      </c>
      <c r="N471" s="2"/>
      <c r="O471" s="2"/>
      <c r="P471" s="2" t="s">
        <v>1127</v>
      </c>
      <c r="Q471" s="2" t="s">
        <v>1127</v>
      </c>
      <c r="R471" s="2"/>
      <c r="S471" s="2"/>
      <c r="T471" s="2"/>
      <c r="U471" s="2"/>
      <c r="V471" s="2"/>
      <c r="W471" s="2"/>
      <c r="X471" s="2"/>
      <c r="Y471" s="2"/>
      <c r="Z471" s="2"/>
      <c r="AA471" s="2"/>
      <c r="AB471" s="2"/>
      <c r="AC471" s="2"/>
      <c r="AD471" s="2"/>
      <c r="AE471" s="2"/>
      <c r="AF471" s="2"/>
      <c r="AG471" s="2"/>
      <c r="AH471" s="2"/>
      <c r="AI471" s="2"/>
      <c r="AJ471" s="2"/>
    </row>
    <row r="472" spans="1:36" ht="17.25" customHeight="1" x14ac:dyDescent="0.2">
      <c r="A472" s="26" t="s">
        <v>0</v>
      </c>
      <c r="B472" s="26" t="s">
        <v>82</v>
      </c>
      <c r="C472" s="3" t="s">
        <v>4182</v>
      </c>
      <c r="D472" s="26" t="s">
        <v>1128</v>
      </c>
      <c r="E472" s="26" t="s">
        <v>1232</v>
      </c>
      <c r="F472" s="2">
        <v>12</v>
      </c>
      <c r="G472" s="4" t="s">
        <v>89</v>
      </c>
      <c r="H472" s="2">
        <v>1995</v>
      </c>
      <c r="I472" s="2" t="s">
        <v>1250</v>
      </c>
      <c r="J472" s="2" t="s">
        <v>1239</v>
      </c>
      <c r="K472" s="2"/>
      <c r="L472" s="2"/>
      <c r="M472" s="2" t="s">
        <v>1132</v>
      </c>
      <c r="N472" s="2"/>
      <c r="O472" s="2"/>
      <c r="P472" s="2" t="s">
        <v>1127</v>
      </c>
      <c r="Q472" s="2" t="s">
        <v>1127</v>
      </c>
      <c r="R472" s="2"/>
      <c r="S472" s="2"/>
      <c r="T472" s="2"/>
      <c r="U472" s="2"/>
      <c r="V472" s="2"/>
      <c r="W472" s="2"/>
      <c r="X472" s="2"/>
      <c r="Y472" s="2"/>
      <c r="Z472" s="2"/>
      <c r="AA472" s="2"/>
      <c r="AB472" s="2"/>
      <c r="AC472" s="2"/>
      <c r="AD472" s="2"/>
      <c r="AE472" s="2"/>
      <c r="AF472" s="2"/>
      <c r="AG472" s="2"/>
      <c r="AH472" s="2"/>
      <c r="AI472" s="2"/>
      <c r="AJ472" s="2"/>
    </row>
    <row r="473" spans="1:36" ht="17.25" customHeight="1" x14ac:dyDescent="0.2">
      <c r="A473" s="26" t="s">
        <v>0</v>
      </c>
      <c r="B473" s="26" t="s">
        <v>12</v>
      </c>
      <c r="C473" s="3" t="s">
        <v>4182</v>
      </c>
      <c r="D473" s="26" t="s">
        <v>1128</v>
      </c>
      <c r="E473" s="26" t="s">
        <v>1232</v>
      </c>
      <c r="F473" s="2">
        <v>13</v>
      </c>
      <c r="G473" s="4" t="s">
        <v>107</v>
      </c>
      <c r="H473" s="2">
        <v>1996</v>
      </c>
      <c r="I473" s="2" t="s">
        <v>1251</v>
      </c>
      <c r="J473" s="2" t="s">
        <v>1239</v>
      </c>
      <c r="K473" s="2"/>
      <c r="L473" s="2"/>
      <c r="M473" s="2" t="s">
        <v>1132</v>
      </c>
      <c r="N473" s="2"/>
      <c r="O473" s="2"/>
      <c r="P473" s="2" t="s">
        <v>1127</v>
      </c>
      <c r="Q473" s="2" t="s">
        <v>1127</v>
      </c>
      <c r="R473" s="2"/>
      <c r="S473" s="2"/>
      <c r="T473" s="2"/>
      <c r="U473" s="2"/>
      <c r="V473" s="2"/>
      <c r="W473" s="2"/>
      <c r="X473" s="2"/>
      <c r="Y473" s="2"/>
      <c r="Z473" s="2"/>
      <c r="AA473" s="2"/>
      <c r="AB473" s="2"/>
      <c r="AC473" s="2"/>
      <c r="AD473" s="2"/>
      <c r="AE473" s="2"/>
      <c r="AF473" s="2"/>
      <c r="AG473" s="2"/>
      <c r="AH473" s="2"/>
      <c r="AI473" s="2"/>
      <c r="AJ473" s="2"/>
    </row>
    <row r="474" spans="1:36" ht="17.25" customHeight="1" x14ac:dyDescent="0.2">
      <c r="A474" s="26" t="s">
        <v>0</v>
      </c>
      <c r="B474" s="26" t="s">
        <v>88</v>
      </c>
      <c r="C474" s="3" t="s">
        <v>4182</v>
      </c>
      <c r="D474" s="26" t="s">
        <v>1128</v>
      </c>
      <c r="E474" s="26" t="s">
        <v>1232</v>
      </c>
      <c r="F474" s="2">
        <v>14</v>
      </c>
      <c r="G474" s="4" t="s">
        <v>43</v>
      </c>
      <c r="H474" s="2">
        <v>1997</v>
      </c>
      <c r="I474" s="2" t="s">
        <v>1252</v>
      </c>
      <c r="J474" s="2" t="s">
        <v>1239</v>
      </c>
      <c r="K474" s="2"/>
      <c r="L474" s="2"/>
      <c r="M474" s="2" t="s">
        <v>1132</v>
      </c>
      <c r="N474" s="2"/>
      <c r="O474" s="2"/>
      <c r="P474" s="2" t="s">
        <v>1127</v>
      </c>
      <c r="Q474" s="2" t="s">
        <v>1127</v>
      </c>
      <c r="R474" s="2"/>
      <c r="S474" s="2"/>
      <c r="T474" s="2"/>
      <c r="U474" s="2"/>
      <c r="V474" s="2"/>
      <c r="W474" s="2"/>
      <c r="X474" s="2"/>
      <c r="Y474" s="2"/>
      <c r="Z474" s="2"/>
      <c r="AA474" s="2"/>
      <c r="AB474" s="2"/>
      <c r="AC474" s="2"/>
      <c r="AD474" s="2"/>
      <c r="AE474" s="2"/>
      <c r="AF474" s="2"/>
      <c r="AG474" s="2"/>
      <c r="AH474" s="2"/>
      <c r="AI474" s="2"/>
      <c r="AJ474" s="2"/>
    </row>
    <row r="475" spans="1:36" ht="17.25" customHeight="1" x14ac:dyDescent="0.2">
      <c r="A475" s="26" t="s">
        <v>0</v>
      </c>
      <c r="B475" s="26" t="s">
        <v>21</v>
      </c>
      <c r="C475" s="3" t="s">
        <v>4182</v>
      </c>
      <c r="D475" s="26" t="s">
        <v>1128</v>
      </c>
      <c r="E475" s="26" t="s">
        <v>1232</v>
      </c>
      <c r="F475" s="2">
        <v>15</v>
      </c>
      <c r="G475" s="4" t="s">
        <v>19</v>
      </c>
      <c r="H475" s="2">
        <v>1998</v>
      </c>
      <c r="I475" s="2" t="s">
        <v>1253</v>
      </c>
      <c r="J475" s="2" t="s">
        <v>1239</v>
      </c>
      <c r="K475" s="2"/>
      <c r="L475" s="2"/>
      <c r="M475" s="2" t="s">
        <v>1132</v>
      </c>
      <c r="N475" s="2"/>
      <c r="O475" s="2"/>
      <c r="P475" s="2" t="s">
        <v>1127</v>
      </c>
      <c r="Q475" s="2" t="s">
        <v>1127</v>
      </c>
      <c r="R475" s="2"/>
      <c r="S475" s="2"/>
      <c r="T475" s="2"/>
      <c r="U475" s="2"/>
      <c r="V475" s="2"/>
      <c r="W475" s="2"/>
      <c r="X475" s="2"/>
      <c r="Y475" s="2"/>
      <c r="Z475" s="2"/>
      <c r="AA475" s="2"/>
      <c r="AB475" s="2"/>
      <c r="AC475" s="2"/>
      <c r="AD475" s="2"/>
      <c r="AE475" s="2"/>
      <c r="AF475" s="2"/>
      <c r="AG475" s="2"/>
      <c r="AH475" s="2"/>
      <c r="AI475" s="2"/>
      <c r="AJ475" s="2"/>
    </row>
    <row r="476" spans="1:36" ht="17.25" customHeight="1" x14ac:dyDescent="0.2">
      <c r="A476" s="26" t="s">
        <v>0</v>
      </c>
      <c r="B476" s="26" t="s">
        <v>9</v>
      </c>
      <c r="C476" s="3" t="s">
        <v>4182</v>
      </c>
      <c r="D476" s="26" t="s">
        <v>1128</v>
      </c>
      <c r="E476" s="26" t="s">
        <v>1232</v>
      </c>
      <c r="F476" s="2">
        <v>16</v>
      </c>
      <c r="G476" s="4" t="s">
        <v>25</v>
      </c>
      <c r="H476" s="2">
        <v>1999</v>
      </c>
      <c r="I476" s="2" t="s">
        <v>1254</v>
      </c>
      <c r="J476" s="2" t="s">
        <v>1239</v>
      </c>
      <c r="K476" s="2"/>
      <c r="L476" s="2"/>
      <c r="M476" s="2" t="s">
        <v>1132</v>
      </c>
      <c r="N476" s="2"/>
      <c r="O476" s="2"/>
      <c r="P476" s="2" t="s">
        <v>1127</v>
      </c>
      <c r="Q476" s="2" t="s">
        <v>1127</v>
      </c>
      <c r="R476" s="2"/>
      <c r="S476" s="2"/>
      <c r="T476" s="2"/>
      <c r="U476" s="2"/>
      <c r="V476" s="2"/>
      <c r="W476" s="2"/>
      <c r="X476" s="2"/>
      <c r="Y476" s="2"/>
      <c r="Z476" s="2"/>
      <c r="AA476" s="2"/>
      <c r="AB476" s="2"/>
      <c r="AC476" s="2"/>
      <c r="AD476" s="2"/>
      <c r="AE476" s="2"/>
      <c r="AF476" s="2"/>
      <c r="AG476" s="2"/>
      <c r="AH476" s="2"/>
      <c r="AI476" s="2"/>
      <c r="AJ476" s="2"/>
    </row>
    <row r="477" spans="1:36" ht="17.25" customHeight="1" x14ac:dyDescent="0.2">
      <c r="A477" s="26" t="s">
        <v>0</v>
      </c>
      <c r="B477" s="26" t="s">
        <v>72</v>
      </c>
      <c r="C477" s="3" t="s">
        <v>4182</v>
      </c>
      <c r="D477" s="26" t="s">
        <v>1128</v>
      </c>
      <c r="E477" s="26" t="s">
        <v>1232</v>
      </c>
      <c r="F477" s="2">
        <v>17</v>
      </c>
      <c r="G477" s="4" t="s">
        <v>73</v>
      </c>
      <c r="H477" s="2">
        <v>2000</v>
      </c>
      <c r="I477" s="2" t="s">
        <v>1255</v>
      </c>
      <c r="J477" s="2" t="s">
        <v>1239</v>
      </c>
      <c r="K477" s="2"/>
      <c r="L477" s="2"/>
      <c r="M477" s="2" t="s">
        <v>1132</v>
      </c>
      <c r="N477" s="2"/>
      <c r="O477" s="2"/>
      <c r="P477" s="2" t="s">
        <v>1127</v>
      </c>
      <c r="Q477" s="2" t="s">
        <v>1127</v>
      </c>
      <c r="R477" s="2"/>
      <c r="S477" s="2"/>
      <c r="T477" s="2"/>
      <c r="U477" s="2"/>
      <c r="V477" s="2"/>
      <c r="W477" s="2"/>
      <c r="X477" s="2"/>
      <c r="Y477" s="2"/>
      <c r="Z477" s="2"/>
      <c r="AA477" s="2"/>
      <c r="AB477" s="2"/>
      <c r="AC477" s="2"/>
      <c r="AD477" s="2"/>
      <c r="AE477" s="2"/>
      <c r="AF477" s="2"/>
      <c r="AG477" s="2"/>
      <c r="AH477" s="2"/>
      <c r="AI477" s="2"/>
      <c r="AJ477" s="2"/>
    </row>
    <row r="478" spans="1:36" ht="17.25" customHeight="1" x14ac:dyDescent="0.2">
      <c r="A478" s="26" t="s">
        <v>0</v>
      </c>
      <c r="B478" s="26" t="s">
        <v>106</v>
      </c>
      <c r="C478" s="3" t="s">
        <v>4182</v>
      </c>
      <c r="D478" s="26" t="s">
        <v>1128</v>
      </c>
      <c r="E478" s="26" t="s">
        <v>1232</v>
      </c>
      <c r="F478" s="2">
        <v>18</v>
      </c>
      <c r="G478" s="4" t="s">
        <v>58</v>
      </c>
      <c r="H478" s="2">
        <v>2001</v>
      </c>
      <c r="I478" s="2" t="s">
        <v>1256</v>
      </c>
      <c r="J478" s="2" t="s">
        <v>1239</v>
      </c>
      <c r="K478" s="2"/>
      <c r="L478" s="2"/>
      <c r="M478" s="2" t="s">
        <v>1132</v>
      </c>
      <c r="N478" s="2"/>
      <c r="O478" s="2"/>
      <c r="P478" s="2" t="s">
        <v>1127</v>
      </c>
      <c r="Q478" s="2" t="s">
        <v>1127</v>
      </c>
      <c r="R478" s="2"/>
      <c r="S478" s="2"/>
      <c r="T478" s="2"/>
      <c r="U478" s="2"/>
      <c r="V478" s="2"/>
      <c r="W478" s="2"/>
      <c r="X478" s="2"/>
      <c r="Y478" s="2"/>
      <c r="Z478" s="2"/>
      <c r="AA478" s="2"/>
      <c r="AB478" s="2"/>
      <c r="AC478" s="2"/>
      <c r="AD478" s="2"/>
      <c r="AE478" s="2"/>
      <c r="AF478" s="2"/>
      <c r="AG478" s="2"/>
      <c r="AH478" s="2"/>
      <c r="AI478" s="2"/>
      <c r="AJ478" s="2"/>
    </row>
    <row r="479" spans="1:36" ht="17.25" customHeight="1" x14ac:dyDescent="0.2">
      <c r="A479" s="26" t="s">
        <v>0</v>
      </c>
      <c r="B479" s="26" t="s">
        <v>63</v>
      </c>
      <c r="C479" s="3" t="s">
        <v>4182</v>
      </c>
      <c r="D479" s="26" t="s">
        <v>1128</v>
      </c>
      <c r="E479" s="26" t="s">
        <v>1232</v>
      </c>
      <c r="F479" s="2">
        <v>19</v>
      </c>
      <c r="G479" s="4" t="s">
        <v>4</v>
      </c>
      <c r="H479" s="2">
        <v>2002</v>
      </c>
      <c r="I479" s="2" t="s">
        <v>1257</v>
      </c>
      <c r="J479" s="2" t="s">
        <v>1239</v>
      </c>
      <c r="K479" s="2"/>
      <c r="L479" s="2"/>
      <c r="M479" s="2" t="s">
        <v>1132</v>
      </c>
      <c r="N479" s="2"/>
      <c r="O479" s="2"/>
      <c r="P479" s="2" t="s">
        <v>1127</v>
      </c>
      <c r="Q479" s="2" t="s">
        <v>1127</v>
      </c>
      <c r="R479" s="2"/>
      <c r="S479" s="2"/>
      <c r="T479" s="2"/>
      <c r="U479" s="2"/>
      <c r="V479" s="2"/>
      <c r="W479" s="2"/>
      <c r="X479" s="2"/>
      <c r="Y479" s="2"/>
      <c r="Z479" s="2"/>
      <c r="AA479" s="2"/>
      <c r="AB479" s="2"/>
      <c r="AC479" s="2"/>
      <c r="AD479" s="2"/>
      <c r="AE479" s="2"/>
      <c r="AF479" s="2"/>
      <c r="AG479" s="2"/>
      <c r="AH479" s="2"/>
      <c r="AI479" s="2"/>
      <c r="AJ479" s="2"/>
    </row>
    <row r="480" spans="1:36" ht="17.25" customHeight="1" x14ac:dyDescent="0.2">
      <c r="A480" s="26" t="s">
        <v>0</v>
      </c>
      <c r="B480" s="26" t="s">
        <v>97</v>
      </c>
      <c r="C480" s="3" t="s">
        <v>4182</v>
      </c>
      <c r="D480" s="26" t="s">
        <v>1128</v>
      </c>
      <c r="E480" s="26" t="s">
        <v>1232</v>
      </c>
      <c r="F480" s="2">
        <v>20</v>
      </c>
      <c r="G480" s="4" t="s">
        <v>83</v>
      </c>
      <c r="H480" s="2">
        <v>2003</v>
      </c>
      <c r="I480" s="2" t="s">
        <v>1258</v>
      </c>
      <c r="J480" s="2" t="s">
        <v>1239</v>
      </c>
      <c r="K480" s="2"/>
      <c r="L480" s="2"/>
      <c r="M480" s="2" t="s">
        <v>1132</v>
      </c>
      <c r="N480" s="2"/>
      <c r="O480" s="2"/>
      <c r="P480" s="2" t="s">
        <v>1127</v>
      </c>
      <c r="Q480" s="2" t="s">
        <v>1127</v>
      </c>
      <c r="R480" s="2"/>
      <c r="S480" s="2"/>
      <c r="T480" s="2"/>
      <c r="U480" s="2"/>
      <c r="V480" s="2"/>
      <c r="W480" s="2"/>
      <c r="X480" s="2"/>
      <c r="Y480" s="2"/>
      <c r="Z480" s="2"/>
      <c r="AA480" s="2"/>
      <c r="AB480" s="2"/>
      <c r="AC480" s="2"/>
      <c r="AD480" s="2"/>
      <c r="AE480" s="2"/>
      <c r="AF480" s="2"/>
      <c r="AG480" s="2"/>
      <c r="AH480" s="2"/>
      <c r="AI480" s="2"/>
      <c r="AJ480" s="2"/>
    </row>
    <row r="481" spans="1:36" ht="17.25" customHeight="1" x14ac:dyDescent="0.2">
      <c r="A481" s="26" t="s">
        <v>0</v>
      </c>
      <c r="B481" s="26" t="s">
        <v>69</v>
      </c>
      <c r="C481" s="3" t="s">
        <v>4182</v>
      </c>
      <c r="D481" s="26" t="s">
        <v>1128</v>
      </c>
      <c r="E481" s="26" t="s">
        <v>1232</v>
      </c>
      <c r="F481" s="2">
        <v>21</v>
      </c>
      <c r="G481" s="4" t="s">
        <v>64</v>
      </c>
      <c r="H481" s="2">
        <v>2004</v>
      </c>
      <c r="I481" s="2" t="s">
        <v>1259</v>
      </c>
      <c r="J481" s="2" t="s">
        <v>1239</v>
      </c>
      <c r="K481" s="2"/>
      <c r="L481" s="2"/>
      <c r="M481" s="2" t="s">
        <v>1132</v>
      </c>
      <c r="N481" s="2"/>
      <c r="O481" s="2"/>
      <c r="P481" s="2" t="s">
        <v>1127</v>
      </c>
      <c r="Q481" s="2" t="s">
        <v>1127</v>
      </c>
      <c r="R481" s="2"/>
      <c r="S481" s="2"/>
      <c r="T481" s="2"/>
      <c r="U481" s="2"/>
      <c r="V481" s="2"/>
      <c r="W481" s="2"/>
      <c r="X481" s="2"/>
      <c r="Y481" s="2"/>
      <c r="Z481" s="2"/>
      <c r="AA481" s="2"/>
      <c r="AB481" s="2"/>
      <c r="AC481" s="2"/>
      <c r="AD481" s="2"/>
      <c r="AE481" s="2"/>
      <c r="AF481" s="2"/>
      <c r="AG481" s="2"/>
      <c r="AH481" s="2"/>
      <c r="AI481" s="2"/>
      <c r="AJ481" s="2"/>
    </row>
    <row r="482" spans="1:36" ht="17.25" customHeight="1" x14ac:dyDescent="0.2">
      <c r="A482" s="26" t="s">
        <v>0</v>
      </c>
      <c r="B482" s="26" t="s">
        <v>100</v>
      </c>
      <c r="C482" s="3" t="s">
        <v>4182</v>
      </c>
      <c r="D482" s="26" t="s">
        <v>1128</v>
      </c>
      <c r="E482" s="26" t="s">
        <v>1232</v>
      </c>
      <c r="F482" s="2">
        <v>22</v>
      </c>
      <c r="G482" s="4" t="s">
        <v>92</v>
      </c>
      <c r="H482" s="2">
        <v>2005</v>
      </c>
      <c r="I482" s="2" t="s">
        <v>1260</v>
      </c>
      <c r="J482" s="2" t="s">
        <v>1239</v>
      </c>
      <c r="K482" s="2"/>
      <c r="L482" s="2"/>
      <c r="M482" s="2" t="s">
        <v>1132</v>
      </c>
      <c r="N482" s="2"/>
      <c r="O482" s="2"/>
      <c r="P482" s="2" t="s">
        <v>1127</v>
      </c>
      <c r="Q482" s="2" t="s">
        <v>1127</v>
      </c>
      <c r="R482" s="2"/>
      <c r="S482" s="2"/>
      <c r="T482" s="2"/>
      <c r="U482" s="2"/>
      <c r="V482" s="2"/>
      <c r="W482" s="2"/>
      <c r="X482" s="2"/>
      <c r="Y482" s="2"/>
      <c r="Z482" s="2"/>
      <c r="AA482" s="2"/>
      <c r="AB482" s="2"/>
      <c r="AC482" s="2"/>
      <c r="AD482" s="2"/>
      <c r="AE482" s="2"/>
      <c r="AF482" s="2"/>
      <c r="AG482" s="2"/>
      <c r="AH482" s="2"/>
      <c r="AI482" s="2"/>
      <c r="AJ482" s="2"/>
    </row>
    <row r="483" spans="1:36" ht="17.25" customHeight="1" x14ac:dyDescent="0.2">
      <c r="A483" s="26" t="s">
        <v>0</v>
      </c>
      <c r="B483" s="26" t="s">
        <v>79</v>
      </c>
      <c r="C483" s="3" t="s">
        <v>4182</v>
      </c>
      <c r="D483" s="26" t="s">
        <v>1128</v>
      </c>
      <c r="E483" s="26" t="s">
        <v>1232</v>
      </c>
      <c r="F483" s="2">
        <v>23</v>
      </c>
      <c r="G483" s="4" t="s">
        <v>52</v>
      </c>
      <c r="H483" s="2">
        <v>2006</v>
      </c>
      <c r="I483" s="2" t="s">
        <v>1261</v>
      </c>
      <c r="J483" s="2" t="s">
        <v>1239</v>
      </c>
      <c r="K483" s="2"/>
      <c r="L483" s="2"/>
      <c r="M483" s="2" t="s">
        <v>1132</v>
      </c>
      <c r="N483" s="2"/>
      <c r="O483" s="2"/>
      <c r="P483" s="2" t="s">
        <v>1127</v>
      </c>
      <c r="Q483" s="2" t="s">
        <v>1127</v>
      </c>
      <c r="R483" s="2"/>
      <c r="S483" s="2"/>
      <c r="T483" s="2"/>
      <c r="U483" s="2"/>
      <c r="V483" s="2"/>
      <c r="W483" s="2"/>
      <c r="X483" s="2"/>
      <c r="Y483" s="2"/>
      <c r="Z483" s="2"/>
      <c r="AA483" s="2"/>
      <c r="AB483" s="2"/>
      <c r="AC483" s="2"/>
      <c r="AD483" s="2"/>
      <c r="AE483" s="2"/>
      <c r="AF483" s="2"/>
      <c r="AG483" s="2"/>
      <c r="AH483" s="2"/>
      <c r="AI483" s="2"/>
      <c r="AJ483" s="2"/>
    </row>
    <row r="484" spans="1:36" ht="17.25" customHeight="1" x14ac:dyDescent="0.2">
      <c r="A484" s="26" t="s">
        <v>0</v>
      </c>
      <c r="B484" s="26" t="s">
        <v>39</v>
      </c>
      <c r="C484" s="3" t="s">
        <v>4182</v>
      </c>
      <c r="D484" s="26" t="s">
        <v>1128</v>
      </c>
      <c r="E484" s="26" t="s">
        <v>1232</v>
      </c>
      <c r="F484" s="2">
        <v>24</v>
      </c>
      <c r="G484" s="4" t="s">
        <v>95</v>
      </c>
      <c r="H484" s="2">
        <v>2007</v>
      </c>
      <c r="I484" s="2" t="s">
        <v>1262</v>
      </c>
      <c r="J484" s="2" t="s">
        <v>1239</v>
      </c>
      <c r="K484" s="2"/>
      <c r="L484" s="2"/>
      <c r="M484" s="2" t="s">
        <v>1132</v>
      </c>
      <c r="N484" s="2"/>
      <c r="O484" s="2"/>
      <c r="P484" s="2" t="s">
        <v>1127</v>
      </c>
      <c r="Q484" s="2" t="s">
        <v>1127</v>
      </c>
      <c r="R484" s="2"/>
      <c r="S484" s="2"/>
      <c r="T484" s="2"/>
      <c r="U484" s="2"/>
      <c r="V484" s="2"/>
      <c r="W484" s="2"/>
      <c r="X484" s="2"/>
      <c r="Y484" s="2"/>
      <c r="Z484" s="2"/>
      <c r="AA484" s="2"/>
      <c r="AB484" s="2"/>
      <c r="AC484" s="2"/>
      <c r="AD484" s="2"/>
      <c r="AE484" s="2"/>
      <c r="AF484" s="2"/>
      <c r="AG484" s="2"/>
      <c r="AH484" s="2"/>
      <c r="AI484" s="2"/>
      <c r="AJ484" s="2"/>
    </row>
    <row r="485" spans="1:36" ht="17.25" customHeight="1" x14ac:dyDescent="0.2">
      <c r="A485" s="26" t="s">
        <v>0</v>
      </c>
      <c r="B485" s="26" t="s">
        <v>36</v>
      </c>
      <c r="C485" s="3" t="s">
        <v>4182</v>
      </c>
      <c r="D485" s="26" t="s">
        <v>1128</v>
      </c>
      <c r="E485" s="26" t="s">
        <v>1232</v>
      </c>
      <c r="F485" s="2">
        <v>25</v>
      </c>
      <c r="G485" s="4" t="s">
        <v>70</v>
      </c>
      <c r="H485" s="2">
        <v>2008</v>
      </c>
      <c r="I485" s="2" t="s">
        <v>1263</v>
      </c>
      <c r="J485" s="2" t="s">
        <v>1239</v>
      </c>
      <c r="K485" s="2"/>
      <c r="L485" s="2"/>
      <c r="M485" s="2" t="s">
        <v>1132</v>
      </c>
      <c r="N485" s="2"/>
      <c r="O485" s="2"/>
      <c r="P485" s="2" t="s">
        <v>1127</v>
      </c>
      <c r="Q485" s="2" t="s">
        <v>1127</v>
      </c>
      <c r="R485" s="2"/>
      <c r="S485" s="2"/>
      <c r="T485" s="2"/>
      <c r="U485" s="2"/>
      <c r="V485" s="2"/>
      <c r="W485" s="2"/>
      <c r="X485" s="2"/>
      <c r="Y485" s="2"/>
      <c r="Z485" s="2"/>
      <c r="AA485" s="2"/>
      <c r="AB485" s="2"/>
      <c r="AC485" s="2"/>
      <c r="AD485" s="2"/>
      <c r="AE485" s="2"/>
      <c r="AF485" s="2"/>
      <c r="AG485" s="2"/>
      <c r="AH485" s="2"/>
      <c r="AI485" s="2"/>
      <c r="AJ485" s="2"/>
    </row>
    <row r="486" spans="1:36" ht="17.25" customHeight="1" x14ac:dyDescent="0.2">
      <c r="A486" s="26" t="s">
        <v>0</v>
      </c>
      <c r="B486" s="26" t="s">
        <v>91</v>
      </c>
      <c r="C486" s="3" t="s">
        <v>4182</v>
      </c>
      <c r="D486" s="26" t="s">
        <v>1128</v>
      </c>
      <c r="E486" s="26" t="s">
        <v>1232</v>
      </c>
      <c r="F486" s="2">
        <v>26</v>
      </c>
      <c r="G486" s="4" t="s">
        <v>16</v>
      </c>
      <c r="H486" s="2">
        <v>2009</v>
      </c>
      <c r="I486" s="2" t="s">
        <v>1264</v>
      </c>
      <c r="J486" s="2" t="s">
        <v>1239</v>
      </c>
      <c r="K486" s="2"/>
      <c r="L486" s="2"/>
      <c r="M486" s="2" t="s">
        <v>1132</v>
      </c>
      <c r="N486" s="2"/>
      <c r="O486" s="2"/>
      <c r="P486" s="2" t="s">
        <v>1127</v>
      </c>
      <c r="Q486" s="2" t="s">
        <v>1127</v>
      </c>
      <c r="R486" s="2"/>
      <c r="S486" s="2"/>
      <c r="T486" s="2"/>
      <c r="U486" s="2"/>
      <c r="V486" s="2"/>
      <c r="W486" s="2"/>
      <c r="X486" s="2"/>
      <c r="Y486" s="2"/>
      <c r="Z486" s="2"/>
      <c r="AA486" s="2"/>
      <c r="AB486" s="2"/>
      <c r="AC486" s="2"/>
      <c r="AD486" s="2"/>
      <c r="AE486" s="2"/>
      <c r="AF486" s="2"/>
      <c r="AG486" s="2"/>
      <c r="AH486" s="2"/>
      <c r="AI486" s="2"/>
      <c r="AJ486" s="2"/>
    </row>
    <row r="487" spans="1:36" ht="17.25" customHeight="1" x14ac:dyDescent="0.2">
      <c r="A487" s="26" t="s">
        <v>0</v>
      </c>
      <c r="B487" s="26" t="s">
        <v>103</v>
      </c>
      <c r="C487" s="3" t="s">
        <v>4182</v>
      </c>
      <c r="D487" s="26" t="s">
        <v>1128</v>
      </c>
      <c r="E487" s="26" t="s">
        <v>1232</v>
      </c>
      <c r="F487" s="2">
        <v>27</v>
      </c>
      <c r="G487" s="4" t="s">
        <v>34</v>
      </c>
      <c r="H487" s="2">
        <v>2010</v>
      </c>
      <c r="I487" s="2" t="s">
        <v>1265</v>
      </c>
      <c r="J487" s="2" t="s">
        <v>1239</v>
      </c>
      <c r="K487" s="2"/>
      <c r="L487" s="2"/>
      <c r="M487" s="2" t="s">
        <v>1132</v>
      </c>
      <c r="N487" s="2"/>
      <c r="O487" s="2"/>
      <c r="P487" s="2" t="s">
        <v>1127</v>
      </c>
      <c r="Q487" s="2" t="s">
        <v>1127</v>
      </c>
      <c r="R487" s="2"/>
      <c r="S487" s="2"/>
      <c r="T487" s="2"/>
      <c r="U487" s="2"/>
      <c r="V487" s="2"/>
      <c r="W487" s="2"/>
      <c r="X487" s="2"/>
      <c r="Y487" s="2"/>
      <c r="Z487" s="2"/>
      <c r="AA487" s="2"/>
      <c r="AB487" s="2"/>
      <c r="AC487" s="2"/>
      <c r="AD487" s="2"/>
      <c r="AE487" s="2"/>
      <c r="AF487" s="2"/>
      <c r="AG487" s="2"/>
      <c r="AH487" s="2"/>
      <c r="AI487" s="2"/>
      <c r="AJ487" s="2"/>
    </row>
    <row r="488" spans="1:36" ht="17.25" customHeight="1" x14ac:dyDescent="0.2">
      <c r="A488" s="26" t="s">
        <v>0</v>
      </c>
      <c r="B488" s="26" t="s">
        <v>33</v>
      </c>
      <c r="C488" s="3" t="s">
        <v>4182</v>
      </c>
      <c r="D488" s="26" t="s">
        <v>1128</v>
      </c>
      <c r="E488" s="26" t="s">
        <v>1232</v>
      </c>
      <c r="F488" s="2">
        <v>28</v>
      </c>
      <c r="G488" s="4" t="s">
        <v>46</v>
      </c>
      <c r="H488" s="2">
        <v>2011</v>
      </c>
      <c r="I488" s="2" t="s">
        <v>1266</v>
      </c>
      <c r="J488" s="2" t="s">
        <v>1239</v>
      </c>
      <c r="K488" s="2"/>
      <c r="L488" s="2"/>
      <c r="M488" s="2" t="s">
        <v>1132</v>
      </c>
      <c r="N488" s="2"/>
      <c r="O488" s="2"/>
      <c r="P488" s="2" t="s">
        <v>1127</v>
      </c>
      <c r="Q488" s="2" t="s">
        <v>1127</v>
      </c>
      <c r="R488" s="2"/>
      <c r="S488" s="2"/>
      <c r="T488" s="2"/>
      <c r="U488" s="2"/>
      <c r="V488" s="2"/>
      <c r="W488" s="2"/>
      <c r="X488" s="2"/>
      <c r="Y488" s="2"/>
      <c r="Z488" s="2"/>
      <c r="AA488" s="2"/>
      <c r="AB488" s="2"/>
      <c r="AC488" s="2"/>
      <c r="AD488" s="2"/>
      <c r="AE488" s="2"/>
      <c r="AF488" s="2"/>
      <c r="AG488" s="2"/>
      <c r="AH488" s="2"/>
      <c r="AI488" s="2"/>
      <c r="AJ488" s="2"/>
    </row>
    <row r="489" spans="1:36" ht="17.25" customHeight="1" x14ac:dyDescent="0.2">
      <c r="A489" s="26" t="s">
        <v>0</v>
      </c>
      <c r="B489" s="26" t="s">
        <v>27</v>
      </c>
      <c r="C489" s="3" t="s">
        <v>4182</v>
      </c>
      <c r="D489" s="26" t="s">
        <v>1128</v>
      </c>
      <c r="E489" s="26" t="s">
        <v>1232</v>
      </c>
      <c r="F489" s="2">
        <v>29</v>
      </c>
      <c r="G489" s="4" t="s">
        <v>61</v>
      </c>
      <c r="H489" s="2">
        <v>2012</v>
      </c>
      <c r="I489" s="2" t="s">
        <v>1267</v>
      </c>
      <c r="J489" s="2" t="s">
        <v>1239</v>
      </c>
      <c r="K489" s="2"/>
      <c r="L489" s="2"/>
      <c r="M489" s="2" t="s">
        <v>1132</v>
      </c>
      <c r="N489" s="2"/>
      <c r="O489" s="2"/>
      <c r="P489" s="2" t="s">
        <v>1127</v>
      </c>
      <c r="Q489" s="2" t="s">
        <v>1127</v>
      </c>
      <c r="R489" s="2"/>
      <c r="S489" s="2"/>
      <c r="T489" s="2"/>
      <c r="U489" s="2"/>
      <c r="V489" s="2"/>
      <c r="W489" s="2"/>
      <c r="X489" s="2"/>
      <c r="Y489" s="2"/>
      <c r="Z489" s="2"/>
      <c r="AA489" s="2"/>
      <c r="AB489" s="2"/>
      <c r="AC489" s="2"/>
      <c r="AD489" s="2"/>
      <c r="AE489" s="2"/>
      <c r="AF489" s="2"/>
      <c r="AG489" s="2"/>
      <c r="AH489" s="2"/>
      <c r="AI489" s="2"/>
      <c r="AJ489" s="2"/>
    </row>
    <row r="490" spans="1:36" ht="17.25" customHeight="1" x14ac:dyDescent="0.2">
      <c r="A490" s="26" t="s">
        <v>0</v>
      </c>
      <c r="B490" s="26" t="s">
        <v>54</v>
      </c>
      <c r="C490" s="3" t="s">
        <v>4182</v>
      </c>
      <c r="D490" s="26" t="s">
        <v>1128</v>
      </c>
      <c r="E490" s="26" t="s">
        <v>1232</v>
      </c>
      <c r="F490" s="2">
        <v>30</v>
      </c>
      <c r="G490" s="4" t="s">
        <v>86</v>
      </c>
      <c r="H490" s="2">
        <v>2013</v>
      </c>
      <c r="I490" s="2" t="s">
        <v>1268</v>
      </c>
      <c r="J490" s="2" t="s">
        <v>1239</v>
      </c>
      <c r="K490" s="2"/>
      <c r="L490" s="2"/>
      <c r="M490" s="2" t="s">
        <v>1132</v>
      </c>
      <c r="N490" s="2"/>
      <c r="O490" s="2"/>
      <c r="P490" s="2" t="s">
        <v>1127</v>
      </c>
      <c r="Q490" s="2" t="s">
        <v>1127</v>
      </c>
      <c r="R490" s="2"/>
      <c r="S490" s="2"/>
      <c r="T490" s="2"/>
      <c r="U490" s="2"/>
      <c r="V490" s="2"/>
      <c r="W490" s="2"/>
      <c r="X490" s="2"/>
      <c r="Y490" s="2"/>
      <c r="Z490" s="2"/>
      <c r="AA490" s="2"/>
      <c r="AB490" s="2"/>
      <c r="AC490" s="2"/>
      <c r="AD490" s="2"/>
      <c r="AE490" s="2"/>
      <c r="AF490" s="2"/>
      <c r="AG490" s="2"/>
      <c r="AH490" s="2"/>
      <c r="AI490" s="2"/>
      <c r="AJ490" s="2"/>
    </row>
    <row r="491" spans="1:36" ht="17.25" customHeight="1" x14ac:dyDescent="0.2">
      <c r="A491" s="26" t="s">
        <v>0</v>
      </c>
      <c r="B491" s="26" t="s">
        <v>57</v>
      </c>
      <c r="C491" s="3" t="s">
        <v>4182</v>
      </c>
      <c r="D491" s="26" t="s">
        <v>1128</v>
      </c>
      <c r="E491" s="26" t="s">
        <v>1232</v>
      </c>
      <c r="F491" s="2">
        <v>31</v>
      </c>
      <c r="G491" s="4" t="s">
        <v>22</v>
      </c>
      <c r="H491" s="2">
        <v>2014</v>
      </c>
      <c r="I491" s="2" t="s">
        <v>1269</v>
      </c>
      <c r="J491" s="2" t="s">
        <v>1239</v>
      </c>
      <c r="K491" s="2"/>
      <c r="L491" s="2"/>
      <c r="M491" s="2" t="s">
        <v>1132</v>
      </c>
      <c r="N491" s="2"/>
      <c r="O491" s="2"/>
      <c r="P491" s="2" t="s">
        <v>1127</v>
      </c>
      <c r="Q491" s="2" t="s">
        <v>1127</v>
      </c>
      <c r="R491" s="2"/>
      <c r="S491" s="2"/>
      <c r="T491" s="2"/>
      <c r="U491" s="2"/>
      <c r="V491" s="2"/>
      <c r="W491" s="2"/>
      <c r="X491" s="2"/>
      <c r="Y491" s="2"/>
      <c r="Z491" s="2"/>
      <c r="AA491" s="2"/>
      <c r="AB491" s="2"/>
      <c r="AC491" s="2"/>
      <c r="AD491" s="2"/>
      <c r="AE491" s="2"/>
      <c r="AF491" s="2"/>
      <c r="AG491" s="2"/>
      <c r="AH491" s="2"/>
      <c r="AI491" s="2"/>
      <c r="AJ491" s="2"/>
    </row>
    <row r="492" spans="1:36" ht="17.25" customHeight="1" x14ac:dyDescent="0.2">
      <c r="A492" s="26" t="s">
        <v>0</v>
      </c>
      <c r="B492" s="26" t="s">
        <v>18</v>
      </c>
      <c r="C492" s="3" t="s">
        <v>4182</v>
      </c>
      <c r="D492" s="26" t="s">
        <v>1128</v>
      </c>
      <c r="E492" s="26" t="s">
        <v>1232</v>
      </c>
      <c r="F492" s="2">
        <v>32</v>
      </c>
      <c r="G492" s="4" t="s">
        <v>28</v>
      </c>
      <c r="H492" s="2">
        <v>2015</v>
      </c>
      <c r="I492" s="2" t="s">
        <v>1270</v>
      </c>
      <c r="J492" s="2" t="s">
        <v>1239</v>
      </c>
      <c r="K492" s="2"/>
      <c r="L492" s="2"/>
      <c r="M492" s="2" t="s">
        <v>1132</v>
      </c>
      <c r="N492" s="2"/>
      <c r="O492" s="2"/>
      <c r="P492" s="2" t="s">
        <v>1127</v>
      </c>
      <c r="Q492" s="2" t="s">
        <v>1127</v>
      </c>
      <c r="R492" s="2"/>
      <c r="S492" s="2"/>
      <c r="T492" s="2"/>
      <c r="U492" s="2"/>
      <c r="V492" s="2"/>
      <c r="W492" s="2"/>
      <c r="X492" s="2"/>
      <c r="Y492" s="2"/>
      <c r="Z492" s="2"/>
      <c r="AA492" s="2"/>
      <c r="AB492" s="2"/>
      <c r="AC492" s="2"/>
      <c r="AD492" s="2"/>
      <c r="AE492" s="2"/>
      <c r="AF492" s="2"/>
      <c r="AG492" s="2"/>
      <c r="AH492" s="2"/>
      <c r="AI492" s="2"/>
      <c r="AJ492" s="2"/>
    </row>
    <row r="493" spans="1:36" ht="17.25" customHeight="1" x14ac:dyDescent="0.2">
      <c r="A493" s="26" t="s">
        <v>0</v>
      </c>
      <c r="B493" s="26" t="s">
        <v>75</v>
      </c>
      <c r="C493" s="3" t="s">
        <v>4182</v>
      </c>
      <c r="D493" s="26" t="s">
        <v>1128</v>
      </c>
      <c r="E493" s="26" t="s">
        <v>1232</v>
      </c>
      <c r="F493" s="2">
        <v>33</v>
      </c>
      <c r="G493" s="4" t="s">
        <v>76</v>
      </c>
      <c r="H493" s="2">
        <v>2016</v>
      </c>
      <c r="I493" s="2" t="s">
        <v>1271</v>
      </c>
      <c r="J493" s="2" t="s">
        <v>1239</v>
      </c>
      <c r="K493" s="2"/>
      <c r="L493" s="2"/>
      <c r="M493" s="2" t="s">
        <v>1132</v>
      </c>
      <c r="N493" s="2"/>
      <c r="O493" s="2"/>
      <c r="P493" s="2" t="s">
        <v>1127</v>
      </c>
      <c r="Q493" s="2" t="s">
        <v>1127</v>
      </c>
      <c r="R493" s="2"/>
      <c r="S493" s="2"/>
      <c r="T493" s="2"/>
      <c r="U493" s="2"/>
      <c r="V493" s="2"/>
      <c r="W493" s="2"/>
      <c r="X493" s="2"/>
      <c r="Y493" s="2"/>
      <c r="Z493" s="2"/>
      <c r="AA493" s="2"/>
      <c r="AB493" s="2"/>
      <c r="AC493" s="2"/>
      <c r="AD493" s="2"/>
      <c r="AE493" s="2"/>
      <c r="AF493" s="2"/>
      <c r="AG493" s="2"/>
      <c r="AH493" s="2"/>
      <c r="AI493" s="2"/>
      <c r="AJ493" s="2"/>
    </row>
    <row r="494" spans="1:36" ht="17.25" customHeight="1" x14ac:dyDescent="0.2">
      <c r="A494" s="26" t="s">
        <v>0</v>
      </c>
      <c r="B494" s="26" t="s">
        <v>185</v>
      </c>
      <c r="C494" s="3" t="s">
        <v>4182</v>
      </c>
      <c r="D494" s="26" t="s">
        <v>1128</v>
      </c>
      <c r="E494" s="26" t="s">
        <v>1272</v>
      </c>
      <c r="F494" s="2">
        <v>26</v>
      </c>
      <c r="G494" s="4" t="s">
        <v>16</v>
      </c>
      <c r="H494" s="2">
        <v>2009</v>
      </c>
      <c r="I494" s="2" t="s">
        <v>1273</v>
      </c>
      <c r="J494" s="2" t="s">
        <v>1274</v>
      </c>
      <c r="L494" s="2"/>
      <c r="M494" s="2" t="s">
        <v>1132</v>
      </c>
      <c r="N494" s="2"/>
      <c r="O494" s="2"/>
      <c r="P494" s="2" t="s">
        <v>1127</v>
      </c>
      <c r="Q494" s="2" t="s">
        <v>1127</v>
      </c>
      <c r="R494" s="2"/>
      <c r="S494" s="2"/>
      <c r="T494" s="2"/>
      <c r="U494" s="2"/>
      <c r="V494" s="2"/>
      <c r="W494" s="2"/>
      <c r="X494" s="2"/>
      <c r="Y494" s="2"/>
      <c r="Z494" s="2"/>
      <c r="AA494" s="2"/>
      <c r="AB494" s="2"/>
      <c r="AC494" s="2"/>
      <c r="AD494" s="2"/>
      <c r="AE494" s="2"/>
      <c r="AF494" s="2"/>
      <c r="AG494" s="2"/>
      <c r="AH494" s="2"/>
      <c r="AI494" s="2"/>
      <c r="AJ494" s="2"/>
    </row>
    <row r="495" spans="1:36" ht="17.25" customHeight="1" x14ac:dyDescent="0.2">
      <c r="A495" s="26" t="s">
        <v>0</v>
      </c>
      <c r="B495" s="26" t="s">
        <v>177</v>
      </c>
      <c r="C495" s="3" t="s">
        <v>4182</v>
      </c>
      <c r="D495" s="26" t="s">
        <v>1128</v>
      </c>
      <c r="E495" s="26" t="s">
        <v>1272</v>
      </c>
      <c r="F495" s="2">
        <v>28</v>
      </c>
      <c r="G495" s="4" t="s">
        <v>46</v>
      </c>
      <c r="H495" s="2">
        <v>2011</v>
      </c>
      <c r="I495" s="2" t="s">
        <v>1275</v>
      </c>
      <c r="J495" s="2" t="s">
        <v>1274</v>
      </c>
      <c r="L495" s="2"/>
      <c r="M495" s="2" t="s">
        <v>1132</v>
      </c>
      <c r="N495" s="2"/>
      <c r="O495" s="2"/>
      <c r="P495" s="2" t="s">
        <v>1127</v>
      </c>
      <c r="Q495" s="2" t="s">
        <v>1127</v>
      </c>
      <c r="R495" s="2"/>
      <c r="S495" s="2"/>
      <c r="T495" s="2"/>
      <c r="U495" s="2"/>
      <c r="V495" s="2"/>
      <c r="W495" s="2"/>
      <c r="X495" s="2"/>
      <c r="Y495" s="2"/>
      <c r="Z495" s="2"/>
      <c r="AA495" s="2"/>
      <c r="AB495" s="2"/>
      <c r="AC495" s="2"/>
      <c r="AD495" s="2"/>
      <c r="AE495" s="2"/>
      <c r="AF495" s="2"/>
      <c r="AG495" s="2"/>
      <c r="AH495" s="2"/>
      <c r="AI495" s="2"/>
      <c r="AJ495" s="2"/>
    </row>
    <row r="496" spans="1:36" ht="17.25" customHeight="1" x14ac:dyDescent="0.2">
      <c r="A496" s="26" t="s">
        <v>0</v>
      </c>
      <c r="B496" s="26" t="s">
        <v>189</v>
      </c>
      <c r="C496" s="3" t="s">
        <v>4182</v>
      </c>
      <c r="D496" s="26" t="s">
        <v>1128</v>
      </c>
      <c r="E496" s="26" t="s">
        <v>1272</v>
      </c>
      <c r="F496" s="2">
        <v>30</v>
      </c>
      <c r="G496" s="4" t="s">
        <v>86</v>
      </c>
      <c r="H496" s="2">
        <v>2013</v>
      </c>
      <c r="I496" s="2" t="s">
        <v>1276</v>
      </c>
      <c r="J496" s="2" t="s">
        <v>1274</v>
      </c>
      <c r="L496" s="2"/>
      <c r="M496" s="2" t="s">
        <v>1132</v>
      </c>
      <c r="N496" s="2"/>
      <c r="O496" s="2"/>
      <c r="P496" s="2" t="s">
        <v>1127</v>
      </c>
      <c r="Q496" s="2" t="s">
        <v>1127</v>
      </c>
      <c r="R496" s="2"/>
      <c r="S496" s="2"/>
      <c r="T496" s="2"/>
      <c r="U496" s="2"/>
      <c r="V496" s="2"/>
      <c r="W496" s="2"/>
      <c r="X496" s="2"/>
      <c r="Y496" s="2"/>
      <c r="Z496" s="2"/>
      <c r="AA496" s="2"/>
      <c r="AB496" s="2"/>
      <c r="AC496" s="2"/>
      <c r="AD496" s="2"/>
      <c r="AE496" s="2"/>
      <c r="AF496" s="2"/>
      <c r="AG496" s="2"/>
      <c r="AH496" s="2"/>
      <c r="AI496" s="2"/>
      <c r="AJ496" s="2"/>
    </row>
    <row r="497" spans="1:36" ht="17.25" customHeight="1" x14ac:dyDescent="0.2">
      <c r="A497" s="26" t="s">
        <v>0</v>
      </c>
      <c r="B497" s="26" t="s">
        <v>181</v>
      </c>
      <c r="C497" s="3" t="s">
        <v>4182</v>
      </c>
      <c r="D497" s="26" t="s">
        <v>1128</v>
      </c>
      <c r="E497" s="26" t="s">
        <v>1272</v>
      </c>
      <c r="F497" s="2">
        <v>32</v>
      </c>
      <c r="G497" s="4" t="s">
        <v>28</v>
      </c>
      <c r="H497" s="2">
        <v>2015</v>
      </c>
      <c r="I497" s="2" t="s">
        <v>1277</v>
      </c>
      <c r="J497" s="2" t="s">
        <v>1274</v>
      </c>
      <c r="L497" s="2"/>
      <c r="M497" s="2" t="s">
        <v>1132</v>
      </c>
      <c r="N497" s="2"/>
      <c r="O497" s="2"/>
      <c r="P497" s="2" t="s">
        <v>1127</v>
      </c>
      <c r="Q497" s="2" t="s">
        <v>1127</v>
      </c>
      <c r="R497" s="2"/>
      <c r="S497" s="2"/>
      <c r="T497" s="2"/>
      <c r="U497" s="2"/>
      <c r="V497" s="2"/>
      <c r="W497" s="2"/>
      <c r="X497" s="2"/>
      <c r="Y497" s="2"/>
      <c r="Z497" s="2"/>
      <c r="AA497" s="2"/>
      <c r="AB497" s="2"/>
      <c r="AC497" s="2"/>
      <c r="AD497" s="2"/>
      <c r="AE497" s="2"/>
      <c r="AF497" s="2"/>
      <c r="AG497" s="2"/>
      <c r="AH497" s="2"/>
      <c r="AI497" s="2"/>
      <c r="AJ497" s="2"/>
    </row>
    <row r="498" spans="1:36" ht="17.25" customHeight="1" x14ac:dyDescent="0.2">
      <c r="A498" s="26" t="s">
        <v>0</v>
      </c>
      <c r="B498" s="26" t="s">
        <v>15</v>
      </c>
      <c r="C498" s="3" t="s">
        <v>4182</v>
      </c>
      <c r="D498" s="26" t="s">
        <v>1128</v>
      </c>
      <c r="E498" s="26" t="s">
        <v>1272</v>
      </c>
      <c r="F498" s="2">
        <v>1</v>
      </c>
      <c r="G498" s="4" t="s">
        <v>40</v>
      </c>
      <c r="H498" s="2">
        <v>1984</v>
      </c>
      <c r="I498" s="2" t="s">
        <v>1278</v>
      </c>
      <c r="J498" s="2" t="s">
        <v>1279</v>
      </c>
      <c r="K498" s="2"/>
      <c r="L498" s="2"/>
      <c r="M498" s="2" t="s">
        <v>1132</v>
      </c>
      <c r="N498" s="2"/>
      <c r="O498" s="2"/>
      <c r="P498" s="2" t="s">
        <v>1127</v>
      </c>
      <c r="Q498" s="2" t="s">
        <v>1127</v>
      </c>
      <c r="R498" s="2"/>
      <c r="S498" s="2"/>
      <c r="T498" s="2"/>
      <c r="U498" s="2"/>
      <c r="V498" s="2"/>
      <c r="W498" s="2"/>
      <c r="X498" s="2"/>
      <c r="Y498" s="2"/>
      <c r="Z498" s="2"/>
      <c r="AA498" s="2"/>
      <c r="AB498" s="2"/>
      <c r="AC498" s="2"/>
      <c r="AD498" s="2"/>
      <c r="AE498" s="2"/>
      <c r="AF498" s="2"/>
      <c r="AG498" s="2"/>
      <c r="AH498" s="2"/>
      <c r="AI498" s="2"/>
      <c r="AJ498" s="2"/>
    </row>
    <row r="499" spans="1:36" ht="17.25" customHeight="1" x14ac:dyDescent="0.2">
      <c r="A499" s="26" t="s">
        <v>0</v>
      </c>
      <c r="B499" s="26" t="s">
        <v>30</v>
      </c>
      <c r="C499" s="3" t="s">
        <v>4182</v>
      </c>
      <c r="D499" s="26" t="s">
        <v>1128</v>
      </c>
      <c r="E499" s="26" t="s">
        <v>1272</v>
      </c>
      <c r="F499" s="2">
        <v>2</v>
      </c>
      <c r="G499" s="4" t="s">
        <v>37</v>
      </c>
      <c r="H499" s="2">
        <v>1985</v>
      </c>
      <c r="I499" s="2" t="s">
        <v>1280</v>
      </c>
      <c r="J499" s="2" t="s">
        <v>1279</v>
      </c>
      <c r="K499" s="2"/>
      <c r="L499" s="2"/>
      <c r="M499" s="2" t="s">
        <v>1132</v>
      </c>
      <c r="N499" s="2"/>
      <c r="O499" s="2"/>
      <c r="P499" s="2" t="s">
        <v>1127</v>
      </c>
      <c r="Q499" s="2" t="s">
        <v>1127</v>
      </c>
      <c r="R499" s="2"/>
      <c r="S499" s="2"/>
      <c r="T499" s="2"/>
      <c r="U499" s="2"/>
      <c r="V499" s="2"/>
      <c r="W499" s="2"/>
      <c r="X499" s="2"/>
      <c r="Y499" s="2"/>
      <c r="Z499" s="2"/>
      <c r="AA499" s="2"/>
      <c r="AB499" s="2"/>
      <c r="AC499" s="2"/>
      <c r="AD499" s="2"/>
      <c r="AE499" s="2"/>
      <c r="AF499" s="2"/>
      <c r="AG499" s="2"/>
      <c r="AH499" s="2"/>
      <c r="AI499" s="2"/>
      <c r="AJ499" s="2"/>
    </row>
    <row r="500" spans="1:36" ht="17.25" customHeight="1" x14ac:dyDescent="0.2">
      <c r="A500" s="26" t="s">
        <v>0</v>
      </c>
      <c r="B500" s="26" t="s">
        <v>94</v>
      </c>
      <c r="C500" s="3" t="s">
        <v>4182</v>
      </c>
      <c r="D500" s="26" t="s">
        <v>1128</v>
      </c>
      <c r="E500" s="26" t="s">
        <v>1272</v>
      </c>
      <c r="F500" s="2">
        <v>3</v>
      </c>
      <c r="G500" s="4" t="s">
        <v>80</v>
      </c>
      <c r="H500" s="2">
        <v>1986</v>
      </c>
      <c r="I500" s="2" t="s">
        <v>1281</v>
      </c>
      <c r="J500" s="2" t="s">
        <v>1279</v>
      </c>
      <c r="K500" s="2"/>
      <c r="L500" s="2"/>
      <c r="M500" s="2" t="s">
        <v>1132</v>
      </c>
      <c r="N500" s="2"/>
      <c r="O500" s="2"/>
      <c r="P500" s="2" t="s">
        <v>1127</v>
      </c>
      <c r="Q500" s="2" t="s">
        <v>1127</v>
      </c>
      <c r="R500" s="2"/>
      <c r="S500" s="2"/>
      <c r="T500" s="2"/>
      <c r="U500" s="2"/>
      <c r="V500" s="2"/>
      <c r="W500" s="2"/>
      <c r="X500" s="2"/>
      <c r="Y500" s="2"/>
      <c r="Z500" s="2"/>
      <c r="AA500" s="2"/>
      <c r="AB500" s="2"/>
      <c r="AC500" s="2"/>
      <c r="AD500" s="2"/>
      <c r="AE500" s="2"/>
      <c r="AF500" s="2"/>
      <c r="AG500" s="2"/>
      <c r="AH500" s="2"/>
      <c r="AI500" s="2"/>
      <c r="AJ500" s="2"/>
    </row>
    <row r="501" spans="1:36" ht="17.25" customHeight="1" x14ac:dyDescent="0.2">
      <c r="A501" s="26" t="s">
        <v>0</v>
      </c>
      <c r="B501" s="26" t="s">
        <v>1</v>
      </c>
      <c r="C501" s="3" t="s">
        <v>4182</v>
      </c>
      <c r="D501" s="26" t="s">
        <v>1128</v>
      </c>
      <c r="E501" s="26" t="s">
        <v>1272</v>
      </c>
      <c r="F501" s="2">
        <v>4</v>
      </c>
      <c r="G501" s="4" t="s">
        <v>31</v>
      </c>
      <c r="H501" s="2">
        <v>1987</v>
      </c>
      <c r="I501" s="2" t="s">
        <v>1282</v>
      </c>
      <c r="J501" s="2" t="s">
        <v>1279</v>
      </c>
      <c r="K501" s="2"/>
      <c r="L501" s="2"/>
      <c r="M501" s="2" t="s">
        <v>1132</v>
      </c>
      <c r="N501" s="2"/>
      <c r="O501" s="2"/>
      <c r="P501" s="2" t="s">
        <v>1127</v>
      </c>
      <c r="Q501" s="2" t="s">
        <v>1127</v>
      </c>
      <c r="R501" s="2"/>
      <c r="S501" s="2"/>
      <c r="T501" s="2"/>
      <c r="U501" s="2"/>
      <c r="V501" s="2"/>
      <c r="W501" s="2"/>
      <c r="X501" s="2"/>
      <c r="Y501" s="2"/>
      <c r="Z501" s="2"/>
      <c r="AA501" s="2"/>
      <c r="AB501" s="2"/>
      <c r="AC501" s="2"/>
      <c r="AD501" s="2"/>
      <c r="AE501" s="2"/>
      <c r="AF501" s="2"/>
      <c r="AG501" s="2"/>
      <c r="AH501" s="2"/>
      <c r="AI501" s="2"/>
      <c r="AJ501" s="2"/>
    </row>
    <row r="502" spans="1:36" ht="17.25" customHeight="1" x14ac:dyDescent="0.2">
      <c r="A502" s="26" t="s">
        <v>0</v>
      </c>
      <c r="B502" s="26" t="s">
        <v>48</v>
      </c>
      <c r="C502" s="3" t="s">
        <v>4182</v>
      </c>
      <c r="D502" s="26" t="s">
        <v>1128</v>
      </c>
      <c r="E502" s="26" t="s">
        <v>1272</v>
      </c>
      <c r="F502" s="2">
        <v>5</v>
      </c>
      <c r="G502" s="4" t="s">
        <v>13</v>
      </c>
      <c r="H502" s="2">
        <v>1988</v>
      </c>
      <c r="I502" s="2" t="s">
        <v>1283</v>
      </c>
      <c r="J502" s="2" t="s">
        <v>1279</v>
      </c>
      <c r="K502" s="2"/>
      <c r="L502" s="2"/>
      <c r="M502" s="2" t="s">
        <v>1132</v>
      </c>
      <c r="N502" s="2"/>
      <c r="O502" s="2"/>
      <c r="P502" s="2" t="s">
        <v>1127</v>
      </c>
      <c r="Q502" s="2" t="s">
        <v>1127</v>
      </c>
      <c r="R502" s="2"/>
      <c r="S502" s="2"/>
      <c r="T502" s="2"/>
      <c r="U502" s="2"/>
      <c r="V502" s="2"/>
      <c r="W502" s="2"/>
      <c r="X502" s="2"/>
      <c r="Y502" s="2"/>
      <c r="Z502" s="2"/>
      <c r="AA502" s="2"/>
      <c r="AB502" s="2"/>
      <c r="AC502" s="2"/>
      <c r="AD502" s="2"/>
      <c r="AE502" s="2"/>
      <c r="AF502" s="2"/>
      <c r="AG502" s="2"/>
      <c r="AH502" s="2"/>
      <c r="AI502" s="2"/>
      <c r="AJ502" s="2"/>
    </row>
    <row r="503" spans="1:36" ht="17.25" customHeight="1" x14ac:dyDescent="0.2">
      <c r="A503" s="26" t="s">
        <v>0</v>
      </c>
      <c r="B503" s="26" t="s">
        <v>60</v>
      </c>
      <c r="C503" s="3" t="s">
        <v>4182</v>
      </c>
      <c r="D503" s="26" t="s">
        <v>1128</v>
      </c>
      <c r="E503" s="26" t="s">
        <v>1272</v>
      </c>
      <c r="F503" s="2">
        <v>6</v>
      </c>
      <c r="G503" s="4" t="s">
        <v>49</v>
      </c>
      <c r="H503" s="2">
        <v>1989</v>
      </c>
      <c r="I503" s="2" t="s">
        <v>1284</v>
      </c>
      <c r="J503" s="2" t="s">
        <v>1279</v>
      </c>
      <c r="K503" s="2"/>
      <c r="L503" s="2"/>
      <c r="M503" s="2" t="s">
        <v>1132</v>
      </c>
      <c r="N503" s="2"/>
      <c r="O503" s="2"/>
      <c r="P503" s="2" t="s">
        <v>1127</v>
      </c>
      <c r="Q503" s="2" t="s">
        <v>1127</v>
      </c>
      <c r="R503" s="2"/>
      <c r="S503" s="2"/>
      <c r="T503" s="2"/>
      <c r="U503" s="2"/>
      <c r="V503" s="2"/>
      <c r="W503" s="2"/>
      <c r="X503" s="2"/>
      <c r="Y503" s="2"/>
      <c r="Z503" s="2"/>
      <c r="AA503" s="2"/>
      <c r="AB503" s="2"/>
      <c r="AC503" s="2"/>
      <c r="AD503" s="2"/>
      <c r="AE503" s="2"/>
      <c r="AF503" s="2"/>
      <c r="AG503" s="2"/>
      <c r="AH503" s="2"/>
      <c r="AI503" s="2"/>
      <c r="AJ503" s="2"/>
    </row>
    <row r="504" spans="1:36" ht="17.25" customHeight="1" x14ac:dyDescent="0.2">
      <c r="A504" s="26" t="s">
        <v>0</v>
      </c>
      <c r="B504" s="26" t="s">
        <v>51</v>
      </c>
      <c r="C504" s="3" t="s">
        <v>4182</v>
      </c>
      <c r="D504" s="26" t="s">
        <v>1128</v>
      </c>
      <c r="E504" s="26" t="s">
        <v>1272</v>
      </c>
      <c r="F504" s="2">
        <v>7</v>
      </c>
      <c r="G504" s="4" t="s">
        <v>101</v>
      </c>
      <c r="H504" s="2">
        <v>1990</v>
      </c>
      <c r="I504" s="2" t="s">
        <v>1285</v>
      </c>
      <c r="J504" s="2" t="s">
        <v>1279</v>
      </c>
      <c r="K504" s="2"/>
      <c r="L504" s="2"/>
      <c r="M504" s="2" t="s">
        <v>1132</v>
      </c>
      <c r="N504" s="2"/>
      <c r="O504" s="2"/>
      <c r="P504" s="2" t="s">
        <v>1127</v>
      </c>
      <c r="Q504" s="2" t="s">
        <v>1127</v>
      </c>
      <c r="R504" s="2"/>
      <c r="S504" s="2"/>
      <c r="T504" s="2"/>
      <c r="U504" s="2"/>
      <c r="V504" s="2"/>
      <c r="W504" s="2"/>
      <c r="X504" s="2"/>
      <c r="Y504" s="2"/>
      <c r="Z504" s="2"/>
      <c r="AA504" s="2"/>
      <c r="AB504" s="2"/>
      <c r="AC504" s="2"/>
      <c r="AD504" s="2"/>
      <c r="AE504" s="2"/>
      <c r="AF504" s="2"/>
      <c r="AG504" s="2"/>
      <c r="AH504" s="2"/>
      <c r="AI504" s="2"/>
      <c r="AJ504" s="2"/>
    </row>
    <row r="505" spans="1:36" ht="17.25" customHeight="1" x14ac:dyDescent="0.2">
      <c r="A505" s="26" t="s">
        <v>0</v>
      </c>
      <c r="B505" s="26" t="s">
        <v>24</v>
      </c>
      <c r="C505" s="3" t="s">
        <v>4182</v>
      </c>
      <c r="D505" s="26" t="s">
        <v>1128</v>
      </c>
      <c r="E505" s="26" t="s">
        <v>1272</v>
      </c>
      <c r="F505" s="2">
        <v>8</v>
      </c>
      <c r="G505" s="4" t="s">
        <v>10</v>
      </c>
      <c r="H505" s="2">
        <v>1991</v>
      </c>
      <c r="I505" s="2" t="s">
        <v>1286</v>
      </c>
      <c r="J505" s="2" t="s">
        <v>1279</v>
      </c>
      <c r="K505" s="2"/>
      <c r="L505" s="2"/>
      <c r="M505" s="2" t="s">
        <v>1132</v>
      </c>
      <c r="N505" s="2"/>
      <c r="O505" s="2"/>
      <c r="P505" s="2" t="s">
        <v>1127</v>
      </c>
      <c r="Q505" s="2" t="s">
        <v>1127</v>
      </c>
      <c r="R505" s="2"/>
      <c r="S505" s="2"/>
      <c r="T505" s="2"/>
      <c r="U505" s="2"/>
      <c r="V505" s="2"/>
      <c r="W505" s="2"/>
      <c r="X505" s="2"/>
      <c r="Y505" s="2"/>
      <c r="Z505" s="2"/>
      <c r="AA505" s="2"/>
      <c r="AB505" s="2"/>
      <c r="AC505" s="2"/>
      <c r="AD505" s="2"/>
      <c r="AE505" s="2"/>
      <c r="AF505" s="2"/>
      <c r="AG505" s="2"/>
      <c r="AH505" s="2"/>
      <c r="AI505" s="2"/>
      <c r="AJ505" s="2"/>
    </row>
    <row r="506" spans="1:36" ht="17.25" customHeight="1" x14ac:dyDescent="0.2">
      <c r="A506" s="26" t="s">
        <v>0</v>
      </c>
      <c r="B506" s="26" t="s">
        <v>85</v>
      </c>
      <c r="C506" s="3" t="s">
        <v>4182</v>
      </c>
      <c r="D506" s="26" t="s">
        <v>1128</v>
      </c>
      <c r="E506" s="26" t="s">
        <v>1272</v>
      </c>
      <c r="F506" s="2">
        <v>9</v>
      </c>
      <c r="G506" s="4" t="s">
        <v>55</v>
      </c>
      <c r="H506" s="2">
        <v>1992</v>
      </c>
      <c r="I506" s="2" t="s">
        <v>1287</v>
      </c>
      <c r="J506" s="2" t="s">
        <v>1279</v>
      </c>
      <c r="K506" s="2"/>
      <c r="L506" s="2"/>
      <c r="M506" s="2" t="s">
        <v>1132</v>
      </c>
      <c r="N506" s="2"/>
      <c r="O506" s="2"/>
      <c r="P506" s="2" t="s">
        <v>1127</v>
      </c>
      <c r="Q506" s="2" t="s">
        <v>1127</v>
      </c>
      <c r="R506" s="2"/>
      <c r="S506" s="2"/>
      <c r="T506" s="2"/>
      <c r="U506" s="2"/>
      <c r="V506" s="2"/>
      <c r="W506" s="2"/>
      <c r="X506" s="2"/>
      <c r="Y506" s="2"/>
      <c r="Z506" s="2"/>
      <c r="AA506" s="2"/>
      <c r="AB506" s="2"/>
      <c r="AC506" s="2"/>
      <c r="AD506" s="2"/>
      <c r="AE506" s="2"/>
      <c r="AF506" s="2"/>
      <c r="AG506" s="2"/>
      <c r="AH506" s="2"/>
      <c r="AI506" s="2"/>
      <c r="AJ506" s="2"/>
    </row>
    <row r="507" spans="1:36" ht="17.25" customHeight="1" x14ac:dyDescent="0.2">
      <c r="A507" s="26" t="s">
        <v>0</v>
      </c>
      <c r="B507" s="26" t="s">
        <v>45</v>
      </c>
      <c r="C507" s="3" t="s">
        <v>4182</v>
      </c>
      <c r="D507" s="26" t="s">
        <v>1128</v>
      </c>
      <c r="E507" s="26" t="s">
        <v>1272</v>
      </c>
      <c r="F507" s="2">
        <v>10</v>
      </c>
      <c r="G507" s="4" t="s">
        <v>98</v>
      </c>
      <c r="H507" s="2">
        <v>1993</v>
      </c>
      <c r="I507" s="2" t="s">
        <v>1288</v>
      </c>
      <c r="J507" s="2" t="s">
        <v>1279</v>
      </c>
      <c r="K507" s="2"/>
      <c r="L507" s="2"/>
      <c r="M507" s="2" t="s">
        <v>1132</v>
      </c>
      <c r="N507" s="2"/>
      <c r="O507" s="2"/>
      <c r="P507" s="2" t="s">
        <v>1127</v>
      </c>
      <c r="Q507" s="2" t="s">
        <v>1127</v>
      </c>
      <c r="R507" s="2"/>
      <c r="S507" s="2"/>
      <c r="T507" s="2"/>
      <c r="U507" s="2"/>
      <c r="V507" s="2"/>
      <c r="W507" s="2"/>
      <c r="X507" s="2"/>
      <c r="Y507" s="2"/>
      <c r="Z507" s="2"/>
      <c r="AA507" s="2"/>
      <c r="AB507" s="2"/>
      <c r="AC507" s="2"/>
      <c r="AD507" s="2"/>
      <c r="AE507" s="2"/>
      <c r="AF507" s="2"/>
      <c r="AG507" s="2"/>
      <c r="AH507" s="2"/>
      <c r="AI507" s="2"/>
      <c r="AJ507" s="2"/>
    </row>
    <row r="508" spans="1:36" ht="17.25" customHeight="1" x14ac:dyDescent="0.2">
      <c r="A508" s="26" t="s">
        <v>0</v>
      </c>
      <c r="B508" s="26" t="s">
        <v>42</v>
      </c>
      <c r="C508" s="3" t="s">
        <v>4182</v>
      </c>
      <c r="D508" s="26" t="s">
        <v>1128</v>
      </c>
      <c r="E508" s="26" t="s">
        <v>1272</v>
      </c>
      <c r="F508" s="2">
        <v>11</v>
      </c>
      <c r="G508" s="4" t="s">
        <v>104</v>
      </c>
      <c r="H508" s="2">
        <v>1994</v>
      </c>
      <c r="I508" s="2" t="s">
        <v>1289</v>
      </c>
      <c r="J508" s="2" t="s">
        <v>1279</v>
      </c>
      <c r="K508" s="2"/>
      <c r="L508" s="2"/>
      <c r="M508" s="2" t="s">
        <v>1132</v>
      </c>
      <c r="N508" s="2"/>
      <c r="O508" s="2"/>
      <c r="P508" s="2" t="s">
        <v>1127</v>
      </c>
      <c r="Q508" s="2" t="s">
        <v>1127</v>
      </c>
      <c r="R508" s="2"/>
      <c r="S508" s="2"/>
      <c r="T508" s="2"/>
      <c r="U508" s="2"/>
      <c r="V508" s="2"/>
      <c r="W508" s="2"/>
      <c r="X508" s="2"/>
      <c r="Y508" s="2"/>
      <c r="Z508" s="2"/>
      <c r="AA508" s="2"/>
      <c r="AB508" s="2"/>
      <c r="AC508" s="2"/>
      <c r="AD508" s="2"/>
      <c r="AE508" s="2"/>
      <c r="AF508" s="2"/>
      <c r="AG508" s="2"/>
      <c r="AH508" s="2"/>
      <c r="AI508" s="2"/>
      <c r="AJ508" s="2"/>
    </row>
    <row r="509" spans="1:36" ht="17.25" customHeight="1" x14ac:dyDescent="0.2">
      <c r="A509" s="26" t="s">
        <v>0</v>
      </c>
      <c r="B509" s="26" t="s">
        <v>82</v>
      </c>
      <c r="C509" s="3" t="s">
        <v>4182</v>
      </c>
      <c r="D509" s="26" t="s">
        <v>1128</v>
      </c>
      <c r="E509" s="26" t="s">
        <v>1272</v>
      </c>
      <c r="F509" s="2">
        <v>12</v>
      </c>
      <c r="G509" s="4" t="s">
        <v>89</v>
      </c>
      <c r="H509" s="2">
        <v>1995</v>
      </c>
      <c r="I509" s="2" t="s">
        <v>1290</v>
      </c>
      <c r="J509" s="2" t="s">
        <v>1279</v>
      </c>
      <c r="K509" s="2"/>
      <c r="L509" s="2"/>
      <c r="M509" s="2" t="s">
        <v>1132</v>
      </c>
      <c r="N509" s="2"/>
      <c r="O509" s="2"/>
      <c r="P509" s="2" t="s">
        <v>1127</v>
      </c>
      <c r="Q509" s="2" t="s">
        <v>1127</v>
      </c>
      <c r="R509" s="2"/>
      <c r="S509" s="2"/>
      <c r="T509" s="2"/>
      <c r="U509" s="2"/>
      <c r="V509" s="2"/>
      <c r="W509" s="2"/>
      <c r="X509" s="2"/>
      <c r="Y509" s="2"/>
      <c r="Z509" s="2"/>
      <c r="AA509" s="2"/>
      <c r="AB509" s="2"/>
      <c r="AC509" s="2"/>
      <c r="AD509" s="2"/>
      <c r="AE509" s="2"/>
      <c r="AF509" s="2"/>
      <c r="AG509" s="2"/>
      <c r="AH509" s="2"/>
      <c r="AI509" s="2"/>
      <c r="AJ509" s="2"/>
    </row>
    <row r="510" spans="1:36" ht="17.25" customHeight="1" x14ac:dyDescent="0.2">
      <c r="A510" s="26" t="s">
        <v>0</v>
      </c>
      <c r="B510" s="26" t="s">
        <v>12</v>
      </c>
      <c r="C510" s="3" t="s">
        <v>4182</v>
      </c>
      <c r="D510" s="26" t="s">
        <v>1128</v>
      </c>
      <c r="E510" s="26" t="s">
        <v>1272</v>
      </c>
      <c r="F510" s="2">
        <v>13</v>
      </c>
      <c r="G510" s="4" t="s">
        <v>107</v>
      </c>
      <c r="H510" s="2">
        <v>1996</v>
      </c>
      <c r="I510" s="2" t="s">
        <v>1291</v>
      </c>
      <c r="J510" s="2" t="s">
        <v>1279</v>
      </c>
      <c r="K510" s="2"/>
      <c r="L510" s="2"/>
      <c r="M510" s="2" t="s">
        <v>1132</v>
      </c>
      <c r="N510" s="2"/>
      <c r="O510" s="2"/>
      <c r="P510" s="2" t="s">
        <v>1127</v>
      </c>
      <c r="Q510" s="2" t="s">
        <v>1127</v>
      </c>
      <c r="R510" s="2"/>
      <c r="S510" s="2"/>
      <c r="T510" s="2"/>
      <c r="U510" s="2"/>
      <c r="V510" s="2"/>
      <c r="W510" s="2"/>
      <c r="X510" s="2"/>
      <c r="Y510" s="2"/>
      <c r="Z510" s="2"/>
      <c r="AA510" s="2"/>
      <c r="AB510" s="2"/>
      <c r="AC510" s="2"/>
      <c r="AD510" s="2"/>
      <c r="AE510" s="2"/>
      <c r="AF510" s="2"/>
      <c r="AG510" s="2"/>
      <c r="AH510" s="2"/>
      <c r="AI510" s="2"/>
      <c r="AJ510" s="2"/>
    </row>
    <row r="511" spans="1:36" ht="17.25" customHeight="1" x14ac:dyDescent="0.2">
      <c r="A511" s="26" t="s">
        <v>0</v>
      </c>
      <c r="B511" s="26" t="s">
        <v>88</v>
      </c>
      <c r="C511" s="3" t="s">
        <v>4182</v>
      </c>
      <c r="D511" s="26" t="s">
        <v>1128</v>
      </c>
      <c r="E511" s="26" t="s">
        <v>1272</v>
      </c>
      <c r="F511" s="2">
        <v>14</v>
      </c>
      <c r="G511" s="4" t="s">
        <v>43</v>
      </c>
      <c r="H511" s="2">
        <v>1997</v>
      </c>
      <c r="I511" s="2" t="s">
        <v>1292</v>
      </c>
      <c r="J511" s="2" t="s">
        <v>1279</v>
      </c>
      <c r="K511" s="2"/>
      <c r="L511" s="2"/>
      <c r="M511" s="2" t="s">
        <v>1132</v>
      </c>
      <c r="N511" s="2"/>
      <c r="O511" s="2"/>
      <c r="P511" s="2" t="s">
        <v>1127</v>
      </c>
      <c r="Q511" s="2" t="s">
        <v>1127</v>
      </c>
      <c r="R511" s="2"/>
      <c r="S511" s="2"/>
      <c r="T511" s="2"/>
      <c r="U511" s="2"/>
      <c r="V511" s="2"/>
      <c r="W511" s="2"/>
      <c r="X511" s="2"/>
      <c r="Y511" s="2"/>
      <c r="Z511" s="2"/>
      <c r="AA511" s="2"/>
      <c r="AB511" s="2"/>
      <c r="AC511" s="2"/>
      <c r="AD511" s="2"/>
      <c r="AE511" s="2"/>
      <c r="AF511" s="2"/>
      <c r="AG511" s="2"/>
      <c r="AH511" s="2"/>
      <c r="AI511" s="2"/>
      <c r="AJ511" s="2"/>
    </row>
    <row r="512" spans="1:36" ht="17.25" customHeight="1" x14ac:dyDescent="0.2">
      <c r="A512" s="26" t="s">
        <v>0</v>
      </c>
      <c r="B512" s="26" t="s">
        <v>21</v>
      </c>
      <c r="C512" s="3" t="s">
        <v>4182</v>
      </c>
      <c r="D512" s="26" t="s">
        <v>1128</v>
      </c>
      <c r="E512" s="26" t="s">
        <v>1272</v>
      </c>
      <c r="F512" s="2">
        <v>15</v>
      </c>
      <c r="G512" s="4" t="s">
        <v>19</v>
      </c>
      <c r="H512" s="2">
        <v>1998</v>
      </c>
      <c r="I512" s="2" t="s">
        <v>1293</v>
      </c>
      <c r="J512" s="2" t="s">
        <v>1279</v>
      </c>
      <c r="K512" s="2"/>
      <c r="L512" s="2"/>
      <c r="M512" s="2" t="s">
        <v>1132</v>
      </c>
      <c r="N512" s="2"/>
      <c r="O512" s="2"/>
      <c r="P512" s="2" t="s">
        <v>1127</v>
      </c>
      <c r="Q512" s="2" t="s">
        <v>1127</v>
      </c>
      <c r="R512" s="2"/>
      <c r="S512" s="2"/>
      <c r="T512" s="2"/>
      <c r="U512" s="2"/>
      <c r="V512" s="2"/>
      <c r="W512" s="2"/>
      <c r="X512" s="2"/>
      <c r="Y512" s="2"/>
      <c r="Z512" s="2"/>
      <c r="AA512" s="2"/>
      <c r="AB512" s="2"/>
      <c r="AC512" s="2"/>
      <c r="AD512" s="2"/>
      <c r="AE512" s="2"/>
      <c r="AF512" s="2"/>
      <c r="AG512" s="2"/>
      <c r="AH512" s="2"/>
      <c r="AI512" s="2"/>
      <c r="AJ512" s="2"/>
    </row>
    <row r="513" spans="1:36" ht="17.25" customHeight="1" x14ac:dyDescent="0.2">
      <c r="A513" s="26" t="s">
        <v>0</v>
      </c>
      <c r="B513" s="26" t="s">
        <v>9</v>
      </c>
      <c r="C513" s="3" t="s">
        <v>4182</v>
      </c>
      <c r="D513" s="26" t="s">
        <v>1128</v>
      </c>
      <c r="E513" s="26" t="s">
        <v>1272</v>
      </c>
      <c r="F513" s="2">
        <v>16</v>
      </c>
      <c r="G513" s="4" t="s">
        <v>25</v>
      </c>
      <c r="H513" s="2">
        <v>1999</v>
      </c>
      <c r="I513" s="2" t="s">
        <v>1294</v>
      </c>
      <c r="J513" s="2" t="s">
        <v>1279</v>
      </c>
      <c r="K513" s="2"/>
      <c r="L513" s="2"/>
      <c r="M513" s="2" t="s">
        <v>1132</v>
      </c>
      <c r="N513" s="2"/>
      <c r="O513" s="2"/>
      <c r="P513" s="2" t="s">
        <v>1127</v>
      </c>
      <c r="Q513" s="2" t="s">
        <v>1127</v>
      </c>
      <c r="R513" s="2"/>
      <c r="S513" s="2"/>
      <c r="T513" s="2"/>
      <c r="U513" s="2"/>
      <c r="V513" s="2"/>
      <c r="W513" s="2"/>
      <c r="X513" s="2"/>
      <c r="Y513" s="2"/>
      <c r="Z513" s="2"/>
      <c r="AA513" s="2"/>
      <c r="AB513" s="2"/>
      <c r="AC513" s="2"/>
      <c r="AD513" s="2"/>
      <c r="AE513" s="2"/>
      <c r="AF513" s="2"/>
      <c r="AG513" s="2"/>
      <c r="AH513" s="2"/>
      <c r="AI513" s="2"/>
      <c r="AJ513" s="2"/>
    </row>
    <row r="514" spans="1:36" ht="17.25" customHeight="1" x14ac:dyDescent="0.2">
      <c r="A514" s="26" t="s">
        <v>0</v>
      </c>
      <c r="B514" s="26" t="s">
        <v>72</v>
      </c>
      <c r="C514" s="3" t="s">
        <v>4182</v>
      </c>
      <c r="D514" s="26" t="s">
        <v>1128</v>
      </c>
      <c r="E514" s="26" t="s">
        <v>1272</v>
      </c>
      <c r="F514" s="2">
        <v>17</v>
      </c>
      <c r="G514" s="4" t="s">
        <v>73</v>
      </c>
      <c r="H514" s="2">
        <v>2000</v>
      </c>
      <c r="I514" s="2" t="s">
        <v>1295</v>
      </c>
      <c r="J514" s="2" t="s">
        <v>1279</v>
      </c>
      <c r="K514" s="2"/>
      <c r="L514" s="2"/>
      <c r="M514" s="2" t="s">
        <v>1132</v>
      </c>
      <c r="N514" s="2"/>
      <c r="O514" s="2"/>
      <c r="P514" s="2" t="s">
        <v>1127</v>
      </c>
      <c r="Q514" s="2" t="s">
        <v>1127</v>
      </c>
      <c r="R514" s="2"/>
      <c r="S514" s="2"/>
      <c r="T514" s="2"/>
      <c r="U514" s="2"/>
      <c r="V514" s="2"/>
      <c r="W514" s="2"/>
      <c r="X514" s="2"/>
      <c r="Y514" s="2"/>
      <c r="Z514" s="2"/>
      <c r="AA514" s="2"/>
      <c r="AB514" s="2"/>
      <c r="AC514" s="2"/>
      <c r="AD514" s="2"/>
      <c r="AE514" s="2"/>
      <c r="AF514" s="2"/>
      <c r="AG514" s="2"/>
      <c r="AH514" s="2"/>
      <c r="AI514" s="2"/>
      <c r="AJ514" s="2"/>
    </row>
    <row r="515" spans="1:36" ht="17.25" customHeight="1" x14ac:dyDescent="0.2">
      <c r="A515" s="26" t="s">
        <v>0</v>
      </c>
      <c r="B515" s="26" t="s">
        <v>106</v>
      </c>
      <c r="C515" s="3" t="s">
        <v>4182</v>
      </c>
      <c r="D515" s="26" t="s">
        <v>1128</v>
      </c>
      <c r="E515" s="26" t="s">
        <v>1272</v>
      </c>
      <c r="F515" s="2">
        <v>18</v>
      </c>
      <c r="G515" s="4" t="s">
        <v>58</v>
      </c>
      <c r="H515" s="2">
        <v>2001</v>
      </c>
      <c r="I515" s="2" t="s">
        <v>1296</v>
      </c>
      <c r="J515" s="2" t="s">
        <v>1279</v>
      </c>
      <c r="K515" s="2"/>
      <c r="L515" s="2"/>
      <c r="M515" s="2" t="s">
        <v>1132</v>
      </c>
      <c r="N515" s="2"/>
      <c r="O515" s="2"/>
      <c r="P515" s="2" t="s">
        <v>1127</v>
      </c>
      <c r="Q515" s="2" t="s">
        <v>1127</v>
      </c>
      <c r="R515" s="2"/>
      <c r="S515" s="2"/>
      <c r="T515" s="2"/>
      <c r="U515" s="2"/>
      <c r="V515" s="2"/>
      <c r="W515" s="2"/>
      <c r="X515" s="2"/>
      <c r="Y515" s="2"/>
      <c r="Z515" s="2"/>
      <c r="AA515" s="2"/>
      <c r="AB515" s="2"/>
      <c r="AC515" s="2"/>
      <c r="AD515" s="2"/>
      <c r="AE515" s="2"/>
      <c r="AF515" s="2"/>
      <c r="AG515" s="2"/>
      <c r="AH515" s="2"/>
      <c r="AI515" s="2"/>
      <c r="AJ515" s="2"/>
    </row>
    <row r="516" spans="1:36" ht="17.25" customHeight="1" x14ac:dyDescent="0.2">
      <c r="A516" s="26" t="s">
        <v>0</v>
      </c>
      <c r="B516" s="26" t="s">
        <v>63</v>
      </c>
      <c r="C516" s="3" t="s">
        <v>4182</v>
      </c>
      <c r="D516" s="26" t="s">
        <v>1128</v>
      </c>
      <c r="E516" s="26" t="s">
        <v>1272</v>
      </c>
      <c r="F516" s="2">
        <v>19</v>
      </c>
      <c r="G516" s="4" t="s">
        <v>4</v>
      </c>
      <c r="H516" s="2">
        <v>2002</v>
      </c>
      <c r="I516" s="2" t="s">
        <v>1297</v>
      </c>
      <c r="J516" s="2" t="s">
        <v>1279</v>
      </c>
      <c r="K516" s="2"/>
      <c r="L516" s="2"/>
      <c r="M516" s="2" t="s">
        <v>1132</v>
      </c>
      <c r="N516" s="2"/>
      <c r="O516" s="2"/>
      <c r="P516" s="2" t="s">
        <v>1127</v>
      </c>
      <c r="Q516" s="2" t="s">
        <v>1127</v>
      </c>
      <c r="R516" s="2"/>
      <c r="S516" s="2"/>
      <c r="T516" s="2"/>
      <c r="U516" s="2"/>
      <c r="V516" s="2"/>
      <c r="W516" s="2"/>
      <c r="X516" s="2"/>
      <c r="Y516" s="2"/>
      <c r="Z516" s="2"/>
      <c r="AA516" s="2"/>
      <c r="AB516" s="2"/>
      <c r="AC516" s="2"/>
      <c r="AD516" s="2"/>
      <c r="AE516" s="2"/>
      <c r="AF516" s="2"/>
      <c r="AG516" s="2"/>
      <c r="AH516" s="2"/>
      <c r="AI516" s="2"/>
      <c r="AJ516" s="2"/>
    </row>
    <row r="517" spans="1:36" ht="17.25" customHeight="1" x14ac:dyDescent="0.2">
      <c r="A517" s="26" t="s">
        <v>0</v>
      </c>
      <c r="B517" s="26" t="s">
        <v>97</v>
      </c>
      <c r="C517" s="3" t="s">
        <v>4182</v>
      </c>
      <c r="D517" s="26" t="s">
        <v>1128</v>
      </c>
      <c r="E517" s="26" t="s">
        <v>1272</v>
      </c>
      <c r="F517" s="2">
        <v>20</v>
      </c>
      <c r="G517" s="4" t="s">
        <v>83</v>
      </c>
      <c r="H517" s="2">
        <v>2003</v>
      </c>
      <c r="I517" s="2" t="s">
        <v>1298</v>
      </c>
      <c r="J517" s="2" t="s">
        <v>1279</v>
      </c>
      <c r="K517" s="2"/>
      <c r="L517" s="2"/>
      <c r="M517" s="2" t="s">
        <v>1132</v>
      </c>
      <c r="N517" s="2"/>
      <c r="O517" s="2"/>
      <c r="P517" s="2" t="s">
        <v>1127</v>
      </c>
      <c r="Q517" s="2" t="s">
        <v>1127</v>
      </c>
      <c r="R517" s="2"/>
      <c r="S517" s="2"/>
      <c r="T517" s="2"/>
      <c r="U517" s="2"/>
      <c r="V517" s="2"/>
      <c r="W517" s="2"/>
      <c r="X517" s="2"/>
      <c r="Y517" s="2"/>
      <c r="Z517" s="2"/>
      <c r="AA517" s="2"/>
      <c r="AB517" s="2"/>
      <c r="AC517" s="2"/>
      <c r="AD517" s="2"/>
      <c r="AE517" s="2"/>
      <c r="AF517" s="2"/>
      <c r="AG517" s="2"/>
      <c r="AH517" s="2"/>
      <c r="AI517" s="2"/>
      <c r="AJ517" s="2"/>
    </row>
    <row r="518" spans="1:36" ht="17.25" customHeight="1" x14ac:dyDescent="0.2">
      <c r="A518" s="26" t="s">
        <v>0</v>
      </c>
      <c r="B518" s="26" t="s">
        <v>69</v>
      </c>
      <c r="C518" s="3" t="s">
        <v>4182</v>
      </c>
      <c r="D518" s="26" t="s">
        <v>1128</v>
      </c>
      <c r="E518" s="26" t="s">
        <v>1272</v>
      </c>
      <c r="F518" s="2">
        <v>21</v>
      </c>
      <c r="G518" s="4" t="s">
        <v>64</v>
      </c>
      <c r="H518" s="2">
        <v>2004</v>
      </c>
      <c r="I518" s="2" t="s">
        <v>1299</v>
      </c>
      <c r="J518" s="2" t="s">
        <v>1279</v>
      </c>
      <c r="K518" s="2"/>
      <c r="L518" s="2"/>
      <c r="M518" s="2" t="s">
        <v>1132</v>
      </c>
      <c r="N518" s="2"/>
      <c r="O518" s="2"/>
      <c r="P518" s="2" t="s">
        <v>1127</v>
      </c>
      <c r="Q518" s="2" t="s">
        <v>1127</v>
      </c>
      <c r="R518" s="2"/>
      <c r="S518" s="2"/>
      <c r="T518" s="2"/>
      <c r="U518" s="2"/>
      <c r="V518" s="2"/>
      <c r="W518" s="2"/>
      <c r="X518" s="2"/>
      <c r="Y518" s="2"/>
      <c r="Z518" s="2"/>
      <c r="AA518" s="2"/>
      <c r="AB518" s="2"/>
      <c r="AC518" s="2"/>
      <c r="AD518" s="2"/>
      <c r="AE518" s="2"/>
      <c r="AF518" s="2"/>
      <c r="AG518" s="2"/>
      <c r="AH518" s="2"/>
      <c r="AI518" s="2"/>
      <c r="AJ518" s="2"/>
    </row>
    <row r="519" spans="1:36" ht="17.25" customHeight="1" x14ac:dyDescent="0.2">
      <c r="A519" s="26" t="s">
        <v>0</v>
      </c>
      <c r="B519" s="26" t="s">
        <v>100</v>
      </c>
      <c r="C519" s="3" t="s">
        <v>4182</v>
      </c>
      <c r="D519" s="26" t="s">
        <v>1128</v>
      </c>
      <c r="E519" s="26" t="s">
        <v>1272</v>
      </c>
      <c r="F519" s="2">
        <v>22</v>
      </c>
      <c r="G519" s="4" t="s">
        <v>92</v>
      </c>
      <c r="H519" s="2">
        <v>2005</v>
      </c>
      <c r="I519" s="2" t="s">
        <v>1300</v>
      </c>
      <c r="J519" s="2" t="s">
        <v>1279</v>
      </c>
      <c r="K519" s="2"/>
      <c r="L519" s="2"/>
      <c r="M519" s="2" t="s">
        <v>1132</v>
      </c>
      <c r="N519" s="2"/>
      <c r="O519" s="2"/>
      <c r="P519" s="2" t="s">
        <v>1127</v>
      </c>
      <c r="Q519" s="2" t="s">
        <v>1127</v>
      </c>
      <c r="R519" s="2"/>
      <c r="S519" s="2"/>
      <c r="T519" s="2"/>
      <c r="U519" s="2"/>
      <c r="V519" s="2"/>
      <c r="W519" s="2"/>
      <c r="X519" s="2"/>
      <c r="Y519" s="2"/>
      <c r="Z519" s="2"/>
      <c r="AA519" s="2"/>
      <c r="AB519" s="2"/>
      <c r="AC519" s="2"/>
      <c r="AD519" s="2"/>
      <c r="AE519" s="2"/>
      <c r="AF519" s="2"/>
      <c r="AG519" s="2"/>
      <c r="AH519" s="2"/>
      <c r="AI519" s="2"/>
      <c r="AJ519" s="2"/>
    </row>
    <row r="520" spans="1:36" ht="17.25" customHeight="1" x14ac:dyDescent="0.2">
      <c r="A520" s="26" t="s">
        <v>0</v>
      </c>
      <c r="B520" s="26" t="s">
        <v>79</v>
      </c>
      <c r="C520" s="3" t="s">
        <v>4182</v>
      </c>
      <c r="D520" s="26" t="s">
        <v>1128</v>
      </c>
      <c r="E520" s="26" t="s">
        <v>1272</v>
      </c>
      <c r="F520" s="2">
        <v>23</v>
      </c>
      <c r="G520" s="4" t="s">
        <v>52</v>
      </c>
      <c r="H520" s="2">
        <v>2006</v>
      </c>
      <c r="I520" s="2" t="s">
        <v>1301</v>
      </c>
      <c r="J520" s="2" t="s">
        <v>1279</v>
      </c>
      <c r="K520" s="2"/>
      <c r="L520" s="2"/>
      <c r="M520" s="2" t="s">
        <v>1132</v>
      </c>
      <c r="N520" s="2"/>
      <c r="O520" s="2"/>
      <c r="P520" s="2" t="s">
        <v>1127</v>
      </c>
      <c r="Q520" s="2" t="s">
        <v>1127</v>
      </c>
      <c r="R520" s="2"/>
      <c r="S520" s="2"/>
      <c r="T520" s="2"/>
      <c r="U520" s="2"/>
      <c r="V520" s="2"/>
      <c r="W520" s="2"/>
      <c r="X520" s="2"/>
      <c r="Y520" s="2"/>
      <c r="Z520" s="2"/>
      <c r="AA520" s="2"/>
      <c r="AB520" s="2"/>
      <c r="AC520" s="2"/>
      <c r="AD520" s="2"/>
      <c r="AE520" s="2"/>
      <c r="AF520" s="2"/>
      <c r="AG520" s="2"/>
      <c r="AH520" s="2"/>
      <c r="AI520" s="2"/>
      <c r="AJ520" s="2"/>
    </row>
    <row r="521" spans="1:36" ht="17.25" customHeight="1" x14ac:dyDescent="0.2">
      <c r="A521" s="26" t="s">
        <v>0</v>
      </c>
      <c r="B521" s="26" t="s">
        <v>39</v>
      </c>
      <c r="C521" s="3" t="s">
        <v>4182</v>
      </c>
      <c r="D521" s="26" t="s">
        <v>1128</v>
      </c>
      <c r="E521" s="26" t="s">
        <v>1272</v>
      </c>
      <c r="F521" s="2">
        <v>24</v>
      </c>
      <c r="G521" s="4" t="s">
        <v>95</v>
      </c>
      <c r="H521" s="2">
        <v>2007</v>
      </c>
      <c r="I521" s="2" t="s">
        <v>1302</v>
      </c>
      <c r="J521" s="2" t="s">
        <v>1279</v>
      </c>
      <c r="K521" s="2"/>
      <c r="L521" s="2"/>
      <c r="M521" s="2" t="s">
        <v>1132</v>
      </c>
      <c r="N521" s="2"/>
      <c r="O521" s="2"/>
      <c r="P521" s="2" t="s">
        <v>1127</v>
      </c>
      <c r="Q521" s="2" t="s">
        <v>1127</v>
      </c>
      <c r="R521" s="2"/>
      <c r="S521" s="2"/>
      <c r="T521" s="2"/>
      <c r="U521" s="2"/>
      <c r="V521" s="2"/>
      <c r="W521" s="2"/>
      <c r="X521" s="2"/>
      <c r="Y521" s="2"/>
      <c r="Z521" s="2"/>
      <c r="AA521" s="2"/>
      <c r="AB521" s="2"/>
      <c r="AC521" s="2"/>
      <c r="AD521" s="2"/>
      <c r="AE521" s="2"/>
      <c r="AF521" s="2"/>
      <c r="AG521" s="2"/>
      <c r="AH521" s="2"/>
      <c r="AI521" s="2"/>
      <c r="AJ521" s="2"/>
    </row>
    <row r="522" spans="1:36" ht="17.25" customHeight="1" x14ac:dyDescent="0.2">
      <c r="A522" s="26" t="s">
        <v>0</v>
      </c>
      <c r="B522" s="26" t="s">
        <v>36</v>
      </c>
      <c r="C522" s="3" t="s">
        <v>4182</v>
      </c>
      <c r="D522" s="26" t="s">
        <v>1128</v>
      </c>
      <c r="E522" s="26" t="s">
        <v>1272</v>
      </c>
      <c r="F522" s="2">
        <v>25</v>
      </c>
      <c r="G522" s="4" t="s">
        <v>70</v>
      </c>
      <c r="H522" s="2">
        <v>2008</v>
      </c>
      <c r="I522" s="2" t="s">
        <v>1303</v>
      </c>
      <c r="J522" s="2" t="s">
        <v>1279</v>
      </c>
      <c r="K522" s="2"/>
      <c r="L522" s="2"/>
      <c r="M522" s="2" t="s">
        <v>1132</v>
      </c>
      <c r="N522" s="2"/>
      <c r="O522" s="2"/>
      <c r="P522" s="2" t="s">
        <v>1127</v>
      </c>
      <c r="Q522" s="2" t="s">
        <v>1127</v>
      </c>
      <c r="R522" s="2"/>
      <c r="S522" s="2"/>
      <c r="T522" s="2"/>
      <c r="U522" s="2"/>
      <c r="V522" s="2"/>
      <c r="W522" s="2"/>
      <c r="X522" s="2"/>
      <c r="Y522" s="2"/>
      <c r="Z522" s="2"/>
      <c r="AA522" s="2"/>
      <c r="AB522" s="2"/>
      <c r="AC522" s="2"/>
      <c r="AD522" s="2"/>
      <c r="AE522" s="2"/>
      <c r="AF522" s="2"/>
      <c r="AG522" s="2"/>
      <c r="AH522" s="2"/>
      <c r="AI522" s="2"/>
      <c r="AJ522" s="2"/>
    </row>
    <row r="523" spans="1:36" ht="17.25" customHeight="1" x14ac:dyDescent="0.2">
      <c r="A523" s="26" t="s">
        <v>0</v>
      </c>
      <c r="B523" s="26" t="s">
        <v>91</v>
      </c>
      <c r="C523" s="3" t="s">
        <v>4182</v>
      </c>
      <c r="D523" s="26" t="s">
        <v>1128</v>
      </c>
      <c r="E523" s="26" t="s">
        <v>1272</v>
      </c>
      <c r="F523" s="2">
        <v>26</v>
      </c>
      <c r="G523" s="4" t="s">
        <v>16</v>
      </c>
      <c r="H523" s="2">
        <v>2009</v>
      </c>
      <c r="I523" s="2" t="s">
        <v>1304</v>
      </c>
      <c r="J523" s="2" t="s">
        <v>1279</v>
      </c>
      <c r="K523" s="2"/>
      <c r="L523" s="2"/>
      <c r="M523" s="2" t="s">
        <v>1132</v>
      </c>
      <c r="N523" s="2"/>
      <c r="O523" s="2"/>
      <c r="P523" s="2" t="s">
        <v>1127</v>
      </c>
      <c r="Q523" s="2" t="s">
        <v>1127</v>
      </c>
      <c r="R523" s="2"/>
      <c r="S523" s="2"/>
      <c r="T523" s="2"/>
      <c r="U523" s="2"/>
      <c r="V523" s="2"/>
      <c r="W523" s="2"/>
      <c r="X523" s="2"/>
      <c r="Y523" s="2"/>
      <c r="Z523" s="2"/>
      <c r="AA523" s="2"/>
      <c r="AB523" s="2"/>
      <c r="AC523" s="2"/>
      <c r="AD523" s="2"/>
      <c r="AE523" s="2"/>
      <c r="AF523" s="2"/>
      <c r="AG523" s="2"/>
      <c r="AH523" s="2"/>
      <c r="AI523" s="2"/>
      <c r="AJ523" s="2"/>
    </row>
    <row r="524" spans="1:36" ht="17.25" customHeight="1" x14ac:dyDescent="0.2">
      <c r="A524" s="26" t="s">
        <v>0</v>
      </c>
      <c r="B524" s="26" t="s">
        <v>103</v>
      </c>
      <c r="C524" s="3" t="s">
        <v>4182</v>
      </c>
      <c r="D524" s="26" t="s">
        <v>1128</v>
      </c>
      <c r="E524" s="26" t="s">
        <v>1272</v>
      </c>
      <c r="F524" s="2">
        <v>27</v>
      </c>
      <c r="G524" s="4" t="s">
        <v>34</v>
      </c>
      <c r="H524" s="2">
        <v>2010</v>
      </c>
      <c r="I524" s="2" t="s">
        <v>1305</v>
      </c>
      <c r="J524" s="2" t="s">
        <v>1279</v>
      </c>
      <c r="K524" s="2"/>
      <c r="L524" s="2"/>
      <c r="M524" s="2" t="s">
        <v>1132</v>
      </c>
      <c r="N524" s="2"/>
      <c r="O524" s="2"/>
      <c r="P524" s="2" t="s">
        <v>1127</v>
      </c>
      <c r="Q524" s="2" t="s">
        <v>1127</v>
      </c>
      <c r="R524" s="2"/>
      <c r="S524" s="2"/>
      <c r="T524" s="2"/>
      <c r="U524" s="2"/>
      <c r="V524" s="2"/>
      <c r="W524" s="2"/>
      <c r="X524" s="2"/>
      <c r="Y524" s="2"/>
      <c r="Z524" s="2"/>
      <c r="AA524" s="2"/>
      <c r="AB524" s="2"/>
      <c r="AC524" s="2"/>
      <c r="AD524" s="2"/>
      <c r="AE524" s="2"/>
      <c r="AF524" s="2"/>
      <c r="AG524" s="2"/>
      <c r="AH524" s="2"/>
      <c r="AI524" s="2"/>
      <c r="AJ524" s="2"/>
    </row>
    <row r="525" spans="1:36" ht="17.25" customHeight="1" x14ac:dyDescent="0.2">
      <c r="A525" s="26" t="s">
        <v>0</v>
      </c>
      <c r="B525" s="26" t="s">
        <v>33</v>
      </c>
      <c r="C525" s="3" t="s">
        <v>4182</v>
      </c>
      <c r="D525" s="26" t="s">
        <v>1128</v>
      </c>
      <c r="E525" s="26" t="s">
        <v>1272</v>
      </c>
      <c r="F525" s="2">
        <v>28</v>
      </c>
      <c r="G525" s="4" t="s">
        <v>46</v>
      </c>
      <c r="H525" s="2">
        <v>2011</v>
      </c>
      <c r="I525" s="2" t="s">
        <v>1306</v>
      </c>
      <c r="J525" s="2" t="s">
        <v>1279</v>
      </c>
      <c r="K525" s="2"/>
      <c r="L525" s="2"/>
      <c r="M525" s="2" t="s">
        <v>1132</v>
      </c>
      <c r="N525" s="2"/>
      <c r="O525" s="2"/>
      <c r="P525" s="2" t="s">
        <v>1127</v>
      </c>
      <c r="Q525" s="2" t="s">
        <v>1127</v>
      </c>
      <c r="R525" s="2"/>
      <c r="S525" s="2"/>
      <c r="T525" s="2"/>
      <c r="U525" s="2"/>
      <c r="V525" s="2"/>
      <c r="W525" s="2"/>
      <c r="X525" s="2"/>
      <c r="Y525" s="2"/>
      <c r="Z525" s="2"/>
      <c r="AA525" s="2"/>
      <c r="AB525" s="2"/>
      <c r="AC525" s="2"/>
      <c r="AD525" s="2"/>
      <c r="AE525" s="2"/>
      <c r="AF525" s="2"/>
      <c r="AG525" s="2"/>
      <c r="AH525" s="2"/>
      <c r="AI525" s="2"/>
      <c r="AJ525" s="2"/>
    </row>
    <row r="526" spans="1:36" ht="17.25" customHeight="1" x14ac:dyDescent="0.2">
      <c r="A526" s="26" t="s">
        <v>0</v>
      </c>
      <c r="B526" s="26" t="s">
        <v>27</v>
      </c>
      <c r="C526" s="3" t="s">
        <v>4182</v>
      </c>
      <c r="D526" s="26" t="s">
        <v>1128</v>
      </c>
      <c r="E526" s="26" t="s">
        <v>1272</v>
      </c>
      <c r="F526" s="2">
        <v>29</v>
      </c>
      <c r="G526" s="4" t="s">
        <v>61</v>
      </c>
      <c r="H526" s="2">
        <v>2012</v>
      </c>
      <c r="I526" s="2" t="s">
        <v>1307</v>
      </c>
      <c r="J526" s="2" t="s">
        <v>1279</v>
      </c>
      <c r="K526" s="2"/>
      <c r="L526" s="2"/>
      <c r="M526" s="2" t="s">
        <v>1132</v>
      </c>
      <c r="N526" s="2"/>
      <c r="O526" s="2"/>
      <c r="P526" s="2" t="s">
        <v>1127</v>
      </c>
      <c r="Q526" s="2" t="s">
        <v>1127</v>
      </c>
      <c r="R526" s="2"/>
      <c r="S526" s="2"/>
      <c r="T526" s="2"/>
      <c r="U526" s="2"/>
      <c r="V526" s="2"/>
      <c r="W526" s="2"/>
      <c r="X526" s="2"/>
      <c r="Y526" s="2"/>
      <c r="Z526" s="2"/>
      <c r="AA526" s="2"/>
      <c r="AB526" s="2"/>
      <c r="AC526" s="2"/>
      <c r="AD526" s="2"/>
      <c r="AE526" s="2"/>
      <c r="AF526" s="2"/>
      <c r="AG526" s="2"/>
      <c r="AH526" s="2"/>
      <c r="AI526" s="2"/>
      <c r="AJ526" s="2"/>
    </row>
    <row r="527" spans="1:36" ht="17.25" customHeight="1" x14ac:dyDescent="0.2">
      <c r="A527" s="26" t="s">
        <v>0</v>
      </c>
      <c r="B527" s="26" t="s">
        <v>54</v>
      </c>
      <c r="C527" s="3" t="s">
        <v>4182</v>
      </c>
      <c r="D527" s="26" t="s">
        <v>1128</v>
      </c>
      <c r="E527" s="26" t="s">
        <v>1272</v>
      </c>
      <c r="F527" s="2">
        <v>30</v>
      </c>
      <c r="G527" s="4" t="s">
        <v>86</v>
      </c>
      <c r="H527" s="2">
        <v>2013</v>
      </c>
      <c r="I527" s="2" t="s">
        <v>1308</v>
      </c>
      <c r="J527" s="2" t="s">
        <v>1279</v>
      </c>
      <c r="K527" s="2"/>
      <c r="L527" s="2"/>
      <c r="M527" s="2" t="s">
        <v>1132</v>
      </c>
      <c r="N527" s="2"/>
      <c r="O527" s="2"/>
      <c r="P527" s="2" t="s">
        <v>1127</v>
      </c>
      <c r="Q527" s="2" t="s">
        <v>1127</v>
      </c>
      <c r="R527" s="2"/>
      <c r="S527" s="2"/>
      <c r="T527" s="2"/>
      <c r="U527" s="2"/>
      <c r="V527" s="2"/>
      <c r="W527" s="2"/>
      <c r="X527" s="2"/>
      <c r="Y527" s="2"/>
      <c r="Z527" s="2"/>
      <c r="AA527" s="2"/>
      <c r="AB527" s="2"/>
      <c r="AC527" s="2"/>
      <c r="AD527" s="2"/>
      <c r="AE527" s="2"/>
      <c r="AF527" s="2"/>
      <c r="AG527" s="2"/>
      <c r="AH527" s="2"/>
      <c r="AI527" s="2"/>
      <c r="AJ527" s="2"/>
    </row>
    <row r="528" spans="1:36" ht="17.25" customHeight="1" x14ac:dyDescent="0.2">
      <c r="A528" s="26" t="s">
        <v>0</v>
      </c>
      <c r="B528" s="26" t="s">
        <v>57</v>
      </c>
      <c r="C528" s="3" t="s">
        <v>4182</v>
      </c>
      <c r="D528" s="26" t="s">
        <v>1128</v>
      </c>
      <c r="E528" s="26" t="s">
        <v>1272</v>
      </c>
      <c r="F528" s="2">
        <v>31</v>
      </c>
      <c r="G528" s="4" t="s">
        <v>22</v>
      </c>
      <c r="H528" s="2">
        <v>2014</v>
      </c>
      <c r="I528" s="2" t="s">
        <v>1309</v>
      </c>
      <c r="J528" s="2" t="s">
        <v>1279</v>
      </c>
      <c r="K528" s="2"/>
      <c r="L528" s="2"/>
      <c r="M528" s="2" t="s">
        <v>1132</v>
      </c>
      <c r="N528" s="2"/>
      <c r="O528" s="2"/>
      <c r="P528" s="2" t="s">
        <v>1127</v>
      </c>
      <c r="Q528" s="2" t="s">
        <v>1127</v>
      </c>
      <c r="R528" s="2"/>
      <c r="S528" s="2"/>
      <c r="T528" s="2"/>
      <c r="U528" s="2"/>
      <c r="V528" s="2"/>
      <c r="W528" s="2"/>
      <c r="X528" s="2"/>
      <c r="Y528" s="2"/>
      <c r="Z528" s="2"/>
      <c r="AA528" s="2"/>
      <c r="AB528" s="2"/>
      <c r="AC528" s="2"/>
      <c r="AD528" s="2"/>
      <c r="AE528" s="2"/>
      <c r="AF528" s="2"/>
      <c r="AG528" s="2"/>
      <c r="AH528" s="2"/>
      <c r="AI528" s="2"/>
      <c r="AJ528" s="2"/>
    </row>
    <row r="529" spans="1:36" ht="17.25" customHeight="1" x14ac:dyDescent="0.2">
      <c r="A529" s="26" t="s">
        <v>0</v>
      </c>
      <c r="B529" s="26" t="s">
        <v>18</v>
      </c>
      <c r="C529" s="3" t="s">
        <v>4182</v>
      </c>
      <c r="D529" s="26" t="s">
        <v>1128</v>
      </c>
      <c r="E529" s="26" t="s">
        <v>1272</v>
      </c>
      <c r="F529" s="2">
        <v>32</v>
      </c>
      <c r="G529" s="4" t="s">
        <v>28</v>
      </c>
      <c r="H529" s="2">
        <v>2015</v>
      </c>
      <c r="I529" s="2" t="s">
        <v>1310</v>
      </c>
      <c r="J529" s="2" t="s">
        <v>1279</v>
      </c>
      <c r="K529" s="2"/>
      <c r="L529" s="2"/>
      <c r="M529" s="2" t="s">
        <v>1132</v>
      </c>
      <c r="N529" s="2"/>
      <c r="O529" s="2"/>
      <c r="P529" s="2" t="s">
        <v>1127</v>
      </c>
      <c r="Q529" s="2" t="s">
        <v>1127</v>
      </c>
      <c r="R529" s="2"/>
      <c r="S529" s="2"/>
      <c r="T529" s="2"/>
      <c r="U529" s="2"/>
      <c r="V529" s="2"/>
      <c r="W529" s="2"/>
      <c r="X529" s="2"/>
      <c r="Y529" s="2"/>
      <c r="Z529" s="2"/>
      <c r="AA529" s="2"/>
      <c r="AB529" s="2"/>
      <c r="AC529" s="2"/>
      <c r="AD529" s="2"/>
      <c r="AE529" s="2"/>
      <c r="AF529" s="2"/>
      <c r="AG529" s="2"/>
      <c r="AH529" s="2"/>
      <c r="AI529" s="2"/>
      <c r="AJ529" s="2"/>
    </row>
    <row r="530" spans="1:36" ht="17.25" customHeight="1" x14ac:dyDescent="0.2">
      <c r="A530" s="26" t="s">
        <v>0</v>
      </c>
      <c r="B530" s="26" t="s">
        <v>75</v>
      </c>
      <c r="C530" s="3" t="s">
        <v>4182</v>
      </c>
      <c r="D530" s="26" t="s">
        <v>1128</v>
      </c>
      <c r="E530" s="26" t="s">
        <v>1272</v>
      </c>
      <c r="F530" s="2">
        <v>33</v>
      </c>
      <c r="G530" s="4" t="s">
        <v>76</v>
      </c>
      <c r="H530" s="2">
        <v>2016</v>
      </c>
      <c r="I530" s="2" t="s">
        <v>1311</v>
      </c>
      <c r="J530" s="2" t="s">
        <v>1279</v>
      </c>
      <c r="K530" s="2"/>
      <c r="L530" s="2"/>
      <c r="M530" s="2" t="s">
        <v>1132</v>
      </c>
      <c r="N530" s="2"/>
      <c r="O530" s="2"/>
      <c r="P530" s="2" t="s">
        <v>1127</v>
      </c>
      <c r="Q530" s="2" t="s">
        <v>1127</v>
      </c>
      <c r="R530" s="2"/>
      <c r="S530" s="2"/>
      <c r="T530" s="2"/>
      <c r="U530" s="2"/>
      <c r="V530" s="2"/>
      <c r="W530" s="2"/>
      <c r="X530" s="2"/>
      <c r="Y530" s="2"/>
      <c r="Z530" s="2"/>
      <c r="AA530" s="2"/>
      <c r="AB530" s="2"/>
      <c r="AC530" s="2"/>
      <c r="AD530" s="2"/>
      <c r="AE530" s="2"/>
      <c r="AF530" s="2"/>
      <c r="AG530" s="2"/>
      <c r="AH530" s="2"/>
      <c r="AI530" s="2"/>
      <c r="AJ530" s="2"/>
    </row>
    <row r="531" spans="1:36" ht="17.25" customHeight="1" x14ac:dyDescent="0.2">
      <c r="A531" s="26" t="s">
        <v>0</v>
      </c>
      <c r="B531" s="26" t="s">
        <v>177</v>
      </c>
      <c r="C531" s="3" t="s">
        <v>4182</v>
      </c>
      <c r="D531" s="26" t="s">
        <v>1128</v>
      </c>
      <c r="E531" s="26" t="s">
        <v>1312</v>
      </c>
      <c r="F531" s="2">
        <v>26</v>
      </c>
      <c r="G531" s="4" t="s">
        <v>16</v>
      </c>
      <c r="H531" s="2">
        <v>2009</v>
      </c>
      <c r="I531" s="2" t="s">
        <v>1313</v>
      </c>
      <c r="J531" s="2" t="s">
        <v>1314</v>
      </c>
      <c r="K531" s="2"/>
      <c r="L531" s="2"/>
      <c r="M531" s="2" t="s">
        <v>1132</v>
      </c>
      <c r="N531" s="2"/>
      <c r="O531" s="2"/>
      <c r="P531" s="2" t="s">
        <v>1127</v>
      </c>
      <c r="Q531" s="2" t="s">
        <v>1127</v>
      </c>
      <c r="R531" s="2"/>
      <c r="S531" s="2"/>
      <c r="T531" s="2"/>
      <c r="U531" s="2"/>
      <c r="V531" s="2"/>
      <c r="W531" s="2"/>
      <c r="X531" s="2"/>
      <c r="Y531" s="2"/>
      <c r="Z531" s="2"/>
      <c r="AA531" s="2"/>
      <c r="AB531" s="2"/>
      <c r="AC531" s="2"/>
      <c r="AD531" s="2"/>
      <c r="AE531" s="2"/>
      <c r="AF531" s="2"/>
      <c r="AG531" s="2"/>
      <c r="AH531" s="2"/>
      <c r="AI531" s="2"/>
      <c r="AJ531" s="2"/>
    </row>
    <row r="532" spans="1:36" ht="17.25" customHeight="1" x14ac:dyDescent="0.2">
      <c r="A532" s="26" t="s">
        <v>0</v>
      </c>
      <c r="B532" s="26" t="s">
        <v>181</v>
      </c>
      <c r="C532" s="3" t="s">
        <v>4182</v>
      </c>
      <c r="D532" s="26" t="s">
        <v>1128</v>
      </c>
      <c r="E532" s="26" t="s">
        <v>1312</v>
      </c>
      <c r="F532" s="2">
        <v>28</v>
      </c>
      <c r="G532" s="4" t="s">
        <v>46</v>
      </c>
      <c r="H532" s="2">
        <v>2011</v>
      </c>
      <c r="I532" s="2" t="s">
        <v>1315</v>
      </c>
      <c r="J532" s="2" t="s">
        <v>1314</v>
      </c>
      <c r="K532" s="2"/>
      <c r="L532" s="2"/>
      <c r="M532" s="2" t="s">
        <v>1132</v>
      </c>
      <c r="N532" s="2"/>
      <c r="O532" s="2"/>
      <c r="P532" s="2" t="s">
        <v>1127</v>
      </c>
      <c r="Q532" s="2" t="s">
        <v>1127</v>
      </c>
      <c r="R532" s="2"/>
      <c r="S532" s="2"/>
      <c r="T532" s="2"/>
      <c r="U532" s="2"/>
      <c r="V532" s="2"/>
      <c r="W532" s="2"/>
      <c r="X532" s="2"/>
      <c r="Y532" s="2"/>
      <c r="Z532" s="2"/>
      <c r="AA532" s="2"/>
      <c r="AB532" s="2"/>
      <c r="AC532" s="2"/>
      <c r="AD532" s="2"/>
      <c r="AE532" s="2"/>
      <c r="AF532" s="2"/>
      <c r="AG532" s="2"/>
      <c r="AH532" s="2"/>
      <c r="AI532" s="2"/>
      <c r="AJ532" s="2"/>
    </row>
    <row r="533" spans="1:36" ht="17.25" customHeight="1" x14ac:dyDescent="0.2">
      <c r="A533" s="26" t="s">
        <v>0</v>
      </c>
      <c r="B533" s="26" t="s">
        <v>185</v>
      </c>
      <c r="C533" s="3" t="s">
        <v>4182</v>
      </c>
      <c r="D533" s="26" t="s">
        <v>1128</v>
      </c>
      <c r="E533" s="26" t="s">
        <v>1312</v>
      </c>
      <c r="F533" s="2">
        <v>30</v>
      </c>
      <c r="G533" s="4" t="s">
        <v>86</v>
      </c>
      <c r="H533" s="2">
        <v>2013</v>
      </c>
      <c r="I533" s="2" t="s">
        <v>1316</v>
      </c>
      <c r="J533" s="2" t="s">
        <v>1314</v>
      </c>
      <c r="K533" s="2"/>
      <c r="L533" s="2"/>
      <c r="M533" s="2" t="s">
        <v>1132</v>
      </c>
      <c r="N533" s="2"/>
      <c r="O533" s="2"/>
      <c r="P533" s="2" t="s">
        <v>1127</v>
      </c>
      <c r="Q533" s="2" t="s">
        <v>1127</v>
      </c>
      <c r="R533" s="2"/>
      <c r="S533" s="2"/>
      <c r="T533" s="2"/>
      <c r="U533" s="2"/>
      <c r="V533" s="2"/>
      <c r="W533" s="2"/>
      <c r="X533" s="2"/>
      <c r="Y533" s="2"/>
      <c r="Z533" s="2"/>
      <c r="AA533" s="2"/>
      <c r="AB533" s="2"/>
      <c r="AC533" s="2"/>
      <c r="AD533" s="2"/>
      <c r="AE533" s="2"/>
      <c r="AF533" s="2"/>
      <c r="AG533" s="2"/>
      <c r="AH533" s="2"/>
      <c r="AI533" s="2"/>
      <c r="AJ533" s="2"/>
    </row>
    <row r="534" spans="1:36" ht="17.25" customHeight="1" x14ac:dyDescent="0.2">
      <c r="A534" s="26" t="s">
        <v>0</v>
      </c>
      <c r="B534" s="26" t="s">
        <v>189</v>
      </c>
      <c r="C534" s="3" t="s">
        <v>4182</v>
      </c>
      <c r="D534" s="26" t="s">
        <v>1128</v>
      </c>
      <c r="E534" s="26" t="s">
        <v>1312</v>
      </c>
      <c r="F534" s="2">
        <v>32</v>
      </c>
      <c r="G534" s="4" t="s">
        <v>28</v>
      </c>
      <c r="H534" s="2">
        <v>2015</v>
      </c>
      <c r="I534" s="2" t="s">
        <v>1317</v>
      </c>
      <c r="J534" s="2" t="s">
        <v>1314</v>
      </c>
      <c r="K534" s="2"/>
      <c r="L534" s="2"/>
      <c r="M534" s="2" t="s">
        <v>1132</v>
      </c>
      <c r="N534" s="2"/>
      <c r="O534" s="2"/>
      <c r="P534" s="2" t="s">
        <v>1127</v>
      </c>
      <c r="Q534" s="2" t="s">
        <v>1127</v>
      </c>
      <c r="R534" s="2"/>
      <c r="S534" s="2"/>
      <c r="T534" s="2"/>
      <c r="U534" s="2"/>
      <c r="V534" s="2"/>
      <c r="W534" s="2"/>
      <c r="X534" s="2"/>
      <c r="Y534" s="2"/>
      <c r="Z534" s="2"/>
      <c r="AA534" s="2"/>
      <c r="AB534" s="2"/>
      <c r="AC534" s="2"/>
      <c r="AD534" s="2"/>
      <c r="AE534" s="2"/>
      <c r="AF534" s="2"/>
      <c r="AG534" s="2"/>
      <c r="AH534" s="2"/>
      <c r="AI534" s="2"/>
      <c r="AJ534" s="2"/>
    </row>
    <row r="535" spans="1:36" ht="17.25" customHeight="1" x14ac:dyDescent="0.2">
      <c r="A535" s="26" t="s">
        <v>0</v>
      </c>
      <c r="B535" s="26" t="s">
        <v>15</v>
      </c>
      <c r="C535" s="3" t="s">
        <v>4182</v>
      </c>
      <c r="D535" s="26" t="s">
        <v>1128</v>
      </c>
      <c r="E535" s="26" t="s">
        <v>1318</v>
      </c>
      <c r="F535" s="2">
        <v>1</v>
      </c>
      <c r="G535" s="4" t="s">
        <v>40</v>
      </c>
      <c r="H535" s="2">
        <v>1984</v>
      </c>
      <c r="I535" s="2" t="s">
        <v>1319</v>
      </c>
      <c r="J535" s="2" t="s">
        <v>1320</v>
      </c>
      <c r="K535" s="2"/>
      <c r="L535" s="2"/>
      <c r="M535" s="2" t="s">
        <v>1132</v>
      </c>
      <c r="N535" s="2"/>
      <c r="O535" s="2"/>
      <c r="P535" s="2" t="s">
        <v>1127</v>
      </c>
      <c r="Q535" s="2" t="s">
        <v>1127</v>
      </c>
      <c r="R535" s="2"/>
      <c r="S535" s="2"/>
      <c r="T535" s="2"/>
      <c r="U535" s="2"/>
      <c r="V535" s="2"/>
      <c r="W535" s="2"/>
      <c r="X535" s="2"/>
      <c r="Y535" s="2"/>
      <c r="Z535" s="2"/>
      <c r="AA535" s="2"/>
      <c r="AB535" s="2"/>
      <c r="AC535" s="2"/>
      <c r="AD535" s="2"/>
      <c r="AE535" s="2"/>
      <c r="AF535" s="2"/>
      <c r="AG535" s="2"/>
      <c r="AH535" s="2"/>
      <c r="AI535" s="2"/>
      <c r="AJ535" s="2"/>
    </row>
    <row r="536" spans="1:36" ht="17.25" customHeight="1" x14ac:dyDescent="0.2">
      <c r="A536" s="26" t="s">
        <v>0</v>
      </c>
      <c r="B536" s="26" t="s">
        <v>30</v>
      </c>
      <c r="C536" s="3" t="s">
        <v>4182</v>
      </c>
      <c r="D536" s="26" t="s">
        <v>1128</v>
      </c>
      <c r="E536" s="26" t="s">
        <v>1318</v>
      </c>
      <c r="F536" s="2">
        <v>2</v>
      </c>
      <c r="G536" s="4" t="s">
        <v>37</v>
      </c>
      <c r="H536" s="2">
        <v>1985</v>
      </c>
      <c r="I536" s="2" t="s">
        <v>1321</v>
      </c>
      <c r="J536" s="2" t="s">
        <v>1320</v>
      </c>
      <c r="K536" s="2"/>
      <c r="L536" s="2"/>
      <c r="M536" s="2" t="s">
        <v>1132</v>
      </c>
      <c r="N536" s="2"/>
      <c r="O536" s="2"/>
      <c r="P536" s="2" t="s">
        <v>1127</v>
      </c>
      <c r="Q536" s="2" t="s">
        <v>1127</v>
      </c>
      <c r="R536" s="2"/>
      <c r="S536" s="2"/>
      <c r="T536" s="2"/>
      <c r="U536" s="2"/>
      <c r="V536" s="2"/>
      <c r="W536" s="2"/>
      <c r="X536" s="2"/>
      <c r="Y536" s="2"/>
      <c r="Z536" s="2"/>
      <c r="AA536" s="2"/>
      <c r="AB536" s="2"/>
      <c r="AC536" s="2"/>
      <c r="AD536" s="2"/>
      <c r="AE536" s="2"/>
      <c r="AF536" s="2"/>
      <c r="AG536" s="2"/>
      <c r="AH536" s="2"/>
      <c r="AI536" s="2"/>
      <c r="AJ536" s="2"/>
    </row>
    <row r="537" spans="1:36" ht="17.25" customHeight="1" x14ac:dyDescent="0.2">
      <c r="A537" s="26" t="s">
        <v>0</v>
      </c>
      <c r="B537" s="26" t="s">
        <v>94</v>
      </c>
      <c r="C537" s="3" t="s">
        <v>4182</v>
      </c>
      <c r="D537" s="26" t="s">
        <v>1128</v>
      </c>
      <c r="E537" s="26" t="s">
        <v>1318</v>
      </c>
      <c r="F537" s="2">
        <v>3</v>
      </c>
      <c r="G537" s="4" t="s">
        <v>80</v>
      </c>
      <c r="H537" s="2">
        <v>1986</v>
      </c>
      <c r="I537" s="2" t="s">
        <v>1322</v>
      </c>
      <c r="J537" s="2" t="s">
        <v>1320</v>
      </c>
      <c r="K537" s="2"/>
      <c r="L537" s="2"/>
      <c r="M537" s="2" t="s">
        <v>1132</v>
      </c>
      <c r="N537" s="2"/>
      <c r="O537" s="2"/>
      <c r="P537" s="2" t="s">
        <v>1127</v>
      </c>
      <c r="Q537" s="2" t="s">
        <v>1127</v>
      </c>
      <c r="R537" s="2"/>
      <c r="S537" s="2"/>
      <c r="T537" s="2"/>
      <c r="U537" s="2"/>
      <c r="V537" s="2"/>
      <c r="W537" s="2"/>
      <c r="X537" s="2"/>
      <c r="Y537" s="2"/>
      <c r="Z537" s="2"/>
      <c r="AA537" s="2"/>
      <c r="AB537" s="2"/>
      <c r="AC537" s="2"/>
      <c r="AD537" s="2"/>
      <c r="AE537" s="2"/>
      <c r="AF537" s="2"/>
      <c r="AG537" s="2"/>
      <c r="AH537" s="2"/>
      <c r="AI537" s="2"/>
      <c r="AJ537" s="2"/>
    </row>
    <row r="538" spans="1:36" ht="17.25" customHeight="1" x14ac:dyDescent="0.2">
      <c r="A538" s="26" t="s">
        <v>0</v>
      </c>
      <c r="B538" s="26" t="s">
        <v>1</v>
      </c>
      <c r="C538" s="3" t="s">
        <v>4182</v>
      </c>
      <c r="D538" s="26" t="s">
        <v>1128</v>
      </c>
      <c r="E538" s="26" t="s">
        <v>1318</v>
      </c>
      <c r="F538" s="2">
        <v>4</v>
      </c>
      <c r="G538" s="4" t="s">
        <v>31</v>
      </c>
      <c r="H538" s="2">
        <v>1987</v>
      </c>
      <c r="I538" s="2" t="s">
        <v>1323</v>
      </c>
      <c r="J538" s="2" t="s">
        <v>1320</v>
      </c>
      <c r="K538" s="2"/>
      <c r="L538" s="2"/>
      <c r="M538" s="2" t="s">
        <v>1132</v>
      </c>
      <c r="N538" s="2"/>
      <c r="O538" s="2"/>
      <c r="P538" s="2" t="s">
        <v>1127</v>
      </c>
      <c r="Q538" s="2" t="s">
        <v>1127</v>
      </c>
      <c r="R538" s="2"/>
      <c r="S538" s="2"/>
      <c r="T538" s="2"/>
      <c r="U538" s="2"/>
      <c r="V538" s="2"/>
      <c r="W538" s="2"/>
      <c r="X538" s="2"/>
      <c r="Y538" s="2"/>
      <c r="Z538" s="2"/>
      <c r="AA538" s="2"/>
      <c r="AB538" s="2"/>
      <c r="AC538" s="2"/>
      <c r="AD538" s="2"/>
      <c r="AE538" s="2"/>
      <c r="AF538" s="2"/>
      <c r="AG538" s="2"/>
      <c r="AH538" s="2"/>
      <c r="AI538" s="2"/>
      <c r="AJ538" s="2"/>
    </row>
    <row r="539" spans="1:36" ht="17.25" customHeight="1" x14ac:dyDescent="0.2">
      <c r="A539" s="26" t="s">
        <v>0</v>
      </c>
      <c r="B539" s="26" t="s">
        <v>48</v>
      </c>
      <c r="C539" s="3" t="s">
        <v>4182</v>
      </c>
      <c r="D539" s="26" t="s">
        <v>1128</v>
      </c>
      <c r="E539" s="26" t="s">
        <v>1318</v>
      </c>
      <c r="F539" s="2">
        <v>5</v>
      </c>
      <c r="G539" s="4" t="s">
        <v>13</v>
      </c>
      <c r="H539" s="2">
        <v>1988</v>
      </c>
      <c r="I539" s="2" t="s">
        <v>1324</v>
      </c>
      <c r="J539" s="2" t="s">
        <v>1320</v>
      </c>
      <c r="K539" s="2"/>
      <c r="L539" s="2"/>
      <c r="M539" s="2" t="s">
        <v>1132</v>
      </c>
      <c r="N539" s="2"/>
      <c r="O539" s="2"/>
      <c r="P539" s="2" t="s">
        <v>1127</v>
      </c>
      <c r="Q539" s="2" t="s">
        <v>1127</v>
      </c>
      <c r="R539" s="2"/>
      <c r="S539" s="2"/>
      <c r="T539" s="2"/>
      <c r="U539" s="2"/>
      <c r="V539" s="2"/>
      <c r="W539" s="2"/>
      <c r="X539" s="2"/>
      <c r="Y539" s="2"/>
      <c r="Z539" s="2"/>
      <c r="AA539" s="2"/>
      <c r="AB539" s="2"/>
      <c r="AC539" s="2"/>
      <c r="AD539" s="2"/>
      <c r="AE539" s="2"/>
      <c r="AF539" s="2"/>
      <c r="AG539" s="2"/>
      <c r="AH539" s="2"/>
      <c r="AI539" s="2"/>
      <c r="AJ539" s="2"/>
    </row>
    <row r="540" spans="1:36" ht="17.25" customHeight="1" x14ac:dyDescent="0.2">
      <c r="A540" s="26" t="s">
        <v>0</v>
      </c>
      <c r="B540" s="26" t="s">
        <v>60</v>
      </c>
      <c r="C540" s="3" t="s">
        <v>4182</v>
      </c>
      <c r="D540" s="26" t="s">
        <v>1128</v>
      </c>
      <c r="E540" s="26" t="s">
        <v>1318</v>
      </c>
      <c r="F540" s="2">
        <v>6</v>
      </c>
      <c r="G540" s="4" t="s">
        <v>49</v>
      </c>
      <c r="H540" s="2">
        <v>1989</v>
      </c>
      <c r="I540" s="2" t="s">
        <v>1325</v>
      </c>
      <c r="J540" s="2" t="s">
        <v>1320</v>
      </c>
      <c r="K540" s="2"/>
      <c r="L540" s="2"/>
      <c r="M540" s="2" t="s">
        <v>1132</v>
      </c>
      <c r="N540" s="2"/>
      <c r="O540" s="2"/>
      <c r="P540" s="2" t="s">
        <v>1127</v>
      </c>
      <c r="Q540" s="2" t="s">
        <v>1127</v>
      </c>
      <c r="R540" s="2"/>
      <c r="S540" s="2"/>
      <c r="T540" s="2"/>
      <c r="U540" s="2"/>
      <c r="V540" s="2"/>
      <c r="W540" s="2"/>
      <c r="X540" s="2"/>
      <c r="Y540" s="2"/>
      <c r="Z540" s="2"/>
      <c r="AA540" s="2"/>
      <c r="AB540" s="2"/>
      <c r="AC540" s="2"/>
      <c r="AD540" s="2"/>
      <c r="AE540" s="2"/>
      <c r="AF540" s="2"/>
      <c r="AG540" s="2"/>
      <c r="AH540" s="2"/>
      <c r="AI540" s="2"/>
      <c r="AJ540" s="2"/>
    </row>
    <row r="541" spans="1:36" ht="17.25" customHeight="1" x14ac:dyDescent="0.2">
      <c r="A541" s="26" t="s">
        <v>0</v>
      </c>
      <c r="B541" s="26" t="s">
        <v>51</v>
      </c>
      <c r="C541" s="3" t="s">
        <v>4182</v>
      </c>
      <c r="D541" s="26" t="s">
        <v>1128</v>
      </c>
      <c r="E541" s="26" t="s">
        <v>1318</v>
      </c>
      <c r="F541" s="2">
        <v>7</v>
      </c>
      <c r="G541" s="4" t="s">
        <v>101</v>
      </c>
      <c r="H541" s="2">
        <v>1990</v>
      </c>
      <c r="I541" s="2" t="s">
        <v>1326</v>
      </c>
      <c r="J541" s="2" t="s">
        <v>1320</v>
      </c>
      <c r="K541" s="2"/>
      <c r="L541" s="2"/>
      <c r="M541" s="2" t="s">
        <v>1132</v>
      </c>
      <c r="N541" s="2"/>
      <c r="O541" s="2"/>
      <c r="P541" s="2" t="s">
        <v>1127</v>
      </c>
      <c r="Q541" s="2" t="s">
        <v>1127</v>
      </c>
      <c r="R541" s="2"/>
      <c r="S541" s="2"/>
      <c r="T541" s="2"/>
      <c r="U541" s="2"/>
      <c r="V541" s="2"/>
      <c r="W541" s="2"/>
      <c r="X541" s="2"/>
      <c r="Y541" s="2"/>
      <c r="Z541" s="2"/>
      <c r="AA541" s="2"/>
      <c r="AB541" s="2"/>
      <c r="AC541" s="2"/>
      <c r="AD541" s="2"/>
      <c r="AE541" s="2"/>
      <c r="AF541" s="2"/>
      <c r="AG541" s="2"/>
      <c r="AH541" s="2"/>
      <c r="AI541" s="2"/>
      <c r="AJ541" s="2"/>
    </row>
    <row r="542" spans="1:36" ht="17.25" customHeight="1" x14ac:dyDescent="0.2">
      <c r="A542" s="26" t="s">
        <v>0</v>
      </c>
      <c r="B542" s="26" t="s">
        <v>24</v>
      </c>
      <c r="C542" s="3" t="s">
        <v>4182</v>
      </c>
      <c r="D542" s="26" t="s">
        <v>1128</v>
      </c>
      <c r="E542" s="26" t="s">
        <v>1318</v>
      </c>
      <c r="F542" s="2">
        <v>8</v>
      </c>
      <c r="G542" s="4" t="s">
        <v>10</v>
      </c>
      <c r="H542" s="2">
        <v>1991</v>
      </c>
      <c r="I542" s="2" t="s">
        <v>1327</v>
      </c>
      <c r="J542" s="2" t="s">
        <v>1320</v>
      </c>
      <c r="K542" s="2"/>
      <c r="L542" s="2"/>
      <c r="M542" s="2" t="s">
        <v>1132</v>
      </c>
      <c r="N542" s="2"/>
      <c r="O542" s="2"/>
      <c r="P542" s="2" t="s">
        <v>1127</v>
      </c>
      <c r="Q542" s="2" t="s">
        <v>1127</v>
      </c>
      <c r="R542" s="2"/>
      <c r="S542" s="2"/>
      <c r="T542" s="2"/>
      <c r="U542" s="2"/>
      <c r="V542" s="2"/>
      <c r="W542" s="2"/>
      <c r="X542" s="2"/>
      <c r="Y542" s="2"/>
      <c r="Z542" s="2"/>
      <c r="AA542" s="2"/>
      <c r="AB542" s="2"/>
      <c r="AC542" s="2"/>
      <c r="AD542" s="2"/>
      <c r="AE542" s="2"/>
      <c r="AF542" s="2"/>
      <c r="AG542" s="2"/>
      <c r="AH542" s="2"/>
      <c r="AI542" s="2"/>
      <c r="AJ542" s="2"/>
    </row>
    <row r="543" spans="1:36" ht="17.25" customHeight="1" x14ac:dyDescent="0.2">
      <c r="A543" s="26" t="s">
        <v>0</v>
      </c>
      <c r="B543" s="26" t="s">
        <v>85</v>
      </c>
      <c r="C543" s="3" t="s">
        <v>4182</v>
      </c>
      <c r="D543" s="26" t="s">
        <v>1128</v>
      </c>
      <c r="E543" s="26" t="s">
        <v>1318</v>
      </c>
      <c r="F543" s="2">
        <v>9</v>
      </c>
      <c r="G543" s="4" t="s">
        <v>55</v>
      </c>
      <c r="H543" s="2">
        <v>1992</v>
      </c>
      <c r="I543" s="2" t="s">
        <v>1328</v>
      </c>
      <c r="J543" s="2" t="s">
        <v>1320</v>
      </c>
      <c r="K543" s="2"/>
      <c r="L543" s="2"/>
      <c r="M543" s="2" t="s">
        <v>1132</v>
      </c>
      <c r="N543" s="2"/>
      <c r="O543" s="2"/>
      <c r="P543" s="2" t="s">
        <v>1127</v>
      </c>
      <c r="Q543" s="2" t="s">
        <v>1127</v>
      </c>
      <c r="R543" s="2"/>
      <c r="S543" s="2"/>
      <c r="T543" s="2"/>
      <c r="U543" s="2"/>
      <c r="V543" s="2"/>
      <c r="W543" s="2"/>
      <c r="X543" s="2"/>
      <c r="Y543" s="2"/>
      <c r="Z543" s="2"/>
      <c r="AA543" s="2"/>
      <c r="AB543" s="2"/>
      <c r="AC543" s="2"/>
      <c r="AD543" s="2"/>
      <c r="AE543" s="2"/>
      <c r="AF543" s="2"/>
      <c r="AG543" s="2"/>
      <c r="AH543" s="2"/>
      <c r="AI543" s="2"/>
      <c r="AJ543" s="2"/>
    </row>
    <row r="544" spans="1:36" ht="17.25" customHeight="1" x14ac:dyDescent="0.2">
      <c r="A544" s="26" t="s">
        <v>0</v>
      </c>
      <c r="B544" s="26" t="s">
        <v>45</v>
      </c>
      <c r="C544" s="3" t="s">
        <v>4182</v>
      </c>
      <c r="D544" s="26" t="s">
        <v>1128</v>
      </c>
      <c r="E544" s="26" t="s">
        <v>1318</v>
      </c>
      <c r="F544" s="2">
        <v>10</v>
      </c>
      <c r="G544" s="4" t="s">
        <v>98</v>
      </c>
      <c r="H544" s="2">
        <v>1993</v>
      </c>
      <c r="I544" s="2" t="s">
        <v>1329</v>
      </c>
      <c r="J544" s="2" t="s">
        <v>1320</v>
      </c>
      <c r="K544" s="2"/>
      <c r="L544" s="2"/>
      <c r="M544" s="2" t="s">
        <v>1132</v>
      </c>
      <c r="N544" s="2"/>
      <c r="O544" s="2"/>
      <c r="P544" s="2" t="s">
        <v>1127</v>
      </c>
      <c r="Q544" s="2" t="s">
        <v>1127</v>
      </c>
      <c r="R544" s="2"/>
      <c r="S544" s="2"/>
      <c r="T544" s="2"/>
      <c r="U544" s="2"/>
      <c r="V544" s="2"/>
      <c r="W544" s="2"/>
      <c r="X544" s="2"/>
      <c r="Y544" s="2"/>
      <c r="Z544" s="2"/>
      <c r="AA544" s="2"/>
      <c r="AB544" s="2"/>
      <c r="AC544" s="2"/>
      <c r="AD544" s="2"/>
      <c r="AE544" s="2"/>
      <c r="AF544" s="2"/>
      <c r="AG544" s="2"/>
      <c r="AH544" s="2"/>
      <c r="AI544" s="2"/>
      <c r="AJ544" s="2"/>
    </row>
    <row r="545" spans="1:36" ht="17.25" customHeight="1" x14ac:dyDescent="0.2">
      <c r="A545" s="26" t="s">
        <v>0</v>
      </c>
      <c r="B545" s="26" t="s">
        <v>42</v>
      </c>
      <c r="C545" s="3" t="s">
        <v>4182</v>
      </c>
      <c r="D545" s="26" t="s">
        <v>1128</v>
      </c>
      <c r="E545" s="26" t="s">
        <v>1318</v>
      </c>
      <c r="F545" s="2">
        <v>11</v>
      </c>
      <c r="G545" s="4" t="s">
        <v>104</v>
      </c>
      <c r="H545" s="2">
        <v>1994</v>
      </c>
      <c r="I545" s="2" t="s">
        <v>1330</v>
      </c>
      <c r="J545" s="2" t="s">
        <v>1320</v>
      </c>
      <c r="K545" s="2"/>
      <c r="L545" s="2"/>
      <c r="M545" s="2" t="s">
        <v>1132</v>
      </c>
      <c r="N545" s="2"/>
      <c r="O545" s="2"/>
      <c r="P545" s="2" t="s">
        <v>1127</v>
      </c>
      <c r="Q545" s="2" t="s">
        <v>1127</v>
      </c>
      <c r="R545" s="2"/>
      <c r="S545" s="2"/>
      <c r="T545" s="2"/>
      <c r="U545" s="2"/>
      <c r="V545" s="2"/>
      <c r="W545" s="2"/>
      <c r="X545" s="2"/>
      <c r="Y545" s="2"/>
      <c r="Z545" s="2"/>
      <c r="AA545" s="2"/>
      <c r="AB545" s="2"/>
      <c r="AC545" s="2"/>
      <c r="AD545" s="2"/>
      <c r="AE545" s="2"/>
      <c r="AF545" s="2"/>
      <c r="AG545" s="2"/>
      <c r="AH545" s="2"/>
      <c r="AI545" s="2"/>
      <c r="AJ545" s="2"/>
    </row>
    <row r="546" spans="1:36" ht="17.25" customHeight="1" x14ac:dyDescent="0.2">
      <c r="A546" s="26" t="s">
        <v>0</v>
      </c>
      <c r="B546" s="26" t="s">
        <v>82</v>
      </c>
      <c r="C546" s="3" t="s">
        <v>4182</v>
      </c>
      <c r="D546" s="26" t="s">
        <v>1128</v>
      </c>
      <c r="E546" s="26" t="s">
        <v>1318</v>
      </c>
      <c r="F546" s="2">
        <v>12</v>
      </c>
      <c r="G546" s="4" t="s">
        <v>89</v>
      </c>
      <c r="H546" s="2">
        <v>1995</v>
      </c>
      <c r="I546" s="2" t="s">
        <v>1331</v>
      </c>
      <c r="J546" s="2" t="s">
        <v>1320</v>
      </c>
      <c r="K546" s="2"/>
      <c r="L546" s="2"/>
      <c r="M546" s="2" t="s">
        <v>1132</v>
      </c>
      <c r="N546" s="2"/>
      <c r="O546" s="2"/>
      <c r="P546" s="2" t="s">
        <v>1127</v>
      </c>
      <c r="Q546" s="2" t="s">
        <v>1127</v>
      </c>
      <c r="R546" s="2"/>
      <c r="S546" s="2"/>
      <c r="T546" s="2"/>
      <c r="U546" s="2"/>
      <c r="V546" s="2"/>
      <c r="W546" s="2"/>
      <c r="X546" s="2"/>
      <c r="Y546" s="2"/>
      <c r="Z546" s="2"/>
      <c r="AA546" s="2"/>
      <c r="AB546" s="2"/>
      <c r="AC546" s="2"/>
      <c r="AD546" s="2"/>
      <c r="AE546" s="2"/>
      <c r="AF546" s="2"/>
      <c r="AG546" s="2"/>
      <c r="AH546" s="2"/>
      <c r="AI546" s="2"/>
      <c r="AJ546" s="2"/>
    </row>
    <row r="547" spans="1:36" ht="17.25" customHeight="1" x14ac:dyDescent="0.2">
      <c r="A547" s="26" t="s">
        <v>0</v>
      </c>
      <c r="B547" s="26" t="s">
        <v>12</v>
      </c>
      <c r="C547" s="3" t="s">
        <v>4182</v>
      </c>
      <c r="D547" s="26" t="s">
        <v>1128</v>
      </c>
      <c r="E547" s="26" t="s">
        <v>1318</v>
      </c>
      <c r="F547" s="2">
        <v>13</v>
      </c>
      <c r="G547" s="4" t="s">
        <v>107</v>
      </c>
      <c r="H547" s="2">
        <v>1996</v>
      </c>
      <c r="I547" s="2" t="s">
        <v>1332</v>
      </c>
      <c r="J547" s="2" t="s">
        <v>1320</v>
      </c>
      <c r="K547" s="2"/>
      <c r="L547" s="2"/>
      <c r="M547" s="2" t="s">
        <v>1132</v>
      </c>
      <c r="N547" s="2"/>
      <c r="O547" s="2"/>
      <c r="P547" s="2" t="s">
        <v>1127</v>
      </c>
      <c r="Q547" s="2" t="s">
        <v>1127</v>
      </c>
      <c r="R547" s="2"/>
      <c r="S547" s="2"/>
      <c r="T547" s="2"/>
      <c r="U547" s="2"/>
      <c r="V547" s="2"/>
      <c r="W547" s="2"/>
      <c r="X547" s="2"/>
      <c r="Y547" s="2"/>
      <c r="Z547" s="2"/>
      <c r="AA547" s="2"/>
      <c r="AB547" s="2"/>
      <c r="AC547" s="2"/>
      <c r="AD547" s="2"/>
      <c r="AE547" s="2"/>
      <c r="AF547" s="2"/>
      <c r="AG547" s="2"/>
      <c r="AH547" s="2"/>
      <c r="AI547" s="2"/>
      <c r="AJ547" s="2"/>
    </row>
    <row r="548" spans="1:36" ht="17.25" customHeight="1" x14ac:dyDescent="0.2">
      <c r="A548" s="26" t="s">
        <v>0</v>
      </c>
      <c r="B548" s="26" t="s">
        <v>88</v>
      </c>
      <c r="C548" s="3" t="s">
        <v>4182</v>
      </c>
      <c r="D548" s="26" t="s">
        <v>1128</v>
      </c>
      <c r="E548" s="26" t="s">
        <v>1318</v>
      </c>
      <c r="F548" s="2">
        <v>14</v>
      </c>
      <c r="G548" s="4" t="s">
        <v>43</v>
      </c>
      <c r="H548" s="2">
        <v>1997</v>
      </c>
      <c r="I548" s="2" t="s">
        <v>1333</v>
      </c>
      <c r="J548" s="2" t="s">
        <v>1320</v>
      </c>
      <c r="K548" s="2"/>
      <c r="L548" s="2"/>
      <c r="M548" s="2" t="s">
        <v>1132</v>
      </c>
      <c r="N548" s="2"/>
      <c r="O548" s="2"/>
      <c r="P548" s="2" t="s">
        <v>1127</v>
      </c>
      <c r="Q548" s="2" t="s">
        <v>1127</v>
      </c>
      <c r="R548" s="2"/>
      <c r="S548" s="2"/>
      <c r="T548" s="2"/>
      <c r="U548" s="2"/>
      <c r="V548" s="2"/>
      <c r="W548" s="2"/>
      <c r="X548" s="2"/>
      <c r="Y548" s="2"/>
      <c r="Z548" s="2"/>
      <c r="AA548" s="2"/>
      <c r="AB548" s="2"/>
      <c r="AC548" s="2"/>
      <c r="AD548" s="2"/>
      <c r="AE548" s="2"/>
      <c r="AF548" s="2"/>
      <c r="AG548" s="2"/>
      <c r="AH548" s="2"/>
      <c r="AI548" s="2"/>
      <c r="AJ548" s="2"/>
    </row>
    <row r="549" spans="1:36" ht="17.25" customHeight="1" x14ac:dyDescent="0.2">
      <c r="A549" s="26" t="s">
        <v>0</v>
      </c>
      <c r="B549" s="26" t="s">
        <v>21</v>
      </c>
      <c r="C549" s="3" t="s">
        <v>4182</v>
      </c>
      <c r="D549" s="26" t="s">
        <v>1128</v>
      </c>
      <c r="E549" s="26" t="s">
        <v>1318</v>
      </c>
      <c r="F549" s="2">
        <v>15</v>
      </c>
      <c r="G549" s="4" t="s">
        <v>19</v>
      </c>
      <c r="H549" s="2">
        <v>1998</v>
      </c>
      <c r="I549" s="2" t="s">
        <v>1334</v>
      </c>
      <c r="J549" s="2" t="s">
        <v>1320</v>
      </c>
      <c r="K549" s="2"/>
      <c r="L549" s="2"/>
      <c r="M549" s="2" t="s">
        <v>1132</v>
      </c>
      <c r="N549" s="2"/>
      <c r="O549" s="2"/>
      <c r="P549" s="2" t="s">
        <v>1127</v>
      </c>
      <c r="Q549" s="2" t="s">
        <v>1127</v>
      </c>
      <c r="R549" s="2"/>
      <c r="S549" s="2"/>
      <c r="T549" s="2"/>
      <c r="U549" s="2"/>
      <c r="V549" s="2"/>
      <c r="W549" s="2"/>
      <c r="X549" s="2"/>
      <c r="Y549" s="2"/>
      <c r="Z549" s="2"/>
      <c r="AA549" s="2"/>
      <c r="AB549" s="2"/>
      <c r="AC549" s="2"/>
      <c r="AD549" s="2"/>
      <c r="AE549" s="2"/>
      <c r="AF549" s="2"/>
      <c r="AG549" s="2"/>
      <c r="AH549" s="2"/>
      <c r="AI549" s="2"/>
      <c r="AJ549" s="2"/>
    </row>
    <row r="550" spans="1:36" ht="17.25" customHeight="1" x14ac:dyDescent="0.2">
      <c r="A550" s="26" t="s">
        <v>0</v>
      </c>
      <c r="B550" s="26" t="s">
        <v>9</v>
      </c>
      <c r="C550" s="3" t="s">
        <v>4182</v>
      </c>
      <c r="D550" s="26" t="s">
        <v>1128</v>
      </c>
      <c r="E550" s="26" t="s">
        <v>1318</v>
      </c>
      <c r="F550" s="2">
        <v>16</v>
      </c>
      <c r="G550" s="4" t="s">
        <v>25</v>
      </c>
      <c r="H550" s="2">
        <v>1999</v>
      </c>
      <c r="I550" s="2" t="s">
        <v>1335</v>
      </c>
      <c r="J550" s="2" t="s">
        <v>1320</v>
      </c>
      <c r="K550" s="2"/>
      <c r="L550" s="2"/>
      <c r="M550" s="2" t="s">
        <v>1132</v>
      </c>
      <c r="N550" s="2"/>
      <c r="O550" s="2"/>
      <c r="P550" s="2" t="s">
        <v>1127</v>
      </c>
      <c r="Q550" s="2" t="s">
        <v>1127</v>
      </c>
      <c r="R550" s="2"/>
      <c r="S550" s="2"/>
      <c r="T550" s="2"/>
      <c r="U550" s="2"/>
      <c r="V550" s="2"/>
      <c r="W550" s="2"/>
      <c r="X550" s="2"/>
      <c r="Y550" s="2"/>
      <c r="Z550" s="2"/>
      <c r="AA550" s="2"/>
      <c r="AB550" s="2"/>
      <c r="AC550" s="2"/>
      <c r="AD550" s="2"/>
      <c r="AE550" s="2"/>
      <c r="AF550" s="2"/>
      <c r="AG550" s="2"/>
      <c r="AH550" s="2"/>
      <c r="AI550" s="2"/>
      <c r="AJ550" s="2"/>
    </row>
    <row r="551" spans="1:36" ht="17.25" customHeight="1" x14ac:dyDescent="0.2">
      <c r="A551" s="26" t="s">
        <v>0</v>
      </c>
      <c r="B551" s="26" t="s">
        <v>72</v>
      </c>
      <c r="C551" s="3" t="s">
        <v>4182</v>
      </c>
      <c r="D551" s="26" t="s">
        <v>1128</v>
      </c>
      <c r="E551" s="26" t="s">
        <v>1318</v>
      </c>
      <c r="F551" s="2">
        <v>17</v>
      </c>
      <c r="G551" s="4" t="s">
        <v>73</v>
      </c>
      <c r="H551" s="2">
        <v>2000</v>
      </c>
      <c r="I551" s="2" t="s">
        <v>1336</v>
      </c>
      <c r="J551" s="2" t="s">
        <v>1320</v>
      </c>
      <c r="K551" s="2"/>
      <c r="L551" s="2"/>
      <c r="M551" s="2" t="s">
        <v>1132</v>
      </c>
      <c r="N551" s="2"/>
      <c r="O551" s="2"/>
      <c r="P551" s="2" t="s">
        <v>1127</v>
      </c>
      <c r="Q551" s="2" t="s">
        <v>1127</v>
      </c>
      <c r="R551" s="2"/>
      <c r="S551" s="2"/>
      <c r="T551" s="2"/>
      <c r="U551" s="2"/>
      <c r="V551" s="2"/>
      <c r="W551" s="2"/>
      <c r="X551" s="2"/>
      <c r="Y551" s="2"/>
      <c r="Z551" s="2"/>
      <c r="AA551" s="2"/>
      <c r="AB551" s="2"/>
      <c r="AC551" s="2"/>
      <c r="AD551" s="2"/>
      <c r="AE551" s="2"/>
      <c r="AF551" s="2"/>
      <c r="AG551" s="2"/>
      <c r="AH551" s="2"/>
      <c r="AI551" s="2"/>
      <c r="AJ551" s="2"/>
    </row>
    <row r="552" spans="1:36" ht="17.25" customHeight="1" x14ac:dyDescent="0.2">
      <c r="A552" s="26" t="s">
        <v>0</v>
      </c>
      <c r="B552" s="26" t="s">
        <v>106</v>
      </c>
      <c r="C552" s="3" t="s">
        <v>4182</v>
      </c>
      <c r="D552" s="26" t="s">
        <v>1128</v>
      </c>
      <c r="E552" s="26" t="s">
        <v>1318</v>
      </c>
      <c r="F552" s="2">
        <v>18</v>
      </c>
      <c r="G552" s="4" t="s">
        <v>58</v>
      </c>
      <c r="H552" s="2">
        <v>2001</v>
      </c>
      <c r="I552" s="2" t="s">
        <v>1337</v>
      </c>
      <c r="J552" s="2" t="s">
        <v>1320</v>
      </c>
      <c r="K552" s="2"/>
      <c r="L552" s="2"/>
      <c r="M552" s="2" t="s">
        <v>1132</v>
      </c>
      <c r="N552" s="2"/>
      <c r="O552" s="2"/>
      <c r="P552" s="2" t="s">
        <v>1127</v>
      </c>
      <c r="Q552" s="2" t="s">
        <v>1127</v>
      </c>
      <c r="R552" s="2"/>
      <c r="S552" s="2"/>
      <c r="T552" s="2"/>
      <c r="U552" s="2"/>
      <c r="V552" s="2"/>
      <c r="W552" s="2"/>
      <c r="X552" s="2"/>
      <c r="Y552" s="2"/>
      <c r="Z552" s="2"/>
      <c r="AA552" s="2"/>
      <c r="AB552" s="2"/>
      <c r="AC552" s="2"/>
      <c r="AD552" s="2"/>
      <c r="AE552" s="2"/>
      <c r="AF552" s="2"/>
      <c r="AG552" s="2"/>
      <c r="AH552" s="2"/>
      <c r="AI552" s="2"/>
      <c r="AJ552" s="2"/>
    </row>
    <row r="553" spans="1:36" ht="17.25" customHeight="1" x14ac:dyDescent="0.2">
      <c r="A553" s="26" t="s">
        <v>0</v>
      </c>
      <c r="B553" s="26" t="s">
        <v>63</v>
      </c>
      <c r="C553" s="3" t="s">
        <v>4182</v>
      </c>
      <c r="D553" s="26" t="s">
        <v>1128</v>
      </c>
      <c r="E553" s="26" t="s">
        <v>1318</v>
      </c>
      <c r="F553" s="2">
        <v>19</v>
      </c>
      <c r="G553" s="4" t="s">
        <v>4</v>
      </c>
      <c r="H553" s="2">
        <v>2002</v>
      </c>
      <c r="I553" s="2" t="s">
        <v>1338</v>
      </c>
      <c r="J553" s="2" t="s">
        <v>1320</v>
      </c>
      <c r="K553" s="2"/>
      <c r="L553" s="2"/>
      <c r="M553" s="2" t="s">
        <v>1132</v>
      </c>
      <c r="N553" s="2"/>
      <c r="O553" s="2"/>
      <c r="P553" s="2" t="s">
        <v>1127</v>
      </c>
      <c r="Q553" s="2" t="s">
        <v>1127</v>
      </c>
      <c r="R553" s="2"/>
      <c r="S553" s="2"/>
      <c r="T553" s="2"/>
      <c r="U553" s="2"/>
      <c r="V553" s="2"/>
      <c r="W553" s="2"/>
      <c r="X553" s="2"/>
      <c r="Y553" s="2"/>
      <c r="Z553" s="2"/>
      <c r="AA553" s="2"/>
      <c r="AB553" s="2"/>
      <c r="AC553" s="2"/>
      <c r="AD553" s="2"/>
      <c r="AE553" s="2"/>
      <c r="AF553" s="2"/>
      <c r="AG553" s="2"/>
      <c r="AH553" s="2"/>
      <c r="AI553" s="2"/>
      <c r="AJ553" s="2"/>
    </row>
    <row r="554" spans="1:36" ht="17.25" customHeight="1" x14ac:dyDescent="0.2">
      <c r="A554" s="26" t="s">
        <v>0</v>
      </c>
      <c r="B554" s="26" t="s">
        <v>97</v>
      </c>
      <c r="C554" s="3" t="s">
        <v>4182</v>
      </c>
      <c r="D554" s="26" t="s">
        <v>1128</v>
      </c>
      <c r="E554" s="26" t="s">
        <v>1318</v>
      </c>
      <c r="F554" s="2">
        <v>20</v>
      </c>
      <c r="G554" s="4" t="s">
        <v>83</v>
      </c>
      <c r="H554" s="2">
        <v>2003</v>
      </c>
      <c r="I554" s="2" t="s">
        <v>1339</v>
      </c>
      <c r="J554" s="2" t="s">
        <v>1320</v>
      </c>
      <c r="K554" s="2"/>
      <c r="L554" s="2"/>
      <c r="M554" s="2" t="s">
        <v>1132</v>
      </c>
      <c r="N554" s="2"/>
      <c r="O554" s="2"/>
      <c r="P554" s="2" t="s">
        <v>1127</v>
      </c>
      <c r="Q554" s="2" t="s">
        <v>1127</v>
      </c>
      <c r="R554" s="2"/>
      <c r="S554" s="2"/>
      <c r="T554" s="2"/>
      <c r="U554" s="2"/>
      <c r="V554" s="2"/>
      <c r="W554" s="2"/>
      <c r="X554" s="2"/>
      <c r="Y554" s="2"/>
      <c r="Z554" s="2"/>
      <c r="AA554" s="2"/>
      <c r="AB554" s="2"/>
      <c r="AC554" s="2"/>
      <c r="AD554" s="2"/>
      <c r="AE554" s="2"/>
      <c r="AF554" s="2"/>
      <c r="AG554" s="2"/>
      <c r="AH554" s="2"/>
      <c r="AI554" s="2"/>
      <c r="AJ554" s="2"/>
    </row>
    <row r="555" spans="1:36" ht="17.25" customHeight="1" x14ac:dyDescent="0.2">
      <c r="A555" s="26" t="s">
        <v>0</v>
      </c>
      <c r="B555" s="26" t="s">
        <v>69</v>
      </c>
      <c r="C555" s="3" t="s">
        <v>4182</v>
      </c>
      <c r="D555" s="26" t="s">
        <v>1128</v>
      </c>
      <c r="E555" s="26" t="s">
        <v>1318</v>
      </c>
      <c r="F555" s="2">
        <v>21</v>
      </c>
      <c r="G555" s="4" t="s">
        <v>64</v>
      </c>
      <c r="H555" s="2">
        <v>2004</v>
      </c>
      <c r="I555" s="2" t="s">
        <v>1340</v>
      </c>
      <c r="J555" s="2" t="s">
        <v>1320</v>
      </c>
      <c r="K555" s="2"/>
      <c r="L555" s="2"/>
      <c r="M555" s="2" t="s">
        <v>1132</v>
      </c>
      <c r="N555" s="2"/>
      <c r="O555" s="2"/>
      <c r="P555" s="2" t="s">
        <v>1127</v>
      </c>
      <c r="Q555" s="2" t="s">
        <v>1127</v>
      </c>
      <c r="R555" s="2"/>
      <c r="S555" s="2"/>
      <c r="T555" s="2"/>
      <c r="U555" s="2"/>
      <c r="V555" s="2"/>
      <c r="W555" s="2"/>
      <c r="X555" s="2"/>
      <c r="Y555" s="2"/>
      <c r="Z555" s="2"/>
      <c r="AA555" s="2"/>
      <c r="AB555" s="2"/>
      <c r="AC555" s="2"/>
      <c r="AD555" s="2"/>
      <c r="AE555" s="2"/>
      <c r="AF555" s="2"/>
      <c r="AG555" s="2"/>
      <c r="AH555" s="2"/>
      <c r="AI555" s="2"/>
      <c r="AJ555" s="2"/>
    </row>
    <row r="556" spans="1:36" ht="17.25" customHeight="1" x14ac:dyDescent="0.2">
      <c r="A556" s="26" t="s">
        <v>0</v>
      </c>
      <c r="B556" s="26" t="s">
        <v>100</v>
      </c>
      <c r="C556" s="3" t="s">
        <v>4182</v>
      </c>
      <c r="D556" s="26" t="s">
        <v>1128</v>
      </c>
      <c r="E556" s="26" t="s">
        <v>1318</v>
      </c>
      <c r="F556" s="2">
        <v>22</v>
      </c>
      <c r="G556" s="4" t="s">
        <v>92</v>
      </c>
      <c r="H556" s="2">
        <v>2005</v>
      </c>
      <c r="I556" s="2" t="s">
        <v>1341</v>
      </c>
      <c r="J556" s="2" t="s">
        <v>1320</v>
      </c>
      <c r="K556" s="2"/>
      <c r="L556" s="2"/>
      <c r="M556" s="2" t="s">
        <v>1132</v>
      </c>
      <c r="N556" s="2"/>
      <c r="O556" s="2"/>
      <c r="P556" s="2" t="s">
        <v>1127</v>
      </c>
      <c r="Q556" s="2" t="s">
        <v>1127</v>
      </c>
      <c r="R556" s="2"/>
      <c r="S556" s="2"/>
      <c r="T556" s="2"/>
      <c r="U556" s="2"/>
      <c r="V556" s="2"/>
      <c r="W556" s="2"/>
      <c r="X556" s="2"/>
      <c r="Y556" s="2"/>
      <c r="Z556" s="2"/>
      <c r="AA556" s="2"/>
      <c r="AB556" s="2"/>
      <c r="AC556" s="2"/>
      <c r="AD556" s="2"/>
      <c r="AE556" s="2"/>
      <c r="AF556" s="2"/>
      <c r="AG556" s="2"/>
      <c r="AH556" s="2"/>
      <c r="AI556" s="2"/>
      <c r="AJ556" s="2"/>
    </row>
    <row r="557" spans="1:36" ht="17.25" customHeight="1" x14ac:dyDescent="0.2">
      <c r="A557" s="26" t="s">
        <v>0</v>
      </c>
      <c r="B557" s="26" t="s">
        <v>79</v>
      </c>
      <c r="C557" s="3" t="s">
        <v>4182</v>
      </c>
      <c r="D557" s="26" t="s">
        <v>1128</v>
      </c>
      <c r="E557" s="26" t="s">
        <v>1318</v>
      </c>
      <c r="F557" s="2">
        <v>23</v>
      </c>
      <c r="G557" s="4" t="s">
        <v>52</v>
      </c>
      <c r="H557" s="2">
        <v>2006</v>
      </c>
      <c r="I557" s="2" t="s">
        <v>1342</v>
      </c>
      <c r="J557" s="2" t="s">
        <v>1320</v>
      </c>
      <c r="K557" s="2"/>
      <c r="L557" s="2"/>
      <c r="M557" s="2" t="s">
        <v>1132</v>
      </c>
      <c r="N557" s="2"/>
      <c r="O557" s="2"/>
      <c r="P557" s="2" t="s">
        <v>1127</v>
      </c>
      <c r="Q557" s="2" t="s">
        <v>1127</v>
      </c>
      <c r="R557" s="2"/>
      <c r="S557" s="2"/>
      <c r="T557" s="2"/>
      <c r="U557" s="2"/>
      <c r="V557" s="2"/>
      <c r="W557" s="2"/>
      <c r="X557" s="2"/>
      <c r="Y557" s="2"/>
      <c r="Z557" s="2"/>
      <c r="AA557" s="2"/>
      <c r="AB557" s="2"/>
      <c r="AC557" s="2"/>
      <c r="AD557" s="2"/>
      <c r="AE557" s="2"/>
      <c r="AF557" s="2"/>
      <c r="AG557" s="2"/>
      <c r="AH557" s="2"/>
      <c r="AI557" s="2"/>
      <c r="AJ557" s="2"/>
    </row>
    <row r="558" spans="1:36" ht="17.25" customHeight="1" x14ac:dyDescent="0.2">
      <c r="A558" s="26" t="s">
        <v>0</v>
      </c>
      <c r="B558" s="26" t="s">
        <v>39</v>
      </c>
      <c r="C558" s="3" t="s">
        <v>4182</v>
      </c>
      <c r="D558" s="26" t="s">
        <v>1128</v>
      </c>
      <c r="E558" s="26" t="s">
        <v>1318</v>
      </c>
      <c r="F558" s="2">
        <v>24</v>
      </c>
      <c r="G558" s="4" t="s">
        <v>95</v>
      </c>
      <c r="H558" s="2">
        <v>2007</v>
      </c>
      <c r="I558" s="2" t="s">
        <v>1343</v>
      </c>
      <c r="J558" s="2" t="s">
        <v>1320</v>
      </c>
      <c r="K558" s="2"/>
      <c r="L558" s="2"/>
      <c r="M558" s="2" t="s">
        <v>1132</v>
      </c>
      <c r="N558" s="2"/>
      <c r="O558" s="2"/>
      <c r="P558" s="2" t="s">
        <v>1127</v>
      </c>
      <c r="Q558" s="2" t="s">
        <v>1127</v>
      </c>
      <c r="R558" s="2"/>
      <c r="S558" s="2"/>
      <c r="T558" s="2"/>
      <c r="U558" s="2"/>
      <c r="V558" s="2"/>
      <c r="W558" s="2"/>
      <c r="X558" s="2"/>
      <c r="Y558" s="2"/>
      <c r="Z558" s="2"/>
      <c r="AA558" s="2"/>
      <c r="AB558" s="2"/>
      <c r="AC558" s="2"/>
      <c r="AD558" s="2"/>
      <c r="AE558" s="2"/>
      <c r="AF558" s="2"/>
      <c r="AG558" s="2"/>
      <c r="AH558" s="2"/>
      <c r="AI558" s="2"/>
      <c r="AJ558" s="2"/>
    </row>
    <row r="559" spans="1:36" ht="17.25" customHeight="1" x14ac:dyDescent="0.2">
      <c r="A559" s="26" t="s">
        <v>0</v>
      </c>
      <c r="B559" s="26" t="s">
        <v>36</v>
      </c>
      <c r="C559" s="3" t="s">
        <v>4182</v>
      </c>
      <c r="D559" s="26" t="s">
        <v>1128</v>
      </c>
      <c r="E559" s="26" t="s">
        <v>1318</v>
      </c>
      <c r="F559" s="2">
        <v>25</v>
      </c>
      <c r="G559" s="4" t="s">
        <v>70</v>
      </c>
      <c r="H559" s="2">
        <v>2008</v>
      </c>
      <c r="I559" s="2" t="s">
        <v>1344</v>
      </c>
      <c r="J559" s="2" t="s">
        <v>1320</v>
      </c>
      <c r="K559" s="2"/>
      <c r="L559" s="2"/>
      <c r="M559" s="2" t="s">
        <v>1132</v>
      </c>
      <c r="N559" s="2"/>
      <c r="O559" s="2"/>
      <c r="P559" s="2" t="s">
        <v>1127</v>
      </c>
      <c r="Q559" s="2" t="s">
        <v>1127</v>
      </c>
      <c r="R559" s="2"/>
      <c r="S559" s="2"/>
      <c r="T559" s="2"/>
      <c r="U559" s="2"/>
      <c r="V559" s="2"/>
      <c r="W559" s="2"/>
      <c r="X559" s="2"/>
      <c r="Y559" s="2"/>
      <c r="Z559" s="2"/>
      <c r="AA559" s="2"/>
      <c r="AB559" s="2"/>
      <c r="AC559" s="2"/>
      <c r="AD559" s="2"/>
      <c r="AE559" s="2"/>
      <c r="AF559" s="2"/>
      <c r="AG559" s="2"/>
      <c r="AH559" s="2"/>
      <c r="AI559" s="2"/>
      <c r="AJ559" s="2"/>
    </row>
    <row r="560" spans="1:36" ht="17.25" customHeight="1" x14ac:dyDescent="0.2">
      <c r="A560" s="26" t="s">
        <v>0</v>
      </c>
      <c r="B560" s="26" t="s">
        <v>91</v>
      </c>
      <c r="C560" s="3" t="s">
        <v>4182</v>
      </c>
      <c r="D560" s="26" t="s">
        <v>1128</v>
      </c>
      <c r="E560" s="26" t="s">
        <v>1318</v>
      </c>
      <c r="F560" s="2">
        <v>26</v>
      </c>
      <c r="G560" s="4" t="s">
        <v>16</v>
      </c>
      <c r="H560" s="2">
        <v>2009</v>
      </c>
      <c r="I560" s="2" t="s">
        <v>1345</v>
      </c>
      <c r="J560" s="2" t="s">
        <v>1320</v>
      </c>
      <c r="K560" s="2"/>
      <c r="L560" s="2"/>
      <c r="M560" s="2" t="s">
        <v>1132</v>
      </c>
      <c r="N560" s="2"/>
      <c r="O560" s="2"/>
      <c r="P560" s="2" t="s">
        <v>1127</v>
      </c>
      <c r="Q560" s="2" t="s">
        <v>1127</v>
      </c>
      <c r="R560" s="2"/>
      <c r="S560" s="2"/>
      <c r="T560" s="2"/>
      <c r="U560" s="2"/>
      <c r="V560" s="2"/>
      <c r="W560" s="2"/>
      <c r="X560" s="2"/>
      <c r="Y560" s="2"/>
      <c r="Z560" s="2"/>
      <c r="AA560" s="2"/>
      <c r="AB560" s="2"/>
      <c r="AC560" s="2"/>
      <c r="AD560" s="2"/>
      <c r="AE560" s="2"/>
      <c r="AF560" s="2"/>
      <c r="AG560" s="2"/>
      <c r="AH560" s="2"/>
      <c r="AI560" s="2"/>
      <c r="AJ560" s="2"/>
    </row>
    <row r="561" spans="1:36" ht="17.25" customHeight="1" x14ac:dyDescent="0.2">
      <c r="A561" s="26" t="s">
        <v>0</v>
      </c>
      <c r="B561" s="26" t="s">
        <v>103</v>
      </c>
      <c r="C561" s="3" t="s">
        <v>4182</v>
      </c>
      <c r="D561" s="26" t="s">
        <v>1128</v>
      </c>
      <c r="E561" s="26" t="s">
        <v>1318</v>
      </c>
      <c r="F561" s="2">
        <v>27</v>
      </c>
      <c r="G561" s="4" t="s">
        <v>34</v>
      </c>
      <c r="H561" s="2">
        <v>2010</v>
      </c>
      <c r="I561" s="2" t="s">
        <v>1346</v>
      </c>
      <c r="J561" s="2" t="s">
        <v>1320</v>
      </c>
      <c r="K561" s="2"/>
      <c r="L561" s="2"/>
      <c r="M561" s="2" t="s">
        <v>1132</v>
      </c>
      <c r="N561" s="2"/>
      <c r="O561" s="2"/>
      <c r="P561" s="2" t="s">
        <v>1127</v>
      </c>
      <c r="Q561" s="2" t="s">
        <v>1127</v>
      </c>
      <c r="R561" s="2"/>
      <c r="S561" s="2"/>
      <c r="T561" s="2"/>
      <c r="U561" s="2"/>
      <c r="V561" s="2"/>
      <c r="W561" s="2"/>
      <c r="X561" s="2"/>
      <c r="Y561" s="2"/>
      <c r="Z561" s="2"/>
      <c r="AA561" s="2"/>
      <c r="AB561" s="2"/>
      <c r="AC561" s="2"/>
      <c r="AD561" s="2"/>
      <c r="AE561" s="2"/>
      <c r="AF561" s="2"/>
      <c r="AG561" s="2"/>
      <c r="AH561" s="2"/>
      <c r="AI561" s="2"/>
      <c r="AJ561" s="2"/>
    </row>
    <row r="562" spans="1:36" ht="17.25" customHeight="1" x14ac:dyDescent="0.2">
      <c r="A562" s="26" t="s">
        <v>0</v>
      </c>
      <c r="B562" s="26" t="s">
        <v>33</v>
      </c>
      <c r="C562" s="3" t="s">
        <v>4182</v>
      </c>
      <c r="D562" s="26" t="s">
        <v>1128</v>
      </c>
      <c r="E562" s="26" t="s">
        <v>1318</v>
      </c>
      <c r="F562" s="2">
        <v>28</v>
      </c>
      <c r="G562" s="4" t="s">
        <v>46</v>
      </c>
      <c r="H562" s="2">
        <v>2011</v>
      </c>
      <c r="I562" s="2" t="s">
        <v>1347</v>
      </c>
      <c r="J562" s="2" t="s">
        <v>1320</v>
      </c>
      <c r="K562" s="2"/>
      <c r="L562" s="2"/>
      <c r="M562" s="2" t="s">
        <v>1132</v>
      </c>
      <c r="N562" s="2"/>
      <c r="O562" s="2"/>
      <c r="P562" s="2" t="s">
        <v>1127</v>
      </c>
      <c r="Q562" s="2" t="s">
        <v>1127</v>
      </c>
      <c r="R562" s="2"/>
      <c r="S562" s="2"/>
      <c r="T562" s="2"/>
      <c r="U562" s="2"/>
      <c r="V562" s="2"/>
      <c r="W562" s="2"/>
      <c r="X562" s="2"/>
      <c r="Y562" s="2"/>
      <c r="Z562" s="2"/>
      <c r="AA562" s="2"/>
      <c r="AB562" s="2"/>
      <c r="AC562" s="2"/>
      <c r="AD562" s="2"/>
      <c r="AE562" s="2"/>
      <c r="AF562" s="2"/>
      <c r="AG562" s="2"/>
      <c r="AH562" s="2"/>
      <c r="AI562" s="2"/>
      <c r="AJ562" s="2"/>
    </row>
    <row r="563" spans="1:36" ht="17.25" customHeight="1" x14ac:dyDescent="0.2">
      <c r="A563" s="26" t="s">
        <v>0</v>
      </c>
      <c r="B563" s="26" t="s">
        <v>27</v>
      </c>
      <c r="C563" s="3" t="s">
        <v>4182</v>
      </c>
      <c r="D563" s="26" t="s">
        <v>1128</v>
      </c>
      <c r="E563" s="26" t="s">
        <v>1318</v>
      </c>
      <c r="F563" s="2">
        <v>29</v>
      </c>
      <c r="G563" s="4" t="s">
        <v>61</v>
      </c>
      <c r="H563" s="2">
        <v>2012</v>
      </c>
      <c r="I563" s="2" t="s">
        <v>1348</v>
      </c>
      <c r="J563" s="2" t="s">
        <v>1320</v>
      </c>
      <c r="K563" s="2"/>
      <c r="L563" s="2"/>
      <c r="M563" s="2" t="s">
        <v>1132</v>
      </c>
      <c r="N563" s="2"/>
      <c r="O563" s="2"/>
      <c r="P563" s="2" t="s">
        <v>1127</v>
      </c>
      <c r="Q563" s="2" t="s">
        <v>1127</v>
      </c>
      <c r="R563" s="2"/>
      <c r="S563" s="2"/>
      <c r="T563" s="2"/>
      <c r="U563" s="2"/>
      <c r="V563" s="2"/>
      <c r="W563" s="2"/>
      <c r="X563" s="2"/>
      <c r="Y563" s="2"/>
      <c r="Z563" s="2"/>
      <c r="AA563" s="2"/>
      <c r="AB563" s="2"/>
      <c r="AC563" s="2"/>
      <c r="AD563" s="2"/>
      <c r="AE563" s="2"/>
      <c r="AF563" s="2"/>
      <c r="AG563" s="2"/>
      <c r="AH563" s="2"/>
      <c r="AI563" s="2"/>
      <c r="AJ563" s="2"/>
    </row>
    <row r="564" spans="1:36" ht="17.25" customHeight="1" x14ac:dyDescent="0.2">
      <c r="A564" s="26" t="s">
        <v>0</v>
      </c>
      <c r="B564" s="26" t="s">
        <v>54</v>
      </c>
      <c r="C564" s="3" t="s">
        <v>4182</v>
      </c>
      <c r="D564" s="26" t="s">
        <v>1128</v>
      </c>
      <c r="E564" s="26" t="s">
        <v>1318</v>
      </c>
      <c r="F564" s="2">
        <v>30</v>
      </c>
      <c r="G564" s="4" t="s">
        <v>86</v>
      </c>
      <c r="H564" s="2">
        <v>2013</v>
      </c>
      <c r="I564" s="2" t="s">
        <v>1349</v>
      </c>
      <c r="J564" s="2" t="s">
        <v>1320</v>
      </c>
      <c r="K564" s="2"/>
      <c r="L564" s="2"/>
      <c r="M564" s="2" t="s">
        <v>1132</v>
      </c>
      <c r="N564" s="2"/>
      <c r="O564" s="2"/>
      <c r="P564" s="2" t="s">
        <v>1127</v>
      </c>
      <c r="Q564" s="2" t="s">
        <v>1127</v>
      </c>
      <c r="R564" s="2"/>
      <c r="S564" s="2"/>
      <c r="T564" s="2"/>
      <c r="U564" s="2"/>
      <c r="V564" s="2"/>
      <c r="W564" s="2"/>
      <c r="X564" s="2"/>
      <c r="Y564" s="2"/>
      <c r="Z564" s="2"/>
      <c r="AA564" s="2"/>
      <c r="AB564" s="2"/>
      <c r="AC564" s="2"/>
      <c r="AD564" s="2"/>
      <c r="AE564" s="2"/>
      <c r="AF564" s="2"/>
      <c r="AG564" s="2"/>
      <c r="AH564" s="2"/>
      <c r="AI564" s="2"/>
      <c r="AJ564" s="2"/>
    </row>
    <row r="565" spans="1:36" ht="17.25" customHeight="1" x14ac:dyDescent="0.2">
      <c r="A565" s="26" t="s">
        <v>0</v>
      </c>
      <c r="B565" s="26" t="s">
        <v>57</v>
      </c>
      <c r="C565" s="3" t="s">
        <v>4182</v>
      </c>
      <c r="D565" s="26" t="s">
        <v>1128</v>
      </c>
      <c r="E565" s="26" t="s">
        <v>1318</v>
      </c>
      <c r="F565" s="2">
        <v>31</v>
      </c>
      <c r="G565" s="4" t="s">
        <v>22</v>
      </c>
      <c r="H565" s="2">
        <v>2014</v>
      </c>
      <c r="I565" s="2" t="s">
        <v>1350</v>
      </c>
      <c r="J565" s="2" t="s">
        <v>1320</v>
      </c>
      <c r="K565" s="2"/>
      <c r="L565" s="2"/>
      <c r="M565" s="2" t="s">
        <v>1132</v>
      </c>
      <c r="N565" s="2"/>
      <c r="O565" s="2"/>
      <c r="P565" s="2" t="s">
        <v>1127</v>
      </c>
      <c r="Q565" s="2" t="s">
        <v>1127</v>
      </c>
      <c r="R565" s="2"/>
      <c r="S565" s="2"/>
      <c r="T565" s="2"/>
      <c r="U565" s="2"/>
      <c r="V565" s="2"/>
      <c r="W565" s="2"/>
      <c r="X565" s="2"/>
      <c r="Y565" s="2"/>
      <c r="Z565" s="2"/>
      <c r="AA565" s="2"/>
      <c r="AB565" s="2"/>
      <c r="AC565" s="2"/>
      <c r="AD565" s="2"/>
      <c r="AE565" s="2"/>
      <c r="AF565" s="2"/>
      <c r="AG565" s="2"/>
      <c r="AH565" s="2"/>
      <c r="AI565" s="2"/>
      <c r="AJ565" s="2"/>
    </row>
    <row r="566" spans="1:36" ht="17.25" customHeight="1" x14ac:dyDescent="0.2">
      <c r="A566" s="26" t="s">
        <v>0</v>
      </c>
      <c r="B566" s="26" t="s">
        <v>18</v>
      </c>
      <c r="C566" s="3" t="s">
        <v>4182</v>
      </c>
      <c r="D566" s="26" t="s">
        <v>1128</v>
      </c>
      <c r="E566" s="26" t="s">
        <v>1318</v>
      </c>
      <c r="F566" s="2">
        <v>32</v>
      </c>
      <c r="G566" s="4" t="s">
        <v>28</v>
      </c>
      <c r="H566" s="2">
        <v>2015</v>
      </c>
      <c r="I566" s="2" t="s">
        <v>1351</v>
      </c>
      <c r="J566" s="2" t="s">
        <v>1320</v>
      </c>
      <c r="K566" s="2"/>
      <c r="L566" s="2"/>
      <c r="M566" s="2" t="s">
        <v>1132</v>
      </c>
      <c r="N566" s="2"/>
      <c r="O566" s="2"/>
      <c r="P566" s="2" t="s">
        <v>1127</v>
      </c>
      <c r="Q566" s="2" t="s">
        <v>1127</v>
      </c>
      <c r="R566" s="2"/>
      <c r="S566" s="2"/>
      <c r="T566" s="2"/>
      <c r="U566" s="2"/>
      <c r="V566" s="2"/>
      <c r="W566" s="2"/>
      <c r="X566" s="2"/>
      <c r="Y566" s="2"/>
      <c r="Z566" s="2"/>
      <c r="AA566" s="2"/>
      <c r="AB566" s="2"/>
      <c r="AC566" s="2"/>
      <c r="AD566" s="2"/>
      <c r="AE566" s="2"/>
      <c r="AF566" s="2"/>
      <c r="AG566" s="2"/>
      <c r="AH566" s="2"/>
      <c r="AI566" s="2"/>
      <c r="AJ566" s="2"/>
    </row>
    <row r="567" spans="1:36" ht="17.25" customHeight="1" x14ac:dyDescent="0.2">
      <c r="A567" s="26" t="s">
        <v>0</v>
      </c>
      <c r="B567" s="26" t="s">
        <v>75</v>
      </c>
      <c r="C567" s="3" t="s">
        <v>4182</v>
      </c>
      <c r="D567" s="26" t="s">
        <v>1128</v>
      </c>
      <c r="E567" s="26" t="s">
        <v>1318</v>
      </c>
      <c r="F567" s="2">
        <v>33</v>
      </c>
      <c r="G567" s="4" t="s">
        <v>76</v>
      </c>
      <c r="H567" s="2">
        <v>2016</v>
      </c>
      <c r="I567" s="2" t="s">
        <v>1352</v>
      </c>
      <c r="J567" s="2" t="s">
        <v>1320</v>
      </c>
      <c r="K567" s="2"/>
      <c r="L567" s="2"/>
      <c r="M567" s="2" t="s">
        <v>1132</v>
      </c>
      <c r="N567" s="2"/>
      <c r="O567" s="2"/>
      <c r="P567" s="2" t="s">
        <v>1127</v>
      </c>
      <c r="Q567" s="2" t="s">
        <v>1127</v>
      </c>
      <c r="R567" s="2"/>
      <c r="S567" s="2"/>
      <c r="T567" s="2"/>
      <c r="U567" s="2"/>
      <c r="V567" s="2"/>
      <c r="W567" s="2"/>
      <c r="X567" s="2"/>
      <c r="Y567" s="2"/>
      <c r="Z567" s="2"/>
      <c r="AA567" s="2"/>
      <c r="AB567" s="2"/>
      <c r="AC567" s="2"/>
      <c r="AD567" s="2"/>
      <c r="AE567" s="2"/>
      <c r="AF567" s="2"/>
      <c r="AG567" s="2"/>
      <c r="AH567" s="2"/>
      <c r="AI567" s="2"/>
      <c r="AJ567" s="2"/>
    </row>
    <row r="568" spans="1:36" ht="17.25" customHeight="1" x14ac:dyDescent="0.2">
      <c r="A568" s="26" t="s">
        <v>0</v>
      </c>
      <c r="B568" s="26" t="s">
        <v>15</v>
      </c>
      <c r="C568" s="3" t="s">
        <v>4182</v>
      </c>
      <c r="D568" s="26" t="s">
        <v>1636</v>
      </c>
      <c r="E568" s="26" t="s">
        <v>1165</v>
      </c>
      <c r="F568" s="2">
        <v>1</v>
      </c>
      <c r="G568" s="4" t="s">
        <v>40</v>
      </c>
      <c r="H568" s="2">
        <v>1984</v>
      </c>
      <c r="I568" s="2" t="s">
        <v>1166</v>
      </c>
      <c r="J568" s="2" t="s">
        <v>1167</v>
      </c>
      <c r="K568" s="2"/>
      <c r="L568" s="2"/>
      <c r="M568" s="2" t="s">
        <v>1132</v>
      </c>
      <c r="N568" s="2"/>
      <c r="O568" s="2"/>
      <c r="P568" s="2" t="s">
        <v>1843</v>
      </c>
      <c r="Q568" s="2" t="s">
        <v>1127</v>
      </c>
      <c r="R568" s="2"/>
      <c r="S568" s="2"/>
      <c r="T568" s="2"/>
      <c r="U568" s="2"/>
      <c r="V568" s="2"/>
      <c r="W568" s="2"/>
      <c r="X568" s="2"/>
      <c r="Y568" s="2"/>
      <c r="Z568" s="2"/>
      <c r="AA568" s="2"/>
      <c r="AB568" s="2"/>
      <c r="AC568" s="2"/>
      <c r="AD568" s="2"/>
      <c r="AE568" s="2"/>
      <c r="AF568" s="2"/>
      <c r="AG568" s="2"/>
      <c r="AH568" s="2"/>
      <c r="AI568" s="2"/>
      <c r="AJ568" s="2"/>
    </row>
    <row r="569" spans="1:36" ht="17.25" customHeight="1" x14ac:dyDescent="0.2">
      <c r="A569" s="26" t="s">
        <v>0</v>
      </c>
      <c r="B569" s="26" t="s">
        <v>30</v>
      </c>
      <c r="C569" s="3" t="s">
        <v>4182</v>
      </c>
      <c r="D569" s="26" t="s">
        <v>1636</v>
      </c>
      <c r="E569" s="26" t="s">
        <v>1165</v>
      </c>
      <c r="F569" s="2">
        <v>2</v>
      </c>
      <c r="G569" s="4" t="s">
        <v>37</v>
      </c>
      <c r="H569" s="2">
        <v>1985</v>
      </c>
      <c r="I569" s="2" t="s">
        <v>1168</v>
      </c>
      <c r="J569" s="2" t="s">
        <v>1167</v>
      </c>
      <c r="K569" s="2"/>
      <c r="L569" s="2"/>
      <c r="M569" s="2" t="s">
        <v>1132</v>
      </c>
      <c r="N569" s="2"/>
      <c r="O569" s="2"/>
      <c r="P569" s="2" t="s">
        <v>1843</v>
      </c>
      <c r="Q569" s="2" t="s">
        <v>1127</v>
      </c>
      <c r="R569" s="2"/>
      <c r="S569" s="2"/>
      <c r="T569" s="2"/>
      <c r="U569" s="2"/>
      <c r="V569" s="2"/>
      <c r="W569" s="2"/>
      <c r="X569" s="2"/>
      <c r="Y569" s="2"/>
      <c r="Z569" s="2"/>
      <c r="AA569" s="2"/>
      <c r="AB569" s="2"/>
      <c r="AC569" s="2"/>
      <c r="AD569" s="2"/>
      <c r="AE569" s="2"/>
      <c r="AF569" s="2"/>
      <c r="AG569" s="2"/>
      <c r="AH569" s="2"/>
      <c r="AI569" s="2"/>
      <c r="AJ569" s="2"/>
    </row>
    <row r="570" spans="1:36" ht="17.25" customHeight="1" x14ac:dyDescent="0.2">
      <c r="A570" s="26" t="s">
        <v>0</v>
      </c>
      <c r="B570" s="26" t="s">
        <v>94</v>
      </c>
      <c r="C570" s="3" t="s">
        <v>4182</v>
      </c>
      <c r="D570" s="26" t="s">
        <v>1636</v>
      </c>
      <c r="E570" s="26" t="s">
        <v>1165</v>
      </c>
      <c r="F570" s="2">
        <v>3</v>
      </c>
      <c r="G570" s="4" t="s">
        <v>80</v>
      </c>
      <c r="H570" s="2">
        <v>1986</v>
      </c>
      <c r="I570" s="2" t="s">
        <v>1169</v>
      </c>
      <c r="J570" s="2" t="s">
        <v>1167</v>
      </c>
      <c r="K570" s="2"/>
      <c r="L570" s="2"/>
      <c r="M570" s="2" t="s">
        <v>1132</v>
      </c>
      <c r="N570" s="2"/>
      <c r="O570" s="2"/>
      <c r="P570" s="2" t="s">
        <v>1843</v>
      </c>
      <c r="Q570" s="2" t="s">
        <v>1127</v>
      </c>
      <c r="R570" s="2"/>
      <c r="S570" s="2"/>
      <c r="T570" s="2"/>
      <c r="U570" s="2"/>
      <c r="V570" s="2"/>
      <c r="W570" s="2"/>
      <c r="X570" s="2"/>
      <c r="Y570" s="2"/>
      <c r="Z570" s="2"/>
      <c r="AA570" s="2"/>
      <c r="AB570" s="2"/>
      <c r="AC570" s="2"/>
      <c r="AD570" s="2"/>
      <c r="AE570" s="2"/>
      <c r="AF570" s="2"/>
      <c r="AG570" s="2"/>
      <c r="AH570" s="2"/>
      <c r="AI570" s="2"/>
      <c r="AJ570" s="2"/>
    </row>
    <row r="571" spans="1:36" ht="17.25" customHeight="1" x14ac:dyDescent="0.2">
      <c r="A571" s="26" t="s">
        <v>0</v>
      </c>
      <c r="B571" s="26" t="s">
        <v>1</v>
      </c>
      <c r="C571" s="3" t="s">
        <v>4182</v>
      </c>
      <c r="D571" s="26" t="s">
        <v>1636</v>
      </c>
      <c r="E571" s="26" t="s">
        <v>1165</v>
      </c>
      <c r="F571" s="2">
        <v>4</v>
      </c>
      <c r="G571" s="4" t="s">
        <v>31</v>
      </c>
      <c r="H571" s="2">
        <v>1987</v>
      </c>
      <c r="I571" s="2" t="s">
        <v>1170</v>
      </c>
      <c r="J571" s="2" t="s">
        <v>1167</v>
      </c>
      <c r="K571" s="2"/>
      <c r="L571" s="2"/>
      <c r="M571" s="2" t="s">
        <v>1132</v>
      </c>
      <c r="N571" s="2"/>
      <c r="O571" s="2"/>
      <c r="P571" s="2" t="s">
        <v>1843</v>
      </c>
      <c r="Q571" s="2" t="s">
        <v>1127</v>
      </c>
      <c r="R571" s="2"/>
      <c r="S571" s="2"/>
      <c r="T571" s="2"/>
      <c r="U571" s="2"/>
      <c r="V571" s="2"/>
      <c r="W571" s="2"/>
      <c r="X571" s="2"/>
      <c r="Y571" s="2"/>
      <c r="Z571" s="2"/>
      <c r="AA571" s="2"/>
      <c r="AB571" s="2"/>
      <c r="AC571" s="2"/>
      <c r="AD571" s="2"/>
      <c r="AE571" s="2"/>
      <c r="AF571" s="2"/>
      <c r="AG571" s="2"/>
      <c r="AH571" s="2"/>
      <c r="AI571" s="2"/>
      <c r="AJ571" s="2"/>
    </row>
    <row r="572" spans="1:36" ht="17.25" customHeight="1" x14ac:dyDescent="0.2">
      <c r="A572" s="26" t="s">
        <v>0</v>
      </c>
      <c r="B572" s="26" t="s">
        <v>48</v>
      </c>
      <c r="C572" s="3" t="s">
        <v>4182</v>
      </c>
      <c r="D572" s="26" t="s">
        <v>1636</v>
      </c>
      <c r="E572" s="26" t="s">
        <v>1165</v>
      </c>
      <c r="F572" s="2">
        <v>5</v>
      </c>
      <c r="G572" s="4" t="s">
        <v>13</v>
      </c>
      <c r="H572" s="2">
        <v>1988</v>
      </c>
      <c r="I572" s="2" t="s">
        <v>1171</v>
      </c>
      <c r="J572" s="2" t="s">
        <v>1167</v>
      </c>
      <c r="K572" s="2"/>
      <c r="L572" s="2"/>
      <c r="M572" s="2" t="s">
        <v>1132</v>
      </c>
      <c r="N572" s="2"/>
      <c r="O572" s="2"/>
      <c r="P572" s="2" t="s">
        <v>1843</v>
      </c>
      <c r="Q572" s="2" t="s">
        <v>1127</v>
      </c>
      <c r="R572" s="2"/>
      <c r="S572" s="2"/>
      <c r="T572" s="2"/>
      <c r="U572" s="2"/>
      <c r="V572" s="2"/>
      <c r="W572" s="2"/>
      <c r="X572" s="2"/>
      <c r="Y572" s="2"/>
      <c r="Z572" s="2"/>
      <c r="AA572" s="2"/>
      <c r="AB572" s="2"/>
      <c r="AC572" s="2"/>
      <c r="AD572" s="2"/>
      <c r="AE572" s="2"/>
      <c r="AF572" s="2"/>
      <c r="AG572" s="2"/>
      <c r="AH572" s="2"/>
      <c r="AI572" s="2"/>
      <c r="AJ572" s="2"/>
    </row>
    <row r="573" spans="1:36" ht="17.25" customHeight="1" x14ac:dyDescent="0.2">
      <c r="A573" s="26" t="s">
        <v>0</v>
      </c>
      <c r="B573" s="26" t="s">
        <v>60</v>
      </c>
      <c r="C573" s="3" t="s">
        <v>4182</v>
      </c>
      <c r="D573" s="26" t="s">
        <v>1636</v>
      </c>
      <c r="E573" s="26" t="s">
        <v>1165</v>
      </c>
      <c r="F573" s="2">
        <v>6</v>
      </c>
      <c r="G573" s="4" t="s">
        <v>49</v>
      </c>
      <c r="H573" s="2">
        <v>1989</v>
      </c>
      <c r="I573" s="2" t="s">
        <v>1172</v>
      </c>
      <c r="J573" s="2" t="s">
        <v>1167</v>
      </c>
      <c r="K573" s="2"/>
      <c r="L573" s="2"/>
      <c r="M573" s="2" t="s">
        <v>1132</v>
      </c>
      <c r="N573" s="2"/>
      <c r="O573" s="2"/>
      <c r="P573" s="2" t="s">
        <v>1843</v>
      </c>
      <c r="Q573" s="2" t="s">
        <v>1127</v>
      </c>
      <c r="R573" s="2"/>
      <c r="S573" s="2"/>
      <c r="T573" s="2"/>
      <c r="U573" s="2"/>
      <c r="V573" s="2"/>
      <c r="W573" s="2"/>
      <c r="X573" s="2"/>
      <c r="Y573" s="2"/>
      <c r="Z573" s="2"/>
      <c r="AA573" s="2"/>
      <c r="AB573" s="2"/>
      <c r="AC573" s="2"/>
      <c r="AD573" s="2"/>
      <c r="AE573" s="2"/>
      <c r="AF573" s="2"/>
      <c r="AG573" s="2"/>
      <c r="AH573" s="2"/>
      <c r="AI573" s="2"/>
      <c r="AJ573" s="2"/>
    </row>
    <row r="574" spans="1:36" ht="17.25" customHeight="1" x14ac:dyDescent="0.2">
      <c r="A574" s="26" t="s">
        <v>0</v>
      </c>
      <c r="B574" s="26" t="s">
        <v>51</v>
      </c>
      <c r="C574" s="3" t="s">
        <v>4182</v>
      </c>
      <c r="D574" s="26" t="s">
        <v>1636</v>
      </c>
      <c r="E574" s="26" t="s">
        <v>1165</v>
      </c>
      <c r="F574" s="2">
        <v>7</v>
      </c>
      <c r="G574" s="4" t="s">
        <v>101</v>
      </c>
      <c r="H574" s="2">
        <v>1990</v>
      </c>
      <c r="I574" s="2" t="s">
        <v>1173</v>
      </c>
      <c r="J574" s="2" t="s">
        <v>1167</v>
      </c>
      <c r="K574" s="2"/>
      <c r="L574" s="2"/>
      <c r="M574" s="2" t="s">
        <v>1132</v>
      </c>
      <c r="N574" s="2"/>
      <c r="O574" s="2"/>
      <c r="P574" s="2" t="s">
        <v>1843</v>
      </c>
      <c r="Q574" s="2" t="s">
        <v>1127</v>
      </c>
      <c r="R574" s="2"/>
      <c r="S574" s="2"/>
      <c r="T574" s="2"/>
      <c r="U574" s="2"/>
      <c r="V574" s="2"/>
      <c r="W574" s="2"/>
      <c r="X574" s="2"/>
      <c r="Y574" s="2"/>
      <c r="Z574" s="2"/>
      <c r="AA574" s="2"/>
      <c r="AB574" s="2"/>
      <c r="AC574" s="2"/>
      <c r="AD574" s="2"/>
      <c r="AE574" s="2"/>
      <c r="AF574" s="2"/>
      <c r="AG574" s="2"/>
      <c r="AH574" s="2"/>
      <c r="AI574" s="2"/>
      <c r="AJ574" s="2"/>
    </row>
    <row r="575" spans="1:36" ht="17.25" customHeight="1" x14ac:dyDescent="0.2">
      <c r="A575" s="26" t="s">
        <v>0</v>
      </c>
      <c r="B575" s="26" t="s">
        <v>24</v>
      </c>
      <c r="C575" s="3" t="s">
        <v>4182</v>
      </c>
      <c r="D575" s="26" t="s">
        <v>1636</v>
      </c>
      <c r="E575" s="26" t="s">
        <v>1165</v>
      </c>
      <c r="F575" s="2">
        <v>8</v>
      </c>
      <c r="G575" s="4" t="s">
        <v>10</v>
      </c>
      <c r="H575" s="2">
        <v>1991</v>
      </c>
      <c r="I575" s="2" t="s">
        <v>1174</v>
      </c>
      <c r="J575" s="2" t="s">
        <v>1167</v>
      </c>
      <c r="K575" s="2"/>
      <c r="L575" s="2"/>
      <c r="M575" s="2" t="s">
        <v>1132</v>
      </c>
      <c r="N575" s="2"/>
      <c r="O575" s="2"/>
      <c r="P575" s="2" t="s">
        <v>1843</v>
      </c>
      <c r="Q575" s="2" t="s">
        <v>1127</v>
      </c>
      <c r="R575" s="2"/>
      <c r="S575" s="2"/>
      <c r="T575" s="2"/>
      <c r="U575" s="2"/>
      <c r="V575" s="2"/>
      <c r="W575" s="2"/>
      <c r="X575" s="2"/>
      <c r="Y575" s="2"/>
      <c r="Z575" s="2"/>
      <c r="AA575" s="2"/>
      <c r="AB575" s="2"/>
      <c r="AC575" s="2"/>
      <c r="AD575" s="2"/>
      <c r="AE575" s="2"/>
      <c r="AF575" s="2"/>
      <c r="AG575" s="2"/>
      <c r="AH575" s="2"/>
      <c r="AI575" s="2"/>
      <c r="AJ575" s="2"/>
    </row>
    <row r="576" spans="1:36" ht="17.25" customHeight="1" x14ac:dyDescent="0.2">
      <c r="A576" s="26" t="s">
        <v>0</v>
      </c>
      <c r="B576" s="26" t="s">
        <v>85</v>
      </c>
      <c r="C576" s="3" t="s">
        <v>4182</v>
      </c>
      <c r="D576" s="26" t="s">
        <v>1636</v>
      </c>
      <c r="E576" s="26" t="s">
        <v>1165</v>
      </c>
      <c r="F576" s="2">
        <v>9</v>
      </c>
      <c r="G576" s="4" t="s">
        <v>55</v>
      </c>
      <c r="H576" s="2">
        <v>1992</v>
      </c>
      <c r="I576" s="2" t="s">
        <v>1175</v>
      </c>
      <c r="J576" s="2" t="s">
        <v>1167</v>
      </c>
      <c r="K576" s="2"/>
      <c r="L576" s="2"/>
      <c r="M576" s="2" t="s">
        <v>1132</v>
      </c>
      <c r="N576" s="2"/>
      <c r="O576" s="2"/>
      <c r="P576" s="2" t="s">
        <v>1843</v>
      </c>
      <c r="Q576" s="2" t="s">
        <v>1127</v>
      </c>
      <c r="R576" s="2"/>
      <c r="S576" s="2"/>
      <c r="T576" s="2"/>
      <c r="U576" s="2"/>
      <c r="V576" s="2"/>
      <c r="W576" s="2"/>
      <c r="X576" s="2"/>
      <c r="Y576" s="2"/>
      <c r="Z576" s="2"/>
      <c r="AA576" s="2"/>
      <c r="AB576" s="2"/>
      <c r="AC576" s="2"/>
      <c r="AD576" s="2"/>
      <c r="AE576" s="2"/>
      <c r="AF576" s="2"/>
      <c r="AG576" s="2"/>
      <c r="AH576" s="2"/>
      <c r="AI576" s="2"/>
      <c r="AJ576" s="2"/>
    </row>
    <row r="577" spans="1:36" ht="17.25" customHeight="1" x14ac:dyDescent="0.2">
      <c r="A577" s="26" t="s">
        <v>0</v>
      </c>
      <c r="B577" s="26" t="s">
        <v>45</v>
      </c>
      <c r="C577" s="3" t="s">
        <v>4182</v>
      </c>
      <c r="D577" s="26" t="s">
        <v>1636</v>
      </c>
      <c r="E577" s="26" t="s">
        <v>1165</v>
      </c>
      <c r="F577" s="2">
        <v>10</v>
      </c>
      <c r="G577" s="4" t="s">
        <v>98</v>
      </c>
      <c r="H577" s="2">
        <v>1993</v>
      </c>
      <c r="I577" s="2" t="s">
        <v>1176</v>
      </c>
      <c r="J577" s="2" t="s">
        <v>1167</v>
      </c>
      <c r="K577" s="2"/>
      <c r="L577" s="2"/>
      <c r="M577" s="2" t="s">
        <v>1132</v>
      </c>
      <c r="N577" s="2"/>
      <c r="O577" s="2"/>
      <c r="P577" s="2" t="s">
        <v>1843</v>
      </c>
      <c r="Q577" s="2" t="s">
        <v>1127</v>
      </c>
      <c r="R577" s="2"/>
      <c r="S577" s="2"/>
      <c r="T577" s="2"/>
      <c r="U577" s="2"/>
      <c r="V577" s="2"/>
      <c r="W577" s="2"/>
      <c r="X577" s="2"/>
      <c r="Y577" s="2"/>
      <c r="Z577" s="2"/>
      <c r="AA577" s="2"/>
      <c r="AB577" s="2"/>
      <c r="AC577" s="2"/>
      <c r="AD577" s="2"/>
      <c r="AE577" s="2"/>
      <c r="AF577" s="2"/>
      <c r="AG577" s="2"/>
      <c r="AH577" s="2"/>
      <c r="AI577" s="2"/>
      <c r="AJ577" s="2"/>
    </row>
    <row r="578" spans="1:36" ht="17.25" customHeight="1" x14ac:dyDescent="0.2">
      <c r="A578" s="26" t="s">
        <v>0</v>
      </c>
      <c r="B578" s="26" t="s">
        <v>42</v>
      </c>
      <c r="C578" s="3" t="s">
        <v>4182</v>
      </c>
      <c r="D578" s="26" t="s">
        <v>1636</v>
      </c>
      <c r="E578" s="26" t="s">
        <v>1165</v>
      </c>
      <c r="F578" s="2">
        <v>11</v>
      </c>
      <c r="G578" s="4" t="s">
        <v>104</v>
      </c>
      <c r="H578" s="2">
        <v>1994</v>
      </c>
      <c r="I578" s="2" t="s">
        <v>1177</v>
      </c>
      <c r="J578" s="2" t="s">
        <v>1167</v>
      </c>
      <c r="K578" s="2"/>
      <c r="L578" s="2"/>
      <c r="M578" s="2" t="s">
        <v>1132</v>
      </c>
      <c r="N578" s="2"/>
      <c r="O578" s="2"/>
      <c r="P578" s="2" t="s">
        <v>1843</v>
      </c>
      <c r="Q578" s="2" t="s">
        <v>1127</v>
      </c>
      <c r="R578" s="2"/>
      <c r="S578" s="2"/>
      <c r="T578" s="2"/>
      <c r="U578" s="2"/>
      <c r="V578" s="2"/>
      <c r="W578" s="2"/>
      <c r="X578" s="2"/>
      <c r="Y578" s="2"/>
      <c r="Z578" s="2"/>
      <c r="AA578" s="2"/>
      <c r="AB578" s="2"/>
      <c r="AC578" s="2"/>
      <c r="AD578" s="2"/>
      <c r="AE578" s="2"/>
      <c r="AF578" s="2"/>
      <c r="AG578" s="2"/>
      <c r="AH578" s="2"/>
      <c r="AI578" s="2"/>
      <c r="AJ578" s="2"/>
    </row>
    <row r="579" spans="1:36" ht="17.25" customHeight="1" x14ac:dyDescent="0.2">
      <c r="A579" s="26" t="s">
        <v>0</v>
      </c>
      <c r="B579" s="26" t="s">
        <v>82</v>
      </c>
      <c r="C579" s="3" t="s">
        <v>4182</v>
      </c>
      <c r="D579" s="26" t="s">
        <v>1636</v>
      </c>
      <c r="E579" s="26" t="s">
        <v>1165</v>
      </c>
      <c r="F579" s="2">
        <v>12</v>
      </c>
      <c r="G579" s="4" t="s">
        <v>89</v>
      </c>
      <c r="H579" s="2">
        <v>1995</v>
      </c>
      <c r="I579" s="2" t="s">
        <v>1178</v>
      </c>
      <c r="J579" s="2" t="s">
        <v>1167</v>
      </c>
      <c r="K579" s="2"/>
      <c r="L579" s="2"/>
      <c r="M579" s="2" t="s">
        <v>1132</v>
      </c>
      <c r="N579" s="2"/>
      <c r="O579" s="2"/>
      <c r="P579" s="2" t="s">
        <v>1843</v>
      </c>
      <c r="Q579" s="2" t="s">
        <v>1127</v>
      </c>
      <c r="R579" s="2"/>
      <c r="S579" s="2"/>
      <c r="T579" s="2"/>
      <c r="U579" s="2"/>
      <c r="V579" s="2"/>
      <c r="W579" s="2"/>
      <c r="X579" s="2"/>
      <c r="Y579" s="2"/>
      <c r="Z579" s="2"/>
      <c r="AA579" s="2"/>
      <c r="AB579" s="2"/>
      <c r="AC579" s="2"/>
      <c r="AD579" s="2"/>
      <c r="AE579" s="2"/>
      <c r="AF579" s="2"/>
      <c r="AG579" s="2"/>
      <c r="AH579" s="2"/>
      <c r="AI579" s="2"/>
      <c r="AJ579" s="2"/>
    </row>
    <row r="580" spans="1:36" ht="17.25" customHeight="1" x14ac:dyDescent="0.2">
      <c r="A580" s="26" t="s">
        <v>0</v>
      </c>
      <c r="B580" s="26" t="s">
        <v>12</v>
      </c>
      <c r="C580" s="3" t="s">
        <v>4182</v>
      </c>
      <c r="D580" s="26" t="s">
        <v>1636</v>
      </c>
      <c r="E580" s="26" t="s">
        <v>1165</v>
      </c>
      <c r="F580" s="2">
        <v>13</v>
      </c>
      <c r="G580" s="4" t="s">
        <v>107</v>
      </c>
      <c r="H580" s="2">
        <v>1996</v>
      </c>
      <c r="I580" s="2" t="s">
        <v>1179</v>
      </c>
      <c r="J580" s="2" t="s">
        <v>1167</v>
      </c>
      <c r="K580" s="2"/>
      <c r="L580" s="2"/>
      <c r="M580" s="2" t="s">
        <v>1132</v>
      </c>
      <c r="N580" s="2"/>
      <c r="O580" s="2"/>
      <c r="P580" s="2" t="s">
        <v>1843</v>
      </c>
      <c r="Q580" s="2" t="s">
        <v>1127</v>
      </c>
      <c r="R580" s="2"/>
      <c r="S580" s="2"/>
      <c r="T580" s="2"/>
      <c r="U580" s="2"/>
      <c r="V580" s="2"/>
      <c r="W580" s="2"/>
      <c r="X580" s="2"/>
      <c r="Y580" s="2"/>
      <c r="Z580" s="2"/>
      <c r="AA580" s="2"/>
      <c r="AB580" s="2"/>
      <c r="AC580" s="2"/>
      <c r="AD580" s="2"/>
      <c r="AE580" s="2"/>
      <c r="AF580" s="2"/>
      <c r="AG580" s="2"/>
      <c r="AH580" s="2"/>
      <c r="AI580" s="2"/>
      <c r="AJ580" s="2"/>
    </row>
    <row r="581" spans="1:36" ht="17.25" customHeight="1" x14ac:dyDescent="0.2">
      <c r="A581" s="26" t="s">
        <v>0</v>
      </c>
      <c r="B581" s="26" t="s">
        <v>88</v>
      </c>
      <c r="C581" s="3" t="s">
        <v>4182</v>
      </c>
      <c r="D581" s="26" t="s">
        <v>1636</v>
      </c>
      <c r="E581" s="26" t="s">
        <v>1165</v>
      </c>
      <c r="F581" s="2">
        <v>14</v>
      </c>
      <c r="G581" s="4" t="s">
        <v>43</v>
      </c>
      <c r="H581" s="2">
        <v>1997</v>
      </c>
      <c r="I581" s="2" t="s">
        <v>1180</v>
      </c>
      <c r="J581" s="2" t="s">
        <v>1167</v>
      </c>
      <c r="K581" s="2"/>
      <c r="L581" s="2"/>
      <c r="M581" s="2" t="s">
        <v>1132</v>
      </c>
      <c r="N581" s="2"/>
      <c r="O581" s="2"/>
      <c r="P581" s="2" t="s">
        <v>1843</v>
      </c>
      <c r="Q581" s="2" t="s">
        <v>1127</v>
      </c>
      <c r="R581" s="2"/>
      <c r="S581" s="2"/>
      <c r="T581" s="2"/>
      <c r="U581" s="2"/>
      <c r="V581" s="2"/>
      <c r="W581" s="2"/>
      <c r="X581" s="2"/>
      <c r="Y581" s="2"/>
      <c r="Z581" s="2"/>
      <c r="AA581" s="2"/>
      <c r="AB581" s="2"/>
      <c r="AC581" s="2"/>
      <c r="AD581" s="2"/>
      <c r="AE581" s="2"/>
      <c r="AF581" s="2"/>
      <c r="AG581" s="2"/>
      <c r="AH581" s="2"/>
      <c r="AI581" s="2"/>
      <c r="AJ581" s="2"/>
    </row>
    <row r="582" spans="1:36" ht="17.25" customHeight="1" x14ac:dyDescent="0.2">
      <c r="A582" s="26" t="s">
        <v>0</v>
      </c>
      <c r="B582" s="26" t="s">
        <v>21</v>
      </c>
      <c r="C582" s="3" t="s">
        <v>4182</v>
      </c>
      <c r="D582" s="26" t="s">
        <v>1636</v>
      </c>
      <c r="E582" s="26" t="s">
        <v>1165</v>
      </c>
      <c r="F582" s="2">
        <v>15</v>
      </c>
      <c r="G582" s="4" t="s">
        <v>19</v>
      </c>
      <c r="H582" s="2">
        <v>1998</v>
      </c>
      <c r="I582" s="2" t="s">
        <v>1181</v>
      </c>
      <c r="J582" s="2" t="s">
        <v>1167</v>
      </c>
      <c r="K582" s="2"/>
      <c r="L582" s="2"/>
      <c r="M582" s="2" t="s">
        <v>1132</v>
      </c>
      <c r="N582" s="2"/>
      <c r="O582" s="2"/>
      <c r="P582" s="2" t="s">
        <v>1843</v>
      </c>
      <c r="Q582" s="2" t="s">
        <v>1127</v>
      </c>
      <c r="R582" s="2"/>
      <c r="S582" s="2"/>
      <c r="T582" s="2"/>
      <c r="U582" s="2"/>
      <c r="V582" s="2"/>
      <c r="W582" s="2"/>
      <c r="X582" s="2"/>
      <c r="Y582" s="2"/>
      <c r="Z582" s="2"/>
      <c r="AA582" s="2"/>
      <c r="AB582" s="2"/>
      <c r="AC582" s="2"/>
      <c r="AD582" s="2"/>
      <c r="AE582" s="2"/>
      <c r="AF582" s="2"/>
      <c r="AG582" s="2"/>
      <c r="AH582" s="2"/>
      <c r="AI582" s="2"/>
      <c r="AJ582" s="2"/>
    </row>
    <row r="583" spans="1:36" ht="17.25" customHeight="1" x14ac:dyDescent="0.2">
      <c r="A583" s="26" t="s">
        <v>0</v>
      </c>
      <c r="B583" s="26" t="s">
        <v>9</v>
      </c>
      <c r="C583" s="3" t="s">
        <v>4182</v>
      </c>
      <c r="D583" s="26" t="s">
        <v>1636</v>
      </c>
      <c r="E583" s="26" t="s">
        <v>1165</v>
      </c>
      <c r="F583" s="2">
        <v>16</v>
      </c>
      <c r="G583" s="4" t="s">
        <v>25</v>
      </c>
      <c r="H583" s="2">
        <v>1999</v>
      </c>
      <c r="I583" s="2" t="s">
        <v>1182</v>
      </c>
      <c r="J583" s="2" t="s">
        <v>1167</v>
      </c>
      <c r="K583" s="2"/>
      <c r="L583" s="2"/>
      <c r="M583" s="2" t="s">
        <v>1132</v>
      </c>
      <c r="N583" s="2"/>
      <c r="O583" s="2"/>
      <c r="P583" s="2" t="s">
        <v>1843</v>
      </c>
      <c r="Q583" s="2" t="s">
        <v>1127</v>
      </c>
      <c r="R583" s="2"/>
      <c r="S583" s="2"/>
      <c r="T583" s="2"/>
      <c r="U583" s="2"/>
      <c r="V583" s="2"/>
      <c r="W583" s="2"/>
      <c r="X583" s="2"/>
      <c r="Y583" s="2"/>
      <c r="Z583" s="2"/>
      <c r="AA583" s="2"/>
      <c r="AB583" s="2"/>
      <c r="AC583" s="2"/>
      <c r="AD583" s="2"/>
      <c r="AE583" s="2"/>
      <c r="AF583" s="2"/>
      <c r="AG583" s="2"/>
      <c r="AH583" s="2"/>
      <c r="AI583" s="2"/>
      <c r="AJ583" s="2"/>
    </row>
    <row r="584" spans="1:36" ht="17.25" customHeight="1" x14ac:dyDescent="0.2">
      <c r="A584" s="26" t="s">
        <v>0</v>
      </c>
      <c r="B584" s="26" t="s">
        <v>72</v>
      </c>
      <c r="C584" s="3" t="s">
        <v>4182</v>
      </c>
      <c r="D584" s="26" t="s">
        <v>1636</v>
      </c>
      <c r="E584" s="26" t="s">
        <v>1165</v>
      </c>
      <c r="F584" s="2">
        <v>17</v>
      </c>
      <c r="G584" s="4" t="s">
        <v>73</v>
      </c>
      <c r="H584" s="2">
        <v>2000</v>
      </c>
      <c r="I584" s="2" t="s">
        <v>1183</v>
      </c>
      <c r="J584" s="2" t="s">
        <v>1167</v>
      </c>
      <c r="K584" s="2"/>
      <c r="L584" s="2"/>
      <c r="M584" s="2" t="s">
        <v>1132</v>
      </c>
      <c r="N584" s="2"/>
      <c r="O584" s="2"/>
      <c r="P584" s="2" t="s">
        <v>1843</v>
      </c>
      <c r="Q584" s="2" t="s">
        <v>1127</v>
      </c>
      <c r="R584" s="2"/>
      <c r="S584" s="2"/>
      <c r="T584" s="2"/>
      <c r="U584" s="2"/>
      <c r="V584" s="2"/>
      <c r="W584" s="2"/>
      <c r="X584" s="2"/>
      <c r="Y584" s="2"/>
      <c r="Z584" s="2"/>
      <c r="AA584" s="2"/>
      <c r="AB584" s="2"/>
      <c r="AC584" s="2"/>
      <c r="AD584" s="2"/>
      <c r="AE584" s="2"/>
      <c r="AF584" s="2"/>
      <c r="AG584" s="2"/>
      <c r="AH584" s="2"/>
      <c r="AI584" s="2"/>
      <c r="AJ584" s="2"/>
    </row>
    <row r="585" spans="1:36" ht="17.25" customHeight="1" x14ac:dyDescent="0.2">
      <c r="A585" s="26" t="s">
        <v>0</v>
      </c>
      <c r="B585" s="26" t="s">
        <v>106</v>
      </c>
      <c r="C585" s="3" t="s">
        <v>4182</v>
      </c>
      <c r="D585" s="26" t="s">
        <v>1636</v>
      </c>
      <c r="E585" s="26" t="s">
        <v>1165</v>
      </c>
      <c r="F585" s="2">
        <v>18</v>
      </c>
      <c r="G585" s="4" t="s">
        <v>58</v>
      </c>
      <c r="H585" s="2">
        <v>2001</v>
      </c>
      <c r="I585" s="2" t="s">
        <v>1184</v>
      </c>
      <c r="J585" s="2" t="s">
        <v>1167</v>
      </c>
      <c r="K585" s="2"/>
      <c r="L585" s="2"/>
      <c r="M585" s="2" t="s">
        <v>1132</v>
      </c>
      <c r="N585" s="2"/>
      <c r="O585" s="2"/>
      <c r="P585" s="2" t="s">
        <v>1843</v>
      </c>
      <c r="Q585" s="2" t="s">
        <v>1127</v>
      </c>
      <c r="R585" s="2"/>
      <c r="S585" s="2"/>
      <c r="T585" s="2"/>
      <c r="U585" s="2"/>
      <c r="V585" s="2"/>
      <c r="W585" s="2"/>
      <c r="X585" s="2"/>
      <c r="Y585" s="2"/>
      <c r="Z585" s="2"/>
      <c r="AA585" s="2"/>
      <c r="AB585" s="2"/>
      <c r="AC585" s="2"/>
      <c r="AD585" s="2"/>
      <c r="AE585" s="2"/>
      <c r="AF585" s="2"/>
      <c r="AG585" s="2"/>
      <c r="AH585" s="2"/>
      <c r="AI585" s="2"/>
      <c r="AJ585" s="2"/>
    </row>
    <row r="586" spans="1:36" ht="17.25" customHeight="1" x14ac:dyDescent="0.2">
      <c r="A586" s="26" t="s">
        <v>0</v>
      </c>
      <c r="B586" s="26" t="s">
        <v>63</v>
      </c>
      <c r="C586" s="3" t="s">
        <v>4182</v>
      </c>
      <c r="D586" s="26" t="s">
        <v>1636</v>
      </c>
      <c r="E586" s="26" t="s">
        <v>1165</v>
      </c>
      <c r="F586" s="2">
        <v>19</v>
      </c>
      <c r="G586" s="4" t="s">
        <v>4</v>
      </c>
      <c r="H586" s="2">
        <v>2002</v>
      </c>
      <c r="I586" s="2" t="s">
        <v>1185</v>
      </c>
      <c r="J586" s="2" t="s">
        <v>1167</v>
      </c>
      <c r="K586" s="2"/>
      <c r="L586" s="2"/>
      <c r="M586" s="2" t="s">
        <v>1132</v>
      </c>
      <c r="N586" s="2"/>
      <c r="O586" s="2"/>
      <c r="P586" s="2" t="s">
        <v>1843</v>
      </c>
      <c r="Q586" s="2" t="s">
        <v>1127</v>
      </c>
      <c r="R586" s="2"/>
      <c r="S586" s="2"/>
      <c r="T586" s="2"/>
      <c r="U586" s="2"/>
      <c r="V586" s="2"/>
      <c r="W586" s="2"/>
      <c r="X586" s="2"/>
      <c r="Y586" s="2"/>
      <c r="Z586" s="2"/>
      <c r="AA586" s="2"/>
      <c r="AB586" s="2"/>
      <c r="AC586" s="2"/>
      <c r="AD586" s="2"/>
      <c r="AE586" s="2"/>
      <c r="AF586" s="2"/>
      <c r="AG586" s="2"/>
      <c r="AH586" s="2"/>
      <c r="AI586" s="2"/>
      <c r="AJ586" s="2"/>
    </row>
    <row r="587" spans="1:36" ht="17.25" customHeight="1" x14ac:dyDescent="0.2">
      <c r="A587" s="26" t="s">
        <v>0</v>
      </c>
      <c r="B587" s="26" t="s">
        <v>97</v>
      </c>
      <c r="C587" s="3" t="s">
        <v>4182</v>
      </c>
      <c r="D587" s="26" t="s">
        <v>1636</v>
      </c>
      <c r="E587" s="26" t="s">
        <v>1165</v>
      </c>
      <c r="F587" s="2">
        <v>20</v>
      </c>
      <c r="G587" s="4" t="s">
        <v>83</v>
      </c>
      <c r="H587" s="2">
        <v>2003</v>
      </c>
      <c r="I587" s="2" t="s">
        <v>1186</v>
      </c>
      <c r="J587" s="2" t="s">
        <v>1167</v>
      </c>
      <c r="K587" s="2"/>
      <c r="L587" s="2"/>
      <c r="M587" s="2" t="s">
        <v>1132</v>
      </c>
      <c r="N587" s="2"/>
      <c r="O587" s="2"/>
      <c r="P587" s="2" t="s">
        <v>1843</v>
      </c>
      <c r="Q587" s="2" t="s">
        <v>1127</v>
      </c>
      <c r="R587" s="2"/>
      <c r="S587" s="2"/>
      <c r="T587" s="2"/>
      <c r="U587" s="2"/>
      <c r="V587" s="2"/>
      <c r="W587" s="2"/>
      <c r="X587" s="2"/>
      <c r="Y587" s="2"/>
      <c r="Z587" s="2"/>
      <c r="AA587" s="2"/>
      <c r="AB587" s="2"/>
      <c r="AC587" s="2"/>
      <c r="AD587" s="2"/>
      <c r="AE587" s="2"/>
      <c r="AF587" s="2"/>
      <c r="AG587" s="2"/>
      <c r="AH587" s="2"/>
      <c r="AI587" s="2"/>
      <c r="AJ587" s="2"/>
    </row>
    <row r="588" spans="1:36" ht="17.25" customHeight="1" x14ac:dyDescent="0.2">
      <c r="A588" s="26" t="s">
        <v>0</v>
      </c>
      <c r="B588" s="26" t="s">
        <v>69</v>
      </c>
      <c r="C588" s="3" t="s">
        <v>4182</v>
      </c>
      <c r="D588" s="26" t="s">
        <v>1636</v>
      </c>
      <c r="E588" s="26" t="s">
        <v>1165</v>
      </c>
      <c r="F588" s="2">
        <v>21</v>
      </c>
      <c r="G588" s="4" t="s">
        <v>64</v>
      </c>
      <c r="H588" s="2">
        <v>2004</v>
      </c>
      <c r="I588" s="2" t="s">
        <v>1187</v>
      </c>
      <c r="J588" s="2" t="s">
        <v>1167</v>
      </c>
      <c r="K588" s="2"/>
      <c r="L588" s="2"/>
      <c r="M588" s="2" t="s">
        <v>1132</v>
      </c>
      <c r="N588" s="2"/>
      <c r="O588" s="2"/>
      <c r="P588" s="2" t="s">
        <v>1843</v>
      </c>
      <c r="Q588" s="2" t="s">
        <v>1127</v>
      </c>
      <c r="R588" s="2"/>
      <c r="S588" s="2"/>
      <c r="T588" s="2"/>
      <c r="U588" s="2"/>
      <c r="V588" s="2"/>
      <c r="W588" s="2"/>
      <c r="X588" s="2"/>
      <c r="Y588" s="2"/>
      <c r="Z588" s="2"/>
      <c r="AA588" s="2"/>
      <c r="AB588" s="2"/>
      <c r="AC588" s="2"/>
      <c r="AD588" s="2"/>
      <c r="AE588" s="2"/>
      <c r="AF588" s="2"/>
      <c r="AG588" s="2"/>
      <c r="AH588" s="2"/>
      <c r="AI588" s="2"/>
      <c r="AJ588" s="2"/>
    </row>
    <row r="589" spans="1:36" ht="17.25" customHeight="1" x14ac:dyDescent="0.2">
      <c r="A589" s="26" t="s">
        <v>0</v>
      </c>
      <c r="B589" s="26" t="s">
        <v>100</v>
      </c>
      <c r="C589" s="3" t="s">
        <v>4182</v>
      </c>
      <c r="D589" s="26" t="s">
        <v>1636</v>
      </c>
      <c r="E589" s="26" t="s">
        <v>1165</v>
      </c>
      <c r="F589" s="2">
        <v>22</v>
      </c>
      <c r="G589" s="4" t="s">
        <v>92</v>
      </c>
      <c r="H589" s="2">
        <v>2005</v>
      </c>
      <c r="I589" s="2" t="s">
        <v>1188</v>
      </c>
      <c r="J589" s="2" t="s">
        <v>1167</v>
      </c>
      <c r="K589" s="2"/>
      <c r="L589" s="2"/>
      <c r="M589" s="2" t="s">
        <v>1132</v>
      </c>
      <c r="N589" s="2"/>
      <c r="O589" s="2"/>
      <c r="P589" s="2" t="s">
        <v>1843</v>
      </c>
      <c r="Q589" s="2" t="s">
        <v>1127</v>
      </c>
      <c r="R589" s="2"/>
      <c r="S589" s="2"/>
      <c r="T589" s="2"/>
      <c r="U589" s="2"/>
      <c r="V589" s="2"/>
      <c r="W589" s="2"/>
      <c r="X589" s="2"/>
      <c r="Y589" s="2"/>
      <c r="Z589" s="2"/>
      <c r="AA589" s="2"/>
      <c r="AB589" s="2"/>
      <c r="AC589" s="2"/>
      <c r="AD589" s="2"/>
      <c r="AE589" s="2"/>
      <c r="AF589" s="2"/>
      <c r="AG589" s="2"/>
      <c r="AH589" s="2"/>
      <c r="AI589" s="2"/>
      <c r="AJ589" s="2"/>
    </row>
    <row r="590" spans="1:36" ht="17.25" customHeight="1" x14ac:dyDescent="0.2">
      <c r="A590" s="26" t="s">
        <v>0</v>
      </c>
      <c r="B590" s="26" t="s">
        <v>79</v>
      </c>
      <c r="C590" s="3" t="s">
        <v>4182</v>
      </c>
      <c r="D590" s="26" t="s">
        <v>1636</v>
      </c>
      <c r="E590" s="26" t="s">
        <v>1165</v>
      </c>
      <c r="F590" s="2">
        <v>23</v>
      </c>
      <c r="G590" s="4" t="s">
        <v>52</v>
      </c>
      <c r="H590" s="2">
        <v>2006</v>
      </c>
      <c r="I590" s="2" t="s">
        <v>1189</v>
      </c>
      <c r="J590" s="2" t="s">
        <v>1167</v>
      </c>
      <c r="K590" s="2"/>
      <c r="L590" s="2"/>
      <c r="M590" s="2" t="s">
        <v>1132</v>
      </c>
      <c r="N590" s="2"/>
      <c r="O590" s="2"/>
      <c r="P590" s="2" t="s">
        <v>1843</v>
      </c>
      <c r="Q590" s="2" t="s">
        <v>1127</v>
      </c>
      <c r="R590" s="2"/>
      <c r="S590" s="2"/>
      <c r="T590" s="2"/>
      <c r="U590" s="2"/>
      <c r="V590" s="2"/>
      <c r="W590" s="2"/>
      <c r="X590" s="2"/>
      <c r="Y590" s="2"/>
      <c r="Z590" s="2"/>
      <c r="AA590" s="2"/>
      <c r="AB590" s="2"/>
      <c r="AC590" s="2"/>
      <c r="AD590" s="2"/>
      <c r="AE590" s="2"/>
      <c r="AF590" s="2"/>
      <c r="AG590" s="2"/>
      <c r="AH590" s="2"/>
      <c r="AI590" s="2"/>
      <c r="AJ590" s="2"/>
    </row>
    <row r="591" spans="1:36" ht="17.25" customHeight="1" x14ac:dyDescent="0.2">
      <c r="A591" s="26" t="s">
        <v>0</v>
      </c>
      <c r="B591" s="26" t="s">
        <v>39</v>
      </c>
      <c r="C591" s="3" t="s">
        <v>4182</v>
      </c>
      <c r="D591" s="26" t="s">
        <v>1636</v>
      </c>
      <c r="E591" s="26" t="s">
        <v>1165</v>
      </c>
      <c r="F591" s="2">
        <v>24</v>
      </c>
      <c r="G591" s="4" t="s">
        <v>95</v>
      </c>
      <c r="H591" s="2">
        <v>2007</v>
      </c>
      <c r="I591" s="2" t="s">
        <v>1190</v>
      </c>
      <c r="J591" s="2" t="s">
        <v>1167</v>
      </c>
      <c r="K591" s="2"/>
      <c r="L591" s="2"/>
      <c r="M591" s="2" t="s">
        <v>1132</v>
      </c>
      <c r="N591" s="2"/>
      <c r="O591" s="2"/>
      <c r="P591" s="2" t="s">
        <v>1843</v>
      </c>
      <c r="Q591" s="2" t="s">
        <v>1127</v>
      </c>
      <c r="R591" s="2"/>
      <c r="S591" s="2"/>
      <c r="T591" s="2"/>
      <c r="U591" s="2"/>
      <c r="V591" s="2"/>
      <c r="W591" s="2"/>
      <c r="X591" s="2"/>
      <c r="Y591" s="2"/>
      <c r="Z591" s="2"/>
      <c r="AA591" s="2"/>
      <c r="AB591" s="2"/>
      <c r="AC591" s="2"/>
      <c r="AD591" s="2"/>
      <c r="AE591" s="2"/>
      <c r="AF591" s="2"/>
      <c r="AG591" s="2"/>
      <c r="AH591" s="2"/>
      <c r="AI591" s="2"/>
      <c r="AJ591" s="2"/>
    </row>
    <row r="592" spans="1:36" ht="17.25" customHeight="1" x14ac:dyDescent="0.2">
      <c r="A592" s="26" t="s">
        <v>0</v>
      </c>
      <c r="B592" s="26" t="s">
        <v>36</v>
      </c>
      <c r="C592" s="3" t="s">
        <v>4182</v>
      </c>
      <c r="D592" s="26" t="s">
        <v>1636</v>
      </c>
      <c r="E592" s="26" t="s">
        <v>1165</v>
      </c>
      <c r="F592" s="2">
        <v>25</v>
      </c>
      <c r="G592" s="4" t="s">
        <v>70</v>
      </c>
      <c r="H592" s="2">
        <v>2008</v>
      </c>
      <c r="I592" s="2" t="s">
        <v>1191</v>
      </c>
      <c r="J592" s="2" t="s">
        <v>1167</v>
      </c>
      <c r="K592" s="2"/>
      <c r="L592" s="2"/>
      <c r="M592" s="2" t="s">
        <v>1132</v>
      </c>
      <c r="N592" s="2"/>
      <c r="O592" s="2"/>
      <c r="P592" s="2" t="s">
        <v>1843</v>
      </c>
      <c r="Q592" s="2" t="s">
        <v>1127</v>
      </c>
      <c r="R592" s="2"/>
      <c r="S592" s="2"/>
      <c r="T592" s="2"/>
      <c r="U592" s="2"/>
      <c r="V592" s="2"/>
      <c r="W592" s="2"/>
      <c r="X592" s="2"/>
      <c r="Y592" s="2"/>
      <c r="Z592" s="2"/>
      <c r="AA592" s="2"/>
      <c r="AB592" s="2"/>
      <c r="AC592" s="2"/>
      <c r="AD592" s="2"/>
      <c r="AE592" s="2"/>
      <c r="AF592" s="2"/>
      <c r="AG592" s="2"/>
      <c r="AH592" s="2"/>
      <c r="AI592" s="2"/>
      <c r="AJ592" s="2"/>
    </row>
    <row r="593" spans="1:36" ht="17.25" customHeight="1" x14ac:dyDescent="0.2">
      <c r="A593" s="26" t="s">
        <v>0</v>
      </c>
      <c r="B593" s="26" t="s">
        <v>91</v>
      </c>
      <c r="C593" s="3" t="s">
        <v>4182</v>
      </c>
      <c r="D593" s="26" t="s">
        <v>1636</v>
      </c>
      <c r="E593" s="26" t="s">
        <v>1165</v>
      </c>
      <c r="F593" s="2">
        <v>26</v>
      </c>
      <c r="G593" s="4" t="s">
        <v>16</v>
      </c>
      <c r="H593" s="2">
        <v>2009</v>
      </c>
      <c r="I593" s="2" t="s">
        <v>1192</v>
      </c>
      <c r="J593" s="2" t="s">
        <v>1167</v>
      </c>
      <c r="K593" s="2"/>
      <c r="L593" s="2"/>
      <c r="M593" s="2" t="s">
        <v>1132</v>
      </c>
      <c r="N593" s="2"/>
      <c r="O593" s="2"/>
      <c r="P593" s="2" t="s">
        <v>1843</v>
      </c>
      <c r="Q593" s="2" t="s">
        <v>1127</v>
      </c>
      <c r="R593" s="2"/>
      <c r="S593" s="2"/>
      <c r="T593" s="2"/>
      <c r="U593" s="2"/>
      <c r="V593" s="2"/>
      <c r="W593" s="2"/>
      <c r="X593" s="2"/>
      <c r="Y593" s="2"/>
      <c r="Z593" s="2"/>
      <c r="AA593" s="2"/>
      <c r="AB593" s="2"/>
      <c r="AC593" s="2"/>
      <c r="AD593" s="2"/>
      <c r="AE593" s="2"/>
      <c r="AF593" s="2"/>
      <c r="AG593" s="2"/>
      <c r="AH593" s="2"/>
      <c r="AI593" s="2"/>
      <c r="AJ593" s="2"/>
    </row>
    <row r="594" spans="1:36" ht="17.25" customHeight="1" x14ac:dyDescent="0.2">
      <c r="A594" s="26" t="s">
        <v>0</v>
      </c>
      <c r="B594" s="26" t="s">
        <v>103</v>
      </c>
      <c r="C594" s="3" t="s">
        <v>4182</v>
      </c>
      <c r="D594" s="26" t="s">
        <v>1636</v>
      </c>
      <c r="E594" s="26" t="s">
        <v>1165</v>
      </c>
      <c r="F594" s="2">
        <v>27</v>
      </c>
      <c r="G594" s="4" t="s">
        <v>34</v>
      </c>
      <c r="H594" s="2">
        <v>2010</v>
      </c>
      <c r="I594" s="2" t="s">
        <v>1193</v>
      </c>
      <c r="J594" s="2" t="s">
        <v>1167</v>
      </c>
      <c r="K594" s="2"/>
      <c r="L594" s="2"/>
      <c r="M594" s="2" t="s">
        <v>1132</v>
      </c>
      <c r="N594" s="2"/>
      <c r="O594" s="2"/>
      <c r="P594" s="2" t="s">
        <v>1843</v>
      </c>
      <c r="Q594" s="2" t="s">
        <v>1127</v>
      </c>
      <c r="R594" s="2"/>
      <c r="S594" s="2"/>
      <c r="T594" s="2"/>
      <c r="U594" s="2"/>
      <c r="V594" s="2"/>
      <c r="W594" s="2"/>
      <c r="X594" s="2"/>
      <c r="Y594" s="2"/>
      <c r="Z594" s="2"/>
      <c r="AA594" s="2"/>
      <c r="AB594" s="2"/>
      <c r="AC594" s="2"/>
      <c r="AD594" s="2"/>
      <c r="AE594" s="2"/>
      <c r="AF594" s="2"/>
      <c r="AG594" s="2"/>
      <c r="AH594" s="2"/>
      <c r="AI594" s="2"/>
      <c r="AJ594" s="2"/>
    </row>
    <row r="595" spans="1:36" ht="17.25" customHeight="1" x14ac:dyDescent="0.2">
      <c r="A595" s="26" t="s">
        <v>0</v>
      </c>
      <c r="B595" s="26" t="s">
        <v>33</v>
      </c>
      <c r="C595" s="3" t="s">
        <v>4182</v>
      </c>
      <c r="D595" s="26" t="s">
        <v>1636</v>
      </c>
      <c r="E595" s="26" t="s">
        <v>1165</v>
      </c>
      <c r="F595" s="2">
        <v>28</v>
      </c>
      <c r="G595" s="4" t="s">
        <v>46</v>
      </c>
      <c r="H595" s="2">
        <v>2011</v>
      </c>
      <c r="I595" s="2" t="s">
        <v>1194</v>
      </c>
      <c r="J595" s="2" t="s">
        <v>1167</v>
      </c>
      <c r="K595" s="2"/>
      <c r="L595" s="2"/>
      <c r="M595" s="2" t="s">
        <v>1132</v>
      </c>
      <c r="N595" s="2"/>
      <c r="O595" s="2"/>
      <c r="P595" s="2" t="s">
        <v>1843</v>
      </c>
      <c r="Q595" s="2" t="s">
        <v>1127</v>
      </c>
      <c r="R595" s="2"/>
      <c r="S595" s="2"/>
      <c r="T595" s="2"/>
      <c r="U595" s="2"/>
      <c r="V595" s="2"/>
      <c r="W595" s="2"/>
      <c r="X595" s="2"/>
      <c r="Y595" s="2"/>
      <c r="Z595" s="2"/>
      <c r="AA595" s="2"/>
      <c r="AB595" s="2"/>
      <c r="AC595" s="2"/>
      <c r="AD595" s="2"/>
      <c r="AE595" s="2"/>
      <c r="AF595" s="2"/>
      <c r="AG595" s="2"/>
      <c r="AH595" s="2"/>
      <c r="AI595" s="2"/>
      <c r="AJ595" s="2"/>
    </row>
    <row r="596" spans="1:36" ht="17.25" customHeight="1" x14ac:dyDescent="0.2">
      <c r="A596" s="26" t="s">
        <v>0</v>
      </c>
      <c r="B596" s="26" t="s">
        <v>27</v>
      </c>
      <c r="C596" s="3" t="s">
        <v>4182</v>
      </c>
      <c r="D596" s="26" t="s">
        <v>1636</v>
      </c>
      <c r="E596" s="26" t="s">
        <v>1165</v>
      </c>
      <c r="F596" s="2">
        <v>29</v>
      </c>
      <c r="G596" s="4" t="s">
        <v>61</v>
      </c>
      <c r="H596" s="2">
        <v>2012</v>
      </c>
      <c r="I596" s="2" t="s">
        <v>1195</v>
      </c>
      <c r="J596" s="2" t="s">
        <v>1167</v>
      </c>
      <c r="K596" s="2"/>
      <c r="L596" s="2"/>
      <c r="M596" s="2" t="s">
        <v>1132</v>
      </c>
      <c r="N596" s="2"/>
      <c r="O596" s="2"/>
      <c r="P596" s="2" t="s">
        <v>1843</v>
      </c>
      <c r="Q596" s="2" t="s">
        <v>1127</v>
      </c>
      <c r="R596" s="2"/>
      <c r="S596" s="2"/>
      <c r="T596" s="2"/>
      <c r="U596" s="2"/>
      <c r="V596" s="2"/>
      <c r="W596" s="2"/>
      <c r="X596" s="2"/>
      <c r="Y596" s="2"/>
      <c r="Z596" s="2"/>
      <c r="AA596" s="2"/>
      <c r="AB596" s="2"/>
      <c r="AC596" s="2"/>
      <c r="AD596" s="2"/>
      <c r="AE596" s="2"/>
      <c r="AF596" s="2"/>
      <c r="AG596" s="2"/>
      <c r="AH596" s="2"/>
      <c r="AI596" s="2"/>
      <c r="AJ596" s="2"/>
    </row>
    <row r="597" spans="1:36" ht="17.25" customHeight="1" x14ac:dyDescent="0.2">
      <c r="A597" s="26" t="s">
        <v>0</v>
      </c>
      <c r="B597" s="26" t="s">
        <v>54</v>
      </c>
      <c r="C597" s="3" t="s">
        <v>4182</v>
      </c>
      <c r="D597" s="26" t="s">
        <v>1636</v>
      </c>
      <c r="E597" s="26" t="s">
        <v>1165</v>
      </c>
      <c r="F597" s="2">
        <v>30</v>
      </c>
      <c r="G597" s="4" t="s">
        <v>86</v>
      </c>
      <c r="H597" s="2">
        <v>2013</v>
      </c>
      <c r="I597" s="2" t="s">
        <v>1196</v>
      </c>
      <c r="J597" s="2" t="s">
        <v>1167</v>
      </c>
      <c r="K597" s="2"/>
      <c r="L597" s="2"/>
      <c r="M597" s="2" t="s">
        <v>1132</v>
      </c>
      <c r="N597" s="2"/>
      <c r="O597" s="2"/>
      <c r="P597" s="2" t="s">
        <v>1843</v>
      </c>
      <c r="Q597" s="2" t="s">
        <v>1127</v>
      </c>
      <c r="R597" s="2"/>
      <c r="S597" s="2"/>
      <c r="T597" s="2"/>
      <c r="U597" s="2"/>
      <c r="V597" s="2"/>
      <c r="W597" s="2"/>
      <c r="X597" s="2"/>
      <c r="Y597" s="2"/>
      <c r="Z597" s="2"/>
      <c r="AA597" s="2"/>
      <c r="AB597" s="2"/>
      <c r="AC597" s="2"/>
      <c r="AD597" s="2"/>
      <c r="AE597" s="2"/>
      <c r="AF597" s="2"/>
      <c r="AG597" s="2"/>
      <c r="AH597" s="2"/>
      <c r="AI597" s="2"/>
      <c r="AJ597" s="2"/>
    </row>
    <row r="598" spans="1:36" ht="17.25" customHeight="1" x14ac:dyDescent="0.2">
      <c r="A598" s="26" t="s">
        <v>0</v>
      </c>
      <c r="B598" s="26" t="s">
        <v>57</v>
      </c>
      <c r="C598" s="3" t="s">
        <v>4182</v>
      </c>
      <c r="D598" s="26" t="s">
        <v>1636</v>
      </c>
      <c r="E598" s="26" t="s">
        <v>1165</v>
      </c>
      <c r="F598" s="2">
        <v>31</v>
      </c>
      <c r="G598" s="4" t="s">
        <v>22</v>
      </c>
      <c r="H598" s="2">
        <v>2014</v>
      </c>
      <c r="I598" s="2" t="s">
        <v>1197</v>
      </c>
      <c r="J598" s="2" t="s">
        <v>1167</v>
      </c>
      <c r="K598" s="2"/>
      <c r="L598" s="2"/>
      <c r="M598" s="2" t="s">
        <v>1132</v>
      </c>
      <c r="N598" s="2"/>
      <c r="O598" s="2"/>
      <c r="P598" s="2" t="s">
        <v>1843</v>
      </c>
      <c r="Q598" s="2" t="s">
        <v>1127</v>
      </c>
      <c r="R598" s="2"/>
      <c r="S598" s="2"/>
      <c r="T598" s="2"/>
      <c r="U598" s="2"/>
      <c r="V598" s="2"/>
      <c r="W598" s="2"/>
      <c r="X598" s="2"/>
      <c r="Y598" s="2"/>
      <c r="Z598" s="2"/>
      <c r="AA598" s="2"/>
      <c r="AB598" s="2"/>
      <c r="AC598" s="2"/>
      <c r="AD598" s="2"/>
      <c r="AE598" s="2"/>
      <c r="AF598" s="2"/>
      <c r="AG598" s="2"/>
      <c r="AH598" s="2"/>
      <c r="AI598" s="2"/>
      <c r="AJ598" s="2"/>
    </row>
    <row r="599" spans="1:36" ht="17.25" customHeight="1" x14ac:dyDescent="0.2">
      <c r="A599" s="26" t="s">
        <v>0</v>
      </c>
      <c r="B599" s="26" t="s">
        <v>18</v>
      </c>
      <c r="C599" s="3" t="s">
        <v>4182</v>
      </c>
      <c r="D599" s="26" t="s">
        <v>1636</v>
      </c>
      <c r="E599" s="26" t="s">
        <v>1165</v>
      </c>
      <c r="F599" s="2">
        <v>32</v>
      </c>
      <c r="G599" s="4" t="s">
        <v>28</v>
      </c>
      <c r="H599" s="2">
        <v>2015</v>
      </c>
      <c r="I599" s="2" t="s">
        <v>1198</v>
      </c>
      <c r="J599" s="2" t="s">
        <v>1167</v>
      </c>
      <c r="K599" s="2"/>
      <c r="L599" s="2"/>
      <c r="M599" s="2" t="s">
        <v>1132</v>
      </c>
      <c r="N599" s="2"/>
      <c r="O599" s="2"/>
      <c r="P599" s="2" t="s">
        <v>1843</v>
      </c>
      <c r="Q599" s="2" t="s">
        <v>1127</v>
      </c>
      <c r="R599" s="2"/>
      <c r="S599" s="2"/>
      <c r="T599" s="2"/>
      <c r="U599" s="2"/>
      <c r="V599" s="2"/>
      <c r="W599" s="2"/>
      <c r="X599" s="2"/>
      <c r="Y599" s="2"/>
      <c r="Z599" s="2"/>
      <c r="AA599" s="2"/>
      <c r="AB599" s="2"/>
      <c r="AC599" s="2"/>
      <c r="AD599" s="2"/>
      <c r="AE599" s="2"/>
      <c r="AF599" s="2"/>
      <c r="AG599" s="2"/>
      <c r="AH599" s="2"/>
      <c r="AI599" s="2"/>
      <c r="AJ599" s="2"/>
    </row>
    <row r="600" spans="1:36" ht="17.25" customHeight="1" x14ac:dyDescent="0.2">
      <c r="A600" s="26" t="s">
        <v>0</v>
      </c>
      <c r="B600" s="26" t="s">
        <v>75</v>
      </c>
      <c r="C600" s="3" t="s">
        <v>4182</v>
      </c>
      <c r="D600" s="26" t="s">
        <v>1636</v>
      </c>
      <c r="E600" s="26" t="s">
        <v>1165</v>
      </c>
      <c r="F600" s="2">
        <v>33</v>
      </c>
      <c r="G600" s="4" t="s">
        <v>76</v>
      </c>
      <c r="H600" s="2">
        <v>2016</v>
      </c>
      <c r="I600" s="2" t="s">
        <v>1199</v>
      </c>
      <c r="J600" s="2" t="s">
        <v>1167</v>
      </c>
      <c r="K600" s="2"/>
      <c r="L600" s="2"/>
      <c r="M600" s="2" t="s">
        <v>1132</v>
      </c>
      <c r="N600" s="2"/>
      <c r="O600" s="2"/>
      <c r="P600" s="2" t="s">
        <v>1843</v>
      </c>
      <c r="Q600" s="2" t="s">
        <v>1127</v>
      </c>
      <c r="R600" s="2"/>
      <c r="S600" s="2"/>
      <c r="T600" s="2"/>
      <c r="U600" s="2"/>
      <c r="V600" s="2"/>
      <c r="W600" s="2"/>
      <c r="X600" s="2"/>
      <c r="Y600" s="2"/>
      <c r="Z600" s="2"/>
      <c r="AA600" s="2"/>
      <c r="AB600" s="2"/>
      <c r="AC600" s="2"/>
      <c r="AD600" s="2"/>
      <c r="AE600" s="2"/>
      <c r="AF600" s="2"/>
      <c r="AG600" s="2"/>
      <c r="AH600" s="2"/>
      <c r="AI600" s="2"/>
      <c r="AJ600" s="2"/>
    </row>
    <row r="601" spans="1:36" ht="17.25" customHeight="1" x14ac:dyDescent="0.2">
      <c r="A601" s="26" t="s">
        <v>0</v>
      </c>
      <c r="B601" s="26" t="s">
        <v>177</v>
      </c>
      <c r="C601" s="3" t="s">
        <v>4182</v>
      </c>
      <c r="D601" s="26" t="s">
        <v>1636</v>
      </c>
      <c r="E601" s="26" t="s">
        <v>1232</v>
      </c>
      <c r="F601" s="2">
        <v>26</v>
      </c>
      <c r="G601" s="4" t="s">
        <v>16</v>
      </c>
      <c r="H601" s="2">
        <v>2009</v>
      </c>
      <c r="I601" s="2" t="s">
        <v>1233</v>
      </c>
      <c r="J601" s="2" t="s">
        <v>1234</v>
      </c>
      <c r="K601" s="2" t="s">
        <v>1203</v>
      </c>
      <c r="L601" s="2"/>
      <c r="M601" s="2" t="s">
        <v>1132</v>
      </c>
      <c r="N601" s="2"/>
      <c r="O601" s="2"/>
      <c r="P601" s="2" t="s">
        <v>1843</v>
      </c>
      <c r="Q601" s="2" t="s">
        <v>1127</v>
      </c>
      <c r="R601" s="2"/>
      <c r="S601" s="2"/>
      <c r="T601" s="2"/>
      <c r="U601" s="2"/>
      <c r="V601" s="2"/>
      <c r="W601" s="2"/>
      <c r="X601" s="2"/>
      <c r="Y601" s="2"/>
      <c r="Z601" s="2"/>
      <c r="AA601" s="2"/>
      <c r="AB601" s="2"/>
      <c r="AC601" s="2"/>
      <c r="AD601" s="2"/>
      <c r="AE601" s="2"/>
      <c r="AF601" s="2"/>
      <c r="AG601" s="2"/>
      <c r="AH601" s="2"/>
      <c r="AI601" s="2"/>
      <c r="AJ601" s="2"/>
    </row>
    <row r="602" spans="1:36" ht="17.25" customHeight="1" x14ac:dyDescent="0.2">
      <c r="A602" s="26" t="s">
        <v>0</v>
      </c>
      <c r="B602" s="26" t="s">
        <v>181</v>
      </c>
      <c r="C602" s="3" t="s">
        <v>4182</v>
      </c>
      <c r="D602" s="26" t="s">
        <v>1636</v>
      </c>
      <c r="E602" s="26" t="s">
        <v>1232</v>
      </c>
      <c r="F602" s="2">
        <v>28</v>
      </c>
      <c r="G602" s="4" t="s">
        <v>46</v>
      </c>
      <c r="H602" s="2">
        <v>2011</v>
      </c>
      <c r="I602" s="2" t="s">
        <v>1235</v>
      </c>
      <c r="J602" s="2" t="s">
        <v>1234</v>
      </c>
      <c r="K602" s="2" t="s">
        <v>1203</v>
      </c>
      <c r="L602" s="2"/>
      <c r="M602" s="2" t="s">
        <v>1132</v>
      </c>
      <c r="N602" s="2"/>
      <c r="O602" s="2"/>
      <c r="P602" s="2" t="s">
        <v>1843</v>
      </c>
      <c r="Q602" s="2" t="s">
        <v>1127</v>
      </c>
      <c r="R602" s="2"/>
      <c r="S602" s="2"/>
      <c r="T602" s="2"/>
      <c r="U602" s="2"/>
      <c r="V602" s="2"/>
      <c r="W602" s="2"/>
      <c r="X602" s="2"/>
      <c r="Y602" s="2"/>
      <c r="Z602" s="2"/>
      <c r="AA602" s="2"/>
      <c r="AB602" s="2"/>
      <c r="AC602" s="2"/>
      <c r="AD602" s="2"/>
      <c r="AE602" s="2"/>
      <c r="AF602" s="2"/>
      <c r="AG602" s="2"/>
      <c r="AH602" s="2"/>
      <c r="AI602" s="2"/>
      <c r="AJ602" s="2"/>
    </row>
    <row r="603" spans="1:36" ht="17.25" customHeight="1" x14ac:dyDescent="0.2">
      <c r="A603" s="26" t="s">
        <v>0</v>
      </c>
      <c r="B603" s="26" t="s">
        <v>185</v>
      </c>
      <c r="C603" s="3" t="s">
        <v>4182</v>
      </c>
      <c r="D603" s="26" t="s">
        <v>1636</v>
      </c>
      <c r="E603" s="26" t="s">
        <v>1232</v>
      </c>
      <c r="F603" s="2">
        <v>30</v>
      </c>
      <c r="G603" s="4" t="s">
        <v>86</v>
      </c>
      <c r="H603" s="2">
        <v>2013</v>
      </c>
      <c r="I603" s="2" t="s">
        <v>1236</v>
      </c>
      <c r="J603" s="2" t="s">
        <v>1234</v>
      </c>
      <c r="K603" s="2" t="s">
        <v>1203</v>
      </c>
      <c r="L603" s="2"/>
      <c r="M603" s="2" t="s">
        <v>1132</v>
      </c>
      <c r="N603" s="2"/>
      <c r="O603" s="2"/>
      <c r="P603" s="2" t="s">
        <v>1843</v>
      </c>
      <c r="Q603" s="2" t="s">
        <v>1127</v>
      </c>
      <c r="R603" s="2"/>
      <c r="S603" s="2"/>
      <c r="T603" s="2"/>
      <c r="U603" s="2"/>
      <c r="V603" s="2"/>
      <c r="W603" s="2"/>
      <c r="X603" s="2"/>
      <c r="Y603" s="2"/>
      <c r="Z603" s="2"/>
      <c r="AA603" s="2"/>
      <c r="AB603" s="2"/>
      <c r="AC603" s="2"/>
      <c r="AD603" s="2"/>
      <c r="AE603" s="2"/>
      <c r="AF603" s="2"/>
      <c r="AG603" s="2"/>
      <c r="AH603" s="2"/>
      <c r="AI603" s="2"/>
      <c r="AJ603" s="2"/>
    </row>
    <row r="604" spans="1:36" ht="17.25" customHeight="1" x14ac:dyDescent="0.2">
      <c r="A604" s="26" t="s">
        <v>0</v>
      </c>
      <c r="B604" s="26" t="s">
        <v>189</v>
      </c>
      <c r="C604" s="3" t="s">
        <v>4182</v>
      </c>
      <c r="D604" s="26" t="s">
        <v>1636</v>
      </c>
      <c r="E604" s="26" t="s">
        <v>1232</v>
      </c>
      <c r="F604" s="2">
        <v>32</v>
      </c>
      <c r="G604" s="4" t="s">
        <v>28</v>
      </c>
      <c r="H604" s="2">
        <v>2015</v>
      </c>
      <c r="I604" s="2" t="s">
        <v>1237</v>
      </c>
      <c r="J604" s="2" t="s">
        <v>1234</v>
      </c>
      <c r="K604" s="2" t="s">
        <v>1203</v>
      </c>
      <c r="L604" s="2"/>
      <c r="M604" s="2" t="s">
        <v>1132</v>
      </c>
      <c r="N604" s="2"/>
      <c r="O604" s="2"/>
      <c r="P604" s="2" t="s">
        <v>1843</v>
      </c>
      <c r="Q604" s="2" t="s">
        <v>1127</v>
      </c>
      <c r="R604" s="2"/>
      <c r="S604" s="2"/>
      <c r="T604" s="2"/>
      <c r="U604" s="2"/>
      <c r="V604" s="2"/>
      <c r="W604" s="2"/>
      <c r="X604" s="2"/>
      <c r="Y604" s="2"/>
      <c r="Z604" s="2"/>
      <c r="AA604" s="2"/>
      <c r="AB604" s="2"/>
      <c r="AC604" s="2"/>
      <c r="AD604" s="2"/>
      <c r="AE604" s="2"/>
      <c r="AF604" s="2"/>
      <c r="AG604" s="2"/>
      <c r="AH604" s="2"/>
      <c r="AI604" s="2"/>
      <c r="AJ604" s="2"/>
    </row>
    <row r="605" spans="1:36" ht="17.25" customHeight="1" x14ac:dyDescent="0.2">
      <c r="A605" s="26" t="s">
        <v>0</v>
      </c>
      <c r="B605" s="26" t="s">
        <v>15</v>
      </c>
      <c r="C605" s="3" t="s">
        <v>4182</v>
      </c>
      <c r="D605" s="26" t="s">
        <v>1636</v>
      </c>
      <c r="E605" s="26" t="s">
        <v>1232</v>
      </c>
      <c r="F605" s="2">
        <v>1</v>
      </c>
      <c r="G605" s="4" t="s">
        <v>40</v>
      </c>
      <c r="H605" s="2">
        <v>1984</v>
      </c>
      <c r="I605" s="2" t="s">
        <v>1238</v>
      </c>
      <c r="J605" s="2" t="s">
        <v>1239</v>
      </c>
      <c r="K605" s="2"/>
      <c r="L605" s="2"/>
      <c r="M605" s="2" t="s">
        <v>1132</v>
      </c>
      <c r="N605" s="2"/>
      <c r="O605" s="2"/>
      <c r="P605" s="2" t="s">
        <v>1843</v>
      </c>
      <c r="Q605" s="2" t="s">
        <v>1127</v>
      </c>
      <c r="R605" s="2"/>
      <c r="S605" s="2"/>
      <c r="T605" s="2"/>
      <c r="U605" s="2"/>
      <c r="V605" s="2"/>
      <c r="W605" s="2"/>
      <c r="X605" s="2"/>
      <c r="Y605" s="2"/>
      <c r="Z605" s="2"/>
      <c r="AA605" s="2"/>
      <c r="AB605" s="2"/>
      <c r="AC605" s="2"/>
      <c r="AD605" s="2"/>
      <c r="AE605" s="2"/>
      <c r="AF605" s="2"/>
      <c r="AG605" s="2"/>
      <c r="AH605" s="2"/>
      <c r="AI605" s="2"/>
      <c r="AJ605" s="2"/>
    </row>
    <row r="606" spans="1:36" ht="17.25" customHeight="1" x14ac:dyDescent="0.2">
      <c r="A606" s="26" t="s">
        <v>0</v>
      </c>
      <c r="B606" s="26" t="s">
        <v>30</v>
      </c>
      <c r="C606" s="3" t="s">
        <v>4182</v>
      </c>
      <c r="D606" s="26" t="s">
        <v>1636</v>
      </c>
      <c r="E606" s="26" t="s">
        <v>1232</v>
      </c>
      <c r="F606" s="2">
        <v>2</v>
      </c>
      <c r="G606" s="4" t="s">
        <v>37</v>
      </c>
      <c r="H606" s="2">
        <v>1985</v>
      </c>
      <c r="I606" s="2" t="s">
        <v>1240</v>
      </c>
      <c r="J606" s="2" t="s">
        <v>1239</v>
      </c>
      <c r="K606" s="2"/>
      <c r="L606" s="2"/>
      <c r="M606" s="2" t="s">
        <v>1132</v>
      </c>
      <c r="N606" s="2"/>
      <c r="O606" s="2"/>
      <c r="P606" s="2" t="s">
        <v>1843</v>
      </c>
      <c r="Q606" s="2" t="s">
        <v>1127</v>
      </c>
      <c r="R606" s="2"/>
      <c r="S606" s="2"/>
      <c r="T606" s="2"/>
      <c r="U606" s="2"/>
      <c r="V606" s="2"/>
      <c r="W606" s="2"/>
      <c r="X606" s="2"/>
      <c r="Y606" s="2"/>
      <c r="Z606" s="2"/>
      <c r="AA606" s="2"/>
      <c r="AB606" s="2"/>
      <c r="AC606" s="2"/>
      <c r="AD606" s="2"/>
      <c r="AE606" s="2"/>
      <c r="AF606" s="2"/>
      <c r="AG606" s="2"/>
      <c r="AH606" s="2"/>
      <c r="AI606" s="2"/>
      <c r="AJ606" s="2"/>
    </row>
    <row r="607" spans="1:36" ht="17.25" customHeight="1" x14ac:dyDescent="0.2">
      <c r="A607" s="26" t="s">
        <v>0</v>
      </c>
      <c r="B607" s="26" t="s">
        <v>94</v>
      </c>
      <c r="C607" s="3" t="s">
        <v>4182</v>
      </c>
      <c r="D607" s="26" t="s">
        <v>1636</v>
      </c>
      <c r="E607" s="26" t="s">
        <v>1232</v>
      </c>
      <c r="F607" s="2">
        <v>3</v>
      </c>
      <c r="G607" s="4" t="s">
        <v>80</v>
      </c>
      <c r="H607" s="2">
        <v>1986</v>
      </c>
      <c r="I607" s="2" t="s">
        <v>1241</v>
      </c>
      <c r="J607" s="2" t="s">
        <v>1239</v>
      </c>
      <c r="K607" s="2"/>
      <c r="L607" s="2"/>
      <c r="M607" s="2" t="s">
        <v>1132</v>
      </c>
      <c r="N607" s="2"/>
      <c r="O607" s="2"/>
      <c r="P607" s="2" t="s">
        <v>1843</v>
      </c>
      <c r="Q607" s="2" t="s">
        <v>1127</v>
      </c>
      <c r="R607" s="2"/>
      <c r="S607" s="2"/>
      <c r="T607" s="2"/>
      <c r="U607" s="2"/>
      <c r="V607" s="2"/>
      <c r="W607" s="2"/>
      <c r="X607" s="2"/>
      <c r="Y607" s="2"/>
      <c r="Z607" s="2"/>
      <c r="AA607" s="2"/>
      <c r="AB607" s="2"/>
      <c r="AC607" s="2"/>
      <c r="AD607" s="2"/>
      <c r="AE607" s="2"/>
      <c r="AF607" s="2"/>
      <c r="AG607" s="2"/>
      <c r="AH607" s="2"/>
      <c r="AI607" s="2"/>
      <c r="AJ607" s="2"/>
    </row>
    <row r="608" spans="1:36" ht="17.25" customHeight="1" x14ac:dyDescent="0.2">
      <c r="A608" s="26" t="s">
        <v>0</v>
      </c>
      <c r="B608" s="26" t="s">
        <v>1</v>
      </c>
      <c r="C608" s="3" t="s">
        <v>4182</v>
      </c>
      <c r="D608" s="26" t="s">
        <v>1636</v>
      </c>
      <c r="E608" s="26" t="s">
        <v>1232</v>
      </c>
      <c r="F608" s="2">
        <v>4</v>
      </c>
      <c r="G608" s="4" t="s">
        <v>31</v>
      </c>
      <c r="H608" s="2">
        <v>1987</v>
      </c>
      <c r="I608" s="2" t="s">
        <v>1242</v>
      </c>
      <c r="J608" s="2" t="s">
        <v>1239</v>
      </c>
      <c r="K608" s="2"/>
      <c r="L608" s="2"/>
      <c r="M608" s="2" t="s">
        <v>1132</v>
      </c>
      <c r="N608" s="2"/>
      <c r="O608" s="2"/>
      <c r="P608" s="2" t="s">
        <v>1843</v>
      </c>
      <c r="Q608" s="2" t="s">
        <v>1127</v>
      </c>
      <c r="R608" s="2"/>
      <c r="S608" s="2"/>
      <c r="T608" s="2"/>
      <c r="U608" s="2"/>
      <c r="V608" s="2"/>
      <c r="W608" s="2"/>
      <c r="X608" s="2"/>
      <c r="Y608" s="2"/>
      <c r="Z608" s="2"/>
      <c r="AA608" s="2"/>
      <c r="AB608" s="2"/>
      <c r="AC608" s="2"/>
      <c r="AD608" s="2"/>
      <c r="AE608" s="2"/>
      <c r="AF608" s="2"/>
      <c r="AG608" s="2"/>
      <c r="AH608" s="2"/>
      <c r="AI608" s="2"/>
      <c r="AJ608" s="2"/>
    </row>
    <row r="609" spans="1:36" ht="17.25" customHeight="1" x14ac:dyDescent="0.2">
      <c r="A609" s="26" t="s">
        <v>0</v>
      </c>
      <c r="B609" s="26" t="s">
        <v>48</v>
      </c>
      <c r="C609" s="3" t="s">
        <v>4182</v>
      </c>
      <c r="D609" s="26" t="s">
        <v>1636</v>
      </c>
      <c r="E609" s="26" t="s">
        <v>1232</v>
      </c>
      <c r="F609" s="2">
        <v>5</v>
      </c>
      <c r="G609" s="4" t="s">
        <v>13</v>
      </c>
      <c r="H609" s="2">
        <v>1988</v>
      </c>
      <c r="I609" s="2" t="s">
        <v>1243</v>
      </c>
      <c r="J609" s="2" t="s">
        <v>1239</v>
      </c>
      <c r="K609" s="2"/>
      <c r="L609" s="2"/>
      <c r="M609" s="2" t="s">
        <v>1132</v>
      </c>
      <c r="N609" s="2"/>
      <c r="O609" s="2"/>
      <c r="P609" s="2" t="s">
        <v>1843</v>
      </c>
      <c r="Q609" s="2" t="s">
        <v>1127</v>
      </c>
      <c r="R609" s="2"/>
      <c r="S609" s="2"/>
      <c r="T609" s="2"/>
      <c r="U609" s="2"/>
      <c r="V609" s="2"/>
      <c r="W609" s="2"/>
      <c r="X609" s="2"/>
      <c r="Y609" s="2"/>
      <c r="Z609" s="2"/>
      <c r="AA609" s="2"/>
      <c r="AB609" s="2"/>
      <c r="AC609" s="2"/>
      <c r="AD609" s="2"/>
      <c r="AE609" s="2"/>
      <c r="AF609" s="2"/>
      <c r="AG609" s="2"/>
      <c r="AH609" s="2"/>
      <c r="AI609" s="2"/>
      <c r="AJ609" s="2"/>
    </row>
    <row r="610" spans="1:36" ht="17.25" customHeight="1" x14ac:dyDescent="0.2">
      <c r="A610" s="26" t="s">
        <v>0</v>
      </c>
      <c r="B610" s="26" t="s">
        <v>60</v>
      </c>
      <c r="C610" s="3" t="s">
        <v>4182</v>
      </c>
      <c r="D610" s="26" t="s">
        <v>1636</v>
      </c>
      <c r="E610" s="26" t="s">
        <v>1232</v>
      </c>
      <c r="F610" s="2">
        <v>6</v>
      </c>
      <c r="G610" s="4" t="s">
        <v>49</v>
      </c>
      <c r="H610" s="2">
        <v>1989</v>
      </c>
      <c r="I610" s="2" t="s">
        <v>1244</v>
      </c>
      <c r="J610" s="2" t="s">
        <v>1239</v>
      </c>
      <c r="K610" s="2"/>
      <c r="L610" s="2"/>
      <c r="M610" s="2" t="s">
        <v>1132</v>
      </c>
      <c r="N610" s="2"/>
      <c r="O610" s="2"/>
      <c r="P610" s="2" t="s">
        <v>1843</v>
      </c>
      <c r="Q610" s="2" t="s">
        <v>1127</v>
      </c>
      <c r="R610" s="2"/>
      <c r="S610" s="2"/>
      <c r="T610" s="2"/>
      <c r="U610" s="2"/>
      <c r="V610" s="2"/>
      <c r="W610" s="2"/>
      <c r="X610" s="2"/>
      <c r="Y610" s="2"/>
      <c r="Z610" s="2"/>
      <c r="AA610" s="2"/>
      <c r="AB610" s="2"/>
      <c r="AC610" s="2"/>
      <c r="AD610" s="2"/>
      <c r="AE610" s="2"/>
      <c r="AF610" s="2"/>
      <c r="AG610" s="2"/>
      <c r="AH610" s="2"/>
      <c r="AI610" s="2"/>
      <c r="AJ610" s="2"/>
    </row>
    <row r="611" spans="1:36" ht="17.25" customHeight="1" x14ac:dyDescent="0.2">
      <c r="A611" s="26" t="s">
        <v>0</v>
      </c>
      <c r="B611" s="26" t="s">
        <v>51</v>
      </c>
      <c r="C611" s="3" t="s">
        <v>4182</v>
      </c>
      <c r="D611" s="26" t="s">
        <v>1636</v>
      </c>
      <c r="E611" s="26" t="s">
        <v>1232</v>
      </c>
      <c r="F611" s="2">
        <v>7</v>
      </c>
      <c r="G611" s="4" t="s">
        <v>101</v>
      </c>
      <c r="H611" s="2">
        <v>1990</v>
      </c>
      <c r="I611" s="2" t="s">
        <v>1245</v>
      </c>
      <c r="J611" s="2" t="s">
        <v>1239</v>
      </c>
      <c r="K611" s="2"/>
      <c r="L611" s="2"/>
      <c r="M611" s="2" t="s">
        <v>1132</v>
      </c>
      <c r="N611" s="2"/>
      <c r="O611" s="2"/>
      <c r="P611" s="2" t="s">
        <v>1843</v>
      </c>
      <c r="Q611" s="2" t="s">
        <v>1127</v>
      </c>
      <c r="R611" s="2"/>
      <c r="S611" s="2"/>
      <c r="T611" s="2"/>
      <c r="U611" s="2"/>
      <c r="V611" s="2"/>
      <c r="W611" s="2"/>
      <c r="X611" s="2"/>
      <c r="Y611" s="2"/>
      <c r="Z611" s="2"/>
      <c r="AA611" s="2"/>
      <c r="AB611" s="2"/>
      <c r="AC611" s="2"/>
      <c r="AD611" s="2"/>
      <c r="AE611" s="2"/>
      <c r="AF611" s="2"/>
      <c r="AG611" s="2"/>
      <c r="AH611" s="2"/>
      <c r="AI611" s="2"/>
      <c r="AJ611" s="2"/>
    </row>
    <row r="612" spans="1:36" ht="17.25" customHeight="1" x14ac:dyDescent="0.2">
      <c r="A612" s="26" t="s">
        <v>0</v>
      </c>
      <c r="B612" s="26" t="s">
        <v>24</v>
      </c>
      <c r="C612" s="3" t="s">
        <v>4182</v>
      </c>
      <c r="D612" s="26" t="s">
        <v>1636</v>
      </c>
      <c r="E612" s="26" t="s">
        <v>1232</v>
      </c>
      <c r="F612" s="2">
        <v>8</v>
      </c>
      <c r="G612" s="4" t="s">
        <v>10</v>
      </c>
      <c r="H612" s="2">
        <v>1991</v>
      </c>
      <c r="I612" s="2" t="s">
        <v>1246</v>
      </c>
      <c r="J612" s="2" t="s">
        <v>1239</v>
      </c>
      <c r="K612" s="2"/>
      <c r="L612" s="2"/>
      <c r="M612" s="2" t="s">
        <v>1132</v>
      </c>
      <c r="N612" s="2"/>
      <c r="O612" s="2"/>
      <c r="P612" s="2" t="s">
        <v>1843</v>
      </c>
      <c r="Q612" s="2" t="s">
        <v>1127</v>
      </c>
      <c r="R612" s="2"/>
      <c r="S612" s="2"/>
      <c r="T612" s="2"/>
      <c r="U612" s="2"/>
      <c r="V612" s="2"/>
      <c r="W612" s="2"/>
      <c r="X612" s="2"/>
      <c r="Y612" s="2"/>
      <c r="Z612" s="2"/>
      <c r="AA612" s="2"/>
      <c r="AB612" s="2"/>
      <c r="AC612" s="2"/>
      <c r="AD612" s="2"/>
      <c r="AE612" s="2"/>
      <c r="AF612" s="2"/>
      <c r="AG612" s="2"/>
      <c r="AH612" s="2"/>
      <c r="AI612" s="2"/>
      <c r="AJ612" s="2"/>
    </row>
    <row r="613" spans="1:36" ht="17.25" customHeight="1" x14ac:dyDescent="0.2">
      <c r="A613" s="26" t="s">
        <v>0</v>
      </c>
      <c r="B613" s="26" t="s">
        <v>85</v>
      </c>
      <c r="C613" s="3" t="s">
        <v>4182</v>
      </c>
      <c r="D613" s="26" t="s">
        <v>1636</v>
      </c>
      <c r="E613" s="26" t="s">
        <v>1232</v>
      </c>
      <c r="F613" s="2">
        <v>9</v>
      </c>
      <c r="G613" s="4" t="s">
        <v>55</v>
      </c>
      <c r="H613" s="2">
        <v>1992</v>
      </c>
      <c r="I613" s="2" t="s">
        <v>1247</v>
      </c>
      <c r="J613" s="2" t="s">
        <v>1239</v>
      </c>
      <c r="K613" s="2"/>
      <c r="L613" s="2"/>
      <c r="M613" s="2" t="s">
        <v>1132</v>
      </c>
      <c r="N613" s="2"/>
      <c r="O613" s="2"/>
      <c r="P613" s="2" t="s">
        <v>1843</v>
      </c>
      <c r="Q613" s="2" t="s">
        <v>1127</v>
      </c>
      <c r="R613" s="2"/>
      <c r="S613" s="2"/>
      <c r="T613" s="2"/>
      <c r="U613" s="2"/>
      <c r="V613" s="2"/>
      <c r="W613" s="2"/>
      <c r="X613" s="2"/>
      <c r="Y613" s="2"/>
      <c r="Z613" s="2"/>
      <c r="AA613" s="2"/>
      <c r="AB613" s="2"/>
      <c r="AC613" s="2"/>
      <c r="AD613" s="2"/>
      <c r="AE613" s="2"/>
      <c r="AF613" s="2"/>
      <c r="AG613" s="2"/>
      <c r="AH613" s="2"/>
      <c r="AI613" s="2"/>
      <c r="AJ613" s="2"/>
    </row>
    <row r="614" spans="1:36" ht="17.25" customHeight="1" x14ac:dyDescent="0.2">
      <c r="A614" s="26" t="s">
        <v>0</v>
      </c>
      <c r="B614" s="26" t="s">
        <v>45</v>
      </c>
      <c r="C614" s="3" t="s">
        <v>4182</v>
      </c>
      <c r="D614" s="26" t="s">
        <v>1636</v>
      </c>
      <c r="E614" s="26" t="s">
        <v>1232</v>
      </c>
      <c r="F614" s="2">
        <v>10</v>
      </c>
      <c r="G614" s="4" t="s">
        <v>98</v>
      </c>
      <c r="H614" s="2">
        <v>1993</v>
      </c>
      <c r="I614" s="2" t="s">
        <v>1248</v>
      </c>
      <c r="J614" s="2" t="s">
        <v>1239</v>
      </c>
      <c r="K614" s="2"/>
      <c r="L614" s="2"/>
      <c r="M614" s="2" t="s">
        <v>1132</v>
      </c>
      <c r="N614" s="2"/>
      <c r="O614" s="2"/>
      <c r="P614" s="2" t="s">
        <v>1843</v>
      </c>
      <c r="Q614" s="2" t="s">
        <v>1127</v>
      </c>
      <c r="R614" s="2"/>
      <c r="S614" s="2"/>
      <c r="T614" s="2"/>
      <c r="U614" s="2"/>
      <c r="V614" s="2"/>
      <c r="W614" s="2"/>
      <c r="X614" s="2"/>
      <c r="Y614" s="2"/>
      <c r="Z614" s="2"/>
      <c r="AA614" s="2"/>
      <c r="AB614" s="2"/>
      <c r="AC614" s="2"/>
      <c r="AD614" s="2"/>
      <c r="AE614" s="2"/>
      <c r="AF614" s="2"/>
      <c r="AG614" s="2"/>
      <c r="AH614" s="2"/>
      <c r="AI614" s="2"/>
      <c r="AJ614" s="2"/>
    </row>
    <row r="615" spans="1:36" ht="17.25" customHeight="1" x14ac:dyDescent="0.2">
      <c r="A615" s="26" t="s">
        <v>0</v>
      </c>
      <c r="B615" s="26" t="s">
        <v>42</v>
      </c>
      <c r="C615" s="3" t="s">
        <v>4182</v>
      </c>
      <c r="D615" s="26" t="s">
        <v>1636</v>
      </c>
      <c r="E615" s="26" t="s">
        <v>1232</v>
      </c>
      <c r="F615" s="2">
        <v>11</v>
      </c>
      <c r="G615" s="4" t="s">
        <v>104</v>
      </c>
      <c r="H615" s="2">
        <v>1994</v>
      </c>
      <c r="I615" s="2" t="s">
        <v>1249</v>
      </c>
      <c r="J615" s="2" t="s">
        <v>1239</v>
      </c>
      <c r="K615" s="2"/>
      <c r="L615" s="2"/>
      <c r="M615" s="2" t="s">
        <v>1132</v>
      </c>
      <c r="N615" s="2"/>
      <c r="O615" s="2"/>
      <c r="P615" s="2" t="s">
        <v>1843</v>
      </c>
      <c r="Q615" s="2" t="s">
        <v>1127</v>
      </c>
      <c r="R615" s="2"/>
      <c r="S615" s="2"/>
      <c r="T615" s="2"/>
      <c r="U615" s="2"/>
      <c r="V615" s="2"/>
      <c r="W615" s="2"/>
      <c r="X615" s="2"/>
      <c r="Y615" s="2"/>
      <c r="Z615" s="2"/>
      <c r="AA615" s="2"/>
      <c r="AB615" s="2"/>
      <c r="AC615" s="2"/>
      <c r="AD615" s="2"/>
      <c r="AE615" s="2"/>
      <c r="AF615" s="2"/>
      <c r="AG615" s="2"/>
      <c r="AH615" s="2"/>
      <c r="AI615" s="2"/>
      <c r="AJ615" s="2"/>
    </row>
    <row r="616" spans="1:36" ht="17.25" customHeight="1" x14ac:dyDescent="0.2">
      <c r="A616" s="26" t="s">
        <v>0</v>
      </c>
      <c r="B616" s="26" t="s">
        <v>82</v>
      </c>
      <c r="C616" s="3" t="s">
        <v>4182</v>
      </c>
      <c r="D616" s="26" t="s">
        <v>1636</v>
      </c>
      <c r="E616" s="26" t="s">
        <v>1232</v>
      </c>
      <c r="F616" s="2">
        <v>12</v>
      </c>
      <c r="G616" s="4" t="s">
        <v>89</v>
      </c>
      <c r="H616" s="2">
        <v>1995</v>
      </c>
      <c r="I616" s="2" t="s">
        <v>1250</v>
      </c>
      <c r="J616" s="2" t="s">
        <v>1239</v>
      </c>
      <c r="K616" s="2"/>
      <c r="L616" s="2"/>
      <c r="M616" s="2" t="s">
        <v>1132</v>
      </c>
      <c r="N616" s="2"/>
      <c r="O616" s="2"/>
      <c r="P616" s="2" t="s">
        <v>1843</v>
      </c>
      <c r="Q616" s="2" t="s">
        <v>1127</v>
      </c>
      <c r="R616" s="2"/>
      <c r="S616" s="2"/>
      <c r="T616" s="2"/>
      <c r="U616" s="2"/>
      <c r="V616" s="2"/>
      <c r="W616" s="2"/>
      <c r="X616" s="2"/>
      <c r="Y616" s="2"/>
      <c r="Z616" s="2"/>
      <c r="AA616" s="2"/>
      <c r="AB616" s="2"/>
      <c r="AC616" s="2"/>
      <c r="AD616" s="2"/>
      <c r="AE616" s="2"/>
      <c r="AF616" s="2"/>
      <c r="AG616" s="2"/>
      <c r="AH616" s="2"/>
      <c r="AI616" s="2"/>
      <c r="AJ616" s="2"/>
    </row>
    <row r="617" spans="1:36" ht="17.25" customHeight="1" x14ac:dyDescent="0.2">
      <c r="A617" s="26" t="s">
        <v>0</v>
      </c>
      <c r="B617" s="26" t="s">
        <v>12</v>
      </c>
      <c r="C617" s="3" t="s">
        <v>4182</v>
      </c>
      <c r="D617" s="26" t="s">
        <v>1636</v>
      </c>
      <c r="E617" s="26" t="s">
        <v>1232</v>
      </c>
      <c r="F617" s="2">
        <v>13</v>
      </c>
      <c r="G617" s="4" t="s">
        <v>107</v>
      </c>
      <c r="H617" s="2">
        <v>1996</v>
      </c>
      <c r="I617" s="2" t="s">
        <v>1251</v>
      </c>
      <c r="J617" s="2" t="s">
        <v>1239</v>
      </c>
      <c r="K617" s="2"/>
      <c r="L617" s="2"/>
      <c r="M617" s="2" t="s">
        <v>1132</v>
      </c>
      <c r="N617" s="2"/>
      <c r="O617" s="2"/>
      <c r="P617" s="2" t="s">
        <v>1843</v>
      </c>
      <c r="Q617" s="2" t="s">
        <v>1127</v>
      </c>
      <c r="R617" s="2"/>
      <c r="S617" s="2"/>
      <c r="T617" s="2"/>
      <c r="U617" s="2"/>
      <c r="V617" s="2"/>
      <c r="W617" s="2"/>
      <c r="X617" s="2"/>
      <c r="Y617" s="2"/>
      <c r="Z617" s="2"/>
      <c r="AA617" s="2"/>
      <c r="AB617" s="2"/>
      <c r="AC617" s="2"/>
      <c r="AD617" s="2"/>
      <c r="AE617" s="2"/>
      <c r="AF617" s="2"/>
      <c r="AG617" s="2"/>
      <c r="AH617" s="2"/>
      <c r="AI617" s="2"/>
      <c r="AJ617" s="2"/>
    </row>
    <row r="618" spans="1:36" ht="17.25" customHeight="1" x14ac:dyDescent="0.2">
      <c r="A618" s="26" t="s">
        <v>0</v>
      </c>
      <c r="B618" s="26" t="s">
        <v>88</v>
      </c>
      <c r="C618" s="3" t="s">
        <v>4182</v>
      </c>
      <c r="D618" s="26" t="s">
        <v>1636</v>
      </c>
      <c r="E618" s="26" t="s">
        <v>1232</v>
      </c>
      <c r="F618" s="2">
        <v>14</v>
      </c>
      <c r="G618" s="4" t="s">
        <v>43</v>
      </c>
      <c r="H618" s="2">
        <v>1997</v>
      </c>
      <c r="I618" s="2" t="s">
        <v>1252</v>
      </c>
      <c r="J618" s="2" t="s">
        <v>1239</v>
      </c>
      <c r="K618" s="2"/>
      <c r="L618" s="2"/>
      <c r="M618" s="2" t="s">
        <v>1132</v>
      </c>
      <c r="N618" s="2"/>
      <c r="O618" s="2"/>
      <c r="P618" s="2" t="s">
        <v>1843</v>
      </c>
      <c r="Q618" s="2" t="s">
        <v>1127</v>
      </c>
      <c r="R618" s="2"/>
      <c r="S618" s="2"/>
      <c r="T618" s="2"/>
      <c r="U618" s="2"/>
      <c r="V618" s="2"/>
      <c r="W618" s="2"/>
      <c r="X618" s="2"/>
      <c r="Y618" s="2"/>
      <c r="Z618" s="2"/>
      <c r="AA618" s="2"/>
      <c r="AB618" s="2"/>
      <c r="AC618" s="2"/>
      <c r="AD618" s="2"/>
      <c r="AE618" s="2"/>
      <c r="AF618" s="2"/>
      <c r="AG618" s="2"/>
      <c r="AH618" s="2"/>
      <c r="AI618" s="2"/>
      <c r="AJ618" s="2"/>
    </row>
    <row r="619" spans="1:36" ht="17.25" customHeight="1" x14ac:dyDescent="0.2">
      <c r="A619" s="26" t="s">
        <v>0</v>
      </c>
      <c r="B619" s="26" t="s">
        <v>21</v>
      </c>
      <c r="C619" s="3" t="s">
        <v>4182</v>
      </c>
      <c r="D619" s="26" t="s">
        <v>1636</v>
      </c>
      <c r="E619" s="26" t="s">
        <v>1232</v>
      </c>
      <c r="F619" s="2">
        <v>15</v>
      </c>
      <c r="G619" s="4" t="s">
        <v>19</v>
      </c>
      <c r="H619" s="2">
        <v>1998</v>
      </c>
      <c r="I619" s="2" t="s">
        <v>1253</v>
      </c>
      <c r="J619" s="2" t="s">
        <v>1239</v>
      </c>
      <c r="K619" s="2"/>
      <c r="L619" s="2"/>
      <c r="M619" s="2" t="s">
        <v>1132</v>
      </c>
      <c r="N619" s="2"/>
      <c r="O619" s="2"/>
      <c r="P619" s="2" t="s">
        <v>1843</v>
      </c>
      <c r="Q619" s="2" t="s">
        <v>1127</v>
      </c>
      <c r="R619" s="2"/>
      <c r="S619" s="2"/>
      <c r="T619" s="2"/>
      <c r="U619" s="2"/>
      <c r="V619" s="2"/>
      <c r="W619" s="2"/>
      <c r="X619" s="2"/>
      <c r="Y619" s="2"/>
      <c r="Z619" s="2"/>
      <c r="AA619" s="2"/>
      <c r="AB619" s="2"/>
      <c r="AC619" s="2"/>
      <c r="AD619" s="2"/>
      <c r="AE619" s="2"/>
      <c r="AF619" s="2"/>
      <c r="AG619" s="2"/>
      <c r="AH619" s="2"/>
      <c r="AI619" s="2"/>
      <c r="AJ619" s="2"/>
    </row>
    <row r="620" spans="1:36" ht="17.25" customHeight="1" x14ac:dyDescent="0.2">
      <c r="A620" s="26" t="s">
        <v>0</v>
      </c>
      <c r="B620" s="26" t="s">
        <v>9</v>
      </c>
      <c r="C620" s="3" t="s">
        <v>4182</v>
      </c>
      <c r="D620" s="26" t="s">
        <v>1636</v>
      </c>
      <c r="E620" s="26" t="s">
        <v>1232</v>
      </c>
      <c r="F620" s="2">
        <v>16</v>
      </c>
      <c r="G620" s="4" t="s">
        <v>25</v>
      </c>
      <c r="H620" s="2">
        <v>1999</v>
      </c>
      <c r="I620" s="2" t="s">
        <v>1254</v>
      </c>
      <c r="J620" s="2" t="s">
        <v>1239</v>
      </c>
      <c r="K620" s="2"/>
      <c r="L620" s="2"/>
      <c r="M620" s="2" t="s">
        <v>1132</v>
      </c>
      <c r="N620" s="2"/>
      <c r="O620" s="2"/>
      <c r="P620" s="2" t="s">
        <v>1843</v>
      </c>
      <c r="Q620" s="2" t="s">
        <v>1127</v>
      </c>
      <c r="R620" s="2"/>
      <c r="S620" s="2"/>
      <c r="T620" s="2"/>
      <c r="U620" s="2"/>
      <c r="V620" s="2"/>
      <c r="W620" s="2"/>
      <c r="X620" s="2"/>
      <c r="Y620" s="2"/>
      <c r="Z620" s="2"/>
      <c r="AA620" s="2"/>
      <c r="AB620" s="2"/>
      <c r="AC620" s="2"/>
      <c r="AD620" s="2"/>
      <c r="AE620" s="2"/>
      <c r="AF620" s="2"/>
      <c r="AG620" s="2"/>
      <c r="AH620" s="2"/>
      <c r="AI620" s="2"/>
      <c r="AJ620" s="2"/>
    </row>
    <row r="621" spans="1:36" ht="17.25" customHeight="1" x14ac:dyDescent="0.2">
      <c r="A621" s="26" t="s">
        <v>0</v>
      </c>
      <c r="B621" s="26" t="s">
        <v>72</v>
      </c>
      <c r="C621" s="3" t="s">
        <v>4182</v>
      </c>
      <c r="D621" s="26" t="s">
        <v>1636</v>
      </c>
      <c r="E621" s="26" t="s">
        <v>1232</v>
      </c>
      <c r="F621" s="2">
        <v>17</v>
      </c>
      <c r="G621" s="4" t="s">
        <v>73</v>
      </c>
      <c r="H621" s="2">
        <v>2000</v>
      </c>
      <c r="I621" s="2" t="s">
        <v>1255</v>
      </c>
      <c r="J621" s="2" t="s">
        <v>1239</v>
      </c>
      <c r="K621" s="2"/>
      <c r="L621" s="2"/>
      <c r="M621" s="2" t="s">
        <v>1132</v>
      </c>
      <c r="N621" s="2"/>
      <c r="O621" s="2"/>
      <c r="P621" s="2" t="s">
        <v>1843</v>
      </c>
      <c r="Q621" s="2" t="s">
        <v>1127</v>
      </c>
      <c r="R621" s="2"/>
      <c r="S621" s="2"/>
      <c r="T621" s="2"/>
      <c r="U621" s="2"/>
      <c r="V621" s="2"/>
      <c r="W621" s="2"/>
      <c r="X621" s="2"/>
      <c r="Y621" s="2"/>
      <c r="Z621" s="2"/>
      <c r="AA621" s="2"/>
      <c r="AB621" s="2"/>
      <c r="AC621" s="2"/>
      <c r="AD621" s="2"/>
      <c r="AE621" s="2"/>
      <c r="AF621" s="2"/>
      <c r="AG621" s="2"/>
      <c r="AH621" s="2"/>
      <c r="AI621" s="2"/>
      <c r="AJ621" s="2"/>
    </row>
    <row r="622" spans="1:36" ht="17.25" customHeight="1" x14ac:dyDescent="0.2">
      <c r="A622" s="26" t="s">
        <v>0</v>
      </c>
      <c r="B622" s="26" t="s">
        <v>106</v>
      </c>
      <c r="C622" s="3" t="s">
        <v>4182</v>
      </c>
      <c r="D622" s="26" t="s">
        <v>1636</v>
      </c>
      <c r="E622" s="26" t="s">
        <v>1232</v>
      </c>
      <c r="F622" s="2">
        <v>18</v>
      </c>
      <c r="G622" s="4" t="s">
        <v>58</v>
      </c>
      <c r="H622" s="2">
        <v>2001</v>
      </c>
      <c r="I622" s="2" t="s">
        <v>1256</v>
      </c>
      <c r="J622" s="2" t="s">
        <v>1239</v>
      </c>
      <c r="K622" s="2"/>
      <c r="L622" s="2"/>
      <c r="M622" s="2" t="s">
        <v>1132</v>
      </c>
      <c r="N622" s="2"/>
      <c r="O622" s="2"/>
      <c r="P622" s="2" t="s">
        <v>1843</v>
      </c>
      <c r="Q622" s="2" t="s">
        <v>1127</v>
      </c>
      <c r="R622" s="2"/>
      <c r="S622" s="2"/>
      <c r="T622" s="2"/>
      <c r="U622" s="2"/>
      <c r="V622" s="2"/>
      <c r="W622" s="2"/>
      <c r="X622" s="2"/>
      <c r="Y622" s="2"/>
      <c r="Z622" s="2"/>
      <c r="AA622" s="2"/>
      <c r="AB622" s="2"/>
      <c r="AC622" s="2"/>
      <c r="AD622" s="2"/>
      <c r="AE622" s="2"/>
      <c r="AF622" s="2"/>
      <c r="AG622" s="2"/>
      <c r="AH622" s="2"/>
      <c r="AI622" s="2"/>
      <c r="AJ622" s="2"/>
    </row>
    <row r="623" spans="1:36" ht="17.25" customHeight="1" x14ac:dyDescent="0.2">
      <c r="A623" s="26" t="s">
        <v>0</v>
      </c>
      <c r="B623" s="26" t="s">
        <v>63</v>
      </c>
      <c r="C623" s="3" t="s">
        <v>4182</v>
      </c>
      <c r="D623" s="26" t="s">
        <v>1636</v>
      </c>
      <c r="E623" s="26" t="s">
        <v>1232</v>
      </c>
      <c r="F623" s="2">
        <v>19</v>
      </c>
      <c r="G623" s="4" t="s">
        <v>4</v>
      </c>
      <c r="H623" s="2">
        <v>2002</v>
      </c>
      <c r="I623" s="2" t="s">
        <v>1257</v>
      </c>
      <c r="J623" s="2" t="s">
        <v>1239</v>
      </c>
      <c r="K623" s="2"/>
      <c r="L623" s="2"/>
      <c r="M623" s="2" t="s">
        <v>1132</v>
      </c>
      <c r="N623" s="2"/>
      <c r="O623" s="2"/>
      <c r="P623" s="2" t="s">
        <v>1843</v>
      </c>
      <c r="Q623" s="2" t="s">
        <v>1127</v>
      </c>
      <c r="R623" s="2"/>
      <c r="S623" s="2"/>
      <c r="T623" s="2"/>
      <c r="U623" s="2"/>
      <c r="V623" s="2"/>
      <c r="W623" s="2"/>
      <c r="X623" s="2"/>
      <c r="Y623" s="2"/>
      <c r="Z623" s="2"/>
      <c r="AA623" s="2"/>
      <c r="AB623" s="2"/>
      <c r="AC623" s="2"/>
      <c r="AD623" s="2"/>
      <c r="AE623" s="2"/>
      <c r="AF623" s="2"/>
      <c r="AG623" s="2"/>
      <c r="AH623" s="2"/>
      <c r="AI623" s="2"/>
      <c r="AJ623" s="2"/>
    </row>
    <row r="624" spans="1:36" ht="17.25" customHeight="1" x14ac:dyDescent="0.2">
      <c r="A624" s="26" t="s">
        <v>0</v>
      </c>
      <c r="B624" s="26" t="s">
        <v>97</v>
      </c>
      <c r="C624" s="3" t="s">
        <v>4182</v>
      </c>
      <c r="D624" s="26" t="s">
        <v>1636</v>
      </c>
      <c r="E624" s="26" t="s">
        <v>1232</v>
      </c>
      <c r="F624" s="2">
        <v>20</v>
      </c>
      <c r="G624" s="4" t="s">
        <v>83</v>
      </c>
      <c r="H624" s="2">
        <v>2003</v>
      </c>
      <c r="I624" s="2" t="s">
        <v>1258</v>
      </c>
      <c r="J624" s="2" t="s">
        <v>1239</v>
      </c>
      <c r="K624" s="2"/>
      <c r="L624" s="2"/>
      <c r="M624" s="2" t="s">
        <v>1132</v>
      </c>
      <c r="N624" s="2"/>
      <c r="O624" s="2"/>
      <c r="P624" s="2" t="s">
        <v>1843</v>
      </c>
      <c r="Q624" s="2" t="s">
        <v>1127</v>
      </c>
      <c r="R624" s="2"/>
      <c r="S624" s="2"/>
      <c r="T624" s="2"/>
      <c r="U624" s="2"/>
      <c r="V624" s="2"/>
      <c r="W624" s="2"/>
      <c r="X624" s="2"/>
      <c r="Y624" s="2"/>
      <c r="Z624" s="2"/>
      <c r="AA624" s="2"/>
      <c r="AB624" s="2"/>
      <c r="AC624" s="2"/>
      <c r="AD624" s="2"/>
      <c r="AE624" s="2"/>
      <c r="AF624" s="2"/>
      <c r="AG624" s="2"/>
      <c r="AH624" s="2"/>
      <c r="AI624" s="2"/>
      <c r="AJ624" s="2"/>
    </row>
    <row r="625" spans="1:36" ht="17.25" customHeight="1" x14ac:dyDescent="0.2">
      <c r="A625" s="26" t="s">
        <v>0</v>
      </c>
      <c r="B625" s="26" t="s">
        <v>69</v>
      </c>
      <c r="C625" s="3" t="s">
        <v>4182</v>
      </c>
      <c r="D625" s="26" t="s">
        <v>1636</v>
      </c>
      <c r="E625" s="26" t="s">
        <v>1232</v>
      </c>
      <c r="F625" s="2">
        <v>21</v>
      </c>
      <c r="G625" s="4" t="s">
        <v>64</v>
      </c>
      <c r="H625" s="2">
        <v>2004</v>
      </c>
      <c r="I625" s="2" t="s">
        <v>1259</v>
      </c>
      <c r="J625" s="2" t="s">
        <v>1239</v>
      </c>
      <c r="K625" s="2"/>
      <c r="L625" s="2"/>
      <c r="M625" s="2" t="s">
        <v>1132</v>
      </c>
      <c r="N625" s="2"/>
      <c r="O625" s="2"/>
      <c r="P625" s="2" t="s">
        <v>1843</v>
      </c>
      <c r="Q625" s="2" t="s">
        <v>1127</v>
      </c>
      <c r="R625" s="2"/>
      <c r="S625" s="2"/>
      <c r="T625" s="2"/>
      <c r="U625" s="2"/>
      <c r="V625" s="2"/>
      <c r="W625" s="2"/>
      <c r="X625" s="2"/>
      <c r="Y625" s="2"/>
      <c r="Z625" s="2"/>
      <c r="AA625" s="2"/>
      <c r="AB625" s="2"/>
      <c r="AC625" s="2"/>
      <c r="AD625" s="2"/>
      <c r="AE625" s="2"/>
      <c r="AF625" s="2"/>
      <c r="AG625" s="2"/>
      <c r="AH625" s="2"/>
      <c r="AI625" s="2"/>
      <c r="AJ625" s="2"/>
    </row>
    <row r="626" spans="1:36" ht="17.25" customHeight="1" x14ac:dyDescent="0.2">
      <c r="A626" s="26" t="s">
        <v>0</v>
      </c>
      <c r="B626" s="26" t="s">
        <v>100</v>
      </c>
      <c r="C626" s="3" t="s">
        <v>4182</v>
      </c>
      <c r="D626" s="26" t="s">
        <v>1636</v>
      </c>
      <c r="E626" s="26" t="s">
        <v>1232</v>
      </c>
      <c r="F626" s="2">
        <v>22</v>
      </c>
      <c r="G626" s="4" t="s">
        <v>92</v>
      </c>
      <c r="H626" s="2">
        <v>2005</v>
      </c>
      <c r="I626" s="2" t="s">
        <v>1260</v>
      </c>
      <c r="J626" s="2" t="s">
        <v>1239</v>
      </c>
      <c r="K626" s="2"/>
      <c r="L626" s="2"/>
      <c r="M626" s="2" t="s">
        <v>1132</v>
      </c>
      <c r="N626" s="2"/>
      <c r="O626" s="2"/>
      <c r="P626" s="2" t="s">
        <v>1843</v>
      </c>
      <c r="Q626" s="2" t="s">
        <v>1127</v>
      </c>
      <c r="R626" s="2"/>
      <c r="S626" s="2"/>
      <c r="T626" s="2"/>
      <c r="U626" s="2"/>
      <c r="V626" s="2"/>
      <c r="W626" s="2"/>
      <c r="X626" s="2"/>
      <c r="Y626" s="2"/>
      <c r="Z626" s="2"/>
      <c r="AA626" s="2"/>
      <c r="AB626" s="2"/>
      <c r="AC626" s="2"/>
      <c r="AD626" s="2"/>
      <c r="AE626" s="2"/>
      <c r="AF626" s="2"/>
      <c r="AG626" s="2"/>
      <c r="AH626" s="2"/>
      <c r="AI626" s="2"/>
      <c r="AJ626" s="2"/>
    </row>
    <row r="627" spans="1:36" ht="17.25" customHeight="1" x14ac:dyDescent="0.2">
      <c r="A627" s="26" t="s">
        <v>0</v>
      </c>
      <c r="B627" s="26" t="s">
        <v>79</v>
      </c>
      <c r="C627" s="3" t="s">
        <v>4182</v>
      </c>
      <c r="D627" s="26" t="s">
        <v>1636</v>
      </c>
      <c r="E627" s="26" t="s">
        <v>1232</v>
      </c>
      <c r="F627" s="2">
        <v>23</v>
      </c>
      <c r="G627" s="4" t="s">
        <v>52</v>
      </c>
      <c r="H627" s="2">
        <v>2006</v>
      </c>
      <c r="I627" s="2" t="s">
        <v>1261</v>
      </c>
      <c r="J627" s="2" t="s">
        <v>1239</v>
      </c>
      <c r="K627" s="2"/>
      <c r="L627" s="2"/>
      <c r="M627" s="2" t="s">
        <v>1132</v>
      </c>
      <c r="N627" s="2"/>
      <c r="O627" s="2"/>
      <c r="P627" s="2" t="s">
        <v>1843</v>
      </c>
      <c r="Q627" s="2" t="s">
        <v>1127</v>
      </c>
      <c r="R627" s="2"/>
      <c r="S627" s="2"/>
      <c r="T627" s="2"/>
      <c r="U627" s="2"/>
      <c r="V627" s="2"/>
      <c r="W627" s="2"/>
      <c r="X627" s="2"/>
      <c r="Y627" s="2"/>
      <c r="Z627" s="2"/>
      <c r="AA627" s="2"/>
      <c r="AB627" s="2"/>
      <c r="AC627" s="2"/>
      <c r="AD627" s="2"/>
      <c r="AE627" s="2"/>
      <c r="AF627" s="2"/>
      <c r="AG627" s="2"/>
      <c r="AH627" s="2"/>
      <c r="AI627" s="2"/>
      <c r="AJ627" s="2"/>
    </row>
    <row r="628" spans="1:36" ht="17.25" customHeight="1" x14ac:dyDescent="0.2">
      <c r="A628" s="26" t="s">
        <v>0</v>
      </c>
      <c r="B628" s="26" t="s">
        <v>39</v>
      </c>
      <c r="C628" s="3" t="s">
        <v>4182</v>
      </c>
      <c r="D628" s="26" t="s">
        <v>1636</v>
      </c>
      <c r="E628" s="26" t="s">
        <v>1232</v>
      </c>
      <c r="F628" s="2">
        <v>24</v>
      </c>
      <c r="G628" s="4" t="s">
        <v>95</v>
      </c>
      <c r="H628" s="2">
        <v>2007</v>
      </c>
      <c r="I628" s="2" t="s">
        <v>1262</v>
      </c>
      <c r="J628" s="2" t="s">
        <v>1239</v>
      </c>
      <c r="K628" s="2"/>
      <c r="L628" s="2"/>
      <c r="M628" s="2" t="s">
        <v>1132</v>
      </c>
      <c r="N628" s="2"/>
      <c r="O628" s="2"/>
      <c r="P628" s="2" t="s">
        <v>1843</v>
      </c>
      <c r="Q628" s="2" t="s">
        <v>1127</v>
      </c>
      <c r="R628" s="2"/>
      <c r="S628" s="2"/>
      <c r="T628" s="2"/>
      <c r="U628" s="2"/>
      <c r="V628" s="2"/>
      <c r="W628" s="2"/>
      <c r="X628" s="2"/>
      <c r="Y628" s="2"/>
      <c r="Z628" s="2"/>
      <c r="AA628" s="2"/>
      <c r="AB628" s="2"/>
      <c r="AC628" s="2"/>
      <c r="AD628" s="2"/>
      <c r="AE628" s="2"/>
      <c r="AF628" s="2"/>
      <c r="AG628" s="2"/>
      <c r="AH628" s="2"/>
      <c r="AI628" s="2"/>
      <c r="AJ628" s="2"/>
    </row>
    <row r="629" spans="1:36" ht="17.25" customHeight="1" x14ac:dyDescent="0.2">
      <c r="A629" s="26" t="s">
        <v>0</v>
      </c>
      <c r="B629" s="26" t="s">
        <v>36</v>
      </c>
      <c r="C629" s="3" t="s">
        <v>4182</v>
      </c>
      <c r="D629" s="26" t="s">
        <v>1636</v>
      </c>
      <c r="E629" s="26" t="s">
        <v>1232</v>
      </c>
      <c r="F629" s="2">
        <v>25</v>
      </c>
      <c r="G629" s="4" t="s">
        <v>70</v>
      </c>
      <c r="H629" s="2">
        <v>2008</v>
      </c>
      <c r="I629" s="2" t="s">
        <v>1263</v>
      </c>
      <c r="J629" s="2" t="s">
        <v>1239</v>
      </c>
      <c r="K629" s="2"/>
      <c r="L629" s="2"/>
      <c r="M629" s="2" t="s">
        <v>1132</v>
      </c>
      <c r="N629" s="2"/>
      <c r="O629" s="2"/>
      <c r="P629" s="2" t="s">
        <v>1843</v>
      </c>
      <c r="Q629" s="2" t="s">
        <v>1127</v>
      </c>
      <c r="R629" s="2"/>
      <c r="S629" s="2"/>
      <c r="T629" s="2"/>
      <c r="U629" s="2"/>
      <c r="V629" s="2"/>
      <c r="W629" s="2"/>
      <c r="X629" s="2"/>
      <c r="Y629" s="2"/>
      <c r="Z629" s="2"/>
      <c r="AA629" s="2"/>
      <c r="AB629" s="2"/>
      <c r="AC629" s="2"/>
      <c r="AD629" s="2"/>
      <c r="AE629" s="2"/>
      <c r="AF629" s="2"/>
      <c r="AG629" s="2"/>
      <c r="AH629" s="2"/>
      <c r="AI629" s="2"/>
      <c r="AJ629" s="2"/>
    </row>
    <row r="630" spans="1:36" ht="17.25" customHeight="1" x14ac:dyDescent="0.2">
      <c r="A630" s="26" t="s">
        <v>0</v>
      </c>
      <c r="B630" s="26" t="s">
        <v>91</v>
      </c>
      <c r="C630" s="3" t="s">
        <v>4182</v>
      </c>
      <c r="D630" s="26" t="s">
        <v>1636</v>
      </c>
      <c r="E630" s="26" t="s">
        <v>1232</v>
      </c>
      <c r="F630" s="2">
        <v>26</v>
      </c>
      <c r="G630" s="4" t="s">
        <v>16</v>
      </c>
      <c r="H630" s="2">
        <v>2009</v>
      </c>
      <c r="I630" s="2" t="s">
        <v>1264</v>
      </c>
      <c r="J630" s="2" t="s">
        <v>1239</v>
      </c>
      <c r="K630" s="2"/>
      <c r="L630" s="2"/>
      <c r="M630" s="2" t="s">
        <v>1132</v>
      </c>
      <c r="N630" s="2"/>
      <c r="O630" s="2"/>
      <c r="P630" s="2" t="s">
        <v>1843</v>
      </c>
      <c r="Q630" s="2" t="s">
        <v>1127</v>
      </c>
      <c r="R630" s="2"/>
      <c r="S630" s="2"/>
      <c r="T630" s="2"/>
      <c r="U630" s="2"/>
      <c r="V630" s="2"/>
      <c r="W630" s="2"/>
      <c r="X630" s="2"/>
      <c r="Y630" s="2"/>
      <c r="Z630" s="2"/>
      <c r="AA630" s="2"/>
      <c r="AB630" s="2"/>
      <c r="AC630" s="2"/>
      <c r="AD630" s="2"/>
      <c r="AE630" s="2"/>
      <c r="AF630" s="2"/>
      <c r="AG630" s="2"/>
      <c r="AH630" s="2"/>
      <c r="AI630" s="2"/>
      <c r="AJ630" s="2"/>
    </row>
    <row r="631" spans="1:36" ht="17.25" customHeight="1" x14ac:dyDescent="0.2">
      <c r="A631" s="26" t="s">
        <v>0</v>
      </c>
      <c r="B631" s="26" t="s">
        <v>103</v>
      </c>
      <c r="C631" s="3" t="s">
        <v>4182</v>
      </c>
      <c r="D631" s="26" t="s">
        <v>1636</v>
      </c>
      <c r="E631" s="26" t="s">
        <v>1232</v>
      </c>
      <c r="F631" s="2">
        <v>27</v>
      </c>
      <c r="G631" s="4" t="s">
        <v>34</v>
      </c>
      <c r="H631" s="2">
        <v>2010</v>
      </c>
      <c r="I631" s="2" t="s">
        <v>1265</v>
      </c>
      <c r="J631" s="2" t="s">
        <v>1239</v>
      </c>
      <c r="K631" s="2"/>
      <c r="L631" s="2"/>
      <c r="M631" s="2" t="s">
        <v>1132</v>
      </c>
      <c r="N631" s="2"/>
      <c r="O631" s="2"/>
      <c r="P631" s="2" t="s">
        <v>1843</v>
      </c>
      <c r="Q631" s="2" t="s">
        <v>1127</v>
      </c>
      <c r="R631" s="2"/>
      <c r="S631" s="2"/>
      <c r="T631" s="2"/>
      <c r="U631" s="2"/>
      <c r="V631" s="2"/>
      <c r="W631" s="2"/>
      <c r="X631" s="2"/>
      <c r="Y631" s="2"/>
      <c r="Z631" s="2"/>
      <c r="AA631" s="2"/>
      <c r="AB631" s="2"/>
      <c r="AC631" s="2"/>
      <c r="AD631" s="2"/>
      <c r="AE631" s="2"/>
      <c r="AF631" s="2"/>
      <c r="AG631" s="2"/>
      <c r="AH631" s="2"/>
      <c r="AI631" s="2"/>
      <c r="AJ631" s="2"/>
    </row>
    <row r="632" spans="1:36" ht="17.25" customHeight="1" x14ac:dyDescent="0.2">
      <c r="A632" s="26" t="s">
        <v>0</v>
      </c>
      <c r="B632" s="26" t="s">
        <v>33</v>
      </c>
      <c r="C632" s="3" t="s">
        <v>4182</v>
      </c>
      <c r="D632" s="26" t="s">
        <v>1636</v>
      </c>
      <c r="E632" s="26" t="s">
        <v>1232</v>
      </c>
      <c r="F632" s="2">
        <v>28</v>
      </c>
      <c r="G632" s="4" t="s">
        <v>46</v>
      </c>
      <c r="H632" s="2">
        <v>2011</v>
      </c>
      <c r="I632" s="2" t="s">
        <v>1266</v>
      </c>
      <c r="J632" s="2" t="s">
        <v>1239</v>
      </c>
      <c r="K632" s="2"/>
      <c r="L632" s="2"/>
      <c r="M632" s="2" t="s">
        <v>1132</v>
      </c>
      <c r="N632" s="2"/>
      <c r="O632" s="2"/>
      <c r="P632" s="2" t="s">
        <v>1843</v>
      </c>
      <c r="Q632" s="2" t="s">
        <v>1127</v>
      </c>
      <c r="R632" s="2"/>
      <c r="S632" s="2"/>
      <c r="T632" s="2"/>
      <c r="U632" s="2"/>
      <c r="V632" s="2"/>
      <c r="W632" s="2"/>
      <c r="X632" s="2"/>
      <c r="Y632" s="2"/>
      <c r="Z632" s="2"/>
      <c r="AA632" s="2"/>
      <c r="AB632" s="2"/>
      <c r="AC632" s="2"/>
      <c r="AD632" s="2"/>
      <c r="AE632" s="2"/>
      <c r="AF632" s="2"/>
      <c r="AG632" s="2"/>
      <c r="AH632" s="2"/>
      <c r="AI632" s="2"/>
      <c r="AJ632" s="2"/>
    </row>
    <row r="633" spans="1:36" ht="17.25" customHeight="1" x14ac:dyDescent="0.2">
      <c r="A633" s="26" t="s">
        <v>0</v>
      </c>
      <c r="B633" s="26" t="s">
        <v>27</v>
      </c>
      <c r="C633" s="3" t="s">
        <v>4182</v>
      </c>
      <c r="D633" s="26" t="s">
        <v>1636</v>
      </c>
      <c r="E633" s="26" t="s">
        <v>1232</v>
      </c>
      <c r="F633" s="2">
        <v>29</v>
      </c>
      <c r="G633" s="4" t="s">
        <v>61</v>
      </c>
      <c r="H633" s="2">
        <v>2012</v>
      </c>
      <c r="I633" s="2" t="s">
        <v>1267</v>
      </c>
      <c r="J633" s="2" t="s">
        <v>1239</v>
      </c>
      <c r="K633" s="2"/>
      <c r="L633" s="2"/>
      <c r="M633" s="2" t="s">
        <v>1132</v>
      </c>
      <c r="N633" s="2"/>
      <c r="O633" s="2"/>
      <c r="P633" s="2" t="s">
        <v>1843</v>
      </c>
      <c r="Q633" s="2" t="s">
        <v>1127</v>
      </c>
      <c r="R633" s="2"/>
      <c r="S633" s="2"/>
      <c r="T633" s="2"/>
      <c r="U633" s="2"/>
      <c r="V633" s="2"/>
      <c r="W633" s="2"/>
      <c r="X633" s="2"/>
      <c r="Y633" s="2"/>
      <c r="Z633" s="2"/>
      <c r="AA633" s="2"/>
      <c r="AB633" s="2"/>
      <c r="AC633" s="2"/>
      <c r="AD633" s="2"/>
      <c r="AE633" s="2"/>
      <c r="AF633" s="2"/>
      <c r="AG633" s="2"/>
      <c r="AH633" s="2"/>
      <c r="AI633" s="2"/>
      <c r="AJ633" s="2"/>
    </row>
    <row r="634" spans="1:36" ht="17.25" customHeight="1" x14ac:dyDescent="0.2">
      <c r="A634" s="26" t="s">
        <v>0</v>
      </c>
      <c r="B634" s="26" t="s">
        <v>54</v>
      </c>
      <c r="C634" s="3" t="s">
        <v>4182</v>
      </c>
      <c r="D634" s="26" t="s">
        <v>1636</v>
      </c>
      <c r="E634" s="26" t="s">
        <v>1232</v>
      </c>
      <c r="F634" s="2">
        <v>30</v>
      </c>
      <c r="G634" s="4" t="s">
        <v>86</v>
      </c>
      <c r="H634" s="2">
        <v>2013</v>
      </c>
      <c r="I634" s="2" t="s">
        <v>1268</v>
      </c>
      <c r="J634" s="2" t="s">
        <v>1239</v>
      </c>
      <c r="K634" s="2"/>
      <c r="L634" s="2"/>
      <c r="M634" s="2" t="s">
        <v>1132</v>
      </c>
      <c r="N634" s="2"/>
      <c r="O634" s="2"/>
      <c r="P634" s="2" t="s">
        <v>1843</v>
      </c>
      <c r="Q634" s="2" t="s">
        <v>1127</v>
      </c>
      <c r="R634" s="2"/>
      <c r="S634" s="2"/>
      <c r="T634" s="2"/>
      <c r="U634" s="2"/>
      <c r="V634" s="2"/>
      <c r="W634" s="2"/>
      <c r="X634" s="2"/>
      <c r="Y634" s="2"/>
      <c r="Z634" s="2"/>
      <c r="AA634" s="2"/>
      <c r="AB634" s="2"/>
      <c r="AC634" s="2"/>
      <c r="AD634" s="2"/>
      <c r="AE634" s="2"/>
      <c r="AF634" s="2"/>
      <c r="AG634" s="2"/>
      <c r="AH634" s="2"/>
      <c r="AI634" s="2"/>
      <c r="AJ634" s="2"/>
    </row>
    <row r="635" spans="1:36" ht="17.25" customHeight="1" x14ac:dyDescent="0.2">
      <c r="A635" s="26" t="s">
        <v>0</v>
      </c>
      <c r="B635" s="26" t="s">
        <v>57</v>
      </c>
      <c r="C635" s="3" t="s">
        <v>4182</v>
      </c>
      <c r="D635" s="26" t="s">
        <v>1636</v>
      </c>
      <c r="E635" s="26" t="s">
        <v>1232</v>
      </c>
      <c r="F635" s="2">
        <v>31</v>
      </c>
      <c r="G635" s="4" t="s">
        <v>22</v>
      </c>
      <c r="H635" s="2">
        <v>2014</v>
      </c>
      <c r="I635" s="2" t="s">
        <v>1269</v>
      </c>
      <c r="J635" s="2" t="s">
        <v>1239</v>
      </c>
      <c r="K635" s="2"/>
      <c r="L635" s="2"/>
      <c r="M635" s="2" t="s">
        <v>1132</v>
      </c>
      <c r="N635" s="2"/>
      <c r="O635" s="2"/>
      <c r="P635" s="2" t="s">
        <v>1843</v>
      </c>
      <c r="Q635" s="2" t="s">
        <v>1127</v>
      </c>
      <c r="R635" s="2"/>
      <c r="S635" s="2"/>
      <c r="T635" s="2"/>
      <c r="U635" s="2"/>
      <c r="V635" s="2"/>
      <c r="W635" s="2"/>
      <c r="X635" s="2"/>
      <c r="Y635" s="2"/>
      <c r="Z635" s="2"/>
      <c r="AA635" s="2"/>
      <c r="AB635" s="2"/>
      <c r="AC635" s="2"/>
      <c r="AD635" s="2"/>
      <c r="AE635" s="2"/>
      <c r="AF635" s="2"/>
      <c r="AG635" s="2"/>
      <c r="AH635" s="2"/>
      <c r="AI635" s="2"/>
      <c r="AJ635" s="2"/>
    </row>
    <row r="636" spans="1:36" ht="17.25" customHeight="1" x14ac:dyDescent="0.2">
      <c r="A636" s="26" t="s">
        <v>0</v>
      </c>
      <c r="B636" s="26" t="s">
        <v>18</v>
      </c>
      <c r="C636" s="3" t="s">
        <v>4182</v>
      </c>
      <c r="D636" s="26" t="s">
        <v>1636</v>
      </c>
      <c r="E636" s="26" t="s">
        <v>1232</v>
      </c>
      <c r="F636" s="2">
        <v>32</v>
      </c>
      <c r="G636" s="4" t="s">
        <v>28</v>
      </c>
      <c r="H636" s="2">
        <v>2015</v>
      </c>
      <c r="I636" s="2" t="s">
        <v>1270</v>
      </c>
      <c r="J636" s="2" t="s">
        <v>1239</v>
      </c>
      <c r="K636" s="2"/>
      <c r="L636" s="2"/>
      <c r="M636" s="2" t="s">
        <v>1132</v>
      </c>
      <c r="N636" s="2"/>
      <c r="O636" s="2"/>
      <c r="P636" s="2" t="s">
        <v>1843</v>
      </c>
      <c r="Q636" s="2" t="s">
        <v>1127</v>
      </c>
      <c r="R636" s="2"/>
      <c r="S636" s="2"/>
      <c r="T636" s="2"/>
      <c r="U636" s="2"/>
      <c r="V636" s="2"/>
      <c r="W636" s="2"/>
      <c r="X636" s="2"/>
      <c r="Y636" s="2"/>
      <c r="Z636" s="2"/>
      <c r="AA636" s="2"/>
      <c r="AB636" s="2"/>
      <c r="AC636" s="2"/>
      <c r="AD636" s="2"/>
      <c r="AE636" s="2"/>
      <c r="AF636" s="2"/>
      <c r="AG636" s="2"/>
      <c r="AH636" s="2"/>
      <c r="AI636" s="2"/>
      <c r="AJ636" s="2"/>
    </row>
    <row r="637" spans="1:36" ht="17.25" customHeight="1" x14ac:dyDescent="0.2">
      <c r="A637" s="26" t="s">
        <v>0</v>
      </c>
      <c r="B637" s="26" t="s">
        <v>75</v>
      </c>
      <c r="C637" s="3" t="s">
        <v>4182</v>
      </c>
      <c r="D637" s="26" t="s">
        <v>1636</v>
      </c>
      <c r="E637" s="26" t="s">
        <v>1232</v>
      </c>
      <c r="F637" s="2">
        <v>33</v>
      </c>
      <c r="G637" s="4" t="s">
        <v>76</v>
      </c>
      <c r="H637" s="2">
        <v>2016</v>
      </c>
      <c r="I637" s="2" t="s">
        <v>1271</v>
      </c>
      <c r="J637" s="2" t="s">
        <v>1239</v>
      </c>
      <c r="K637" s="2"/>
      <c r="L637" s="2"/>
      <c r="M637" s="2" t="s">
        <v>1132</v>
      </c>
      <c r="N637" s="2"/>
      <c r="O637" s="2"/>
      <c r="P637" s="2" t="s">
        <v>1843</v>
      </c>
      <c r="Q637" s="2" t="s">
        <v>1127</v>
      </c>
      <c r="R637" s="2"/>
      <c r="S637" s="2"/>
      <c r="T637" s="2"/>
      <c r="U637" s="2"/>
      <c r="V637" s="2"/>
      <c r="W637" s="2"/>
      <c r="X637" s="2"/>
      <c r="Y637" s="2"/>
      <c r="Z637" s="2"/>
      <c r="AA637" s="2"/>
      <c r="AB637" s="2"/>
      <c r="AC637" s="2"/>
      <c r="AD637" s="2"/>
      <c r="AE637" s="2"/>
      <c r="AF637" s="2"/>
      <c r="AG637" s="2"/>
      <c r="AH637" s="2"/>
      <c r="AI637" s="2"/>
      <c r="AJ637" s="2"/>
    </row>
    <row r="638" spans="1:36" ht="17.25" customHeight="1" x14ac:dyDescent="0.2">
      <c r="A638" s="26" t="s">
        <v>0</v>
      </c>
      <c r="B638" s="26" t="s">
        <v>185</v>
      </c>
      <c r="C638" s="3" t="s">
        <v>4182</v>
      </c>
      <c r="D638" s="26" t="s">
        <v>1636</v>
      </c>
      <c r="E638" s="26" t="s">
        <v>1272</v>
      </c>
      <c r="F638" s="2">
        <v>26</v>
      </c>
      <c r="G638" s="4" t="s">
        <v>16</v>
      </c>
      <c r="H638" s="2">
        <v>2009</v>
      </c>
      <c r="I638" s="2" t="s">
        <v>1273</v>
      </c>
      <c r="J638" s="2" t="s">
        <v>1274</v>
      </c>
      <c r="L638" s="2"/>
      <c r="M638" s="2" t="s">
        <v>1132</v>
      </c>
      <c r="N638" s="2"/>
      <c r="O638" s="2"/>
      <c r="P638" s="2" t="s">
        <v>1843</v>
      </c>
      <c r="Q638" s="2" t="s">
        <v>1127</v>
      </c>
      <c r="R638" s="2"/>
      <c r="S638" s="2"/>
      <c r="T638" s="2"/>
      <c r="U638" s="2"/>
      <c r="V638" s="2"/>
      <c r="W638" s="2"/>
      <c r="X638" s="2"/>
      <c r="Y638" s="2"/>
      <c r="Z638" s="2"/>
      <c r="AA638" s="2"/>
      <c r="AB638" s="2"/>
      <c r="AC638" s="2"/>
      <c r="AD638" s="2"/>
      <c r="AE638" s="2"/>
      <c r="AF638" s="2"/>
      <c r="AG638" s="2"/>
      <c r="AH638" s="2"/>
      <c r="AI638" s="2"/>
      <c r="AJ638" s="2"/>
    </row>
    <row r="639" spans="1:36" ht="17.25" customHeight="1" x14ac:dyDescent="0.2">
      <c r="A639" s="26" t="s">
        <v>0</v>
      </c>
      <c r="B639" s="26" t="s">
        <v>177</v>
      </c>
      <c r="C639" s="3" t="s">
        <v>4182</v>
      </c>
      <c r="D639" s="26" t="s">
        <v>1636</v>
      </c>
      <c r="E639" s="26" t="s">
        <v>1272</v>
      </c>
      <c r="F639" s="2">
        <v>28</v>
      </c>
      <c r="G639" s="4" t="s">
        <v>46</v>
      </c>
      <c r="H639" s="2">
        <v>2011</v>
      </c>
      <c r="I639" s="2" t="s">
        <v>1275</v>
      </c>
      <c r="J639" s="2" t="s">
        <v>1274</v>
      </c>
      <c r="L639" s="2"/>
      <c r="M639" s="2" t="s">
        <v>1132</v>
      </c>
      <c r="N639" s="2"/>
      <c r="O639" s="2"/>
      <c r="P639" s="2" t="s">
        <v>1843</v>
      </c>
      <c r="Q639" s="2" t="s">
        <v>1127</v>
      </c>
      <c r="R639" s="2"/>
      <c r="S639" s="2"/>
      <c r="T639" s="2"/>
      <c r="U639" s="2"/>
      <c r="V639" s="2"/>
      <c r="W639" s="2"/>
      <c r="X639" s="2"/>
      <c r="Y639" s="2"/>
      <c r="Z639" s="2"/>
      <c r="AA639" s="2"/>
      <c r="AB639" s="2"/>
      <c r="AC639" s="2"/>
      <c r="AD639" s="2"/>
      <c r="AE639" s="2"/>
      <c r="AF639" s="2"/>
      <c r="AG639" s="2"/>
      <c r="AH639" s="2"/>
      <c r="AI639" s="2"/>
      <c r="AJ639" s="2"/>
    </row>
    <row r="640" spans="1:36" ht="17.25" customHeight="1" x14ac:dyDescent="0.2">
      <c r="A640" s="26" t="s">
        <v>0</v>
      </c>
      <c r="B640" s="26" t="s">
        <v>189</v>
      </c>
      <c r="C640" s="3" t="s">
        <v>4182</v>
      </c>
      <c r="D640" s="26" t="s">
        <v>1636</v>
      </c>
      <c r="E640" s="26" t="s">
        <v>1272</v>
      </c>
      <c r="F640" s="2">
        <v>30</v>
      </c>
      <c r="G640" s="4" t="s">
        <v>86</v>
      </c>
      <c r="H640" s="2">
        <v>2013</v>
      </c>
      <c r="I640" s="2" t="s">
        <v>1276</v>
      </c>
      <c r="J640" s="2" t="s">
        <v>1274</v>
      </c>
      <c r="L640" s="2"/>
      <c r="M640" s="2" t="s">
        <v>1132</v>
      </c>
      <c r="N640" s="2"/>
      <c r="O640" s="2"/>
      <c r="P640" s="2" t="s">
        <v>1843</v>
      </c>
      <c r="Q640" s="2" t="s">
        <v>1127</v>
      </c>
      <c r="R640" s="2"/>
      <c r="S640" s="2"/>
      <c r="T640" s="2"/>
      <c r="U640" s="2"/>
      <c r="V640" s="2"/>
      <c r="W640" s="2"/>
      <c r="X640" s="2"/>
      <c r="Y640" s="2"/>
      <c r="Z640" s="2"/>
      <c r="AA640" s="2"/>
      <c r="AB640" s="2"/>
      <c r="AC640" s="2"/>
      <c r="AD640" s="2"/>
      <c r="AE640" s="2"/>
      <c r="AF640" s="2"/>
      <c r="AG640" s="2"/>
      <c r="AH640" s="2"/>
      <c r="AI640" s="2"/>
      <c r="AJ640" s="2"/>
    </row>
    <row r="641" spans="1:36" ht="17.25" customHeight="1" x14ac:dyDescent="0.2">
      <c r="A641" s="26" t="s">
        <v>0</v>
      </c>
      <c r="B641" s="26" t="s">
        <v>181</v>
      </c>
      <c r="C641" s="3" t="s">
        <v>4182</v>
      </c>
      <c r="D641" s="26" t="s">
        <v>1636</v>
      </c>
      <c r="E641" s="26" t="s">
        <v>1272</v>
      </c>
      <c r="F641" s="2">
        <v>32</v>
      </c>
      <c r="G641" s="4" t="s">
        <v>28</v>
      </c>
      <c r="H641" s="2">
        <v>2015</v>
      </c>
      <c r="I641" s="2" t="s">
        <v>1277</v>
      </c>
      <c r="J641" s="2" t="s">
        <v>1274</v>
      </c>
      <c r="L641" s="2"/>
      <c r="M641" s="2" t="s">
        <v>1132</v>
      </c>
      <c r="N641" s="2"/>
      <c r="O641" s="2"/>
      <c r="P641" s="2" t="s">
        <v>1843</v>
      </c>
      <c r="Q641" s="2" t="s">
        <v>1127</v>
      </c>
      <c r="R641" s="2"/>
      <c r="S641" s="2"/>
      <c r="T641" s="2"/>
      <c r="U641" s="2"/>
      <c r="V641" s="2"/>
      <c r="W641" s="2"/>
      <c r="X641" s="2"/>
      <c r="Y641" s="2"/>
      <c r="Z641" s="2"/>
      <c r="AA641" s="2"/>
      <c r="AB641" s="2"/>
      <c r="AC641" s="2"/>
      <c r="AD641" s="2"/>
      <c r="AE641" s="2"/>
      <c r="AF641" s="2"/>
      <c r="AG641" s="2"/>
      <c r="AH641" s="2"/>
      <c r="AI641" s="2"/>
      <c r="AJ641" s="2"/>
    </row>
    <row r="642" spans="1:36" ht="17.25" customHeight="1" x14ac:dyDescent="0.2">
      <c r="A642" s="26" t="s">
        <v>0</v>
      </c>
      <c r="B642" s="26" t="s">
        <v>15</v>
      </c>
      <c r="C642" s="3" t="s">
        <v>4182</v>
      </c>
      <c r="D642" s="26" t="s">
        <v>1636</v>
      </c>
      <c r="E642" s="26" t="s">
        <v>1272</v>
      </c>
      <c r="F642" s="2">
        <v>1</v>
      </c>
      <c r="G642" s="4" t="s">
        <v>40</v>
      </c>
      <c r="H642" s="2">
        <v>1984</v>
      </c>
      <c r="I642" s="2" t="s">
        <v>1278</v>
      </c>
      <c r="J642" s="2" t="s">
        <v>1279</v>
      </c>
      <c r="K642" s="2"/>
      <c r="L642" s="2"/>
      <c r="M642" s="2" t="s">
        <v>1132</v>
      </c>
      <c r="N642" s="2"/>
      <c r="O642" s="2"/>
      <c r="P642" s="2" t="s">
        <v>1843</v>
      </c>
      <c r="Q642" s="2" t="s">
        <v>1127</v>
      </c>
      <c r="R642" s="2"/>
      <c r="S642" s="2"/>
      <c r="T642" s="2"/>
      <c r="U642" s="2"/>
      <c r="V642" s="2"/>
      <c r="W642" s="2"/>
      <c r="X642" s="2"/>
      <c r="Y642" s="2"/>
      <c r="Z642" s="2"/>
      <c r="AA642" s="2"/>
      <c r="AB642" s="2"/>
      <c r="AC642" s="2"/>
      <c r="AD642" s="2"/>
      <c r="AE642" s="2"/>
      <c r="AF642" s="2"/>
      <c r="AG642" s="2"/>
      <c r="AH642" s="2"/>
      <c r="AI642" s="2"/>
      <c r="AJ642" s="2"/>
    </row>
    <row r="643" spans="1:36" ht="17.25" customHeight="1" x14ac:dyDescent="0.2">
      <c r="A643" s="26" t="s">
        <v>0</v>
      </c>
      <c r="B643" s="26" t="s">
        <v>30</v>
      </c>
      <c r="C643" s="3" t="s">
        <v>4182</v>
      </c>
      <c r="D643" s="26" t="s">
        <v>1636</v>
      </c>
      <c r="E643" s="26" t="s">
        <v>1272</v>
      </c>
      <c r="F643" s="2">
        <v>2</v>
      </c>
      <c r="G643" s="4" t="s">
        <v>37</v>
      </c>
      <c r="H643" s="2">
        <v>1985</v>
      </c>
      <c r="I643" s="2" t="s">
        <v>1280</v>
      </c>
      <c r="J643" s="2" t="s">
        <v>1279</v>
      </c>
      <c r="K643" s="2"/>
      <c r="L643" s="2"/>
      <c r="M643" s="2" t="s">
        <v>1132</v>
      </c>
      <c r="N643" s="2"/>
      <c r="O643" s="2"/>
      <c r="P643" s="2" t="s">
        <v>1843</v>
      </c>
      <c r="Q643" s="2" t="s">
        <v>1127</v>
      </c>
      <c r="R643" s="2"/>
      <c r="S643" s="2"/>
      <c r="T643" s="2"/>
      <c r="U643" s="2"/>
      <c r="V643" s="2"/>
      <c r="W643" s="2"/>
      <c r="X643" s="2"/>
      <c r="Y643" s="2"/>
      <c r="Z643" s="2"/>
      <c r="AA643" s="2"/>
      <c r="AB643" s="2"/>
      <c r="AC643" s="2"/>
      <c r="AD643" s="2"/>
      <c r="AE643" s="2"/>
      <c r="AF643" s="2"/>
      <c r="AG643" s="2"/>
      <c r="AH643" s="2"/>
      <c r="AI643" s="2"/>
      <c r="AJ643" s="2"/>
    </row>
    <row r="644" spans="1:36" ht="17.25" customHeight="1" x14ac:dyDescent="0.2">
      <c r="A644" s="26" t="s">
        <v>0</v>
      </c>
      <c r="B644" s="26" t="s">
        <v>94</v>
      </c>
      <c r="C644" s="3" t="s">
        <v>4182</v>
      </c>
      <c r="D644" s="26" t="s">
        <v>1636</v>
      </c>
      <c r="E644" s="26" t="s">
        <v>1272</v>
      </c>
      <c r="F644" s="2">
        <v>3</v>
      </c>
      <c r="G644" s="4" t="s">
        <v>80</v>
      </c>
      <c r="H644" s="2">
        <v>1986</v>
      </c>
      <c r="I644" s="2" t="s">
        <v>1281</v>
      </c>
      <c r="J644" s="2" t="s">
        <v>1279</v>
      </c>
      <c r="K644" s="2"/>
      <c r="L644" s="2"/>
      <c r="M644" s="2" t="s">
        <v>1132</v>
      </c>
      <c r="N644" s="2"/>
      <c r="O644" s="2"/>
      <c r="P644" s="2" t="s">
        <v>1843</v>
      </c>
      <c r="Q644" s="2" t="s">
        <v>1127</v>
      </c>
      <c r="R644" s="2"/>
      <c r="S644" s="2"/>
      <c r="T644" s="2"/>
      <c r="U644" s="2"/>
      <c r="V644" s="2"/>
      <c r="W644" s="2"/>
      <c r="X644" s="2"/>
      <c r="Y644" s="2"/>
      <c r="Z644" s="2"/>
      <c r="AA644" s="2"/>
      <c r="AB644" s="2"/>
      <c r="AC644" s="2"/>
      <c r="AD644" s="2"/>
      <c r="AE644" s="2"/>
      <c r="AF644" s="2"/>
      <c r="AG644" s="2"/>
      <c r="AH644" s="2"/>
      <c r="AI644" s="2"/>
      <c r="AJ644" s="2"/>
    </row>
    <row r="645" spans="1:36" ht="17.25" customHeight="1" x14ac:dyDescent="0.2">
      <c r="A645" s="26" t="s">
        <v>0</v>
      </c>
      <c r="B645" s="26" t="s">
        <v>1</v>
      </c>
      <c r="C645" s="3" t="s">
        <v>4182</v>
      </c>
      <c r="D645" s="26" t="s">
        <v>1636</v>
      </c>
      <c r="E645" s="26" t="s">
        <v>1272</v>
      </c>
      <c r="F645" s="2">
        <v>4</v>
      </c>
      <c r="G645" s="4" t="s">
        <v>31</v>
      </c>
      <c r="H645" s="2">
        <v>1987</v>
      </c>
      <c r="I645" s="2" t="s">
        <v>1282</v>
      </c>
      <c r="J645" s="2" t="s">
        <v>1279</v>
      </c>
      <c r="K645" s="2"/>
      <c r="L645" s="2"/>
      <c r="M645" s="2" t="s">
        <v>1132</v>
      </c>
      <c r="N645" s="2"/>
      <c r="O645" s="2"/>
      <c r="P645" s="2" t="s">
        <v>1843</v>
      </c>
      <c r="Q645" s="2" t="s">
        <v>1127</v>
      </c>
      <c r="R645" s="2"/>
      <c r="S645" s="2"/>
      <c r="T645" s="2"/>
      <c r="U645" s="2"/>
      <c r="V645" s="2"/>
      <c r="W645" s="2"/>
      <c r="X645" s="2"/>
      <c r="Y645" s="2"/>
      <c r="Z645" s="2"/>
      <c r="AA645" s="2"/>
      <c r="AB645" s="2"/>
      <c r="AC645" s="2"/>
      <c r="AD645" s="2"/>
      <c r="AE645" s="2"/>
      <c r="AF645" s="2"/>
      <c r="AG645" s="2"/>
      <c r="AH645" s="2"/>
      <c r="AI645" s="2"/>
      <c r="AJ645" s="2"/>
    </row>
    <row r="646" spans="1:36" ht="17.25" customHeight="1" x14ac:dyDescent="0.2">
      <c r="A646" s="26" t="s">
        <v>0</v>
      </c>
      <c r="B646" s="26" t="s">
        <v>48</v>
      </c>
      <c r="C646" s="3" t="s">
        <v>4182</v>
      </c>
      <c r="D646" s="26" t="s">
        <v>1636</v>
      </c>
      <c r="E646" s="26" t="s">
        <v>1272</v>
      </c>
      <c r="F646" s="2">
        <v>5</v>
      </c>
      <c r="G646" s="4" t="s">
        <v>13</v>
      </c>
      <c r="H646" s="2">
        <v>1988</v>
      </c>
      <c r="I646" s="2" t="s">
        <v>1283</v>
      </c>
      <c r="J646" s="2" t="s">
        <v>1279</v>
      </c>
      <c r="K646" s="2"/>
      <c r="L646" s="2"/>
      <c r="M646" s="2" t="s">
        <v>1132</v>
      </c>
      <c r="N646" s="2"/>
      <c r="O646" s="2"/>
      <c r="P646" s="2" t="s">
        <v>1843</v>
      </c>
      <c r="Q646" s="2" t="s">
        <v>1127</v>
      </c>
      <c r="R646" s="2"/>
      <c r="S646" s="2"/>
      <c r="T646" s="2"/>
      <c r="U646" s="2"/>
      <c r="V646" s="2"/>
      <c r="W646" s="2"/>
      <c r="X646" s="2"/>
      <c r="Y646" s="2"/>
      <c r="Z646" s="2"/>
      <c r="AA646" s="2"/>
      <c r="AB646" s="2"/>
      <c r="AC646" s="2"/>
      <c r="AD646" s="2"/>
      <c r="AE646" s="2"/>
      <c r="AF646" s="2"/>
      <c r="AG646" s="2"/>
      <c r="AH646" s="2"/>
      <c r="AI646" s="2"/>
      <c r="AJ646" s="2"/>
    </row>
    <row r="647" spans="1:36" ht="17.25" customHeight="1" x14ac:dyDescent="0.2">
      <c r="A647" s="26" t="s">
        <v>0</v>
      </c>
      <c r="B647" s="26" t="s">
        <v>60</v>
      </c>
      <c r="C647" s="3" t="s">
        <v>4182</v>
      </c>
      <c r="D647" s="26" t="s">
        <v>1636</v>
      </c>
      <c r="E647" s="26" t="s">
        <v>1272</v>
      </c>
      <c r="F647" s="2">
        <v>6</v>
      </c>
      <c r="G647" s="4" t="s">
        <v>49</v>
      </c>
      <c r="H647" s="2">
        <v>1989</v>
      </c>
      <c r="I647" s="2" t="s">
        <v>1284</v>
      </c>
      <c r="J647" s="2" t="s">
        <v>1279</v>
      </c>
      <c r="K647" s="2"/>
      <c r="L647" s="2"/>
      <c r="M647" s="2" t="s">
        <v>1132</v>
      </c>
      <c r="N647" s="2"/>
      <c r="O647" s="2"/>
      <c r="P647" s="2" t="s">
        <v>1843</v>
      </c>
      <c r="Q647" s="2" t="s">
        <v>1127</v>
      </c>
      <c r="R647" s="2"/>
      <c r="S647" s="2"/>
      <c r="T647" s="2"/>
      <c r="U647" s="2"/>
      <c r="V647" s="2"/>
      <c r="W647" s="2"/>
      <c r="X647" s="2"/>
      <c r="Y647" s="2"/>
      <c r="Z647" s="2"/>
      <c r="AA647" s="2"/>
      <c r="AB647" s="2"/>
      <c r="AC647" s="2"/>
      <c r="AD647" s="2"/>
      <c r="AE647" s="2"/>
      <c r="AF647" s="2"/>
      <c r="AG647" s="2"/>
      <c r="AH647" s="2"/>
      <c r="AI647" s="2"/>
      <c r="AJ647" s="2"/>
    </row>
    <row r="648" spans="1:36" ht="17.25" customHeight="1" x14ac:dyDescent="0.2">
      <c r="A648" s="26" t="s">
        <v>0</v>
      </c>
      <c r="B648" s="26" t="s">
        <v>51</v>
      </c>
      <c r="C648" s="3" t="s">
        <v>4182</v>
      </c>
      <c r="D648" s="26" t="s">
        <v>1636</v>
      </c>
      <c r="E648" s="26" t="s">
        <v>1272</v>
      </c>
      <c r="F648" s="2">
        <v>7</v>
      </c>
      <c r="G648" s="4" t="s">
        <v>101</v>
      </c>
      <c r="H648" s="2">
        <v>1990</v>
      </c>
      <c r="I648" s="2" t="s">
        <v>1285</v>
      </c>
      <c r="J648" s="2" t="s">
        <v>1279</v>
      </c>
      <c r="K648" s="2"/>
      <c r="L648" s="2"/>
      <c r="M648" s="2" t="s">
        <v>1132</v>
      </c>
      <c r="N648" s="2"/>
      <c r="O648" s="2"/>
      <c r="P648" s="2" t="s">
        <v>1843</v>
      </c>
      <c r="Q648" s="2" t="s">
        <v>1127</v>
      </c>
      <c r="R648" s="2"/>
      <c r="S648" s="2"/>
      <c r="T648" s="2"/>
      <c r="U648" s="2"/>
      <c r="V648" s="2"/>
      <c r="W648" s="2"/>
      <c r="X648" s="2"/>
      <c r="Y648" s="2"/>
      <c r="Z648" s="2"/>
      <c r="AA648" s="2"/>
      <c r="AB648" s="2"/>
      <c r="AC648" s="2"/>
      <c r="AD648" s="2"/>
      <c r="AE648" s="2"/>
      <c r="AF648" s="2"/>
      <c r="AG648" s="2"/>
      <c r="AH648" s="2"/>
      <c r="AI648" s="2"/>
      <c r="AJ648" s="2"/>
    </row>
    <row r="649" spans="1:36" ht="17.25" customHeight="1" x14ac:dyDescent="0.2">
      <c r="A649" s="26" t="s">
        <v>0</v>
      </c>
      <c r="B649" s="26" t="s">
        <v>24</v>
      </c>
      <c r="C649" s="3" t="s">
        <v>4182</v>
      </c>
      <c r="D649" s="26" t="s">
        <v>1636</v>
      </c>
      <c r="E649" s="26" t="s">
        <v>1272</v>
      </c>
      <c r="F649" s="2">
        <v>8</v>
      </c>
      <c r="G649" s="4" t="s">
        <v>10</v>
      </c>
      <c r="H649" s="2">
        <v>1991</v>
      </c>
      <c r="I649" s="2" t="s">
        <v>1286</v>
      </c>
      <c r="J649" s="2" t="s">
        <v>1279</v>
      </c>
      <c r="K649" s="2"/>
      <c r="L649" s="2"/>
      <c r="M649" s="2" t="s">
        <v>1132</v>
      </c>
      <c r="N649" s="2"/>
      <c r="O649" s="2"/>
      <c r="P649" s="2" t="s">
        <v>1843</v>
      </c>
      <c r="Q649" s="2" t="s">
        <v>1127</v>
      </c>
      <c r="R649" s="2"/>
      <c r="S649" s="2"/>
      <c r="T649" s="2"/>
      <c r="U649" s="2"/>
      <c r="V649" s="2"/>
      <c r="W649" s="2"/>
      <c r="X649" s="2"/>
      <c r="Y649" s="2"/>
      <c r="Z649" s="2"/>
      <c r="AA649" s="2"/>
      <c r="AB649" s="2"/>
      <c r="AC649" s="2"/>
      <c r="AD649" s="2"/>
      <c r="AE649" s="2"/>
      <c r="AF649" s="2"/>
      <c r="AG649" s="2"/>
      <c r="AH649" s="2"/>
      <c r="AI649" s="2"/>
      <c r="AJ649" s="2"/>
    </row>
    <row r="650" spans="1:36" ht="17.25" customHeight="1" x14ac:dyDescent="0.2">
      <c r="A650" s="26" t="s">
        <v>0</v>
      </c>
      <c r="B650" s="26" t="s">
        <v>85</v>
      </c>
      <c r="C650" s="3" t="s">
        <v>4182</v>
      </c>
      <c r="D650" s="26" t="s">
        <v>1636</v>
      </c>
      <c r="E650" s="26" t="s">
        <v>1272</v>
      </c>
      <c r="F650" s="2">
        <v>9</v>
      </c>
      <c r="G650" s="4" t="s">
        <v>55</v>
      </c>
      <c r="H650" s="2">
        <v>1992</v>
      </c>
      <c r="I650" s="2" t="s">
        <v>1287</v>
      </c>
      <c r="J650" s="2" t="s">
        <v>1279</v>
      </c>
      <c r="K650" s="2"/>
      <c r="L650" s="2"/>
      <c r="M650" s="2" t="s">
        <v>1132</v>
      </c>
      <c r="N650" s="2"/>
      <c r="O650" s="2"/>
      <c r="P650" s="2" t="s">
        <v>1843</v>
      </c>
      <c r="Q650" s="2" t="s">
        <v>1127</v>
      </c>
      <c r="R650" s="2"/>
      <c r="S650" s="2"/>
      <c r="T650" s="2"/>
      <c r="U650" s="2"/>
      <c r="V650" s="2"/>
      <c r="W650" s="2"/>
      <c r="X650" s="2"/>
      <c r="Y650" s="2"/>
      <c r="Z650" s="2"/>
      <c r="AA650" s="2"/>
      <c r="AB650" s="2"/>
      <c r="AC650" s="2"/>
      <c r="AD650" s="2"/>
      <c r="AE650" s="2"/>
      <c r="AF650" s="2"/>
      <c r="AG650" s="2"/>
      <c r="AH650" s="2"/>
      <c r="AI650" s="2"/>
      <c r="AJ650" s="2"/>
    </row>
    <row r="651" spans="1:36" ht="17.25" customHeight="1" x14ac:dyDescent="0.2">
      <c r="A651" s="26" t="s">
        <v>0</v>
      </c>
      <c r="B651" s="26" t="s">
        <v>45</v>
      </c>
      <c r="C651" s="3" t="s">
        <v>4182</v>
      </c>
      <c r="D651" s="26" t="s">
        <v>1636</v>
      </c>
      <c r="E651" s="26" t="s">
        <v>1272</v>
      </c>
      <c r="F651" s="2">
        <v>10</v>
      </c>
      <c r="G651" s="4" t="s">
        <v>98</v>
      </c>
      <c r="H651" s="2">
        <v>1993</v>
      </c>
      <c r="I651" s="2" t="s">
        <v>1288</v>
      </c>
      <c r="J651" s="2" t="s">
        <v>1279</v>
      </c>
      <c r="K651" s="2"/>
      <c r="L651" s="2"/>
      <c r="M651" s="2" t="s">
        <v>1132</v>
      </c>
      <c r="N651" s="2"/>
      <c r="O651" s="2"/>
      <c r="P651" s="2" t="s">
        <v>1843</v>
      </c>
      <c r="Q651" s="2" t="s">
        <v>1127</v>
      </c>
      <c r="R651" s="2"/>
      <c r="S651" s="2"/>
      <c r="T651" s="2"/>
      <c r="U651" s="2"/>
      <c r="V651" s="2"/>
      <c r="W651" s="2"/>
      <c r="X651" s="2"/>
      <c r="Y651" s="2"/>
      <c r="Z651" s="2"/>
      <c r="AA651" s="2"/>
      <c r="AB651" s="2"/>
      <c r="AC651" s="2"/>
      <c r="AD651" s="2"/>
      <c r="AE651" s="2"/>
      <c r="AF651" s="2"/>
      <c r="AG651" s="2"/>
      <c r="AH651" s="2"/>
      <c r="AI651" s="2"/>
      <c r="AJ651" s="2"/>
    </row>
    <row r="652" spans="1:36" ht="17.25" customHeight="1" x14ac:dyDescent="0.2">
      <c r="A652" s="26" t="s">
        <v>0</v>
      </c>
      <c r="B652" s="26" t="s">
        <v>42</v>
      </c>
      <c r="C652" s="3" t="s">
        <v>4182</v>
      </c>
      <c r="D652" s="26" t="s">
        <v>1636</v>
      </c>
      <c r="E652" s="26" t="s">
        <v>1272</v>
      </c>
      <c r="F652" s="2">
        <v>11</v>
      </c>
      <c r="G652" s="4" t="s">
        <v>104</v>
      </c>
      <c r="H652" s="2">
        <v>1994</v>
      </c>
      <c r="I652" s="2" t="s">
        <v>1289</v>
      </c>
      <c r="J652" s="2" t="s">
        <v>1279</v>
      </c>
      <c r="K652" s="2"/>
      <c r="L652" s="2"/>
      <c r="M652" s="2" t="s">
        <v>1132</v>
      </c>
      <c r="N652" s="2"/>
      <c r="O652" s="2"/>
      <c r="P652" s="2" t="s">
        <v>1843</v>
      </c>
      <c r="Q652" s="2" t="s">
        <v>1127</v>
      </c>
      <c r="R652" s="2"/>
      <c r="S652" s="2"/>
      <c r="T652" s="2"/>
      <c r="U652" s="2"/>
      <c r="V652" s="2"/>
      <c r="W652" s="2"/>
      <c r="X652" s="2"/>
      <c r="Y652" s="2"/>
      <c r="Z652" s="2"/>
      <c r="AA652" s="2"/>
      <c r="AB652" s="2"/>
      <c r="AC652" s="2"/>
      <c r="AD652" s="2"/>
      <c r="AE652" s="2"/>
      <c r="AF652" s="2"/>
      <c r="AG652" s="2"/>
      <c r="AH652" s="2"/>
      <c r="AI652" s="2"/>
      <c r="AJ652" s="2"/>
    </row>
    <row r="653" spans="1:36" ht="17.25" customHeight="1" x14ac:dyDescent="0.2">
      <c r="A653" s="26" t="s">
        <v>0</v>
      </c>
      <c r="B653" s="26" t="s">
        <v>82</v>
      </c>
      <c r="C653" s="3" t="s">
        <v>4182</v>
      </c>
      <c r="D653" s="26" t="s">
        <v>1636</v>
      </c>
      <c r="E653" s="26" t="s">
        <v>1272</v>
      </c>
      <c r="F653" s="2">
        <v>12</v>
      </c>
      <c r="G653" s="4" t="s">
        <v>89</v>
      </c>
      <c r="H653" s="2">
        <v>1995</v>
      </c>
      <c r="I653" s="2" t="s">
        <v>1290</v>
      </c>
      <c r="J653" s="2" t="s">
        <v>1279</v>
      </c>
      <c r="K653" s="2"/>
      <c r="L653" s="2"/>
      <c r="M653" s="2" t="s">
        <v>1132</v>
      </c>
      <c r="N653" s="2"/>
      <c r="O653" s="2"/>
      <c r="P653" s="2" t="s">
        <v>1843</v>
      </c>
      <c r="Q653" s="2" t="s">
        <v>1127</v>
      </c>
      <c r="R653" s="2"/>
      <c r="S653" s="2"/>
      <c r="T653" s="2"/>
      <c r="U653" s="2"/>
      <c r="V653" s="2"/>
      <c r="W653" s="2"/>
      <c r="X653" s="2"/>
      <c r="Y653" s="2"/>
      <c r="Z653" s="2"/>
      <c r="AA653" s="2"/>
      <c r="AB653" s="2"/>
      <c r="AC653" s="2"/>
      <c r="AD653" s="2"/>
      <c r="AE653" s="2"/>
      <c r="AF653" s="2"/>
      <c r="AG653" s="2"/>
      <c r="AH653" s="2"/>
      <c r="AI653" s="2"/>
      <c r="AJ653" s="2"/>
    </row>
    <row r="654" spans="1:36" ht="17.25" customHeight="1" x14ac:dyDescent="0.2">
      <c r="A654" s="26" t="s">
        <v>0</v>
      </c>
      <c r="B654" s="26" t="s">
        <v>12</v>
      </c>
      <c r="C654" s="3" t="s">
        <v>4182</v>
      </c>
      <c r="D654" s="26" t="s">
        <v>1636</v>
      </c>
      <c r="E654" s="26" t="s">
        <v>1272</v>
      </c>
      <c r="F654" s="2">
        <v>13</v>
      </c>
      <c r="G654" s="4" t="s">
        <v>107</v>
      </c>
      <c r="H654" s="2">
        <v>1996</v>
      </c>
      <c r="I654" s="2" t="s">
        <v>1291</v>
      </c>
      <c r="J654" s="2" t="s">
        <v>1279</v>
      </c>
      <c r="K654" s="2"/>
      <c r="L654" s="2"/>
      <c r="M654" s="2" t="s">
        <v>1132</v>
      </c>
      <c r="N654" s="2"/>
      <c r="O654" s="2"/>
      <c r="P654" s="2" t="s">
        <v>1843</v>
      </c>
      <c r="Q654" s="2" t="s">
        <v>1127</v>
      </c>
      <c r="R654" s="2"/>
      <c r="S654" s="2"/>
      <c r="T654" s="2"/>
      <c r="U654" s="2"/>
      <c r="V654" s="2"/>
      <c r="W654" s="2"/>
      <c r="X654" s="2"/>
      <c r="Y654" s="2"/>
      <c r="Z654" s="2"/>
      <c r="AA654" s="2"/>
      <c r="AB654" s="2"/>
      <c r="AC654" s="2"/>
      <c r="AD654" s="2"/>
      <c r="AE654" s="2"/>
      <c r="AF654" s="2"/>
      <c r="AG654" s="2"/>
      <c r="AH654" s="2"/>
      <c r="AI654" s="2"/>
      <c r="AJ654" s="2"/>
    </row>
    <row r="655" spans="1:36" ht="17.25" customHeight="1" x14ac:dyDescent="0.2">
      <c r="A655" s="26" t="s">
        <v>0</v>
      </c>
      <c r="B655" s="26" t="s">
        <v>88</v>
      </c>
      <c r="C655" s="3" t="s">
        <v>4182</v>
      </c>
      <c r="D655" s="26" t="s">
        <v>1636</v>
      </c>
      <c r="E655" s="26" t="s">
        <v>1272</v>
      </c>
      <c r="F655" s="2">
        <v>14</v>
      </c>
      <c r="G655" s="4" t="s">
        <v>43</v>
      </c>
      <c r="H655" s="2">
        <v>1997</v>
      </c>
      <c r="I655" s="2" t="s">
        <v>1292</v>
      </c>
      <c r="J655" s="2" t="s">
        <v>1279</v>
      </c>
      <c r="K655" s="2"/>
      <c r="L655" s="2"/>
      <c r="M655" s="2" t="s">
        <v>1132</v>
      </c>
      <c r="N655" s="2"/>
      <c r="O655" s="2"/>
      <c r="P655" s="2" t="s">
        <v>1843</v>
      </c>
      <c r="Q655" s="2" t="s">
        <v>1127</v>
      </c>
      <c r="R655" s="2"/>
      <c r="S655" s="2"/>
      <c r="T655" s="2"/>
      <c r="U655" s="2"/>
      <c r="V655" s="2"/>
      <c r="W655" s="2"/>
      <c r="X655" s="2"/>
      <c r="Y655" s="2"/>
      <c r="Z655" s="2"/>
      <c r="AA655" s="2"/>
      <c r="AB655" s="2"/>
      <c r="AC655" s="2"/>
      <c r="AD655" s="2"/>
      <c r="AE655" s="2"/>
      <c r="AF655" s="2"/>
      <c r="AG655" s="2"/>
      <c r="AH655" s="2"/>
      <c r="AI655" s="2"/>
      <c r="AJ655" s="2"/>
    </row>
    <row r="656" spans="1:36" ht="17.25" customHeight="1" x14ac:dyDescent="0.2">
      <c r="A656" s="26" t="s">
        <v>0</v>
      </c>
      <c r="B656" s="26" t="s">
        <v>21</v>
      </c>
      <c r="C656" s="3" t="s">
        <v>4182</v>
      </c>
      <c r="D656" s="26" t="s">
        <v>1636</v>
      </c>
      <c r="E656" s="26" t="s">
        <v>1272</v>
      </c>
      <c r="F656" s="2">
        <v>15</v>
      </c>
      <c r="G656" s="4" t="s">
        <v>19</v>
      </c>
      <c r="H656" s="2">
        <v>1998</v>
      </c>
      <c r="I656" s="2" t="s">
        <v>1293</v>
      </c>
      <c r="J656" s="2" t="s">
        <v>1279</v>
      </c>
      <c r="K656" s="2"/>
      <c r="L656" s="2"/>
      <c r="M656" s="2" t="s">
        <v>1132</v>
      </c>
      <c r="N656" s="2"/>
      <c r="O656" s="2"/>
      <c r="P656" s="2" t="s">
        <v>1843</v>
      </c>
      <c r="Q656" s="2" t="s">
        <v>1127</v>
      </c>
      <c r="R656" s="2"/>
      <c r="S656" s="2"/>
      <c r="T656" s="2"/>
      <c r="U656" s="2"/>
      <c r="V656" s="2"/>
      <c r="W656" s="2"/>
      <c r="X656" s="2"/>
      <c r="Y656" s="2"/>
      <c r="Z656" s="2"/>
      <c r="AA656" s="2"/>
      <c r="AB656" s="2"/>
      <c r="AC656" s="2"/>
      <c r="AD656" s="2"/>
      <c r="AE656" s="2"/>
      <c r="AF656" s="2"/>
      <c r="AG656" s="2"/>
      <c r="AH656" s="2"/>
      <c r="AI656" s="2"/>
      <c r="AJ656" s="2"/>
    </row>
    <row r="657" spans="1:36" ht="17.25" customHeight="1" x14ac:dyDescent="0.2">
      <c r="A657" s="26" t="s">
        <v>0</v>
      </c>
      <c r="B657" s="26" t="s">
        <v>9</v>
      </c>
      <c r="C657" s="3" t="s">
        <v>4182</v>
      </c>
      <c r="D657" s="26" t="s">
        <v>1636</v>
      </c>
      <c r="E657" s="26" t="s">
        <v>1272</v>
      </c>
      <c r="F657" s="2">
        <v>16</v>
      </c>
      <c r="G657" s="4" t="s">
        <v>25</v>
      </c>
      <c r="H657" s="2">
        <v>1999</v>
      </c>
      <c r="I657" s="2" t="s">
        <v>1294</v>
      </c>
      <c r="J657" s="2" t="s">
        <v>1279</v>
      </c>
      <c r="K657" s="2"/>
      <c r="L657" s="2"/>
      <c r="M657" s="2" t="s">
        <v>1132</v>
      </c>
      <c r="N657" s="2"/>
      <c r="O657" s="2"/>
      <c r="P657" s="2" t="s">
        <v>1843</v>
      </c>
      <c r="Q657" s="2" t="s">
        <v>1127</v>
      </c>
      <c r="R657" s="2"/>
      <c r="S657" s="2"/>
      <c r="T657" s="2"/>
      <c r="U657" s="2"/>
      <c r="V657" s="2"/>
      <c r="W657" s="2"/>
      <c r="X657" s="2"/>
      <c r="Y657" s="2"/>
      <c r="Z657" s="2"/>
      <c r="AA657" s="2"/>
      <c r="AB657" s="2"/>
      <c r="AC657" s="2"/>
      <c r="AD657" s="2"/>
      <c r="AE657" s="2"/>
      <c r="AF657" s="2"/>
      <c r="AG657" s="2"/>
      <c r="AH657" s="2"/>
      <c r="AI657" s="2"/>
      <c r="AJ657" s="2"/>
    </row>
    <row r="658" spans="1:36" ht="17.25" customHeight="1" x14ac:dyDescent="0.2">
      <c r="A658" s="26" t="s">
        <v>0</v>
      </c>
      <c r="B658" s="26" t="s">
        <v>72</v>
      </c>
      <c r="C658" s="3" t="s">
        <v>4182</v>
      </c>
      <c r="D658" s="26" t="s">
        <v>1636</v>
      </c>
      <c r="E658" s="26" t="s">
        <v>1272</v>
      </c>
      <c r="F658" s="2">
        <v>17</v>
      </c>
      <c r="G658" s="4" t="s">
        <v>73</v>
      </c>
      <c r="H658" s="2">
        <v>2000</v>
      </c>
      <c r="I658" s="2" t="s">
        <v>1295</v>
      </c>
      <c r="J658" s="2" t="s">
        <v>1279</v>
      </c>
      <c r="K658" s="2"/>
      <c r="L658" s="2"/>
      <c r="M658" s="2" t="s">
        <v>1132</v>
      </c>
      <c r="N658" s="2"/>
      <c r="O658" s="2"/>
      <c r="P658" s="2" t="s">
        <v>1843</v>
      </c>
      <c r="Q658" s="2" t="s">
        <v>1127</v>
      </c>
      <c r="R658" s="2"/>
      <c r="S658" s="2"/>
      <c r="T658" s="2"/>
      <c r="U658" s="2"/>
      <c r="V658" s="2"/>
      <c r="W658" s="2"/>
      <c r="X658" s="2"/>
      <c r="Y658" s="2"/>
      <c r="Z658" s="2"/>
      <c r="AA658" s="2"/>
      <c r="AB658" s="2"/>
      <c r="AC658" s="2"/>
      <c r="AD658" s="2"/>
      <c r="AE658" s="2"/>
      <c r="AF658" s="2"/>
      <c r="AG658" s="2"/>
      <c r="AH658" s="2"/>
      <c r="AI658" s="2"/>
      <c r="AJ658" s="2"/>
    </row>
    <row r="659" spans="1:36" ht="17.25" customHeight="1" x14ac:dyDescent="0.2">
      <c r="A659" s="26" t="s">
        <v>0</v>
      </c>
      <c r="B659" s="26" t="s">
        <v>106</v>
      </c>
      <c r="C659" s="3" t="s">
        <v>4182</v>
      </c>
      <c r="D659" s="26" t="s">
        <v>1636</v>
      </c>
      <c r="E659" s="26" t="s">
        <v>1272</v>
      </c>
      <c r="F659" s="2">
        <v>18</v>
      </c>
      <c r="G659" s="4" t="s">
        <v>58</v>
      </c>
      <c r="H659" s="2">
        <v>2001</v>
      </c>
      <c r="I659" s="2" t="s">
        <v>1296</v>
      </c>
      <c r="J659" s="2" t="s">
        <v>1279</v>
      </c>
      <c r="K659" s="2"/>
      <c r="L659" s="2"/>
      <c r="M659" s="2" t="s">
        <v>1132</v>
      </c>
      <c r="N659" s="2"/>
      <c r="O659" s="2"/>
      <c r="P659" s="2" t="s">
        <v>1843</v>
      </c>
      <c r="Q659" s="2" t="s">
        <v>1127</v>
      </c>
      <c r="R659" s="2"/>
      <c r="S659" s="2"/>
      <c r="T659" s="2"/>
      <c r="U659" s="2"/>
      <c r="V659" s="2"/>
      <c r="W659" s="2"/>
      <c r="X659" s="2"/>
      <c r="Y659" s="2"/>
      <c r="Z659" s="2"/>
      <c r="AA659" s="2"/>
      <c r="AB659" s="2"/>
      <c r="AC659" s="2"/>
      <c r="AD659" s="2"/>
      <c r="AE659" s="2"/>
      <c r="AF659" s="2"/>
      <c r="AG659" s="2"/>
      <c r="AH659" s="2"/>
      <c r="AI659" s="2"/>
      <c r="AJ659" s="2"/>
    </row>
    <row r="660" spans="1:36" ht="17.25" customHeight="1" x14ac:dyDescent="0.2">
      <c r="A660" s="26" t="s">
        <v>0</v>
      </c>
      <c r="B660" s="26" t="s">
        <v>63</v>
      </c>
      <c r="C660" s="3" t="s">
        <v>4182</v>
      </c>
      <c r="D660" s="26" t="s">
        <v>1636</v>
      </c>
      <c r="E660" s="26" t="s">
        <v>1272</v>
      </c>
      <c r="F660" s="2">
        <v>19</v>
      </c>
      <c r="G660" s="4" t="s">
        <v>4</v>
      </c>
      <c r="H660" s="2">
        <v>2002</v>
      </c>
      <c r="I660" s="2" t="s">
        <v>1297</v>
      </c>
      <c r="J660" s="2" t="s">
        <v>1279</v>
      </c>
      <c r="K660" s="2"/>
      <c r="L660" s="2"/>
      <c r="M660" s="2" t="s">
        <v>1132</v>
      </c>
      <c r="N660" s="2"/>
      <c r="O660" s="2"/>
      <c r="P660" s="2" t="s">
        <v>1843</v>
      </c>
      <c r="Q660" s="2" t="s">
        <v>1127</v>
      </c>
      <c r="R660" s="2"/>
      <c r="S660" s="2"/>
      <c r="T660" s="2"/>
      <c r="U660" s="2"/>
      <c r="V660" s="2"/>
      <c r="W660" s="2"/>
      <c r="X660" s="2"/>
      <c r="Y660" s="2"/>
      <c r="Z660" s="2"/>
      <c r="AA660" s="2"/>
      <c r="AB660" s="2"/>
      <c r="AC660" s="2"/>
      <c r="AD660" s="2"/>
      <c r="AE660" s="2"/>
      <c r="AF660" s="2"/>
      <c r="AG660" s="2"/>
      <c r="AH660" s="2"/>
      <c r="AI660" s="2"/>
      <c r="AJ660" s="2"/>
    </row>
    <row r="661" spans="1:36" ht="17.25" customHeight="1" x14ac:dyDescent="0.2">
      <c r="A661" s="26" t="s">
        <v>0</v>
      </c>
      <c r="B661" s="26" t="s">
        <v>97</v>
      </c>
      <c r="C661" s="3" t="s">
        <v>4182</v>
      </c>
      <c r="D661" s="26" t="s">
        <v>1636</v>
      </c>
      <c r="E661" s="26" t="s">
        <v>1272</v>
      </c>
      <c r="F661" s="2">
        <v>20</v>
      </c>
      <c r="G661" s="4" t="s">
        <v>83</v>
      </c>
      <c r="H661" s="2">
        <v>2003</v>
      </c>
      <c r="I661" s="2" t="s">
        <v>1298</v>
      </c>
      <c r="J661" s="2" t="s">
        <v>1279</v>
      </c>
      <c r="K661" s="2"/>
      <c r="L661" s="2"/>
      <c r="M661" s="2" t="s">
        <v>1132</v>
      </c>
      <c r="N661" s="2"/>
      <c r="O661" s="2"/>
      <c r="P661" s="2" t="s">
        <v>1843</v>
      </c>
      <c r="Q661" s="2" t="s">
        <v>1127</v>
      </c>
      <c r="R661" s="2"/>
      <c r="S661" s="2"/>
      <c r="T661" s="2"/>
      <c r="U661" s="2"/>
      <c r="V661" s="2"/>
      <c r="W661" s="2"/>
      <c r="X661" s="2"/>
      <c r="Y661" s="2"/>
      <c r="Z661" s="2"/>
      <c r="AA661" s="2"/>
      <c r="AB661" s="2"/>
      <c r="AC661" s="2"/>
      <c r="AD661" s="2"/>
      <c r="AE661" s="2"/>
      <c r="AF661" s="2"/>
      <c r="AG661" s="2"/>
      <c r="AH661" s="2"/>
      <c r="AI661" s="2"/>
      <c r="AJ661" s="2"/>
    </row>
    <row r="662" spans="1:36" ht="17.25" customHeight="1" x14ac:dyDescent="0.2">
      <c r="A662" s="26" t="s">
        <v>0</v>
      </c>
      <c r="B662" s="26" t="s">
        <v>69</v>
      </c>
      <c r="C662" s="3" t="s">
        <v>4182</v>
      </c>
      <c r="D662" s="26" t="s">
        <v>1636</v>
      </c>
      <c r="E662" s="26" t="s">
        <v>1272</v>
      </c>
      <c r="F662" s="2">
        <v>21</v>
      </c>
      <c r="G662" s="4" t="s">
        <v>64</v>
      </c>
      <c r="H662" s="2">
        <v>2004</v>
      </c>
      <c r="I662" s="2" t="s">
        <v>1299</v>
      </c>
      <c r="J662" s="2" t="s">
        <v>1279</v>
      </c>
      <c r="K662" s="2"/>
      <c r="L662" s="2"/>
      <c r="M662" s="2" t="s">
        <v>1132</v>
      </c>
      <c r="N662" s="2"/>
      <c r="O662" s="2"/>
      <c r="P662" s="2" t="s">
        <v>1843</v>
      </c>
      <c r="Q662" s="2" t="s">
        <v>1127</v>
      </c>
      <c r="R662" s="2"/>
      <c r="S662" s="2"/>
      <c r="T662" s="2"/>
      <c r="U662" s="2"/>
      <c r="V662" s="2"/>
      <c r="W662" s="2"/>
      <c r="X662" s="2"/>
      <c r="Y662" s="2"/>
      <c r="Z662" s="2"/>
      <c r="AA662" s="2"/>
      <c r="AB662" s="2"/>
      <c r="AC662" s="2"/>
      <c r="AD662" s="2"/>
      <c r="AE662" s="2"/>
      <c r="AF662" s="2"/>
      <c r="AG662" s="2"/>
      <c r="AH662" s="2"/>
      <c r="AI662" s="2"/>
      <c r="AJ662" s="2"/>
    </row>
    <row r="663" spans="1:36" ht="17.25" customHeight="1" x14ac:dyDescent="0.2">
      <c r="A663" s="26" t="s">
        <v>0</v>
      </c>
      <c r="B663" s="26" t="s">
        <v>100</v>
      </c>
      <c r="C663" s="3" t="s">
        <v>4182</v>
      </c>
      <c r="D663" s="26" t="s">
        <v>1636</v>
      </c>
      <c r="E663" s="26" t="s">
        <v>1272</v>
      </c>
      <c r="F663" s="2">
        <v>22</v>
      </c>
      <c r="G663" s="4" t="s">
        <v>92</v>
      </c>
      <c r="H663" s="2">
        <v>2005</v>
      </c>
      <c r="I663" s="2" t="s">
        <v>1300</v>
      </c>
      <c r="J663" s="2" t="s">
        <v>1279</v>
      </c>
      <c r="K663" s="2"/>
      <c r="L663" s="2"/>
      <c r="M663" s="2" t="s">
        <v>1132</v>
      </c>
      <c r="N663" s="2"/>
      <c r="O663" s="2"/>
      <c r="P663" s="2" t="s">
        <v>1843</v>
      </c>
      <c r="Q663" s="2" t="s">
        <v>1127</v>
      </c>
      <c r="R663" s="2"/>
      <c r="S663" s="2"/>
      <c r="T663" s="2"/>
      <c r="U663" s="2"/>
      <c r="V663" s="2"/>
      <c r="W663" s="2"/>
      <c r="X663" s="2"/>
      <c r="Y663" s="2"/>
      <c r="Z663" s="2"/>
      <c r="AA663" s="2"/>
      <c r="AB663" s="2"/>
      <c r="AC663" s="2"/>
      <c r="AD663" s="2"/>
      <c r="AE663" s="2"/>
      <c r="AF663" s="2"/>
      <c r="AG663" s="2"/>
      <c r="AH663" s="2"/>
      <c r="AI663" s="2"/>
      <c r="AJ663" s="2"/>
    </row>
    <row r="664" spans="1:36" ht="17.25" customHeight="1" x14ac:dyDescent="0.2">
      <c r="A664" s="26" t="s">
        <v>0</v>
      </c>
      <c r="B664" s="26" t="s">
        <v>79</v>
      </c>
      <c r="C664" s="3" t="s">
        <v>4182</v>
      </c>
      <c r="D664" s="26" t="s">
        <v>1636</v>
      </c>
      <c r="E664" s="26" t="s">
        <v>1272</v>
      </c>
      <c r="F664" s="2">
        <v>23</v>
      </c>
      <c r="G664" s="4" t="s">
        <v>52</v>
      </c>
      <c r="H664" s="2">
        <v>2006</v>
      </c>
      <c r="I664" s="2" t="s">
        <v>1301</v>
      </c>
      <c r="J664" s="2" t="s">
        <v>1279</v>
      </c>
      <c r="K664" s="2"/>
      <c r="L664" s="2"/>
      <c r="M664" s="2" t="s">
        <v>1132</v>
      </c>
      <c r="N664" s="2"/>
      <c r="O664" s="2"/>
      <c r="P664" s="2" t="s">
        <v>1843</v>
      </c>
      <c r="Q664" s="2" t="s">
        <v>1127</v>
      </c>
      <c r="R664" s="2"/>
      <c r="S664" s="2"/>
      <c r="T664" s="2"/>
      <c r="U664" s="2"/>
      <c r="V664" s="2"/>
      <c r="W664" s="2"/>
      <c r="X664" s="2"/>
      <c r="Y664" s="2"/>
      <c r="Z664" s="2"/>
      <c r="AA664" s="2"/>
      <c r="AB664" s="2"/>
      <c r="AC664" s="2"/>
      <c r="AD664" s="2"/>
      <c r="AE664" s="2"/>
      <c r="AF664" s="2"/>
      <c r="AG664" s="2"/>
      <c r="AH664" s="2"/>
      <c r="AI664" s="2"/>
      <c r="AJ664" s="2"/>
    </row>
    <row r="665" spans="1:36" ht="17.25" customHeight="1" x14ac:dyDescent="0.2">
      <c r="A665" s="26" t="s">
        <v>0</v>
      </c>
      <c r="B665" s="26" t="s">
        <v>39</v>
      </c>
      <c r="C665" s="3" t="s">
        <v>4182</v>
      </c>
      <c r="D665" s="26" t="s">
        <v>1636</v>
      </c>
      <c r="E665" s="26" t="s">
        <v>1272</v>
      </c>
      <c r="F665" s="2">
        <v>24</v>
      </c>
      <c r="G665" s="4" t="s">
        <v>95</v>
      </c>
      <c r="H665" s="2">
        <v>2007</v>
      </c>
      <c r="I665" s="2" t="s">
        <v>1302</v>
      </c>
      <c r="J665" s="2" t="s">
        <v>1279</v>
      </c>
      <c r="K665" s="2"/>
      <c r="L665" s="2"/>
      <c r="M665" s="2" t="s">
        <v>1132</v>
      </c>
      <c r="N665" s="2"/>
      <c r="O665" s="2"/>
      <c r="P665" s="2" t="s">
        <v>1843</v>
      </c>
      <c r="Q665" s="2" t="s">
        <v>1127</v>
      </c>
      <c r="R665" s="2"/>
      <c r="S665" s="2"/>
      <c r="T665" s="2"/>
      <c r="U665" s="2"/>
      <c r="V665" s="2"/>
      <c r="W665" s="2"/>
      <c r="X665" s="2"/>
      <c r="Y665" s="2"/>
      <c r="Z665" s="2"/>
      <c r="AA665" s="2"/>
      <c r="AB665" s="2"/>
      <c r="AC665" s="2"/>
      <c r="AD665" s="2"/>
      <c r="AE665" s="2"/>
      <c r="AF665" s="2"/>
      <c r="AG665" s="2"/>
      <c r="AH665" s="2"/>
      <c r="AI665" s="2"/>
      <c r="AJ665" s="2"/>
    </row>
    <row r="666" spans="1:36" ht="17.25" customHeight="1" x14ac:dyDescent="0.2">
      <c r="A666" s="26" t="s">
        <v>0</v>
      </c>
      <c r="B666" s="26" t="s">
        <v>36</v>
      </c>
      <c r="C666" s="3" t="s">
        <v>4182</v>
      </c>
      <c r="D666" s="26" t="s">
        <v>1636</v>
      </c>
      <c r="E666" s="26" t="s">
        <v>1272</v>
      </c>
      <c r="F666" s="2">
        <v>25</v>
      </c>
      <c r="G666" s="4" t="s">
        <v>70</v>
      </c>
      <c r="H666" s="2">
        <v>2008</v>
      </c>
      <c r="I666" s="2" t="s">
        <v>1303</v>
      </c>
      <c r="J666" s="2" t="s">
        <v>1279</v>
      </c>
      <c r="K666" s="2"/>
      <c r="L666" s="2"/>
      <c r="M666" s="2" t="s">
        <v>1132</v>
      </c>
      <c r="N666" s="2"/>
      <c r="O666" s="2"/>
      <c r="P666" s="2" t="s">
        <v>1843</v>
      </c>
      <c r="Q666" s="2" t="s">
        <v>1127</v>
      </c>
      <c r="R666" s="2"/>
      <c r="S666" s="2"/>
      <c r="T666" s="2"/>
      <c r="U666" s="2"/>
      <c r="V666" s="2"/>
      <c r="W666" s="2"/>
      <c r="X666" s="2"/>
      <c r="Y666" s="2"/>
      <c r="Z666" s="2"/>
      <c r="AA666" s="2"/>
      <c r="AB666" s="2"/>
      <c r="AC666" s="2"/>
      <c r="AD666" s="2"/>
      <c r="AE666" s="2"/>
      <c r="AF666" s="2"/>
      <c r="AG666" s="2"/>
      <c r="AH666" s="2"/>
      <c r="AI666" s="2"/>
      <c r="AJ666" s="2"/>
    </row>
    <row r="667" spans="1:36" ht="17.25" customHeight="1" x14ac:dyDescent="0.2">
      <c r="A667" s="26" t="s">
        <v>0</v>
      </c>
      <c r="B667" s="26" t="s">
        <v>91</v>
      </c>
      <c r="C667" s="3" t="s">
        <v>4182</v>
      </c>
      <c r="D667" s="26" t="s">
        <v>1636</v>
      </c>
      <c r="E667" s="26" t="s">
        <v>1272</v>
      </c>
      <c r="F667" s="2">
        <v>26</v>
      </c>
      <c r="G667" s="4" t="s">
        <v>16</v>
      </c>
      <c r="H667" s="2">
        <v>2009</v>
      </c>
      <c r="I667" s="2" t="s">
        <v>1304</v>
      </c>
      <c r="J667" s="2" t="s">
        <v>1279</v>
      </c>
      <c r="K667" s="2"/>
      <c r="L667" s="2"/>
      <c r="M667" s="2" t="s">
        <v>1132</v>
      </c>
      <c r="N667" s="2"/>
      <c r="O667" s="2"/>
      <c r="P667" s="2" t="s">
        <v>1843</v>
      </c>
      <c r="Q667" s="2" t="s">
        <v>1127</v>
      </c>
      <c r="R667" s="2"/>
      <c r="S667" s="2"/>
      <c r="T667" s="2"/>
      <c r="U667" s="2"/>
      <c r="V667" s="2"/>
      <c r="W667" s="2"/>
      <c r="X667" s="2"/>
      <c r="Y667" s="2"/>
      <c r="Z667" s="2"/>
      <c r="AA667" s="2"/>
      <c r="AB667" s="2"/>
      <c r="AC667" s="2"/>
      <c r="AD667" s="2"/>
      <c r="AE667" s="2"/>
      <c r="AF667" s="2"/>
      <c r="AG667" s="2"/>
      <c r="AH667" s="2"/>
      <c r="AI667" s="2"/>
      <c r="AJ667" s="2"/>
    </row>
    <row r="668" spans="1:36" ht="17.25" customHeight="1" x14ac:dyDescent="0.2">
      <c r="A668" s="26" t="s">
        <v>0</v>
      </c>
      <c r="B668" s="26" t="s">
        <v>103</v>
      </c>
      <c r="C668" s="3" t="s">
        <v>4182</v>
      </c>
      <c r="D668" s="26" t="s">
        <v>1636</v>
      </c>
      <c r="E668" s="26" t="s">
        <v>1272</v>
      </c>
      <c r="F668" s="2">
        <v>27</v>
      </c>
      <c r="G668" s="4" t="s">
        <v>34</v>
      </c>
      <c r="H668" s="2">
        <v>2010</v>
      </c>
      <c r="I668" s="2" t="s">
        <v>1305</v>
      </c>
      <c r="J668" s="2" t="s">
        <v>1279</v>
      </c>
      <c r="K668" s="2"/>
      <c r="L668" s="2"/>
      <c r="M668" s="2" t="s">
        <v>1132</v>
      </c>
      <c r="N668" s="2"/>
      <c r="O668" s="2"/>
      <c r="P668" s="2" t="s">
        <v>1843</v>
      </c>
      <c r="Q668" s="2" t="s">
        <v>1127</v>
      </c>
      <c r="R668" s="2"/>
      <c r="S668" s="2"/>
      <c r="T668" s="2"/>
      <c r="U668" s="2"/>
      <c r="V668" s="2"/>
      <c r="W668" s="2"/>
      <c r="X668" s="2"/>
      <c r="Y668" s="2"/>
      <c r="Z668" s="2"/>
      <c r="AA668" s="2"/>
      <c r="AB668" s="2"/>
      <c r="AC668" s="2"/>
      <c r="AD668" s="2"/>
      <c r="AE668" s="2"/>
      <c r="AF668" s="2"/>
      <c r="AG668" s="2"/>
      <c r="AH668" s="2"/>
      <c r="AI668" s="2"/>
      <c r="AJ668" s="2"/>
    </row>
    <row r="669" spans="1:36" ht="17.25" customHeight="1" x14ac:dyDescent="0.2">
      <c r="A669" s="26" t="s">
        <v>0</v>
      </c>
      <c r="B669" s="26" t="s">
        <v>33</v>
      </c>
      <c r="C669" s="3" t="s">
        <v>4182</v>
      </c>
      <c r="D669" s="26" t="s">
        <v>1636</v>
      </c>
      <c r="E669" s="26" t="s">
        <v>1272</v>
      </c>
      <c r="F669" s="2">
        <v>28</v>
      </c>
      <c r="G669" s="4" t="s">
        <v>46</v>
      </c>
      <c r="H669" s="2">
        <v>2011</v>
      </c>
      <c r="I669" s="2" t="s">
        <v>1306</v>
      </c>
      <c r="J669" s="2" t="s">
        <v>1279</v>
      </c>
      <c r="K669" s="2"/>
      <c r="L669" s="2"/>
      <c r="M669" s="2" t="s">
        <v>1132</v>
      </c>
      <c r="N669" s="2"/>
      <c r="O669" s="2"/>
      <c r="P669" s="2" t="s">
        <v>1843</v>
      </c>
      <c r="Q669" s="2" t="s">
        <v>1127</v>
      </c>
      <c r="R669" s="2"/>
      <c r="S669" s="2"/>
      <c r="T669" s="2"/>
      <c r="U669" s="2"/>
      <c r="V669" s="2"/>
      <c r="W669" s="2"/>
      <c r="X669" s="2"/>
      <c r="Y669" s="2"/>
      <c r="Z669" s="2"/>
      <c r="AA669" s="2"/>
      <c r="AB669" s="2"/>
      <c r="AC669" s="2"/>
      <c r="AD669" s="2"/>
      <c r="AE669" s="2"/>
      <c r="AF669" s="2"/>
      <c r="AG669" s="2"/>
      <c r="AH669" s="2"/>
      <c r="AI669" s="2"/>
      <c r="AJ669" s="2"/>
    </row>
    <row r="670" spans="1:36" ht="17.25" customHeight="1" x14ac:dyDescent="0.2">
      <c r="A670" s="26" t="s">
        <v>0</v>
      </c>
      <c r="B670" s="26" t="s">
        <v>27</v>
      </c>
      <c r="C670" s="3" t="s">
        <v>4182</v>
      </c>
      <c r="D670" s="26" t="s">
        <v>1636</v>
      </c>
      <c r="E670" s="26" t="s">
        <v>1272</v>
      </c>
      <c r="F670" s="2">
        <v>29</v>
      </c>
      <c r="G670" s="4" t="s">
        <v>61</v>
      </c>
      <c r="H670" s="2">
        <v>2012</v>
      </c>
      <c r="I670" s="2" t="s">
        <v>1307</v>
      </c>
      <c r="J670" s="2" t="s">
        <v>1279</v>
      </c>
      <c r="K670" s="2"/>
      <c r="L670" s="2"/>
      <c r="M670" s="2" t="s">
        <v>1132</v>
      </c>
      <c r="N670" s="2"/>
      <c r="O670" s="2"/>
      <c r="P670" s="2" t="s">
        <v>1843</v>
      </c>
      <c r="Q670" s="2" t="s">
        <v>1127</v>
      </c>
      <c r="R670" s="2"/>
      <c r="S670" s="2"/>
      <c r="T670" s="2"/>
      <c r="U670" s="2"/>
      <c r="V670" s="2"/>
      <c r="W670" s="2"/>
      <c r="X670" s="2"/>
      <c r="Y670" s="2"/>
      <c r="Z670" s="2"/>
      <c r="AA670" s="2"/>
      <c r="AB670" s="2"/>
      <c r="AC670" s="2"/>
      <c r="AD670" s="2"/>
      <c r="AE670" s="2"/>
      <c r="AF670" s="2"/>
      <c r="AG670" s="2"/>
      <c r="AH670" s="2"/>
      <c r="AI670" s="2"/>
      <c r="AJ670" s="2"/>
    </row>
    <row r="671" spans="1:36" ht="17.25" customHeight="1" x14ac:dyDescent="0.2">
      <c r="A671" s="26" t="s">
        <v>0</v>
      </c>
      <c r="B671" s="26" t="s">
        <v>54</v>
      </c>
      <c r="C671" s="3" t="s">
        <v>4182</v>
      </c>
      <c r="D671" s="26" t="s">
        <v>1636</v>
      </c>
      <c r="E671" s="26" t="s">
        <v>1272</v>
      </c>
      <c r="F671" s="2">
        <v>30</v>
      </c>
      <c r="G671" s="4" t="s">
        <v>86</v>
      </c>
      <c r="H671" s="2">
        <v>2013</v>
      </c>
      <c r="I671" s="2" t="s">
        <v>1308</v>
      </c>
      <c r="J671" s="2" t="s">
        <v>1279</v>
      </c>
      <c r="K671" s="2"/>
      <c r="L671" s="2"/>
      <c r="M671" s="2" t="s">
        <v>1132</v>
      </c>
      <c r="N671" s="2"/>
      <c r="O671" s="2"/>
      <c r="P671" s="2" t="s">
        <v>1843</v>
      </c>
      <c r="Q671" s="2" t="s">
        <v>1127</v>
      </c>
      <c r="R671" s="2"/>
      <c r="S671" s="2"/>
      <c r="T671" s="2"/>
      <c r="U671" s="2"/>
      <c r="V671" s="2"/>
      <c r="W671" s="2"/>
      <c r="X671" s="2"/>
      <c r="Y671" s="2"/>
      <c r="Z671" s="2"/>
      <c r="AA671" s="2"/>
      <c r="AB671" s="2"/>
      <c r="AC671" s="2"/>
      <c r="AD671" s="2"/>
      <c r="AE671" s="2"/>
      <c r="AF671" s="2"/>
      <c r="AG671" s="2"/>
      <c r="AH671" s="2"/>
      <c r="AI671" s="2"/>
      <c r="AJ671" s="2"/>
    </row>
    <row r="672" spans="1:36" ht="17.25" customHeight="1" x14ac:dyDescent="0.2">
      <c r="A672" s="26" t="s">
        <v>0</v>
      </c>
      <c r="B672" s="26" t="s">
        <v>57</v>
      </c>
      <c r="C672" s="3" t="s">
        <v>4182</v>
      </c>
      <c r="D672" s="26" t="s">
        <v>1636</v>
      </c>
      <c r="E672" s="26" t="s">
        <v>1272</v>
      </c>
      <c r="F672" s="2">
        <v>31</v>
      </c>
      <c r="G672" s="4" t="s">
        <v>22</v>
      </c>
      <c r="H672" s="2">
        <v>2014</v>
      </c>
      <c r="I672" s="2" t="s">
        <v>1309</v>
      </c>
      <c r="J672" s="2" t="s">
        <v>1279</v>
      </c>
      <c r="K672" s="2"/>
      <c r="L672" s="2"/>
      <c r="M672" s="2" t="s">
        <v>1132</v>
      </c>
      <c r="N672" s="2"/>
      <c r="O672" s="2"/>
      <c r="P672" s="2" t="s">
        <v>1843</v>
      </c>
      <c r="Q672" s="2" t="s">
        <v>1127</v>
      </c>
      <c r="R672" s="2"/>
      <c r="S672" s="2"/>
      <c r="T672" s="2"/>
      <c r="U672" s="2"/>
      <c r="V672" s="2"/>
      <c r="W672" s="2"/>
      <c r="X672" s="2"/>
      <c r="Y672" s="2"/>
      <c r="Z672" s="2"/>
      <c r="AA672" s="2"/>
      <c r="AB672" s="2"/>
      <c r="AC672" s="2"/>
      <c r="AD672" s="2"/>
      <c r="AE672" s="2"/>
      <c r="AF672" s="2"/>
      <c r="AG672" s="2"/>
      <c r="AH672" s="2"/>
      <c r="AI672" s="2"/>
      <c r="AJ672" s="2"/>
    </row>
    <row r="673" spans="1:36" ht="17.25" customHeight="1" x14ac:dyDescent="0.2">
      <c r="A673" s="26" t="s">
        <v>0</v>
      </c>
      <c r="B673" s="26" t="s">
        <v>18</v>
      </c>
      <c r="C673" s="3" t="s">
        <v>4182</v>
      </c>
      <c r="D673" s="26" t="s">
        <v>1636</v>
      </c>
      <c r="E673" s="26" t="s">
        <v>1272</v>
      </c>
      <c r="F673" s="2">
        <v>32</v>
      </c>
      <c r="G673" s="4" t="s">
        <v>28</v>
      </c>
      <c r="H673" s="2">
        <v>2015</v>
      </c>
      <c r="I673" s="2" t="s">
        <v>1310</v>
      </c>
      <c r="J673" s="2" t="s">
        <v>1279</v>
      </c>
      <c r="K673" s="2"/>
      <c r="L673" s="2"/>
      <c r="M673" s="2" t="s">
        <v>1132</v>
      </c>
      <c r="N673" s="2"/>
      <c r="O673" s="2"/>
      <c r="P673" s="2" t="s">
        <v>1843</v>
      </c>
      <c r="Q673" s="2" t="s">
        <v>1127</v>
      </c>
      <c r="R673" s="2"/>
      <c r="S673" s="2"/>
      <c r="T673" s="2"/>
      <c r="U673" s="2"/>
      <c r="V673" s="2"/>
      <c r="W673" s="2"/>
      <c r="X673" s="2"/>
      <c r="Y673" s="2"/>
      <c r="Z673" s="2"/>
      <c r="AA673" s="2"/>
      <c r="AB673" s="2"/>
      <c r="AC673" s="2"/>
      <c r="AD673" s="2"/>
      <c r="AE673" s="2"/>
      <c r="AF673" s="2"/>
      <c r="AG673" s="2"/>
      <c r="AH673" s="2"/>
      <c r="AI673" s="2"/>
      <c r="AJ673" s="2"/>
    </row>
    <row r="674" spans="1:36" ht="17.25" customHeight="1" x14ac:dyDescent="0.2">
      <c r="A674" s="26" t="s">
        <v>0</v>
      </c>
      <c r="B674" s="26" t="s">
        <v>75</v>
      </c>
      <c r="C674" s="3" t="s">
        <v>4182</v>
      </c>
      <c r="D674" s="26" t="s">
        <v>1636</v>
      </c>
      <c r="E674" s="26" t="s">
        <v>1272</v>
      </c>
      <c r="F674" s="2">
        <v>33</v>
      </c>
      <c r="G674" s="4" t="s">
        <v>76</v>
      </c>
      <c r="H674" s="2">
        <v>2016</v>
      </c>
      <c r="I674" s="2" t="s">
        <v>1311</v>
      </c>
      <c r="J674" s="2" t="s">
        <v>1279</v>
      </c>
      <c r="K674" s="2"/>
      <c r="L674" s="2"/>
      <c r="M674" s="2" t="s">
        <v>1132</v>
      </c>
      <c r="N674" s="2"/>
      <c r="O674" s="2"/>
      <c r="P674" s="2" t="s">
        <v>1843</v>
      </c>
      <c r="Q674" s="2" t="s">
        <v>1127</v>
      </c>
      <c r="R674" s="2"/>
      <c r="S674" s="2"/>
      <c r="T674" s="2"/>
      <c r="U674" s="2"/>
      <c r="V674" s="2"/>
      <c r="W674" s="2"/>
      <c r="X674" s="2"/>
      <c r="Y674" s="2"/>
      <c r="Z674" s="2"/>
      <c r="AA674" s="2"/>
      <c r="AB674" s="2"/>
      <c r="AC674" s="2"/>
      <c r="AD674" s="2"/>
      <c r="AE674" s="2"/>
      <c r="AF674" s="2"/>
      <c r="AG674" s="2"/>
      <c r="AH674" s="2"/>
      <c r="AI674" s="2"/>
      <c r="AJ674" s="2"/>
    </row>
    <row r="675" spans="1:36" ht="17.25" customHeight="1" x14ac:dyDescent="0.2">
      <c r="A675" s="26" t="s">
        <v>0</v>
      </c>
      <c r="B675" s="26" t="s">
        <v>15</v>
      </c>
      <c r="C675" s="3" t="s">
        <v>4182</v>
      </c>
      <c r="D675" s="26" t="s">
        <v>1636</v>
      </c>
      <c r="E675" s="26" t="s">
        <v>1318</v>
      </c>
      <c r="F675" s="2">
        <v>1</v>
      </c>
      <c r="G675" s="4" t="s">
        <v>40</v>
      </c>
      <c r="H675" s="2">
        <v>1984</v>
      </c>
      <c r="I675" s="2" t="s">
        <v>1319</v>
      </c>
      <c r="J675" s="2" t="s">
        <v>1320</v>
      </c>
      <c r="K675" s="2"/>
      <c r="L675" s="2"/>
      <c r="M675" s="2" t="s">
        <v>1132</v>
      </c>
      <c r="N675" s="2"/>
      <c r="O675" s="2"/>
      <c r="P675" s="2" t="s">
        <v>1843</v>
      </c>
      <c r="Q675" s="2" t="s">
        <v>1127</v>
      </c>
      <c r="R675" s="2"/>
      <c r="S675" s="2"/>
      <c r="T675" s="2"/>
      <c r="U675" s="2"/>
      <c r="V675" s="2"/>
      <c r="W675" s="2"/>
      <c r="X675" s="2"/>
      <c r="Y675" s="2"/>
      <c r="Z675" s="2"/>
      <c r="AA675" s="2"/>
      <c r="AB675" s="2"/>
      <c r="AC675" s="2"/>
      <c r="AD675" s="2"/>
      <c r="AE675" s="2"/>
      <c r="AF675" s="2"/>
      <c r="AG675" s="2"/>
      <c r="AH675" s="2"/>
      <c r="AI675" s="2"/>
      <c r="AJ675" s="2"/>
    </row>
    <row r="676" spans="1:36" ht="17.25" customHeight="1" x14ac:dyDescent="0.2">
      <c r="A676" s="26" t="s">
        <v>0</v>
      </c>
      <c r="B676" s="26" t="s">
        <v>30</v>
      </c>
      <c r="C676" s="3" t="s">
        <v>4182</v>
      </c>
      <c r="D676" s="26" t="s">
        <v>1636</v>
      </c>
      <c r="E676" s="26" t="s">
        <v>1318</v>
      </c>
      <c r="F676" s="2">
        <v>2</v>
      </c>
      <c r="G676" s="4" t="s">
        <v>37</v>
      </c>
      <c r="H676" s="2">
        <v>1985</v>
      </c>
      <c r="I676" s="2" t="s">
        <v>1321</v>
      </c>
      <c r="J676" s="2" t="s">
        <v>1320</v>
      </c>
      <c r="K676" s="2"/>
      <c r="L676" s="2"/>
      <c r="M676" s="2" t="s">
        <v>1132</v>
      </c>
      <c r="N676" s="2"/>
      <c r="O676" s="2"/>
      <c r="P676" s="2" t="s">
        <v>1843</v>
      </c>
      <c r="Q676" s="2" t="s">
        <v>1127</v>
      </c>
      <c r="R676" s="2"/>
      <c r="S676" s="2"/>
      <c r="T676" s="2"/>
      <c r="U676" s="2"/>
      <c r="V676" s="2"/>
      <c r="W676" s="2"/>
      <c r="X676" s="2"/>
      <c r="Y676" s="2"/>
      <c r="Z676" s="2"/>
      <c r="AA676" s="2"/>
      <c r="AB676" s="2"/>
      <c r="AC676" s="2"/>
      <c r="AD676" s="2"/>
      <c r="AE676" s="2"/>
      <c r="AF676" s="2"/>
      <c r="AG676" s="2"/>
      <c r="AH676" s="2"/>
      <c r="AI676" s="2"/>
      <c r="AJ676" s="2"/>
    </row>
    <row r="677" spans="1:36" ht="17.25" customHeight="1" x14ac:dyDescent="0.2">
      <c r="A677" s="26" t="s">
        <v>0</v>
      </c>
      <c r="B677" s="26" t="s">
        <v>94</v>
      </c>
      <c r="C677" s="3" t="s">
        <v>4182</v>
      </c>
      <c r="D677" s="26" t="s">
        <v>1636</v>
      </c>
      <c r="E677" s="26" t="s">
        <v>1318</v>
      </c>
      <c r="F677" s="2">
        <v>3</v>
      </c>
      <c r="G677" s="4" t="s">
        <v>80</v>
      </c>
      <c r="H677" s="2">
        <v>1986</v>
      </c>
      <c r="I677" s="2" t="s">
        <v>1322</v>
      </c>
      <c r="J677" s="2" t="s">
        <v>1320</v>
      </c>
      <c r="K677" s="2"/>
      <c r="L677" s="2"/>
      <c r="M677" s="2" t="s">
        <v>1132</v>
      </c>
      <c r="N677" s="2"/>
      <c r="O677" s="2"/>
      <c r="P677" s="2" t="s">
        <v>1843</v>
      </c>
      <c r="Q677" s="2" t="s">
        <v>1127</v>
      </c>
      <c r="R677" s="2"/>
      <c r="S677" s="2"/>
      <c r="T677" s="2"/>
      <c r="U677" s="2"/>
      <c r="V677" s="2"/>
      <c r="W677" s="2"/>
      <c r="X677" s="2"/>
      <c r="Y677" s="2"/>
      <c r="Z677" s="2"/>
      <c r="AA677" s="2"/>
      <c r="AB677" s="2"/>
      <c r="AC677" s="2"/>
      <c r="AD677" s="2"/>
      <c r="AE677" s="2"/>
      <c r="AF677" s="2"/>
      <c r="AG677" s="2"/>
      <c r="AH677" s="2"/>
      <c r="AI677" s="2"/>
      <c r="AJ677" s="2"/>
    </row>
    <row r="678" spans="1:36" ht="17.25" customHeight="1" x14ac:dyDescent="0.2">
      <c r="A678" s="26" t="s">
        <v>0</v>
      </c>
      <c r="B678" s="26" t="s">
        <v>1</v>
      </c>
      <c r="C678" s="3" t="s">
        <v>4182</v>
      </c>
      <c r="D678" s="26" t="s">
        <v>1636</v>
      </c>
      <c r="E678" s="26" t="s">
        <v>1318</v>
      </c>
      <c r="F678" s="2">
        <v>4</v>
      </c>
      <c r="G678" s="4" t="s">
        <v>31</v>
      </c>
      <c r="H678" s="2">
        <v>1987</v>
      </c>
      <c r="I678" s="2" t="s">
        <v>1323</v>
      </c>
      <c r="J678" s="2" t="s">
        <v>1320</v>
      </c>
      <c r="K678" s="2"/>
      <c r="L678" s="2"/>
      <c r="M678" s="2" t="s">
        <v>1132</v>
      </c>
      <c r="N678" s="2"/>
      <c r="O678" s="2"/>
      <c r="P678" s="2" t="s">
        <v>1843</v>
      </c>
      <c r="Q678" s="2" t="s">
        <v>1127</v>
      </c>
      <c r="R678" s="2"/>
      <c r="S678" s="2"/>
      <c r="T678" s="2"/>
      <c r="U678" s="2"/>
      <c r="V678" s="2"/>
      <c r="W678" s="2"/>
      <c r="X678" s="2"/>
      <c r="Y678" s="2"/>
      <c r="Z678" s="2"/>
      <c r="AA678" s="2"/>
      <c r="AB678" s="2"/>
      <c r="AC678" s="2"/>
      <c r="AD678" s="2"/>
      <c r="AE678" s="2"/>
      <c r="AF678" s="2"/>
      <c r="AG678" s="2"/>
      <c r="AH678" s="2"/>
      <c r="AI678" s="2"/>
      <c r="AJ678" s="2"/>
    </row>
    <row r="679" spans="1:36" ht="17.25" customHeight="1" x14ac:dyDescent="0.2">
      <c r="A679" s="26" t="s">
        <v>0</v>
      </c>
      <c r="B679" s="26" t="s">
        <v>48</v>
      </c>
      <c r="C679" s="3" t="s">
        <v>4182</v>
      </c>
      <c r="D679" s="26" t="s">
        <v>1636</v>
      </c>
      <c r="E679" s="26" t="s">
        <v>1318</v>
      </c>
      <c r="F679" s="2">
        <v>5</v>
      </c>
      <c r="G679" s="4" t="s">
        <v>13</v>
      </c>
      <c r="H679" s="2">
        <v>1988</v>
      </c>
      <c r="I679" s="2" t="s">
        <v>1324</v>
      </c>
      <c r="J679" s="2" t="s">
        <v>1320</v>
      </c>
      <c r="K679" s="2"/>
      <c r="L679" s="2"/>
      <c r="M679" s="2" t="s">
        <v>1132</v>
      </c>
      <c r="N679" s="2"/>
      <c r="O679" s="2"/>
      <c r="P679" s="2" t="s">
        <v>1843</v>
      </c>
      <c r="Q679" s="2" t="s">
        <v>1127</v>
      </c>
      <c r="R679" s="2"/>
      <c r="S679" s="2"/>
      <c r="T679" s="2"/>
      <c r="U679" s="2"/>
      <c r="V679" s="2"/>
      <c r="W679" s="2"/>
      <c r="X679" s="2"/>
      <c r="Y679" s="2"/>
      <c r="Z679" s="2"/>
      <c r="AA679" s="2"/>
      <c r="AB679" s="2"/>
      <c r="AC679" s="2"/>
      <c r="AD679" s="2"/>
      <c r="AE679" s="2"/>
      <c r="AF679" s="2"/>
      <c r="AG679" s="2"/>
      <c r="AH679" s="2"/>
      <c r="AI679" s="2"/>
      <c r="AJ679" s="2"/>
    </row>
    <row r="680" spans="1:36" ht="17.25" customHeight="1" x14ac:dyDescent="0.2">
      <c r="A680" s="26" t="s">
        <v>0</v>
      </c>
      <c r="B680" s="26" t="s">
        <v>60</v>
      </c>
      <c r="C680" s="3" t="s">
        <v>4182</v>
      </c>
      <c r="D680" s="26" t="s">
        <v>1636</v>
      </c>
      <c r="E680" s="26" t="s">
        <v>1318</v>
      </c>
      <c r="F680" s="2">
        <v>6</v>
      </c>
      <c r="G680" s="4" t="s">
        <v>49</v>
      </c>
      <c r="H680" s="2">
        <v>1989</v>
      </c>
      <c r="I680" s="2" t="s">
        <v>1325</v>
      </c>
      <c r="J680" s="2" t="s">
        <v>1320</v>
      </c>
      <c r="K680" s="2"/>
      <c r="L680" s="2"/>
      <c r="M680" s="2" t="s">
        <v>1132</v>
      </c>
      <c r="N680" s="2"/>
      <c r="O680" s="2"/>
      <c r="P680" s="2" t="s">
        <v>1843</v>
      </c>
      <c r="Q680" s="2" t="s">
        <v>1127</v>
      </c>
      <c r="R680" s="2"/>
      <c r="S680" s="2"/>
      <c r="T680" s="2"/>
      <c r="U680" s="2"/>
      <c r="V680" s="2"/>
      <c r="W680" s="2"/>
      <c r="X680" s="2"/>
      <c r="Y680" s="2"/>
      <c r="Z680" s="2"/>
      <c r="AA680" s="2"/>
      <c r="AB680" s="2"/>
      <c r="AC680" s="2"/>
      <c r="AD680" s="2"/>
      <c r="AE680" s="2"/>
      <c r="AF680" s="2"/>
      <c r="AG680" s="2"/>
      <c r="AH680" s="2"/>
      <c r="AI680" s="2"/>
      <c r="AJ680" s="2"/>
    </row>
    <row r="681" spans="1:36" ht="17.25" customHeight="1" x14ac:dyDescent="0.2">
      <c r="A681" s="26" t="s">
        <v>0</v>
      </c>
      <c r="B681" s="26" t="s">
        <v>51</v>
      </c>
      <c r="C681" s="3" t="s">
        <v>4182</v>
      </c>
      <c r="D681" s="26" t="s">
        <v>1636</v>
      </c>
      <c r="E681" s="26" t="s">
        <v>1318</v>
      </c>
      <c r="F681" s="2">
        <v>7</v>
      </c>
      <c r="G681" s="4" t="s">
        <v>101</v>
      </c>
      <c r="H681" s="2">
        <v>1990</v>
      </c>
      <c r="I681" s="2" t="s">
        <v>1326</v>
      </c>
      <c r="J681" s="2" t="s">
        <v>1320</v>
      </c>
      <c r="K681" s="2"/>
      <c r="L681" s="2"/>
      <c r="M681" s="2" t="s">
        <v>1132</v>
      </c>
      <c r="N681" s="2"/>
      <c r="O681" s="2"/>
      <c r="P681" s="2" t="s">
        <v>1843</v>
      </c>
      <c r="Q681" s="2" t="s">
        <v>1127</v>
      </c>
      <c r="R681" s="2"/>
      <c r="S681" s="2"/>
      <c r="T681" s="2"/>
      <c r="U681" s="2"/>
      <c r="V681" s="2"/>
      <c r="W681" s="2"/>
      <c r="X681" s="2"/>
      <c r="Y681" s="2"/>
      <c r="Z681" s="2"/>
      <c r="AA681" s="2"/>
      <c r="AB681" s="2"/>
      <c r="AC681" s="2"/>
      <c r="AD681" s="2"/>
      <c r="AE681" s="2"/>
      <c r="AF681" s="2"/>
      <c r="AG681" s="2"/>
      <c r="AH681" s="2"/>
      <c r="AI681" s="2"/>
      <c r="AJ681" s="2"/>
    </row>
    <row r="682" spans="1:36" ht="17.25" customHeight="1" x14ac:dyDescent="0.2">
      <c r="A682" s="26" t="s">
        <v>0</v>
      </c>
      <c r="B682" s="26" t="s">
        <v>24</v>
      </c>
      <c r="C682" s="3" t="s">
        <v>4182</v>
      </c>
      <c r="D682" s="26" t="s">
        <v>1636</v>
      </c>
      <c r="E682" s="26" t="s">
        <v>1318</v>
      </c>
      <c r="F682" s="2">
        <v>8</v>
      </c>
      <c r="G682" s="4" t="s">
        <v>10</v>
      </c>
      <c r="H682" s="2">
        <v>1991</v>
      </c>
      <c r="I682" s="2" t="s">
        <v>1327</v>
      </c>
      <c r="J682" s="2" t="s">
        <v>1320</v>
      </c>
      <c r="K682" s="2"/>
      <c r="L682" s="2"/>
      <c r="M682" s="2" t="s">
        <v>1132</v>
      </c>
      <c r="N682" s="2"/>
      <c r="O682" s="2"/>
      <c r="P682" s="2" t="s">
        <v>1843</v>
      </c>
      <c r="Q682" s="2" t="s">
        <v>1127</v>
      </c>
      <c r="R682" s="2"/>
      <c r="S682" s="2"/>
      <c r="T682" s="2"/>
      <c r="U682" s="2"/>
      <c r="V682" s="2"/>
      <c r="W682" s="2"/>
      <c r="X682" s="2"/>
      <c r="Y682" s="2"/>
      <c r="Z682" s="2"/>
      <c r="AA682" s="2"/>
      <c r="AB682" s="2"/>
      <c r="AC682" s="2"/>
      <c r="AD682" s="2"/>
      <c r="AE682" s="2"/>
      <c r="AF682" s="2"/>
      <c r="AG682" s="2"/>
      <c r="AH682" s="2"/>
      <c r="AI682" s="2"/>
      <c r="AJ682" s="2"/>
    </row>
    <row r="683" spans="1:36" ht="17.25" customHeight="1" x14ac:dyDescent="0.2">
      <c r="A683" s="26" t="s">
        <v>0</v>
      </c>
      <c r="B683" s="26" t="s">
        <v>85</v>
      </c>
      <c r="C683" s="3" t="s">
        <v>4182</v>
      </c>
      <c r="D683" s="26" t="s">
        <v>1636</v>
      </c>
      <c r="E683" s="26" t="s">
        <v>1318</v>
      </c>
      <c r="F683" s="2">
        <v>9</v>
      </c>
      <c r="G683" s="4" t="s">
        <v>55</v>
      </c>
      <c r="H683" s="2">
        <v>1992</v>
      </c>
      <c r="I683" s="2" t="s">
        <v>1328</v>
      </c>
      <c r="J683" s="2" t="s">
        <v>1320</v>
      </c>
      <c r="K683" s="2"/>
      <c r="L683" s="2"/>
      <c r="M683" s="2" t="s">
        <v>1132</v>
      </c>
      <c r="N683" s="2"/>
      <c r="O683" s="2"/>
      <c r="P683" s="2" t="s">
        <v>1843</v>
      </c>
      <c r="Q683" s="2" t="s">
        <v>1127</v>
      </c>
      <c r="R683" s="2"/>
      <c r="S683" s="2"/>
      <c r="T683" s="2"/>
      <c r="U683" s="2"/>
      <c r="V683" s="2"/>
      <c r="W683" s="2"/>
      <c r="X683" s="2"/>
      <c r="Y683" s="2"/>
      <c r="Z683" s="2"/>
      <c r="AA683" s="2"/>
      <c r="AB683" s="2"/>
      <c r="AC683" s="2"/>
      <c r="AD683" s="2"/>
      <c r="AE683" s="2"/>
      <c r="AF683" s="2"/>
      <c r="AG683" s="2"/>
      <c r="AH683" s="2"/>
      <c r="AI683" s="2"/>
      <c r="AJ683" s="2"/>
    </row>
    <row r="684" spans="1:36" ht="17.25" customHeight="1" x14ac:dyDescent="0.2">
      <c r="A684" s="26" t="s">
        <v>0</v>
      </c>
      <c r="B684" s="26" t="s">
        <v>45</v>
      </c>
      <c r="C684" s="3" t="s">
        <v>4182</v>
      </c>
      <c r="D684" s="26" t="s">
        <v>1636</v>
      </c>
      <c r="E684" s="26" t="s">
        <v>1318</v>
      </c>
      <c r="F684" s="2">
        <v>10</v>
      </c>
      <c r="G684" s="4" t="s">
        <v>98</v>
      </c>
      <c r="H684" s="2">
        <v>1993</v>
      </c>
      <c r="I684" s="2" t="s">
        <v>1329</v>
      </c>
      <c r="J684" s="2" t="s">
        <v>1320</v>
      </c>
      <c r="K684" s="2"/>
      <c r="L684" s="2"/>
      <c r="M684" s="2" t="s">
        <v>1132</v>
      </c>
      <c r="N684" s="2"/>
      <c r="O684" s="2"/>
      <c r="P684" s="2" t="s">
        <v>1843</v>
      </c>
      <c r="Q684" s="2" t="s">
        <v>1127</v>
      </c>
      <c r="R684" s="2"/>
      <c r="S684" s="2"/>
      <c r="T684" s="2"/>
      <c r="U684" s="2"/>
      <c r="V684" s="2"/>
      <c r="W684" s="2"/>
      <c r="X684" s="2"/>
      <c r="Y684" s="2"/>
      <c r="Z684" s="2"/>
      <c r="AA684" s="2"/>
      <c r="AB684" s="2"/>
      <c r="AC684" s="2"/>
      <c r="AD684" s="2"/>
      <c r="AE684" s="2"/>
      <c r="AF684" s="2"/>
      <c r="AG684" s="2"/>
      <c r="AH684" s="2"/>
      <c r="AI684" s="2"/>
      <c r="AJ684" s="2"/>
    </row>
    <row r="685" spans="1:36" ht="17.25" customHeight="1" x14ac:dyDescent="0.2">
      <c r="A685" s="26" t="s">
        <v>0</v>
      </c>
      <c r="B685" s="26" t="s">
        <v>42</v>
      </c>
      <c r="C685" s="3" t="s">
        <v>4182</v>
      </c>
      <c r="D685" s="26" t="s">
        <v>1636</v>
      </c>
      <c r="E685" s="26" t="s">
        <v>1318</v>
      </c>
      <c r="F685" s="2">
        <v>11</v>
      </c>
      <c r="G685" s="4" t="s">
        <v>104</v>
      </c>
      <c r="H685" s="2">
        <v>1994</v>
      </c>
      <c r="I685" s="2" t="s">
        <v>1330</v>
      </c>
      <c r="J685" s="2" t="s">
        <v>1320</v>
      </c>
      <c r="K685" s="2"/>
      <c r="L685" s="2"/>
      <c r="M685" s="2" t="s">
        <v>1132</v>
      </c>
      <c r="N685" s="2"/>
      <c r="O685" s="2"/>
      <c r="P685" s="2" t="s">
        <v>1843</v>
      </c>
      <c r="Q685" s="2" t="s">
        <v>1127</v>
      </c>
      <c r="R685" s="2"/>
      <c r="S685" s="2"/>
      <c r="T685" s="2"/>
      <c r="U685" s="2"/>
      <c r="V685" s="2"/>
      <c r="W685" s="2"/>
      <c r="X685" s="2"/>
      <c r="Y685" s="2"/>
      <c r="Z685" s="2"/>
      <c r="AA685" s="2"/>
      <c r="AB685" s="2"/>
      <c r="AC685" s="2"/>
      <c r="AD685" s="2"/>
      <c r="AE685" s="2"/>
      <c r="AF685" s="2"/>
      <c r="AG685" s="2"/>
      <c r="AH685" s="2"/>
      <c r="AI685" s="2"/>
      <c r="AJ685" s="2"/>
    </row>
    <row r="686" spans="1:36" ht="17.25" customHeight="1" x14ac:dyDescent="0.2">
      <c r="A686" s="26" t="s">
        <v>0</v>
      </c>
      <c r="B686" s="26" t="s">
        <v>82</v>
      </c>
      <c r="C686" s="3" t="s">
        <v>4182</v>
      </c>
      <c r="D686" s="26" t="s">
        <v>1636</v>
      </c>
      <c r="E686" s="26" t="s">
        <v>1318</v>
      </c>
      <c r="F686" s="2">
        <v>12</v>
      </c>
      <c r="G686" s="4" t="s">
        <v>89</v>
      </c>
      <c r="H686" s="2">
        <v>1995</v>
      </c>
      <c r="I686" s="2" t="s">
        <v>1331</v>
      </c>
      <c r="J686" s="2" t="s">
        <v>1320</v>
      </c>
      <c r="K686" s="2"/>
      <c r="L686" s="2"/>
      <c r="M686" s="2" t="s">
        <v>1132</v>
      </c>
      <c r="N686" s="2"/>
      <c r="O686" s="2"/>
      <c r="P686" s="2" t="s">
        <v>1843</v>
      </c>
      <c r="Q686" s="2" t="s">
        <v>1127</v>
      </c>
      <c r="R686" s="2"/>
      <c r="S686" s="2"/>
      <c r="T686" s="2"/>
      <c r="U686" s="2"/>
      <c r="V686" s="2"/>
      <c r="W686" s="2"/>
      <c r="X686" s="2"/>
      <c r="Y686" s="2"/>
      <c r="Z686" s="2"/>
      <c r="AA686" s="2"/>
      <c r="AB686" s="2"/>
      <c r="AC686" s="2"/>
      <c r="AD686" s="2"/>
      <c r="AE686" s="2"/>
      <c r="AF686" s="2"/>
      <c r="AG686" s="2"/>
      <c r="AH686" s="2"/>
      <c r="AI686" s="2"/>
      <c r="AJ686" s="2"/>
    </row>
    <row r="687" spans="1:36" ht="17.25" customHeight="1" x14ac:dyDescent="0.2">
      <c r="A687" s="26" t="s">
        <v>0</v>
      </c>
      <c r="B687" s="26" t="s">
        <v>12</v>
      </c>
      <c r="C687" s="3" t="s">
        <v>4182</v>
      </c>
      <c r="D687" s="26" t="s">
        <v>1636</v>
      </c>
      <c r="E687" s="26" t="s">
        <v>1318</v>
      </c>
      <c r="F687" s="2">
        <v>13</v>
      </c>
      <c r="G687" s="4" t="s">
        <v>107</v>
      </c>
      <c r="H687" s="2">
        <v>1996</v>
      </c>
      <c r="I687" s="2" t="s">
        <v>1332</v>
      </c>
      <c r="J687" s="2" t="s">
        <v>1320</v>
      </c>
      <c r="K687" s="2"/>
      <c r="L687" s="2"/>
      <c r="M687" s="2" t="s">
        <v>1132</v>
      </c>
      <c r="N687" s="2"/>
      <c r="O687" s="2"/>
      <c r="P687" s="2" t="s">
        <v>1843</v>
      </c>
      <c r="Q687" s="2" t="s">
        <v>1127</v>
      </c>
      <c r="R687" s="2"/>
      <c r="S687" s="2"/>
      <c r="T687" s="2"/>
      <c r="U687" s="2"/>
      <c r="V687" s="2"/>
      <c r="W687" s="2"/>
      <c r="X687" s="2"/>
      <c r="Y687" s="2"/>
      <c r="Z687" s="2"/>
      <c r="AA687" s="2"/>
      <c r="AB687" s="2"/>
      <c r="AC687" s="2"/>
      <c r="AD687" s="2"/>
      <c r="AE687" s="2"/>
      <c r="AF687" s="2"/>
      <c r="AG687" s="2"/>
      <c r="AH687" s="2"/>
      <c r="AI687" s="2"/>
      <c r="AJ687" s="2"/>
    </row>
    <row r="688" spans="1:36" ht="17.25" customHeight="1" x14ac:dyDescent="0.2">
      <c r="A688" s="26" t="s">
        <v>0</v>
      </c>
      <c r="B688" s="26" t="s">
        <v>88</v>
      </c>
      <c r="C688" s="3" t="s">
        <v>4182</v>
      </c>
      <c r="D688" s="26" t="s">
        <v>1636</v>
      </c>
      <c r="E688" s="26" t="s">
        <v>1318</v>
      </c>
      <c r="F688" s="2">
        <v>14</v>
      </c>
      <c r="G688" s="4" t="s">
        <v>43</v>
      </c>
      <c r="H688" s="2">
        <v>1997</v>
      </c>
      <c r="I688" s="2" t="s">
        <v>1333</v>
      </c>
      <c r="J688" s="2" t="s">
        <v>1320</v>
      </c>
      <c r="K688" s="2"/>
      <c r="L688" s="2"/>
      <c r="M688" s="2" t="s">
        <v>1132</v>
      </c>
      <c r="N688" s="2"/>
      <c r="O688" s="2"/>
      <c r="P688" s="2" t="s">
        <v>1843</v>
      </c>
      <c r="Q688" s="2" t="s">
        <v>1127</v>
      </c>
      <c r="R688" s="2"/>
      <c r="S688" s="2"/>
      <c r="T688" s="2"/>
      <c r="U688" s="2"/>
      <c r="V688" s="2"/>
      <c r="W688" s="2"/>
      <c r="X688" s="2"/>
      <c r="Y688" s="2"/>
      <c r="Z688" s="2"/>
      <c r="AA688" s="2"/>
      <c r="AB688" s="2"/>
      <c r="AC688" s="2"/>
      <c r="AD688" s="2"/>
      <c r="AE688" s="2"/>
      <c r="AF688" s="2"/>
      <c r="AG688" s="2"/>
      <c r="AH688" s="2"/>
      <c r="AI688" s="2"/>
      <c r="AJ688" s="2"/>
    </row>
    <row r="689" spans="1:36" ht="17.25" customHeight="1" x14ac:dyDescent="0.2">
      <c r="A689" s="26" t="s">
        <v>0</v>
      </c>
      <c r="B689" s="26" t="s">
        <v>21</v>
      </c>
      <c r="C689" s="3" t="s">
        <v>4182</v>
      </c>
      <c r="D689" s="26" t="s">
        <v>1636</v>
      </c>
      <c r="E689" s="26" t="s">
        <v>1318</v>
      </c>
      <c r="F689" s="2">
        <v>15</v>
      </c>
      <c r="G689" s="4" t="s">
        <v>19</v>
      </c>
      <c r="H689" s="2">
        <v>1998</v>
      </c>
      <c r="I689" s="2" t="s">
        <v>1334</v>
      </c>
      <c r="J689" s="2" t="s">
        <v>1320</v>
      </c>
      <c r="K689" s="2"/>
      <c r="L689" s="2"/>
      <c r="M689" s="2" t="s">
        <v>1132</v>
      </c>
      <c r="N689" s="2"/>
      <c r="O689" s="2"/>
      <c r="P689" s="2" t="s">
        <v>1843</v>
      </c>
      <c r="Q689" s="2" t="s">
        <v>1127</v>
      </c>
      <c r="R689" s="2"/>
      <c r="S689" s="2"/>
      <c r="T689" s="2"/>
      <c r="U689" s="2"/>
      <c r="V689" s="2"/>
      <c r="W689" s="2"/>
      <c r="X689" s="2"/>
      <c r="Y689" s="2"/>
      <c r="Z689" s="2"/>
      <c r="AA689" s="2"/>
      <c r="AB689" s="2"/>
      <c r="AC689" s="2"/>
      <c r="AD689" s="2"/>
      <c r="AE689" s="2"/>
      <c r="AF689" s="2"/>
      <c r="AG689" s="2"/>
      <c r="AH689" s="2"/>
      <c r="AI689" s="2"/>
      <c r="AJ689" s="2"/>
    </row>
    <row r="690" spans="1:36" ht="17.25" customHeight="1" x14ac:dyDescent="0.2">
      <c r="A690" s="26" t="s">
        <v>0</v>
      </c>
      <c r="B690" s="26" t="s">
        <v>9</v>
      </c>
      <c r="C690" s="3" t="s">
        <v>4182</v>
      </c>
      <c r="D690" s="26" t="s">
        <v>1636</v>
      </c>
      <c r="E690" s="26" t="s">
        <v>1318</v>
      </c>
      <c r="F690" s="2">
        <v>16</v>
      </c>
      <c r="G690" s="4" t="s">
        <v>25</v>
      </c>
      <c r="H690" s="2">
        <v>1999</v>
      </c>
      <c r="I690" s="2" t="s">
        <v>1335</v>
      </c>
      <c r="J690" s="2" t="s">
        <v>1320</v>
      </c>
      <c r="K690" s="2"/>
      <c r="L690" s="2"/>
      <c r="M690" s="2" t="s">
        <v>1132</v>
      </c>
      <c r="N690" s="2"/>
      <c r="O690" s="2"/>
      <c r="P690" s="2" t="s">
        <v>1843</v>
      </c>
      <c r="Q690" s="2" t="s">
        <v>1127</v>
      </c>
      <c r="R690" s="2"/>
      <c r="S690" s="2"/>
      <c r="T690" s="2"/>
      <c r="U690" s="2"/>
      <c r="V690" s="2"/>
      <c r="W690" s="2"/>
      <c r="X690" s="2"/>
      <c r="Y690" s="2"/>
      <c r="Z690" s="2"/>
      <c r="AA690" s="2"/>
      <c r="AB690" s="2"/>
      <c r="AC690" s="2"/>
      <c r="AD690" s="2"/>
      <c r="AE690" s="2"/>
      <c r="AF690" s="2"/>
      <c r="AG690" s="2"/>
      <c r="AH690" s="2"/>
      <c r="AI690" s="2"/>
      <c r="AJ690" s="2"/>
    </row>
    <row r="691" spans="1:36" ht="17.25" customHeight="1" x14ac:dyDescent="0.2">
      <c r="A691" s="26" t="s">
        <v>0</v>
      </c>
      <c r="B691" s="26" t="s">
        <v>72</v>
      </c>
      <c r="C691" s="3" t="s">
        <v>4182</v>
      </c>
      <c r="D691" s="26" t="s">
        <v>1636</v>
      </c>
      <c r="E691" s="26" t="s">
        <v>1318</v>
      </c>
      <c r="F691" s="2">
        <v>17</v>
      </c>
      <c r="G691" s="4" t="s">
        <v>73</v>
      </c>
      <c r="H691" s="2">
        <v>2000</v>
      </c>
      <c r="I691" s="2" t="s">
        <v>1336</v>
      </c>
      <c r="J691" s="2" t="s">
        <v>1320</v>
      </c>
      <c r="K691" s="2"/>
      <c r="L691" s="2"/>
      <c r="M691" s="2" t="s">
        <v>1132</v>
      </c>
      <c r="N691" s="2"/>
      <c r="O691" s="2"/>
      <c r="P691" s="2" t="s">
        <v>1843</v>
      </c>
      <c r="Q691" s="2" t="s">
        <v>1127</v>
      </c>
      <c r="R691" s="2"/>
      <c r="S691" s="2"/>
      <c r="T691" s="2"/>
      <c r="U691" s="2"/>
      <c r="V691" s="2"/>
      <c r="W691" s="2"/>
      <c r="X691" s="2"/>
      <c r="Y691" s="2"/>
      <c r="Z691" s="2"/>
      <c r="AA691" s="2"/>
      <c r="AB691" s="2"/>
      <c r="AC691" s="2"/>
      <c r="AD691" s="2"/>
      <c r="AE691" s="2"/>
      <c r="AF691" s="2"/>
      <c r="AG691" s="2"/>
      <c r="AH691" s="2"/>
      <c r="AI691" s="2"/>
      <c r="AJ691" s="2"/>
    </row>
    <row r="692" spans="1:36" ht="17.25" customHeight="1" x14ac:dyDescent="0.2">
      <c r="A692" s="26" t="s">
        <v>0</v>
      </c>
      <c r="B692" s="26" t="s">
        <v>106</v>
      </c>
      <c r="C692" s="3" t="s">
        <v>4182</v>
      </c>
      <c r="D692" s="26" t="s">
        <v>1636</v>
      </c>
      <c r="E692" s="26" t="s">
        <v>1318</v>
      </c>
      <c r="F692" s="2">
        <v>18</v>
      </c>
      <c r="G692" s="4" t="s">
        <v>58</v>
      </c>
      <c r="H692" s="2">
        <v>2001</v>
      </c>
      <c r="I692" s="2" t="s">
        <v>1337</v>
      </c>
      <c r="J692" s="2" t="s">
        <v>1320</v>
      </c>
      <c r="K692" s="2"/>
      <c r="L692" s="2"/>
      <c r="M692" s="2" t="s">
        <v>1132</v>
      </c>
      <c r="N692" s="2"/>
      <c r="O692" s="2"/>
      <c r="P692" s="2" t="s">
        <v>1843</v>
      </c>
      <c r="Q692" s="2" t="s">
        <v>1127</v>
      </c>
      <c r="R692" s="2"/>
      <c r="S692" s="2"/>
      <c r="T692" s="2"/>
      <c r="U692" s="2"/>
      <c r="V692" s="2"/>
      <c r="W692" s="2"/>
      <c r="X692" s="2"/>
      <c r="Y692" s="2"/>
      <c r="Z692" s="2"/>
      <c r="AA692" s="2"/>
      <c r="AB692" s="2"/>
      <c r="AC692" s="2"/>
      <c r="AD692" s="2"/>
      <c r="AE692" s="2"/>
      <c r="AF692" s="2"/>
      <c r="AG692" s="2"/>
      <c r="AH692" s="2"/>
      <c r="AI692" s="2"/>
      <c r="AJ692" s="2"/>
    </row>
    <row r="693" spans="1:36" ht="17.25" customHeight="1" x14ac:dyDescent="0.2">
      <c r="A693" s="26" t="s">
        <v>0</v>
      </c>
      <c r="B693" s="26" t="s">
        <v>63</v>
      </c>
      <c r="C693" s="3" t="s">
        <v>4182</v>
      </c>
      <c r="D693" s="26" t="s">
        <v>1636</v>
      </c>
      <c r="E693" s="26" t="s">
        <v>1318</v>
      </c>
      <c r="F693" s="2">
        <v>19</v>
      </c>
      <c r="G693" s="4" t="s">
        <v>4</v>
      </c>
      <c r="H693" s="2">
        <v>2002</v>
      </c>
      <c r="I693" s="2" t="s">
        <v>1338</v>
      </c>
      <c r="J693" s="2" t="s">
        <v>1320</v>
      </c>
      <c r="K693" s="2"/>
      <c r="L693" s="2"/>
      <c r="M693" s="2" t="s">
        <v>1132</v>
      </c>
      <c r="N693" s="2"/>
      <c r="O693" s="2"/>
      <c r="P693" s="2" t="s">
        <v>1843</v>
      </c>
      <c r="Q693" s="2" t="s">
        <v>1127</v>
      </c>
      <c r="R693" s="2"/>
      <c r="S693" s="2"/>
      <c r="T693" s="2"/>
      <c r="U693" s="2"/>
      <c r="V693" s="2"/>
      <c r="W693" s="2"/>
      <c r="X693" s="2"/>
      <c r="Y693" s="2"/>
      <c r="Z693" s="2"/>
      <c r="AA693" s="2"/>
      <c r="AB693" s="2"/>
      <c r="AC693" s="2"/>
      <c r="AD693" s="2"/>
      <c r="AE693" s="2"/>
      <c r="AF693" s="2"/>
      <c r="AG693" s="2"/>
      <c r="AH693" s="2"/>
      <c r="AI693" s="2"/>
      <c r="AJ693" s="2"/>
    </row>
    <row r="694" spans="1:36" ht="17.25" customHeight="1" x14ac:dyDescent="0.2">
      <c r="A694" s="26" t="s">
        <v>0</v>
      </c>
      <c r="B694" s="26" t="s">
        <v>97</v>
      </c>
      <c r="C694" s="3" t="s">
        <v>4182</v>
      </c>
      <c r="D694" s="26" t="s">
        <v>1636</v>
      </c>
      <c r="E694" s="26" t="s">
        <v>1318</v>
      </c>
      <c r="F694" s="2">
        <v>20</v>
      </c>
      <c r="G694" s="4" t="s">
        <v>83</v>
      </c>
      <c r="H694" s="2">
        <v>2003</v>
      </c>
      <c r="I694" s="2" t="s">
        <v>1339</v>
      </c>
      <c r="J694" s="2" t="s">
        <v>1320</v>
      </c>
      <c r="K694" s="2"/>
      <c r="L694" s="2"/>
      <c r="M694" s="2" t="s">
        <v>1132</v>
      </c>
      <c r="N694" s="2"/>
      <c r="O694" s="2"/>
      <c r="P694" s="2" t="s">
        <v>1843</v>
      </c>
      <c r="Q694" s="2" t="s">
        <v>1127</v>
      </c>
      <c r="R694" s="2"/>
      <c r="S694" s="2"/>
      <c r="T694" s="2"/>
      <c r="U694" s="2"/>
      <c r="V694" s="2"/>
      <c r="W694" s="2"/>
      <c r="X694" s="2"/>
      <c r="Y694" s="2"/>
      <c r="Z694" s="2"/>
      <c r="AA694" s="2"/>
      <c r="AB694" s="2"/>
      <c r="AC694" s="2"/>
      <c r="AD694" s="2"/>
      <c r="AE694" s="2"/>
      <c r="AF694" s="2"/>
      <c r="AG694" s="2"/>
      <c r="AH694" s="2"/>
      <c r="AI694" s="2"/>
      <c r="AJ694" s="2"/>
    </row>
    <row r="695" spans="1:36" ht="17.25" customHeight="1" x14ac:dyDescent="0.2">
      <c r="A695" s="26" t="s">
        <v>0</v>
      </c>
      <c r="B695" s="26" t="s">
        <v>69</v>
      </c>
      <c r="C695" s="3" t="s">
        <v>4182</v>
      </c>
      <c r="D695" s="26" t="s">
        <v>1636</v>
      </c>
      <c r="E695" s="26" t="s">
        <v>1318</v>
      </c>
      <c r="F695" s="2">
        <v>21</v>
      </c>
      <c r="G695" s="4" t="s">
        <v>64</v>
      </c>
      <c r="H695" s="2">
        <v>2004</v>
      </c>
      <c r="I695" s="2" t="s">
        <v>1340</v>
      </c>
      <c r="J695" s="2" t="s">
        <v>1320</v>
      </c>
      <c r="K695" s="2"/>
      <c r="L695" s="2"/>
      <c r="M695" s="2" t="s">
        <v>1132</v>
      </c>
      <c r="N695" s="2"/>
      <c r="O695" s="2"/>
      <c r="P695" s="2" t="s">
        <v>1843</v>
      </c>
      <c r="Q695" s="2" t="s">
        <v>1127</v>
      </c>
      <c r="R695" s="2"/>
      <c r="S695" s="2"/>
      <c r="T695" s="2"/>
      <c r="U695" s="2"/>
      <c r="V695" s="2"/>
      <c r="W695" s="2"/>
      <c r="X695" s="2"/>
      <c r="Y695" s="2"/>
      <c r="Z695" s="2"/>
      <c r="AA695" s="2"/>
      <c r="AB695" s="2"/>
      <c r="AC695" s="2"/>
      <c r="AD695" s="2"/>
      <c r="AE695" s="2"/>
      <c r="AF695" s="2"/>
      <c r="AG695" s="2"/>
      <c r="AH695" s="2"/>
      <c r="AI695" s="2"/>
      <c r="AJ695" s="2"/>
    </row>
    <row r="696" spans="1:36" ht="17.25" customHeight="1" x14ac:dyDescent="0.2">
      <c r="A696" s="26" t="s">
        <v>0</v>
      </c>
      <c r="B696" s="26" t="s">
        <v>100</v>
      </c>
      <c r="C696" s="3" t="s">
        <v>4182</v>
      </c>
      <c r="D696" s="26" t="s">
        <v>1636</v>
      </c>
      <c r="E696" s="26" t="s">
        <v>1318</v>
      </c>
      <c r="F696" s="2">
        <v>22</v>
      </c>
      <c r="G696" s="4" t="s">
        <v>92</v>
      </c>
      <c r="H696" s="2">
        <v>2005</v>
      </c>
      <c r="I696" s="2" t="s">
        <v>1341</v>
      </c>
      <c r="J696" s="2" t="s">
        <v>1320</v>
      </c>
      <c r="K696" s="2"/>
      <c r="L696" s="2"/>
      <c r="M696" s="2" t="s">
        <v>1132</v>
      </c>
      <c r="N696" s="2"/>
      <c r="O696" s="2"/>
      <c r="P696" s="2" t="s">
        <v>1843</v>
      </c>
      <c r="Q696" s="2" t="s">
        <v>1127</v>
      </c>
      <c r="R696" s="2"/>
      <c r="S696" s="2"/>
      <c r="T696" s="2"/>
      <c r="U696" s="2"/>
      <c r="V696" s="2"/>
      <c r="W696" s="2"/>
      <c r="X696" s="2"/>
      <c r="Y696" s="2"/>
      <c r="Z696" s="2"/>
      <c r="AA696" s="2"/>
      <c r="AB696" s="2"/>
      <c r="AC696" s="2"/>
      <c r="AD696" s="2"/>
      <c r="AE696" s="2"/>
      <c r="AF696" s="2"/>
      <c r="AG696" s="2"/>
      <c r="AH696" s="2"/>
      <c r="AI696" s="2"/>
      <c r="AJ696" s="2"/>
    </row>
    <row r="697" spans="1:36" ht="17.25" customHeight="1" x14ac:dyDescent="0.2">
      <c r="A697" s="26" t="s">
        <v>0</v>
      </c>
      <c r="B697" s="26" t="s">
        <v>79</v>
      </c>
      <c r="C697" s="3" t="s">
        <v>4182</v>
      </c>
      <c r="D697" s="26" t="s">
        <v>1636</v>
      </c>
      <c r="E697" s="26" t="s">
        <v>1318</v>
      </c>
      <c r="F697" s="2">
        <v>23</v>
      </c>
      <c r="G697" s="4" t="s">
        <v>52</v>
      </c>
      <c r="H697" s="2">
        <v>2006</v>
      </c>
      <c r="I697" s="2" t="s">
        <v>1342</v>
      </c>
      <c r="J697" s="2" t="s">
        <v>1320</v>
      </c>
      <c r="K697" s="2"/>
      <c r="L697" s="2"/>
      <c r="M697" s="2" t="s">
        <v>1132</v>
      </c>
      <c r="N697" s="2"/>
      <c r="O697" s="2"/>
      <c r="P697" s="2" t="s">
        <v>1843</v>
      </c>
      <c r="Q697" s="2" t="s">
        <v>1127</v>
      </c>
      <c r="R697" s="2"/>
      <c r="S697" s="2"/>
      <c r="T697" s="2"/>
      <c r="U697" s="2"/>
      <c r="V697" s="2"/>
      <c r="W697" s="2"/>
      <c r="X697" s="2"/>
      <c r="Y697" s="2"/>
      <c r="Z697" s="2"/>
      <c r="AA697" s="2"/>
      <c r="AB697" s="2"/>
      <c r="AC697" s="2"/>
      <c r="AD697" s="2"/>
      <c r="AE697" s="2"/>
      <c r="AF697" s="2"/>
      <c r="AG697" s="2"/>
      <c r="AH697" s="2"/>
      <c r="AI697" s="2"/>
      <c r="AJ697" s="2"/>
    </row>
    <row r="698" spans="1:36" ht="17.25" customHeight="1" x14ac:dyDescent="0.2">
      <c r="A698" s="26" t="s">
        <v>0</v>
      </c>
      <c r="B698" s="26" t="s">
        <v>39</v>
      </c>
      <c r="C698" s="3" t="s">
        <v>4182</v>
      </c>
      <c r="D698" s="26" t="s">
        <v>1636</v>
      </c>
      <c r="E698" s="26" t="s">
        <v>1318</v>
      </c>
      <c r="F698" s="2">
        <v>24</v>
      </c>
      <c r="G698" s="4" t="s">
        <v>95</v>
      </c>
      <c r="H698" s="2">
        <v>2007</v>
      </c>
      <c r="I698" s="2" t="s">
        <v>1343</v>
      </c>
      <c r="J698" s="2" t="s">
        <v>1320</v>
      </c>
      <c r="K698" s="2"/>
      <c r="L698" s="2"/>
      <c r="M698" s="2" t="s">
        <v>1132</v>
      </c>
      <c r="N698" s="2"/>
      <c r="O698" s="2"/>
      <c r="P698" s="2" t="s">
        <v>1843</v>
      </c>
      <c r="Q698" s="2" t="s">
        <v>1127</v>
      </c>
      <c r="R698" s="2"/>
      <c r="S698" s="2"/>
      <c r="T698" s="2"/>
      <c r="U698" s="2"/>
      <c r="V698" s="2"/>
      <c r="W698" s="2"/>
      <c r="X698" s="2"/>
      <c r="Y698" s="2"/>
      <c r="Z698" s="2"/>
      <c r="AA698" s="2"/>
      <c r="AB698" s="2"/>
      <c r="AC698" s="2"/>
      <c r="AD698" s="2"/>
      <c r="AE698" s="2"/>
      <c r="AF698" s="2"/>
      <c r="AG698" s="2"/>
      <c r="AH698" s="2"/>
      <c r="AI698" s="2"/>
      <c r="AJ698" s="2"/>
    </row>
    <row r="699" spans="1:36" ht="17.25" customHeight="1" x14ac:dyDescent="0.2">
      <c r="A699" s="26" t="s">
        <v>0</v>
      </c>
      <c r="B699" s="26" t="s">
        <v>36</v>
      </c>
      <c r="C699" s="3" t="s">
        <v>4182</v>
      </c>
      <c r="D699" s="26" t="s">
        <v>1636</v>
      </c>
      <c r="E699" s="26" t="s">
        <v>1318</v>
      </c>
      <c r="F699" s="2">
        <v>25</v>
      </c>
      <c r="G699" s="4" t="s">
        <v>70</v>
      </c>
      <c r="H699" s="2">
        <v>2008</v>
      </c>
      <c r="I699" s="2" t="s">
        <v>1344</v>
      </c>
      <c r="J699" s="2" t="s">
        <v>1320</v>
      </c>
      <c r="K699" s="2"/>
      <c r="L699" s="2"/>
      <c r="M699" s="2" t="s">
        <v>1132</v>
      </c>
      <c r="N699" s="2"/>
      <c r="O699" s="2"/>
      <c r="P699" s="2" t="s">
        <v>1843</v>
      </c>
      <c r="Q699" s="2" t="s">
        <v>1127</v>
      </c>
      <c r="R699" s="2"/>
      <c r="S699" s="2"/>
      <c r="T699" s="2"/>
      <c r="U699" s="2"/>
      <c r="V699" s="2"/>
      <c r="W699" s="2"/>
      <c r="X699" s="2"/>
      <c r="Y699" s="2"/>
      <c r="Z699" s="2"/>
      <c r="AA699" s="2"/>
      <c r="AB699" s="2"/>
      <c r="AC699" s="2"/>
      <c r="AD699" s="2"/>
      <c r="AE699" s="2"/>
      <c r="AF699" s="2"/>
      <c r="AG699" s="2"/>
      <c r="AH699" s="2"/>
      <c r="AI699" s="2"/>
      <c r="AJ699" s="2"/>
    </row>
    <row r="700" spans="1:36" ht="17.25" customHeight="1" x14ac:dyDescent="0.2">
      <c r="A700" s="26" t="s">
        <v>0</v>
      </c>
      <c r="B700" s="26" t="s">
        <v>91</v>
      </c>
      <c r="C700" s="3" t="s">
        <v>4182</v>
      </c>
      <c r="D700" s="26" t="s">
        <v>1636</v>
      </c>
      <c r="E700" s="26" t="s">
        <v>1318</v>
      </c>
      <c r="F700" s="2">
        <v>26</v>
      </c>
      <c r="G700" s="4" t="s">
        <v>16</v>
      </c>
      <c r="H700" s="2">
        <v>2009</v>
      </c>
      <c r="I700" s="2" t="s">
        <v>1345</v>
      </c>
      <c r="J700" s="2" t="s">
        <v>1320</v>
      </c>
      <c r="K700" s="2"/>
      <c r="L700" s="2"/>
      <c r="M700" s="2" t="s">
        <v>1132</v>
      </c>
      <c r="N700" s="2"/>
      <c r="O700" s="2"/>
      <c r="P700" s="2" t="s">
        <v>1843</v>
      </c>
      <c r="Q700" s="2" t="s">
        <v>1127</v>
      </c>
      <c r="R700" s="2"/>
      <c r="S700" s="2"/>
      <c r="T700" s="2"/>
      <c r="U700" s="2"/>
      <c r="V700" s="2"/>
      <c r="W700" s="2"/>
      <c r="X700" s="2"/>
      <c r="Y700" s="2"/>
      <c r="Z700" s="2"/>
      <c r="AA700" s="2"/>
      <c r="AB700" s="2"/>
      <c r="AC700" s="2"/>
      <c r="AD700" s="2"/>
      <c r="AE700" s="2"/>
      <c r="AF700" s="2"/>
      <c r="AG700" s="2"/>
      <c r="AH700" s="2"/>
      <c r="AI700" s="2"/>
      <c r="AJ700" s="2"/>
    </row>
    <row r="701" spans="1:36" ht="17.25" customHeight="1" x14ac:dyDescent="0.2">
      <c r="A701" s="26" t="s">
        <v>0</v>
      </c>
      <c r="B701" s="26" t="s">
        <v>103</v>
      </c>
      <c r="C701" s="3" t="s">
        <v>4182</v>
      </c>
      <c r="D701" s="26" t="s">
        <v>1636</v>
      </c>
      <c r="E701" s="26" t="s">
        <v>1318</v>
      </c>
      <c r="F701" s="2">
        <v>27</v>
      </c>
      <c r="G701" s="4" t="s">
        <v>34</v>
      </c>
      <c r="H701" s="2">
        <v>2010</v>
      </c>
      <c r="I701" s="2" t="s">
        <v>1346</v>
      </c>
      <c r="J701" s="2" t="s">
        <v>1320</v>
      </c>
      <c r="K701" s="2"/>
      <c r="L701" s="2"/>
      <c r="M701" s="2" t="s">
        <v>1132</v>
      </c>
      <c r="N701" s="2"/>
      <c r="O701" s="2"/>
      <c r="P701" s="2" t="s">
        <v>1843</v>
      </c>
      <c r="Q701" s="2" t="s">
        <v>1127</v>
      </c>
      <c r="R701" s="2"/>
      <c r="S701" s="2"/>
      <c r="T701" s="2"/>
      <c r="U701" s="2"/>
      <c r="V701" s="2"/>
      <c r="W701" s="2"/>
      <c r="X701" s="2"/>
      <c r="Y701" s="2"/>
      <c r="Z701" s="2"/>
      <c r="AA701" s="2"/>
      <c r="AB701" s="2"/>
      <c r="AC701" s="2"/>
      <c r="AD701" s="2"/>
      <c r="AE701" s="2"/>
      <c r="AF701" s="2"/>
      <c r="AG701" s="2"/>
      <c r="AH701" s="2"/>
      <c r="AI701" s="2"/>
      <c r="AJ701" s="2"/>
    </row>
    <row r="702" spans="1:36" ht="17.25" customHeight="1" x14ac:dyDescent="0.2">
      <c r="A702" s="26" t="s">
        <v>0</v>
      </c>
      <c r="B702" s="26" t="s">
        <v>33</v>
      </c>
      <c r="C702" s="3" t="s">
        <v>4182</v>
      </c>
      <c r="D702" s="26" t="s">
        <v>1636</v>
      </c>
      <c r="E702" s="26" t="s">
        <v>1318</v>
      </c>
      <c r="F702" s="2">
        <v>28</v>
      </c>
      <c r="G702" s="4" t="s">
        <v>46</v>
      </c>
      <c r="H702" s="2">
        <v>2011</v>
      </c>
      <c r="I702" s="2" t="s">
        <v>1347</v>
      </c>
      <c r="J702" s="2" t="s">
        <v>1320</v>
      </c>
      <c r="K702" s="2"/>
      <c r="L702" s="2"/>
      <c r="M702" s="2" t="s">
        <v>1132</v>
      </c>
      <c r="N702" s="2"/>
      <c r="O702" s="2"/>
      <c r="P702" s="2" t="s">
        <v>1843</v>
      </c>
      <c r="Q702" s="2" t="s">
        <v>1127</v>
      </c>
      <c r="R702" s="2"/>
      <c r="S702" s="2"/>
      <c r="T702" s="2"/>
      <c r="U702" s="2"/>
      <c r="V702" s="2"/>
      <c r="W702" s="2"/>
      <c r="X702" s="2"/>
      <c r="Y702" s="2"/>
      <c r="Z702" s="2"/>
      <c r="AA702" s="2"/>
      <c r="AB702" s="2"/>
      <c r="AC702" s="2"/>
      <c r="AD702" s="2"/>
      <c r="AE702" s="2"/>
      <c r="AF702" s="2"/>
      <c r="AG702" s="2"/>
      <c r="AH702" s="2"/>
      <c r="AI702" s="2"/>
      <c r="AJ702" s="2"/>
    </row>
    <row r="703" spans="1:36" ht="17.25" customHeight="1" x14ac:dyDescent="0.2">
      <c r="A703" s="26" t="s">
        <v>0</v>
      </c>
      <c r="B703" s="26" t="s">
        <v>27</v>
      </c>
      <c r="C703" s="3" t="s">
        <v>4182</v>
      </c>
      <c r="D703" s="26" t="s">
        <v>1636</v>
      </c>
      <c r="E703" s="26" t="s">
        <v>1318</v>
      </c>
      <c r="F703" s="2">
        <v>29</v>
      </c>
      <c r="G703" s="4" t="s">
        <v>61</v>
      </c>
      <c r="H703" s="2">
        <v>2012</v>
      </c>
      <c r="I703" s="2" t="s">
        <v>1348</v>
      </c>
      <c r="J703" s="2" t="s">
        <v>1320</v>
      </c>
      <c r="K703" s="2"/>
      <c r="L703" s="2"/>
      <c r="M703" s="2" t="s">
        <v>1132</v>
      </c>
      <c r="N703" s="2"/>
      <c r="O703" s="2"/>
      <c r="P703" s="2" t="s">
        <v>1843</v>
      </c>
      <c r="Q703" s="2" t="s">
        <v>1127</v>
      </c>
      <c r="R703" s="2"/>
      <c r="S703" s="2"/>
      <c r="T703" s="2"/>
      <c r="U703" s="2"/>
      <c r="V703" s="2"/>
      <c r="W703" s="2"/>
      <c r="X703" s="2"/>
      <c r="Y703" s="2"/>
      <c r="Z703" s="2"/>
      <c r="AA703" s="2"/>
      <c r="AB703" s="2"/>
      <c r="AC703" s="2"/>
      <c r="AD703" s="2"/>
      <c r="AE703" s="2"/>
      <c r="AF703" s="2"/>
      <c r="AG703" s="2"/>
      <c r="AH703" s="2"/>
      <c r="AI703" s="2"/>
      <c r="AJ703" s="2"/>
    </row>
    <row r="704" spans="1:36" ht="17.25" customHeight="1" x14ac:dyDescent="0.2">
      <c r="A704" s="26" t="s">
        <v>0</v>
      </c>
      <c r="B704" s="26" t="s">
        <v>54</v>
      </c>
      <c r="C704" s="3" t="s">
        <v>4182</v>
      </c>
      <c r="D704" s="26" t="s">
        <v>1636</v>
      </c>
      <c r="E704" s="26" t="s">
        <v>1318</v>
      </c>
      <c r="F704" s="2">
        <v>30</v>
      </c>
      <c r="G704" s="4" t="s">
        <v>86</v>
      </c>
      <c r="H704" s="2">
        <v>2013</v>
      </c>
      <c r="I704" s="2" t="s">
        <v>1349</v>
      </c>
      <c r="J704" s="2" t="s">
        <v>1320</v>
      </c>
      <c r="K704" s="2"/>
      <c r="L704" s="2"/>
      <c r="M704" s="2" t="s">
        <v>1132</v>
      </c>
      <c r="N704" s="2"/>
      <c r="O704" s="2"/>
      <c r="P704" s="2" t="s">
        <v>1843</v>
      </c>
      <c r="Q704" s="2" t="s">
        <v>1127</v>
      </c>
      <c r="R704" s="2"/>
      <c r="S704" s="2"/>
      <c r="T704" s="2"/>
      <c r="U704" s="2"/>
      <c r="V704" s="2"/>
      <c r="W704" s="2"/>
      <c r="X704" s="2"/>
      <c r="Y704" s="2"/>
      <c r="Z704" s="2"/>
      <c r="AA704" s="2"/>
      <c r="AB704" s="2"/>
      <c r="AC704" s="2"/>
      <c r="AD704" s="2"/>
      <c r="AE704" s="2"/>
      <c r="AF704" s="2"/>
      <c r="AG704" s="2"/>
      <c r="AH704" s="2"/>
      <c r="AI704" s="2"/>
      <c r="AJ704" s="2"/>
    </row>
    <row r="705" spans="1:36" ht="17.25" customHeight="1" x14ac:dyDescent="0.2">
      <c r="A705" s="26" t="s">
        <v>0</v>
      </c>
      <c r="B705" s="26" t="s">
        <v>57</v>
      </c>
      <c r="C705" s="3" t="s">
        <v>4182</v>
      </c>
      <c r="D705" s="26" t="s">
        <v>1636</v>
      </c>
      <c r="E705" s="26" t="s">
        <v>1318</v>
      </c>
      <c r="F705" s="2">
        <v>31</v>
      </c>
      <c r="G705" s="4" t="s">
        <v>22</v>
      </c>
      <c r="H705" s="2">
        <v>2014</v>
      </c>
      <c r="I705" s="2" t="s">
        <v>1350</v>
      </c>
      <c r="J705" s="2" t="s">
        <v>1320</v>
      </c>
      <c r="K705" s="2"/>
      <c r="L705" s="2"/>
      <c r="M705" s="2" t="s">
        <v>1132</v>
      </c>
      <c r="N705" s="2"/>
      <c r="O705" s="2"/>
      <c r="P705" s="2" t="s">
        <v>1843</v>
      </c>
      <c r="Q705" s="2" t="s">
        <v>1127</v>
      </c>
      <c r="R705" s="2"/>
      <c r="S705" s="2"/>
      <c r="T705" s="2"/>
      <c r="U705" s="2"/>
      <c r="V705" s="2"/>
      <c r="W705" s="2"/>
      <c r="X705" s="2"/>
      <c r="Y705" s="2"/>
      <c r="Z705" s="2"/>
      <c r="AA705" s="2"/>
      <c r="AB705" s="2"/>
      <c r="AC705" s="2"/>
      <c r="AD705" s="2"/>
      <c r="AE705" s="2"/>
      <c r="AF705" s="2"/>
      <c r="AG705" s="2"/>
      <c r="AH705" s="2"/>
      <c r="AI705" s="2"/>
      <c r="AJ705" s="2"/>
    </row>
    <row r="706" spans="1:36" ht="17.25" customHeight="1" x14ac:dyDescent="0.2">
      <c r="A706" s="26" t="s">
        <v>0</v>
      </c>
      <c r="B706" s="26" t="s">
        <v>18</v>
      </c>
      <c r="C706" s="3" t="s">
        <v>4182</v>
      </c>
      <c r="D706" s="26" t="s">
        <v>1636</v>
      </c>
      <c r="E706" s="26" t="s">
        <v>1318</v>
      </c>
      <c r="F706" s="2">
        <v>32</v>
      </c>
      <c r="G706" s="4" t="s">
        <v>28</v>
      </c>
      <c r="H706" s="2">
        <v>2015</v>
      </c>
      <c r="I706" s="2" t="s">
        <v>1351</v>
      </c>
      <c r="J706" s="2" t="s">
        <v>1320</v>
      </c>
      <c r="K706" s="2"/>
      <c r="L706" s="2"/>
      <c r="M706" s="2" t="s">
        <v>1132</v>
      </c>
      <c r="N706" s="2"/>
      <c r="O706" s="2"/>
      <c r="P706" s="2" t="s">
        <v>1843</v>
      </c>
      <c r="Q706" s="2" t="s">
        <v>1127</v>
      </c>
      <c r="R706" s="2"/>
      <c r="S706" s="2"/>
      <c r="T706" s="2"/>
      <c r="U706" s="2"/>
      <c r="V706" s="2"/>
      <c r="W706" s="2"/>
      <c r="X706" s="2"/>
      <c r="Y706" s="2"/>
      <c r="Z706" s="2"/>
      <c r="AA706" s="2"/>
      <c r="AB706" s="2"/>
      <c r="AC706" s="2"/>
      <c r="AD706" s="2"/>
      <c r="AE706" s="2"/>
      <c r="AF706" s="2"/>
      <c r="AG706" s="2"/>
      <c r="AH706" s="2"/>
      <c r="AI706" s="2"/>
      <c r="AJ706" s="2"/>
    </row>
    <row r="707" spans="1:36" ht="17.25" customHeight="1" x14ac:dyDescent="0.2">
      <c r="A707" s="26" t="s">
        <v>0</v>
      </c>
      <c r="B707" s="26" t="s">
        <v>75</v>
      </c>
      <c r="C707" s="3" t="s">
        <v>4182</v>
      </c>
      <c r="D707" s="26" t="s">
        <v>1636</v>
      </c>
      <c r="E707" s="26" t="s">
        <v>1318</v>
      </c>
      <c r="F707" s="2">
        <v>33</v>
      </c>
      <c r="G707" s="4" t="s">
        <v>76</v>
      </c>
      <c r="H707" s="2">
        <v>2016</v>
      </c>
      <c r="I707" s="2" t="s">
        <v>1352</v>
      </c>
      <c r="J707" s="2" t="s">
        <v>1320</v>
      </c>
      <c r="K707" s="2"/>
      <c r="L707" s="2"/>
      <c r="M707" s="2" t="s">
        <v>1132</v>
      </c>
      <c r="N707" s="2"/>
      <c r="O707" s="2"/>
      <c r="P707" s="2" t="s">
        <v>1843</v>
      </c>
      <c r="Q707" s="2" t="s">
        <v>1127</v>
      </c>
      <c r="R707" s="2"/>
      <c r="S707" s="2"/>
      <c r="T707" s="2"/>
      <c r="U707" s="2"/>
      <c r="V707" s="2"/>
      <c r="W707" s="2"/>
      <c r="X707" s="2"/>
      <c r="Y707" s="2"/>
      <c r="Z707" s="2"/>
      <c r="AA707" s="2"/>
      <c r="AB707" s="2"/>
      <c r="AC707" s="2"/>
      <c r="AD707" s="2"/>
      <c r="AE707" s="2"/>
      <c r="AF707" s="2"/>
      <c r="AG707" s="2"/>
      <c r="AH707" s="2"/>
      <c r="AI707" s="2"/>
      <c r="AJ707" s="2"/>
    </row>
    <row r="708" spans="1:36" ht="17.25" customHeight="1" x14ac:dyDescent="0.2">
      <c r="A708" s="27" t="s">
        <v>0</v>
      </c>
      <c r="B708" s="27" t="s">
        <v>147</v>
      </c>
      <c r="C708" s="3" t="s">
        <v>4182</v>
      </c>
      <c r="D708" s="27" t="s">
        <v>1410</v>
      </c>
      <c r="E708" s="27" t="s">
        <v>1410</v>
      </c>
      <c r="F708" s="2">
        <v>11</v>
      </c>
      <c r="G708" s="4" t="s">
        <v>104</v>
      </c>
      <c r="H708" s="2">
        <v>1994</v>
      </c>
      <c r="I708" s="2" t="s">
        <v>1411</v>
      </c>
      <c r="J708" s="2" t="s">
        <v>1412</v>
      </c>
      <c r="K708" s="29" t="s">
        <v>1413</v>
      </c>
      <c r="L708" s="2"/>
      <c r="M708" s="2" t="s">
        <v>1414</v>
      </c>
      <c r="N708" s="2"/>
      <c r="O708" s="2"/>
      <c r="P708" s="2" t="s">
        <v>1127</v>
      </c>
      <c r="Q708" s="2" t="s">
        <v>1127</v>
      </c>
      <c r="R708" s="2"/>
      <c r="S708" s="2"/>
      <c r="T708" s="2"/>
      <c r="U708" s="2"/>
      <c r="V708" s="2"/>
      <c r="W708" s="2"/>
      <c r="X708" s="2"/>
      <c r="Y708" s="2"/>
      <c r="Z708" s="2"/>
      <c r="AA708" s="2"/>
      <c r="AB708" s="2"/>
      <c r="AC708" s="2"/>
      <c r="AD708" s="2"/>
      <c r="AE708" s="2"/>
      <c r="AF708" s="2"/>
      <c r="AG708" s="2"/>
      <c r="AH708" s="2"/>
      <c r="AI708" s="2"/>
      <c r="AJ708" s="2"/>
    </row>
    <row r="709" spans="1:36" ht="17.25" customHeight="1" x14ac:dyDescent="0.2">
      <c r="A709" s="27" t="s">
        <v>0</v>
      </c>
      <c r="B709" s="27" t="s">
        <v>149</v>
      </c>
      <c r="C709" s="3" t="s">
        <v>4182</v>
      </c>
      <c r="D709" s="27" t="s">
        <v>1410</v>
      </c>
      <c r="E709" s="27" t="s">
        <v>1410</v>
      </c>
      <c r="F709" s="2">
        <v>12</v>
      </c>
      <c r="G709" s="4" t="s">
        <v>89</v>
      </c>
      <c r="H709" s="2">
        <v>1995</v>
      </c>
      <c r="I709" s="2" t="s">
        <v>1415</v>
      </c>
      <c r="J709" s="2" t="s">
        <v>1412</v>
      </c>
      <c r="K709" s="29" t="s">
        <v>1413</v>
      </c>
      <c r="L709" s="2"/>
      <c r="M709" s="2" t="s">
        <v>1414</v>
      </c>
      <c r="N709" s="2"/>
      <c r="O709" s="2"/>
      <c r="P709" s="2" t="s">
        <v>1127</v>
      </c>
      <c r="Q709" s="2" t="s">
        <v>1127</v>
      </c>
      <c r="R709" s="2"/>
      <c r="S709" s="2"/>
      <c r="T709" s="2"/>
      <c r="U709" s="2"/>
      <c r="V709" s="2"/>
      <c r="W709" s="2"/>
      <c r="X709" s="2"/>
      <c r="Y709" s="2"/>
      <c r="Z709" s="2"/>
      <c r="AA709" s="2"/>
      <c r="AB709" s="2"/>
      <c r="AC709" s="2"/>
      <c r="AD709" s="2"/>
      <c r="AE709" s="2"/>
      <c r="AF709" s="2"/>
      <c r="AG709" s="2"/>
      <c r="AH709" s="2"/>
      <c r="AI709" s="2"/>
      <c r="AJ709" s="2"/>
    </row>
    <row r="710" spans="1:36" ht="17.25" customHeight="1" x14ac:dyDescent="0.2">
      <c r="A710" s="27" t="s">
        <v>0</v>
      </c>
      <c r="B710" s="27" t="s">
        <v>151</v>
      </c>
      <c r="C710" s="3" t="s">
        <v>4182</v>
      </c>
      <c r="D710" s="27" t="s">
        <v>1410</v>
      </c>
      <c r="E710" s="27" t="s">
        <v>1410</v>
      </c>
      <c r="F710" s="2">
        <v>13</v>
      </c>
      <c r="G710" s="4" t="s">
        <v>107</v>
      </c>
      <c r="H710" s="2">
        <v>1996</v>
      </c>
      <c r="I710" s="2" t="s">
        <v>1416</v>
      </c>
      <c r="J710" s="2" t="s">
        <v>1412</v>
      </c>
      <c r="K710" s="29" t="s">
        <v>1413</v>
      </c>
      <c r="L710" s="2"/>
      <c r="M710" s="2" t="s">
        <v>1414</v>
      </c>
      <c r="N710" s="2"/>
      <c r="O710" s="2"/>
      <c r="P710" s="2" t="s">
        <v>1127</v>
      </c>
      <c r="Q710" s="2" t="s">
        <v>1127</v>
      </c>
      <c r="R710" s="2"/>
      <c r="S710" s="2"/>
      <c r="T710" s="2"/>
      <c r="U710" s="2"/>
      <c r="V710" s="2"/>
      <c r="W710" s="2"/>
      <c r="X710" s="2"/>
      <c r="Y710" s="2"/>
      <c r="Z710" s="2"/>
      <c r="AA710" s="2"/>
      <c r="AB710" s="2"/>
      <c r="AC710" s="2"/>
      <c r="AD710" s="2"/>
      <c r="AE710" s="2"/>
      <c r="AF710" s="2"/>
      <c r="AG710" s="2"/>
      <c r="AH710" s="2"/>
      <c r="AI710" s="2"/>
      <c r="AJ710" s="2"/>
    </row>
    <row r="711" spans="1:36" ht="17.25" customHeight="1" x14ac:dyDescent="0.2">
      <c r="A711" s="27" t="s">
        <v>0</v>
      </c>
      <c r="B711" s="27" t="s">
        <v>153</v>
      </c>
      <c r="C711" s="3" t="s">
        <v>4182</v>
      </c>
      <c r="D711" s="27" t="s">
        <v>1410</v>
      </c>
      <c r="E711" s="27" t="s">
        <v>1410</v>
      </c>
      <c r="F711" s="2">
        <v>14</v>
      </c>
      <c r="G711" s="4" t="s">
        <v>43</v>
      </c>
      <c r="H711" s="2">
        <v>1997</v>
      </c>
      <c r="I711" s="2" t="s">
        <v>1417</v>
      </c>
      <c r="J711" s="2" t="s">
        <v>1412</v>
      </c>
      <c r="K711" s="29" t="s">
        <v>1413</v>
      </c>
      <c r="L711" s="2"/>
      <c r="M711" s="2" t="s">
        <v>1414</v>
      </c>
      <c r="N711" s="2"/>
      <c r="O711" s="2"/>
      <c r="P711" s="2" t="s">
        <v>1127</v>
      </c>
      <c r="Q711" s="2" t="s">
        <v>1127</v>
      </c>
      <c r="R711" s="2"/>
      <c r="S711" s="2"/>
      <c r="T711" s="2"/>
      <c r="U711" s="2"/>
      <c r="V711" s="2"/>
      <c r="W711" s="2"/>
      <c r="X711" s="2"/>
      <c r="Y711" s="2"/>
      <c r="Z711" s="2"/>
      <c r="AA711" s="2"/>
      <c r="AB711" s="2"/>
      <c r="AC711" s="2"/>
      <c r="AD711" s="2"/>
      <c r="AE711" s="2"/>
      <c r="AF711" s="2"/>
      <c r="AG711" s="2"/>
      <c r="AH711" s="2"/>
      <c r="AI711" s="2"/>
      <c r="AJ711" s="2"/>
    </row>
    <row r="712" spans="1:36" ht="17.25" customHeight="1" x14ac:dyDescent="0.2">
      <c r="A712" s="27" t="s">
        <v>0</v>
      </c>
      <c r="B712" s="27" t="s">
        <v>155</v>
      </c>
      <c r="C712" s="3" t="s">
        <v>4182</v>
      </c>
      <c r="D712" s="27" t="s">
        <v>1410</v>
      </c>
      <c r="E712" s="27" t="s">
        <v>1410</v>
      </c>
      <c r="F712" s="2">
        <v>15</v>
      </c>
      <c r="G712" s="4" t="s">
        <v>19</v>
      </c>
      <c r="H712" s="2">
        <v>1998</v>
      </c>
      <c r="I712" s="2" t="s">
        <v>1418</v>
      </c>
      <c r="J712" s="2" t="s">
        <v>1412</v>
      </c>
      <c r="K712" s="29" t="s">
        <v>1413</v>
      </c>
      <c r="L712" s="2"/>
      <c r="M712" s="2" t="s">
        <v>1414</v>
      </c>
      <c r="N712" s="2"/>
      <c r="O712" s="2"/>
      <c r="P712" s="2" t="s">
        <v>1127</v>
      </c>
      <c r="Q712" s="2" t="s">
        <v>1127</v>
      </c>
      <c r="R712" s="2"/>
      <c r="S712" s="2"/>
      <c r="T712" s="2"/>
      <c r="U712" s="2"/>
      <c r="V712" s="2"/>
      <c r="W712" s="2"/>
      <c r="X712" s="2"/>
      <c r="Y712" s="2"/>
      <c r="Z712" s="2"/>
      <c r="AA712" s="2"/>
      <c r="AB712" s="2"/>
      <c r="AC712" s="2"/>
      <c r="AD712" s="2"/>
      <c r="AE712" s="2"/>
      <c r="AF712" s="2"/>
      <c r="AG712" s="2"/>
      <c r="AH712" s="2"/>
      <c r="AI712" s="2"/>
      <c r="AJ712" s="2"/>
    </row>
    <row r="713" spans="1:36" ht="17.25" customHeight="1" x14ac:dyDescent="0.2">
      <c r="A713" s="27" t="s">
        <v>0</v>
      </c>
      <c r="B713" s="27" t="s">
        <v>157</v>
      </c>
      <c r="C713" s="3" t="s">
        <v>4182</v>
      </c>
      <c r="D713" s="27" t="s">
        <v>1410</v>
      </c>
      <c r="E713" s="27" t="s">
        <v>1410</v>
      </c>
      <c r="F713" s="2">
        <v>16</v>
      </c>
      <c r="G713" s="4" t="s">
        <v>25</v>
      </c>
      <c r="H713" s="2">
        <v>1999</v>
      </c>
      <c r="I713" s="2" t="s">
        <v>1419</v>
      </c>
      <c r="J713" s="2" t="s">
        <v>1412</v>
      </c>
      <c r="K713" s="29" t="s">
        <v>1413</v>
      </c>
      <c r="L713" s="2"/>
      <c r="M713" s="2" t="s">
        <v>1414</v>
      </c>
      <c r="N713" s="2"/>
      <c r="O713" s="2"/>
      <c r="P713" s="2" t="s">
        <v>1127</v>
      </c>
      <c r="Q713" s="2" t="s">
        <v>1127</v>
      </c>
      <c r="R713" s="2"/>
      <c r="S713" s="2"/>
      <c r="T713" s="2"/>
      <c r="U713" s="2"/>
      <c r="V713" s="2"/>
      <c r="W713" s="2"/>
      <c r="X713" s="2"/>
      <c r="Y713" s="2"/>
      <c r="Z713" s="2"/>
      <c r="AA713" s="2"/>
      <c r="AB713" s="2"/>
      <c r="AC713" s="2"/>
      <c r="AD713" s="2"/>
      <c r="AE713" s="2"/>
      <c r="AF713" s="2"/>
      <c r="AG713" s="2"/>
      <c r="AH713" s="2"/>
      <c r="AI713" s="2"/>
      <c r="AJ713" s="2"/>
    </row>
    <row r="714" spans="1:36" ht="17.25" customHeight="1" x14ac:dyDescent="0.2">
      <c r="A714" s="27" t="s">
        <v>0</v>
      </c>
      <c r="B714" s="27" t="s">
        <v>159</v>
      </c>
      <c r="C714" s="3" t="s">
        <v>4182</v>
      </c>
      <c r="D714" s="27" t="s">
        <v>1410</v>
      </c>
      <c r="E714" s="27" t="s">
        <v>1410</v>
      </c>
      <c r="F714" s="2">
        <v>17</v>
      </c>
      <c r="G714" s="4" t="s">
        <v>73</v>
      </c>
      <c r="H714" s="2">
        <v>2000</v>
      </c>
      <c r="I714" s="2" t="s">
        <v>1420</v>
      </c>
      <c r="J714" s="2" t="s">
        <v>1412</v>
      </c>
      <c r="K714" s="29" t="s">
        <v>1413</v>
      </c>
      <c r="L714" s="2"/>
      <c r="M714" s="2" t="s">
        <v>1414</v>
      </c>
      <c r="N714" s="2"/>
      <c r="O714" s="2"/>
      <c r="P714" s="2" t="s">
        <v>1127</v>
      </c>
      <c r="Q714" s="2" t="s">
        <v>1127</v>
      </c>
      <c r="R714" s="2"/>
      <c r="S714" s="2"/>
      <c r="T714" s="2"/>
      <c r="U714" s="2"/>
      <c r="V714" s="2"/>
      <c r="W714" s="2"/>
      <c r="X714" s="2"/>
      <c r="Y714" s="2"/>
      <c r="Z714" s="2"/>
      <c r="AA714" s="2"/>
      <c r="AB714" s="2"/>
      <c r="AC714" s="2"/>
      <c r="AD714" s="2"/>
      <c r="AE714" s="2"/>
      <c r="AF714" s="2"/>
      <c r="AG714" s="2"/>
      <c r="AH714" s="2"/>
      <c r="AI714" s="2"/>
      <c r="AJ714" s="2"/>
    </row>
    <row r="715" spans="1:36" ht="17.25" customHeight="1" x14ac:dyDescent="0.2">
      <c r="A715" s="27" t="s">
        <v>0</v>
      </c>
      <c r="B715" s="27" t="s">
        <v>161</v>
      </c>
      <c r="C715" s="3" t="s">
        <v>4182</v>
      </c>
      <c r="D715" s="27" t="s">
        <v>1410</v>
      </c>
      <c r="E715" s="27" t="s">
        <v>1410</v>
      </c>
      <c r="F715" s="2">
        <v>18</v>
      </c>
      <c r="G715" s="4" t="s">
        <v>58</v>
      </c>
      <c r="H715" s="2">
        <v>2001</v>
      </c>
      <c r="I715" s="2" t="s">
        <v>1421</v>
      </c>
      <c r="J715" s="2" t="s">
        <v>1412</v>
      </c>
      <c r="K715" s="29" t="s">
        <v>1413</v>
      </c>
      <c r="L715" s="2"/>
      <c r="M715" s="2" t="s">
        <v>1414</v>
      </c>
      <c r="N715" s="2"/>
      <c r="O715" s="2"/>
      <c r="P715" s="2" t="s">
        <v>1127</v>
      </c>
      <c r="Q715" s="2" t="s">
        <v>1127</v>
      </c>
      <c r="R715" s="2"/>
      <c r="S715" s="2"/>
      <c r="T715" s="2"/>
      <c r="U715" s="2"/>
      <c r="V715" s="2"/>
      <c r="W715" s="2"/>
      <c r="X715" s="2"/>
      <c r="Y715" s="2"/>
      <c r="Z715" s="2"/>
      <c r="AA715" s="2"/>
      <c r="AB715" s="2"/>
      <c r="AC715" s="2"/>
      <c r="AD715" s="2"/>
      <c r="AE715" s="2"/>
      <c r="AF715" s="2"/>
      <c r="AG715" s="2"/>
      <c r="AH715" s="2"/>
      <c r="AI715" s="2"/>
      <c r="AJ715" s="2"/>
    </row>
    <row r="716" spans="1:36" ht="17.25" customHeight="1" x14ac:dyDescent="0.2">
      <c r="A716" s="27" t="s">
        <v>0</v>
      </c>
      <c r="B716" s="27" t="s">
        <v>163</v>
      </c>
      <c r="C716" s="3" t="s">
        <v>4182</v>
      </c>
      <c r="D716" s="27" t="s">
        <v>1410</v>
      </c>
      <c r="E716" s="27" t="s">
        <v>1410</v>
      </c>
      <c r="F716" s="2">
        <v>19</v>
      </c>
      <c r="G716" s="4" t="s">
        <v>4</v>
      </c>
      <c r="H716" s="2">
        <v>2002</v>
      </c>
      <c r="I716" s="2" t="s">
        <v>1422</v>
      </c>
      <c r="J716" s="2" t="s">
        <v>1412</v>
      </c>
      <c r="K716" s="29" t="s">
        <v>1413</v>
      </c>
      <c r="L716" s="2"/>
      <c r="M716" s="2" t="s">
        <v>1414</v>
      </c>
      <c r="N716" s="2"/>
      <c r="O716" s="2"/>
      <c r="P716" s="2" t="s">
        <v>1127</v>
      </c>
      <c r="Q716" s="2" t="s">
        <v>1127</v>
      </c>
      <c r="R716" s="2"/>
      <c r="S716" s="2"/>
      <c r="T716" s="2"/>
      <c r="U716" s="2"/>
      <c r="V716" s="2"/>
      <c r="W716" s="2"/>
      <c r="X716" s="2"/>
      <c r="Y716" s="2"/>
      <c r="Z716" s="2"/>
      <c r="AA716" s="2"/>
      <c r="AB716" s="2"/>
      <c r="AC716" s="2"/>
      <c r="AD716" s="2"/>
      <c r="AE716" s="2"/>
      <c r="AF716" s="2"/>
      <c r="AG716" s="2"/>
      <c r="AH716" s="2"/>
      <c r="AI716" s="2"/>
      <c r="AJ716" s="2"/>
    </row>
    <row r="717" spans="1:36" ht="17.25" customHeight="1" x14ac:dyDescent="0.2">
      <c r="A717" s="27" t="s">
        <v>0</v>
      </c>
      <c r="B717" s="27" t="s">
        <v>165</v>
      </c>
      <c r="C717" s="3" t="s">
        <v>4182</v>
      </c>
      <c r="D717" s="27" t="s">
        <v>1410</v>
      </c>
      <c r="E717" s="27" t="s">
        <v>1410</v>
      </c>
      <c r="F717" s="2">
        <v>20</v>
      </c>
      <c r="G717" s="4" t="s">
        <v>83</v>
      </c>
      <c r="H717" s="2">
        <v>2003</v>
      </c>
      <c r="I717" s="2" t="s">
        <v>1423</v>
      </c>
      <c r="J717" s="2" t="s">
        <v>1412</v>
      </c>
      <c r="K717" s="29" t="s">
        <v>1413</v>
      </c>
      <c r="L717" s="2"/>
      <c r="M717" s="2" t="s">
        <v>1414</v>
      </c>
      <c r="N717" s="2"/>
      <c r="O717" s="2"/>
      <c r="P717" s="2" t="s">
        <v>1127</v>
      </c>
      <c r="Q717" s="2" t="s">
        <v>1127</v>
      </c>
      <c r="R717" s="2"/>
      <c r="S717" s="2"/>
      <c r="T717" s="2"/>
      <c r="U717" s="2"/>
      <c r="V717" s="2"/>
      <c r="W717" s="2"/>
      <c r="X717" s="2"/>
      <c r="Y717" s="2"/>
      <c r="Z717" s="2"/>
      <c r="AA717" s="2"/>
      <c r="AB717" s="2"/>
      <c r="AC717" s="2"/>
      <c r="AD717" s="2"/>
      <c r="AE717" s="2"/>
      <c r="AF717" s="2"/>
      <c r="AG717" s="2"/>
      <c r="AH717" s="2"/>
      <c r="AI717" s="2"/>
      <c r="AJ717" s="2"/>
    </row>
    <row r="718" spans="1:36" ht="17.25" customHeight="1" x14ac:dyDescent="0.2">
      <c r="A718" s="27" t="s">
        <v>0</v>
      </c>
      <c r="B718" s="27" t="s">
        <v>167</v>
      </c>
      <c r="C718" s="3" t="s">
        <v>4182</v>
      </c>
      <c r="D718" s="27" t="s">
        <v>1410</v>
      </c>
      <c r="E718" s="27" t="s">
        <v>1410</v>
      </c>
      <c r="F718" s="2">
        <v>21</v>
      </c>
      <c r="G718" s="4" t="s">
        <v>64</v>
      </c>
      <c r="H718" s="2">
        <v>2004</v>
      </c>
      <c r="I718" s="2" t="s">
        <v>1424</v>
      </c>
      <c r="J718" s="2" t="s">
        <v>1412</v>
      </c>
      <c r="K718" s="29" t="s">
        <v>1413</v>
      </c>
      <c r="L718" s="2"/>
      <c r="M718" s="2" t="s">
        <v>1414</v>
      </c>
      <c r="N718" s="2"/>
      <c r="O718" s="2"/>
      <c r="P718" s="2" t="s">
        <v>1127</v>
      </c>
      <c r="Q718" s="2" t="s">
        <v>1127</v>
      </c>
      <c r="R718" s="2"/>
      <c r="S718" s="2"/>
      <c r="T718" s="2"/>
      <c r="U718" s="2"/>
      <c r="V718" s="2"/>
      <c r="W718" s="2"/>
      <c r="X718" s="2"/>
      <c r="Y718" s="2"/>
      <c r="Z718" s="2"/>
      <c r="AA718" s="2"/>
      <c r="AB718" s="2"/>
      <c r="AC718" s="2"/>
      <c r="AD718" s="2"/>
      <c r="AE718" s="2"/>
      <c r="AF718" s="2"/>
      <c r="AG718" s="2"/>
      <c r="AH718" s="2"/>
      <c r="AI718" s="2"/>
      <c r="AJ718" s="2"/>
    </row>
    <row r="719" spans="1:36" ht="17.25" customHeight="1" x14ac:dyDescent="0.2">
      <c r="A719" s="27" t="s">
        <v>0</v>
      </c>
      <c r="B719" s="27" t="s">
        <v>169</v>
      </c>
      <c r="C719" s="3" t="s">
        <v>4182</v>
      </c>
      <c r="D719" s="27" t="s">
        <v>1410</v>
      </c>
      <c r="E719" s="27" t="s">
        <v>1410</v>
      </c>
      <c r="F719" s="2">
        <v>22</v>
      </c>
      <c r="G719" s="4" t="s">
        <v>92</v>
      </c>
      <c r="H719" s="2">
        <v>2005</v>
      </c>
      <c r="I719" s="2" t="s">
        <v>1425</v>
      </c>
      <c r="J719" s="2" t="s">
        <v>1412</v>
      </c>
      <c r="K719" s="29" t="s">
        <v>1413</v>
      </c>
      <c r="L719" s="2"/>
      <c r="M719" s="2" t="s">
        <v>1414</v>
      </c>
      <c r="N719" s="2"/>
      <c r="O719" s="2"/>
      <c r="P719" s="2" t="s">
        <v>1127</v>
      </c>
      <c r="Q719" s="2" t="s">
        <v>1127</v>
      </c>
      <c r="R719" s="2"/>
      <c r="S719" s="2"/>
      <c r="T719" s="2"/>
      <c r="U719" s="2"/>
      <c r="V719" s="2"/>
      <c r="W719" s="2"/>
      <c r="X719" s="2"/>
      <c r="Y719" s="2"/>
      <c r="Z719" s="2"/>
      <c r="AA719" s="2"/>
      <c r="AB719" s="2"/>
      <c r="AC719" s="2"/>
      <c r="AD719" s="2"/>
      <c r="AE719" s="2"/>
      <c r="AF719" s="2"/>
      <c r="AG719" s="2"/>
      <c r="AH719" s="2"/>
      <c r="AI719" s="2"/>
      <c r="AJ719" s="2"/>
    </row>
    <row r="720" spans="1:36" ht="17.25" customHeight="1" x14ac:dyDescent="0.2">
      <c r="A720" s="27" t="s">
        <v>0</v>
      </c>
      <c r="B720" s="27" t="s">
        <v>171</v>
      </c>
      <c r="C720" s="3" t="s">
        <v>4182</v>
      </c>
      <c r="D720" s="27" t="s">
        <v>1410</v>
      </c>
      <c r="E720" s="27" t="s">
        <v>1410</v>
      </c>
      <c r="F720" s="2">
        <v>23</v>
      </c>
      <c r="G720" s="4" t="s">
        <v>52</v>
      </c>
      <c r="H720" s="2">
        <v>2006</v>
      </c>
      <c r="I720" s="2" t="s">
        <v>1426</v>
      </c>
      <c r="J720" s="2" t="s">
        <v>1412</v>
      </c>
      <c r="K720" s="29" t="s">
        <v>1413</v>
      </c>
      <c r="L720" s="2"/>
      <c r="M720" s="2" t="s">
        <v>1414</v>
      </c>
      <c r="N720" s="2"/>
      <c r="O720" s="2"/>
      <c r="P720" s="2" t="s">
        <v>1127</v>
      </c>
      <c r="Q720" s="2" t="s">
        <v>1127</v>
      </c>
      <c r="R720" s="2"/>
      <c r="S720" s="2"/>
      <c r="T720" s="2"/>
      <c r="U720" s="2"/>
      <c r="V720" s="2"/>
      <c r="W720" s="2"/>
      <c r="X720" s="2"/>
      <c r="Y720" s="2"/>
      <c r="Z720" s="2"/>
      <c r="AA720" s="2"/>
      <c r="AB720" s="2"/>
      <c r="AC720" s="2"/>
      <c r="AD720" s="2"/>
      <c r="AE720" s="2"/>
      <c r="AF720" s="2"/>
      <c r="AG720" s="2"/>
      <c r="AH720" s="2"/>
      <c r="AI720" s="2"/>
      <c r="AJ720" s="2"/>
    </row>
    <row r="721" spans="1:36" ht="17.25" customHeight="1" x14ac:dyDescent="0.2">
      <c r="A721" s="27" t="s">
        <v>0</v>
      </c>
      <c r="B721" s="27" t="s">
        <v>173</v>
      </c>
      <c r="C721" s="3" t="s">
        <v>4182</v>
      </c>
      <c r="D721" s="27" t="s">
        <v>1410</v>
      </c>
      <c r="E721" s="27" t="s">
        <v>1410</v>
      </c>
      <c r="F721" s="2">
        <v>24</v>
      </c>
      <c r="G721" s="4" t="s">
        <v>95</v>
      </c>
      <c r="H721" s="2">
        <v>2007</v>
      </c>
      <c r="I721" s="2" t="s">
        <v>1427</v>
      </c>
      <c r="J721" s="2" t="s">
        <v>1412</v>
      </c>
      <c r="K721" s="29" t="s">
        <v>1413</v>
      </c>
      <c r="L721" s="2"/>
      <c r="M721" s="2" t="s">
        <v>1414</v>
      </c>
      <c r="N721" s="2"/>
      <c r="O721" s="2"/>
      <c r="P721" s="2" t="s">
        <v>1127</v>
      </c>
      <c r="Q721" s="2" t="s">
        <v>1127</v>
      </c>
      <c r="R721" s="2"/>
      <c r="S721" s="2"/>
      <c r="T721" s="2"/>
      <c r="U721" s="2"/>
      <c r="V721" s="2"/>
      <c r="W721" s="2"/>
      <c r="X721" s="2"/>
      <c r="Y721" s="2"/>
      <c r="Z721" s="2"/>
      <c r="AA721" s="2"/>
      <c r="AB721" s="2"/>
      <c r="AC721" s="2"/>
      <c r="AD721" s="2"/>
      <c r="AE721" s="2"/>
      <c r="AF721" s="2"/>
      <c r="AG721" s="2"/>
      <c r="AH721" s="2"/>
      <c r="AI721" s="2"/>
      <c r="AJ721" s="2"/>
    </row>
    <row r="722" spans="1:36" ht="17.25" customHeight="1" x14ac:dyDescent="0.2">
      <c r="A722" s="27" t="s">
        <v>0</v>
      </c>
      <c r="B722" s="27" t="s">
        <v>175</v>
      </c>
      <c r="C722" s="3" t="s">
        <v>4182</v>
      </c>
      <c r="D722" s="27" t="s">
        <v>1410</v>
      </c>
      <c r="E722" s="27" t="s">
        <v>1410</v>
      </c>
      <c r="F722" s="2">
        <v>25</v>
      </c>
      <c r="G722" s="4" t="s">
        <v>70</v>
      </c>
      <c r="H722" s="2">
        <v>2008</v>
      </c>
      <c r="I722" s="2" t="s">
        <v>1428</v>
      </c>
      <c r="J722" s="2" t="s">
        <v>1412</v>
      </c>
      <c r="K722" s="29" t="s">
        <v>1413</v>
      </c>
      <c r="L722" s="2"/>
      <c r="M722" s="2" t="s">
        <v>1414</v>
      </c>
      <c r="N722" s="2"/>
      <c r="O722" s="2"/>
      <c r="P722" s="2" t="s">
        <v>1127</v>
      </c>
      <c r="Q722" s="2" t="s">
        <v>1127</v>
      </c>
      <c r="R722" s="2"/>
      <c r="S722" s="2"/>
      <c r="T722" s="2"/>
      <c r="U722" s="2"/>
      <c r="V722" s="2"/>
      <c r="W722" s="2"/>
      <c r="X722" s="2"/>
      <c r="Y722" s="2"/>
      <c r="Z722" s="2"/>
      <c r="AA722" s="2"/>
      <c r="AB722" s="2"/>
      <c r="AC722" s="2"/>
      <c r="AD722" s="2"/>
      <c r="AE722" s="2"/>
      <c r="AF722" s="2"/>
      <c r="AG722" s="2"/>
      <c r="AH722" s="2"/>
      <c r="AI722" s="2"/>
      <c r="AJ722" s="2"/>
    </row>
    <row r="723" spans="1:36" ht="17.25" customHeight="1" x14ac:dyDescent="0.2">
      <c r="A723" s="27" t="s">
        <v>0</v>
      </c>
      <c r="B723" s="27" t="s">
        <v>177</v>
      </c>
      <c r="C723" s="3" t="s">
        <v>4182</v>
      </c>
      <c r="D723" s="27" t="s">
        <v>1410</v>
      </c>
      <c r="E723" s="27" t="s">
        <v>1410</v>
      </c>
      <c r="F723" s="2">
        <v>26</v>
      </c>
      <c r="G723" s="4" t="s">
        <v>16</v>
      </c>
      <c r="H723" s="2">
        <v>2009</v>
      </c>
      <c r="I723" s="2" t="s">
        <v>1429</v>
      </c>
      <c r="J723" s="2" t="s">
        <v>1412</v>
      </c>
      <c r="K723" s="29" t="s">
        <v>1413</v>
      </c>
      <c r="L723" s="2"/>
      <c r="M723" s="2" t="s">
        <v>1414</v>
      </c>
      <c r="N723" s="2"/>
      <c r="O723" s="2"/>
      <c r="P723" s="2" t="s">
        <v>1127</v>
      </c>
      <c r="Q723" s="2" t="s">
        <v>1127</v>
      </c>
      <c r="R723" s="2"/>
      <c r="S723" s="2"/>
      <c r="T723" s="2"/>
      <c r="U723" s="2"/>
      <c r="V723" s="2"/>
      <c r="W723" s="2"/>
      <c r="X723" s="2"/>
      <c r="Y723" s="2"/>
      <c r="Z723" s="2"/>
      <c r="AA723" s="2"/>
      <c r="AB723" s="2"/>
      <c r="AC723" s="2"/>
      <c r="AD723" s="2"/>
      <c r="AE723" s="2"/>
      <c r="AF723" s="2"/>
      <c r="AG723" s="2"/>
      <c r="AH723" s="2"/>
      <c r="AI723" s="2"/>
      <c r="AJ723" s="2"/>
    </row>
    <row r="724" spans="1:36" ht="17.25" customHeight="1" x14ac:dyDescent="0.2">
      <c r="A724" s="27" t="s">
        <v>0</v>
      </c>
      <c r="B724" s="27" t="s">
        <v>179</v>
      </c>
      <c r="C724" s="3" t="s">
        <v>4182</v>
      </c>
      <c r="D724" s="27" t="s">
        <v>1410</v>
      </c>
      <c r="E724" s="27" t="s">
        <v>1410</v>
      </c>
      <c r="F724" s="2">
        <v>27</v>
      </c>
      <c r="G724" s="4" t="s">
        <v>34</v>
      </c>
      <c r="H724" s="2">
        <v>2010</v>
      </c>
      <c r="I724" s="2" t="s">
        <v>1430</v>
      </c>
      <c r="J724" s="2" t="s">
        <v>1412</v>
      </c>
      <c r="K724" s="29" t="s">
        <v>1413</v>
      </c>
      <c r="L724" s="2"/>
      <c r="M724" s="2" t="s">
        <v>1414</v>
      </c>
      <c r="N724" s="2"/>
      <c r="O724" s="2"/>
      <c r="P724" s="2" t="s">
        <v>1127</v>
      </c>
      <c r="Q724" s="2" t="s">
        <v>1127</v>
      </c>
      <c r="R724" s="2"/>
      <c r="S724" s="2"/>
      <c r="T724" s="2"/>
      <c r="U724" s="2"/>
      <c r="V724" s="2"/>
      <c r="W724" s="2"/>
      <c r="X724" s="2"/>
      <c r="Y724" s="2"/>
      <c r="Z724" s="2"/>
      <c r="AA724" s="2"/>
      <c r="AB724" s="2"/>
      <c r="AC724" s="2"/>
      <c r="AD724" s="2"/>
      <c r="AE724" s="2"/>
      <c r="AF724" s="2"/>
      <c r="AG724" s="2"/>
      <c r="AH724" s="2"/>
      <c r="AI724" s="2"/>
      <c r="AJ724" s="2"/>
    </row>
    <row r="725" spans="1:36" ht="17.25" customHeight="1" x14ac:dyDescent="0.2">
      <c r="A725" s="27" t="s">
        <v>0</v>
      </c>
      <c r="B725" s="27" t="s">
        <v>181</v>
      </c>
      <c r="C725" s="3" t="s">
        <v>4182</v>
      </c>
      <c r="D725" s="27" t="s">
        <v>1410</v>
      </c>
      <c r="E725" s="27" t="s">
        <v>1410</v>
      </c>
      <c r="F725" s="2">
        <v>28</v>
      </c>
      <c r="G725" s="4" t="s">
        <v>46</v>
      </c>
      <c r="H725" s="2">
        <v>2011</v>
      </c>
      <c r="I725" s="2" t="s">
        <v>1431</v>
      </c>
      <c r="J725" s="2" t="s">
        <v>1412</v>
      </c>
      <c r="K725" s="29" t="s">
        <v>1413</v>
      </c>
      <c r="L725" s="2"/>
      <c r="M725" s="2" t="s">
        <v>1414</v>
      </c>
      <c r="N725" s="2"/>
      <c r="O725" s="2"/>
      <c r="P725" s="2" t="s">
        <v>1127</v>
      </c>
      <c r="Q725" s="2" t="s">
        <v>1127</v>
      </c>
      <c r="R725" s="2"/>
      <c r="S725" s="2"/>
      <c r="T725" s="2"/>
      <c r="U725" s="2"/>
      <c r="V725" s="2"/>
      <c r="W725" s="2"/>
      <c r="X725" s="2"/>
      <c r="Y725" s="2"/>
      <c r="Z725" s="2"/>
      <c r="AA725" s="2"/>
      <c r="AB725" s="2"/>
      <c r="AC725" s="2"/>
      <c r="AD725" s="2"/>
      <c r="AE725" s="2"/>
      <c r="AF725" s="2"/>
      <c r="AG725" s="2"/>
      <c r="AH725" s="2"/>
      <c r="AI725" s="2"/>
      <c r="AJ725" s="2"/>
    </row>
    <row r="726" spans="1:36" ht="17.25" customHeight="1" x14ac:dyDescent="0.2">
      <c r="A726" s="27" t="s">
        <v>0</v>
      </c>
      <c r="B726" s="27" t="s">
        <v>183</v>
      </c>
      <c r="C726" s="3" t="s">
        <v>4182</v>
      </c>
      <c r="D726" s="27" t="s">
        <v>1410</v>
      </c>
      <c r="E726" s="27" t="s">
        <v>1410</v>
      </c>
      <c r="F726" s="2">
        <v>29</v>
      </c>
      <c r="G726" s="4" t="s">
        <v>61</v>
      </c>
      <c r="H726" s="2">
        <v>2012</v>
      </c>
      <c r="I726" s="2" t="s">
        <v>1432</v>
      </c>
      <c r="J726" s="2" t="s">
        <v>1412</v>
      </c>
      <c r="K726" s="29" t="s">
        <v>1413</v>
      </c>
      <c r="L726" s="2"/>
      <c r="M726" s="2" t="s">
        <v>1414</v>
      </c>
      <c r="N726" s="2"/>
      <c r="O726" s="2"/>
      <c r="P726" s="2" t="s">
        <v>1127</v>
      </c>
      <c r="Q726" s="2" t="s">
        <v>1127</v>
      </c>
      <c r="R726" s="2"/>
      <c r="S726" s="2"/>
      <c r="T726" s="2"/>
      <c r="U726" s="2"/>
      <c r="V726" s="2"/>
      <c r="W726" s="2"/>
      <c r="X726" s="2"/>
      <c r="Y726" s="2"/>
      <c r="Z726" s="2"/>
      <c r="AA726" s="2"/>
      <c r="AB726" s="2"/>
      <c r="AC726" s="2"/>
      <c r="AD726" s="2"/>
      <c r="AE726" s="2"/>
      <c r="AF726" s="2"/>
      <c r="AG726" s="2"/>
      <c r="AH726" s="2"/>
      <c r="AI726" s="2"/>
      <c r="AJ726" s="2"/>
    </row>
    <row r="727" spans="1:36" ht="17.25" customHeight="1" x14ac:dyDescent="0.2">
      <c r="A727" s="27" t="s">
        <v>0</v>
      </c>
      <c r="B727" s="27" t="s">
        <v>185</v>
      </c>
      <c r="C727" s="3" t="s">
        <v>4182</v>
      </c>
      <c r="D727" s="27" t="s">
        <v>1410</v>
      </c>
      <c r="E727" s="27" t="s">
        <v>1410</v>
      </c>
      <c r="F727" s="2">
        <v>30</v>
      </c>
      <c r="G727" s="4" t="s">
        <v>86</v>
      </c>
      <c r="H727" s="2">
        <v>2013</v>
      </c>
      <c r="I727" s="2" t="s">
        <v>1433</v>
      </c>
      <c r="J727" s="2" t="s">
        <v>1412</v>
      </c>
      <c r="K727" s="29" t="s">
        <v>1413</v>
      </c>
      <c r="L727" s="2"/>
      <c r="M727" s="2" t="s">
        <v>1414</v>
      </c>
      <c r="N727" s="2"/>
      <c r="O727" s="2"/>
      <c r="P727" s="2" t="s">
        <v>1127</v>
      </c>
      <c r="Q727" s="2" t="s">
        <v>1127</v>
      </c>
      <c r="R727" s="2"/>
      <c r="S727" s="2"/>
      <c r="T727" s="2"/>
      <c r="U727" s="2"/>
      <c r="V727" s="2"/>
      <c r="W727" s="2"/>
      <c r="X727" s="2"/>
      <c r="Y727" s="2"/>
      <c r="Z727" s="2"/>
      <c r="AA727" s="2"/>
      <c r="AB727" s="2"/>
      <c r="AC727" s="2"/>
      <c r="AD727" s="2"/>
      <c r="AE727" s="2"/>
      <c r="AF727" s="2"/>
      <c r="AG727" s="2"/>
      <c r="AH727" s="2"/>
      <c r="AI727" s="2"/>
      <c r="AJ727" s="2"/>
    </row>
    <row r="728" spans="1:36" ht="17.25" customHeight="1" x14ac:dyDescent="0.2">
      <c r="A728" s="27" t="s">
        <v>0</v>
      </c>
      <c r="B728" s="27" t="s">
        <v>187</v>
      </c>
      <c r="C728" s="3" t="s">
        <v>4182</v>
      </c>
      <c r="D728" s="27" t="s">
        <v>1410</v>
      </c>
      <c r="E728" s="27" t="s">
        <v>1410</v>
      </c>
      <c r="F728" s="2">
        <v>31</v>
      </c>
      <c r="G728" s="4" t="s">
        <v>22</v>
      </c>
      <c r="H728" s="2">
        <v>2014</v>
      </c>
      <c r="I728" s="2" t="s">
        <v>1434</v>
      </c>
      <c r="J728" s="2" t="s">
        <v>1412</v>
      </c>
      <c r="K728" s="29" t="s">
        <v>1413</v>
      </c>
      <c r="L728" s="2"/>
      <c r="M728" s="2" t="s">
        <v>1414</v>
      </c>
      <c r="N728" s="2"/>
      <c r="O728" s="2"/>
      <c r="P728" s="2" t="s">
        <v>1127</v>
      </c>
      <c r="Q728" s="2" t="s">
        <v>1127</v>
      </c>
      <c r="R728" s="2"/>
      <c r="S728" s="2"/>
      <c r="T728" s="2"/>
      <c r="U728" s="2"/>
      <c r="V728" s="2"/>
      <c r="W728" s="2"/>
      <c r="X728" s="2"/>
      <c r="Y728" s="2"/>
      <c r="Z728" s="2"/>
      <c r="AA728" s="2"/>
      <c r="AB728" s="2"/>
      <c r="AC728" s="2"/>
      <c r="AD728" s="2"/>
      <c r="AE728" s="2"/>
      <c r="AF728" s="2"/>
      <c r="AG728" s="2"/>
      <c r="AH728" s="2"/>
      <c r="AI728" s="2"/>
      <c r="AJ728" s="2"/>
    </row>
    <row r="729" spans="1:36" ht="17.25" customHeight="1" x14ac:dyDescent="0.2">
      <c r="A729" s="27" t="s">
        <v>0</v>
      </c>
      <c r="B729" s="27" t="s">
        <v>189</v>
      </c>
      <c r="C729" s="3" t="s">
        <v>4182</v>
      </c>
      <c r="D729" s="27" t="s">
        <v>1410</v>
      </c>
      <c r="E729" s="27" t="s">
        <v>1410</v>
      </c>
      <c r="F729" s="2">
        <v>32</v>
      </c>
      <c r="G729" s="4" t="s">
        <v>28</v>
      </c>
      <c r="H729" s="2">
        <v>2015</v>
      </c>
      <c r="I729" s="2" t="s">
        <v>1435</v>
      </c>
      <c r="J729" s="2" t="s">
        <v>1412</v>
      </c>
      <c r="K729" s="29" t="s">
        <v>1413</v>
      </c>
      <c r="L729" s="2"/>
      <c r="M729" s="2" t="s">
        <v>1414</v>
      </c>
      <c r="N729" s="2"/>
      <c r="O729" s="2"/>
      <c r="P729" s="2" t="s">
        <v>1127</v>
      </c>
      <c r="Q729" s="2" t="s">
        <v>1127</v>
      </c>
      <c r="R729" s="2"/>
      <c r="S729" s="2"/>
      <c r="T729" s="2"/>
      <c r="U729" s="2"/>
      <c r="V729" s="2"/>
      <c r="W729" s="2"/>
      <c r="X729" s="2"/>
      <c r="Y729" s="2"/>
      <c r="Z729" s="2"/>
      <c r="AA729" s="2"/>
      <c r="AB729" s="2"/>
      <c r="AC729" s="2"/>
      <c r="AD729" s="2"/>
      <c r="AE729" s="2"/>
      <c r="AF729" s="2"/>
      <c r="AG729" s="2"/>
      <c r="AH729" s="2"/>
      <c r="AI729" s="2"/>
      <c r="AJ729" s="2"/>
    </row>
    <row r="730" spans="1:36" ht="16.5" customHeight="1" x14ac:dyDescent="0.2">
      <c r="A730" s="3" t="s">
        <v>0</v>
      </c>
      <c r="B730" s="4" t="s">
        <v>1436</v>
      </c>
      <c r="C730" s="3" t="s">
        <v>4182</v>
      </c>
      <c r="D730" s="26" t="s">
        <v>1626</v>
      </c>
      <c r="E730" s="26" t="s">
        <v>1437</v>
      </c>
      <c r="F730" s="4">
        <v>1</v>
      </c>
      <c r="G730" s="4" t="str">
        <f t="shared" ref="G730:G755" si="5">LEFT(B730,1)</f>
        <v>a</v>
      </c>
      <c r="H730" s="4">
        <v>1984</v>
      </c>
      <c r="I730" s="30" t="s">
        <v>1438</v>
      </c>
      <c r="J730" s="4" t="s">
        <v>1439</v>
      </c>
      <c r="M730" s="4" t="s">
        <v>8</v>
      </c>
      <c r="N730" s="2"/>
      <c r="O730" s="2"/>
      <c r="P730" s="4" t="s">
        <v>1127</v>
      </c>
      <c r="Q730" s="2" t="s">
        <v>1127</v>
      </c>
    </row>
    <row r="731" spans="1:36" ht="16.5" customHeight="1" x14ac:dyDescent="0.2">
      <c r="A731" s="3" t="s">
        <v>0</v>
      </c>
      <c r="B731" s="4" t="s">
        <v>1440</v>
      </c>
      <c r="C731" s="3" t="s">
        <v>4182</v>
      </c>
      <c r="D731" s="26" t="s">
        <v>1626</v>
      </c>
      <c r="E731" s="26" t="s">
        <v>1437</v>
      </c>
      <c r="F731" s="4">
        <v>2</v>
      </c>
      <c r="G731" s="4" t="str">
        <f t="shared" si="5"/>
        <v>b</v>
      </c>
      <c r="H731" s="4">
        <v>1985</v>
      </c>
      <c r="I731" s="4" t="str">
        <f>"isei88_"  &amp; RIGHT(H731,2)</f>
        <v>isei88_85</v>
      </c>
      <c r="J731" s="4" t="s">
        <v>1439</v>
      </c>
      <c r="K731" s="4"/>
      <c r="L731" s="2"/>
      <c r="M731" s="4" t="s">
        <v>8</v>
      </c>
      <c r="N731" s="2"/>
      <c r="O731" s="2"/>
      <c r="P731" s="4" t="s">
        <v>1127</v>
      </c>
      <c r="Q731" s="2" t="s">
        <v>1127</v>
      </c>
    </row>
    <row r="732" spans="1:36" ht="16.5" customHeight="1" x14ac:dyDescent="0.2">
      <c r="A732" s="3" t="s">
        <v>0</v>
      </c>
      <c r="B732" s="4" t="s">
        <v>1441</v>
      </c>
      <c r="C732" s="3" t="s">
        <v>4182</v>
      </c>
      <c r="D732" s="26" t="s">
        <v>1626</v>
      </c>
      <c r="E732" s="26" t="s">
        <v>1437</v>
      </c>
      <c r="F732" s="4">
        <v>3</v>
      </c>
      <c r="G732" s="4" t="str">
        <f t="shared" si="5"/>
        <v>c</v>
      </c>
      <c r="H732" s="4">
        <v>1986</v>
      </c>
      <c r="I732" s="4" t="str">
        <f t="shared" ref="I732:I763" si="6">"isei88_"  &amp; RIGHT(H732,2)</f>
        <v>isei88_86</v>
      </c>
      <c r="J732" s="4" t="s">
        <v>1439</v>
      </c>
      <c r="K732" s="4"/>
      <c r="L732" s="2"/>
      <c r="M732" s="4" t="s">
        <v>8</v>
      </c>
      <c r="N732" s="2"/>
      <c r="O732" s="2"/>
      <c r="P732" s="4" t="s">
        <v>1127</v>
      </c>
      <c r="Q732" s="2" t="s">
        <v>1127</v>
      </c>
    </row>
    <row r="733" spans="1:36" ht="16.5" customHeight="1" x14ac:dyDescent="0.2">
      <c r="A733" s="3" t="s">
        <v>0</v>
      </c>
      <c r="B733" s="4" t="s">
        <v>1442</v>
      </c>
      <c r="C733" s="3" t="s">
        <v>4182</v>
      </c>
      <c r="D733" s="26" t="s">
        <v>1626</v>
      </c>
      <c r="E733" s="26" t="s">
        <v>1437</v>
      </c>
      <c r="F733" s="4">
        <v>4</v>
      </c>
      <c r="G733" s="4" t="str">
        <f t="shared" si="5"/>
        <v>d</v>
      </c>
      <c r="H733" s="4">
        <v>1987</v>
      </c>
      <c r="I733" s="4" t="str">
        <f t="shared" si="6"/>
        <v>isei88_87</v>
      </c>
      <c r="J733" s="4" t="s">
        <v>1439</v>
      </c>
      <c r="K733" s="4"/>
      <c r="L733" s="2"/>
      <c r="M733" s="4" t="s">
        <v>8</v>
      </c>
      <c r="N733" s="2"/>
      <c r="O733" s="2"/>
      <c r="P733" s="4" t="s">
        <v>1127</v>
      </c>
      <c r="Q733" s="2" t="s">
        <v>1127</v>
      </c>
    </row>
    <row r="734" spans="1:36" ht="16.5" customHeight="1" x14ac:dyDescent="0.2">
      <c r="A734" s="3" t="s">
        <v>0</v>
      </c>
      <c r="B734" s="4" t="s">
        <v>1443</v>
      </c>
      <c r="C734" s="3" t="s">
        <v>4182</v>
      </c>
      <c r="D734" s="26" t="s">
        <v>1626</v>
      </c>
      <c r="E734" s="26" t="s">
        <v>1437</v>
      </c>
      <c r="F734" s="4">
        <v>5</v>
      </c>
      <c r="G734" s="4" t="str">
        <f t="shared" si="5"/>
        <v>e</v>
      </c>
      <c r="H734" s="4">
        <v>1988</v>
      </c>
      <c r="I734" s="4" t="str">
        <f t="shared" si="6"/>
        <v>isei88_88</v>
      </c>
      <c r="J734" s="4" t="s">
        <v>1439</v>
      </c>
      <c r="K734" s="4"/>
      <c r="L734" s="2"/>
      <c r="M734" s="4" t="s">
        <v>8</v>
      </c>
      <c r="N734" s="2"/>
      <c r="O734" s="2"/>
      <c r="P734" s="4" t="s">
        <v>1127</v>
      </c>
      <c r="Q734" s="2" t="s">
        <v>1127</v>
      </c>
    </row>
    <row r="735" spans="1:36" ht="16.5" customHeight="1" x14ac:dyDescent="0.2">
      <c r="A735" s="3" t="s">
        <v>0</v>
      </c>
      <c r="B735" s="4" t="s">
        <v>1444</v>
      </c>
      <c r="C735" s="3" t="s">
        <v>4182</v>
      </c>
      <c r="D735" s="26" t="s">
        <v>1626</v>
      </c>
      <c r="E735" s="26" t="s">
        <v>1437</v>
      </c>
      <c r="F735" s="4">
        <v>6</v>
      </c>
      <c r="G735" s="4" t="str">
        <f t="shared" si="5"/>
        <v>f</v>
      </c>
      <c r="H735" s="4">
        <v>1989</v>
      </c>
      <c r="I735" s="4" t="str">
        <f t="shared" si="6"/>
        <v>isei88_89</v>
      </c>
      <c r="J735" s="4" t="s">
        <v>1439</v>
      </c>
      <c r="K735" s="4"/>
      <c r="L735" s="2"/>
      <c r="M735" s="4" t="s">
        <v>8</v>
      </c>
      <c r="N735" s="2"/>
      <c r="O735" s="2"/>
      <c r="P735" s="4" t="s">
        <v>1127</v>
      </c>
      <c r="Q735" s="2" t="s">
        <v>1127</v>
      </c>
    </row>
    <row r="736" spans="1:36" ht="16.5" customHeight="1" x14ac:dyDescent="0.2">
      <c r="A736" s="3" t="s">
        <v>0</v>
      </c>
      <c r="B736" s="4" t="s">
        <v>1445</v>
      </c>
      <c r="C736" s="3" t="s">
        <v>4182</v>
      </c>
      <c r="D736" s="26" t="s">
        <v>1626</v>
      </c>
      <c r="E736" s="26" t="s">
        <v>1437</v>
      </c>
      <c r="F736" s="4">
        <v>7</v>
      </c>
      <c r="G736" s="4" t="str">
        <f t="shared" si="5"/>
        <v>g</v>
      </c>
      <c r="H736" s="4">
        <v>1990</v>
      </c>
      <c r="I736" s="4" t="str">
        <f t="shared" si="6"/>
        <v>isei88_90</v>
      </c>
      <c r="J736" s="4" t="s">
        <v>1439</v>
      </c>
      <c r="K736" s="4"/>
      <c r="L736" s="2"/>
      <c r="M736" s="4" t="s">
        <v>8</v>
      </c>
      <c r="N736" s="2"/>
      <c r="O736" s="2"/>
      <c r="P736" s="4" t="s">
        <v>1127</v>
      </c>
      <c r="Q736" s="2" t="s">
        <v>1127</v>
      </c>
    </row>
    <row r="737" spans="1:17" ht="16.5" customHeight="1" x14ac:dyDescent="0.2">
      <c r="A737" s="3" t="s">
        <v>0</v>
      </c>
      <c r="B737" s="4" t="s">
        <v>1446</v>
      </c>
      <c r="C737" s="3" t="s">
        <v>4182</v>
      </c>
      <c r="D737" s="26" t="s">
        <v>1626</v>
      </c>
      <c r="E737" s="26" t="s">
        <v>1437</v>
      </c>
      <c r="F737" s="4">
        <v>8</v>
      </c>
      <c r="G737" s="4" t="str">
        <f t="shared" si="5"/>
        <v>h</v>
      </c>
      <c r="H737" s="4">
        <v>1991</v>
      </c>
      <c r="I737" s="4" t="str">
        <f t="shared" si="6"/>
        <v>isei88_91</v>
      </c>
      <c r="J737" s="4" t="s">
        <v>1439</v>
      </c>
      <c r="K737" s="4"/>
      <c r="L737" s="2"/>
      <c r="M737" s="4" t="s">
        <v>8</v>
      </c>
      <c r="N737" s="2"/>
      <c r="O737" s="2"/>
      <c r="P737" s="4" t="s">
        <v>1127</v>
      </c>
      <c r="Q737" s="2" t="s">
        <v>1127</v>
      </c>
    </row>
    <row r="738" spans="1:17" ht="16.5" customHeight="1" x14ac:dyDescent="0.2">
      <c r="A738" s="3" t="s">
        <v>0</v>
      </c>
      <c r="B738" s="4" t="s">
        <v>1447</v>
      </c>
      <c r="C738" s="3" t="s">
        <v>4182</v>
      </c>
      <c r="D738" s="26" t="s">
        <v>1626</v>
      </c>
      <c r="E738" s="26" t="s">
        <v>1437</v>
      </c>
      <c r="F738" s="4">
        <v>9</v>
      </c>
      <c r="G738" s="4" t="str">
        <f t="shared" si="5"/>
        <v>i</v>
      </c>
      <c r="H738" s="4">
        <v>1992</v>
      </c>
      <c r="I738" s="4" t="str">
        <f t="shared" si="6"/>
        <v>isei88_92</v>
      </c>
      <c r="J738" s="4" t="s">
        <v>1439</v>
      </c>
      <c r="K738" s="4"/>
      <c r="L738" s="2"/>
      <c r="M738" s="4" t="s">
        <v>8</v>
      </c>
      <c r="N738" s="2"/>
      <c r="O738" s="2"/>
      <c r="P738" s="4" t="s">
        <v>1127</v>
      </c>
      <c r="Q738" s="2" t="s">
        <v>1127</v>
      </c>
    </row>
    <row r="739" spans="1:17" ht="16.5" customHeight="1" x14ac:dyDescent="0.2">
      <c r="A739" s="3" t="s">
        <v>0</v>
      </c>
      <c r="B739" s="4" t="s">
        <v>1448</v>
      </c>
      <c r="C739" s="3" t="s">
        <v>4182</v>
      </c>
      <c r="D739" s="26" t="s">
        <v>1626</v>
      </c>
      <c r="E739" s="26" t="s">
        <v>1437</v>
      </c>
      <c r="F739" s="4">
        <v>10</v>
      </c>
      <c r="G739" s="4" t="str">
        <f t="shared" si="5"/>
        <v>j</v>
      </c>
      <c r="H739" s="4">
        <v>1993</v>
      </c>
      <c r="I739" s="4" t="str">
        <f t="shared" si="6"/>
        <v>isei88_93</v>
      </c>
      <c r="J739" s="4" t="s">
        <v>1439</v>
      </c>
      <c r="K739" s="4"/>
      <c r="L739" s="2"/>
      <c r="M739" s="4" t="s">
        <v>8</v>
      </c>
      <c r="N739" s="2"/>
      <c r="O739" s="2"/>
      <c r="P739" s="4" t="s">
        <v>1127</v>
      </c>
      <c r="Q739" s="2" t="s">
        <v>1127</v>
      </c>
    </row>
    <row r="740" spans="1:17" ht="16.5" customHeight="1" x14ac:dyDescent="0.2">
      <c r="A740" s="3" t="s">
        <v>0</v>
      </c>
      <c r="B740" s="4" t="s">
        <v>1449</v>
      </c>
      <c r="C740" s="3" t="s">
        <v>4182</v>
      </c>
      <c r="D740" s="26" t="s">
        <v>1626</v>
      </c>
      <c r="E740" s="26" t="s">
        <v>1437</v>
      </c>
      <c r="F740" s="4">
        <v>11</v>
      </c>
      <c r="G740" s="4" t="str">
        <f t="shared" si="5"/>
        <v>k</v>
      </c>
      <c r="H740" s="4">
        <v>1994</v>
      </c>
      <c r="I740" s="4" t="str">
        <f t="shared" si="6"/>
        <v>isei88_94</v>
      </c>
      <c r="J740" s="4" t="s">
        <v>1439</v>
      </c>
      <c r="K740" s="4"/>
      <c r="L740" s="2"/>
      <c r="M740" s="4" t="s">
        <v>8</v>
      </c>
      <c r="N740" s="2"/>
      <c r="O740" s="2"/>
      <c r="P740" s="4" t="s">
        <v>1127</v>
      </c>
      <c r="Q740" s="2" t="s">
        <v>1127</v>
      </c>
    </row>
    <row r="741" spans="1:17" ht="16.5" customHeight="1" x14ac:dyDescent="0.2">
      <c r="A741" s="3" t="s">
        <v>0</v>
      </c>
      <c r="B741" s="4" t="s">
        <v>1450</v>
      </c>
      <c r="C741" s="3" t="s">
        <v>4182</v>
      </c>
      <c r="D741" s="26" t="s">
        <v>1626</v>
      </c>
      <c r="E741" s="26" t="s">
        <v>1437</v>
      </c>
      <c r="F741" s="4">
        <v>12</v>
      </c>
      <c r="G741" s="4" t="str">
        <f t="shared" si="5"/>
        <v>l</v>
      </c>
      <c r="H741" s="4">
        <v>1995</v>
      </c>
      <c r="I741" s="4" t="str">
        <f t="shared" si="6"/>
        <v>isei88_95</v>
      </c>
      <c r="J741" s="4" t="s">
        <v>1439</v>
      </c>
      <c r="K741" s="4"/>
      <c r="L741" s="2"/>
      <c r="M741" s="4" t="s">
        <v>8</v>
      </c>
      <c r="N741" s="2"/>
      <c r="O741" s="2"/>
      <c r="P741" s="4" t="s">
        <v>1127</v>
      </c>
      <c r="Q741" s="2" t="s">
        <v>1127</v>
      </c>
    </row>
    <row r="742" spans="1:17" ht="16.5" customHeight="1" x14ac:dyDescent="0.2">
      <c r="A742" s="3" t="s">
        <v>0</v>
      </c>
      <c r="B742" s="4" t="s">
        <v>1451</v>
      </c>
      <c r="C742" s="3" t="s">
        <v>4182</v>
      </c>
      <c r="D742" s="26" t="s">
        <v>1626</v>
      </c>
      <c r="E742" s="26" t="s">
        <v>1437</v>
      </c>
      <c r="F742" s="4">
        <v>13</v>
      </c>
      <c r="G742" s="4" t="str">
        <f t="shared" si="5"/>
        <v>m</v>
      </c>
      <c r="H742" s="4">
        <v>1996</v>
      </c>
      <c r="I742" s="4" t="str">
        <f t="shared" si="6"/>
        <v>isei88_96</v>
      </c>
      <c r="J742" s="4" t="s">
        <v>1439</v>
      </c>
      <c r="K742" s="4"/>
      <c r="L742" s="2"/>
      <c r="M742" s="4" t="s">
        <v>8</v>
      </c>
      <c r="N742" s="2"/>
      <c r="O742" s="2"/>
      <c r="P742" s="4" t="s">
        <v>1127</v>
      </c>
      <c r="Q742" s="2" t="s">
        <v>1127</v>
      </c>
    </row>
    <row r="743" spans="1:17" ht="16.5" customHeight="1" x14ac:dyDescent="0.2">
      <c r="A743" s="3" t="s">
        <v>0</v>
      </c>
      <c r="B743" s="4" t="s">
        <v>1452</v>
      </c>
      <c r="C743" s="3" t="s">
        <v>4182</v>
      </c>
      <c r="D743" s="26" t="s">
        <v>1626</v>
      </c>
      <c r="E743" s="26" t="s">
        <v>1437</v>
      </c>
      <c r="F743" s="4">
        <v>14</v>
      </c>
      <c r="G743" s="4" t="str">
        <f t="shared" si="5"/>
        <v>n</v>
      </c>
      <c r="H743" s="4">
        <v>1997</v>
      </c>
      <c r="I743" s="4" t="str">
        <f t="shared" si="6"/>
        <v>isei88_97</v>
      </c>
      <c r="J743" s="4" t="s">
        <v>1439</v>
      </c>
      <c r="K743" s="4"/>
      <c r="L743" s="2"/>
      <c r="M743" s="4" t="s">
        <v>8</v>
      </c>
      <c r="N743" s="2"/>
      <c r="O743" s="2"/>
      <c r="P743" s="4" t="s">
        <v>1127</v>
      </c>
      <c r="Q743" s="2" t="s">
        <v>1127</v>
      </c>
    </row>
    <row r="744" spans="1:17" ht="16.5" customHeight="1" x14ac:dyDescent="0.2">
      <c r="A744" s="3" t="s">
        <v>0</v>
      </c>
      <c r="B744" s="4" t="s">
        <v>1453</v>
      </c>
      <c r="C744" s="3" t="s">
        <v>4182</v>
      </c>
      <c r="D744" s="26" t="s">
        <v>1626</v>
      </c>
      <c r="E744" s="26" t="s">
        <v>1437</v>
      </c>
      <c r="F744" s="4">
        <v>15</v>
      </c>
      <c r="G744" s="4" t="str">
        <f t="shared" si="5"/>
        <v>o</v>
      </c>
      <c r="H744" s="4">
        <v>1998</v>
      </c>
      <c r="I744" s="4" t="str">
        <f t="shared" si="6"/>
        <v>isei88_98</v>
      </c>
      <c r="J744" s="4" t="s">
        <v>1439</v>
      </c>
      <c r="K744" s="4"/>
      <c r="L744" s="2"/>
      <c r="M744" s="4" t="s">
        <v>8</v>
      </c>
      <c r="N744" s="2"/>
      <c r="O744" s="2"/>
      <c r="P744" s="4" t="s">
        <v>1127</v>
      </c>
      <c r="Q744" s="2" t="s">
        <v>1127</v>
      </c>
    </row>
    <row r="745" spans="1:17" ht="16.5" customHeight="1" x14ac:dyDescent="0.2">
      <c r="A745" s="3" t="s">
        <v>0</v>
      </c>
      <c r="B745" s="4" t="s">
        <v>1454</v>
      </c>
      <c r="C745" s="3" t="s">
        <v>4182</v>
      </c>
      <c r="D745" s="26" t="s">
        <v>1626</v>
      </c>
      <c r="E745" s="26" t="s">
        <v>1437</v>
      </c>
      <c r="F745" s="4">
        <v>16</v>
      </c>
      <c r="G745" s="4" t="str">
        <f t="shared" si="5"/>
        <v>p</v>
      </c>
      <c r="H745" s="4">
        <v>1999</v>
      </c>
      <c r="I745" s="4" t="str">
        <f t="shared" si="6"/>
        <v>isei88_99</v>
      </c>
      <c r="J745" s="4" t="s">
        <v>1439</v>
      </c>
      <c r="K745" s="4"/>
      <c r="L745" s="2"/>
      <c r="M745" s="4" t="s">
        <v>8</v>
      </c>
      <c r="N745" s="2"/>
      <c r="O745" s="2"/>
      <c r="P745" s="4" t="s">
        <v>1127</v>
      </c>
      <c r="Q745" s="2" t="s">
        <v>1127</v>
      </c>
    </row>
    <row r="746" spans="1:17" ht="16.5" customHeight="1" x14ac:dyDescent="0.2">
      <c r="A746" s="3" t="s">
        <v>0</v>
      </c>
      <c r="B746" s="4" t="s">
        <v>1455</v>
      </c>
      <c r="C746" s="3" t="s">
        <v>4182</v>
      </c>
      <c r="D746" s="26" t="s">
        <v>1626</v>
      </c>
      <c r="E746" s="26" t="s">
        <v>1437</v>
      </c>
      <c r="F746" s="4">
        <v>17</v>
      </c>
      <c r="G746" s="4" t="str">
        <f t="shared" si="5"/>
        <v>q</v>
      </c>
      <c r="H746" s="4">
        <v>2000</v>
      </c>
      <c r="I746" s="4" t="str">
        <f t="shared" si="6"/>
        <v>isei88_00</v>
      </c>
      <c r="J746" s="4" t="s">
        <v>1439</v>
      </c>
      <c r="K746" s="4"/>
      <c r="L746" s="2"/>
      <c r="M746" s="4" t="s">
        <v>8</v>
      </c>
      <c r="N746" s="2"/>
      <c r="O746" s="2"/>
      <c r="P746" s="4" t="s">
        <v>1127</v>
      </c>
      <c r="Q746" s="2" t="s">
        <v>1127</v>
      </c>
    </row>
    <row r="747" spans="1:17" ht="16.5" customHeight="1" x14ac:dyDescent="0.2">
      <c r="A747" s="3" t="s">
        <v>0</v>
      </c>
      <c r="B747" s="4" t="s">
        <v>1456</v>
      </c>
      <c r="C747" s="3" t="s">
        <v>4182</v>
      </c>
      <c r="D747" s="26" t="s">
        <v>1626</v>
      </c>
      <c r="E747" s="26" t="s">
        <v>1437</v>
      </c>
      <c r="F747" s="4">
        <v>18</v>
      </c>
      <c r="G747" s="4" t="str">
        <f t="shared" si="5"/>
        <v>r</v>
      </c>
      <c r="H747" s="4">
        <v>2001</v>
      </c>
      <c r="I747" s="4" t="str">
        <f t="shared" si="6"/>
        <v>isei88_01</v>
      </c>
      <c r="J747" s="4" t="s">
        <v>1439</v>
      </c>
      <c r="K747" s="4"/>
      <c r="L747" s="2"/>
      <c r="M747" s="4" t="s">
        <v>8</v>
      </c>
      <c r="N747" s="2"/>
      <c r="O747" s="2"/>
      <c r="P747" s="4" t="s">
        <v>1127</v>
      </c>
      <c r="Q747" s="2" t="s">
        <v>1127</v>
      </c>
    </row>
    <row r="748" spans="1:17" ht="16.5" customHeight="1" x14ac:dyDescent="0.2">
      <c r="A748" s="3" t="s">
        <v>0</v>
      </c>
      <c r="B748" s="4" t="s">
        <v>1457</v>
      </c>
      <c r="C748" s="3" t="s">
        <v>4182</v>
      </c>
      <c r="D748" s="26" t="s">
        <v>1626</v>
      </c>
      <c r="E748" s="26" t="s">
        <v>1437</v>
      </c>
      <c r="F748" s="4">
        <v>19</v>
      </c>
      <c r="G748" s="4" t="str">
        <f t="shared" si="5"/>
        <v>s</v>
      </c>
      <c r="H748" s="4">
        <v>2002</v>
      </c>
      <c r="I748" s="4" t="str">
        <f t="shared" si="6"/>
        <v>isei88_02</v>
      </c>
      <c r="J748" s="4" t="s">
        <v>1439</v>
      </c>
      <c r="K748" s="4"/>
      <c r="L748" s="2"/>
      <c r="M748" s="4" t="s">
        <v>8</v>
      </c>
      <c r="N748" s="2"/>
      <c r="O748" s="2"/>
      <c r="P748" s="4" t="s">
        <v>1127</v>
      </c>
      <c r="Q748" s="2" t="s">
        <v>1127</v>
      </c>
    </row>
    <row r="749" spans="1:17" ht="16.5" customHeight="1" x14ac:dyDescent="0.2">
      <c r="A749" s="3" t="s">
        <v>0</v>
      </c>
      <c r="B749" s="4" t="s">
        <v>1458</v>
      </c>
      <c r="C749" s="3" t="s">
        <v>4182</v>
      </c>
      <c r="D749" s="26" t="s">
        <v>1626</v>
      </c>
      <c r="E749" s="26" t="s">
        <v>1437</v>
      </c>
      <c r="F749" s="4">
        <v>20</v>
      </c>
      <c r="G749" s="4" t="str">
        <f t="shared" si="5"/>
        <v>t</v>
      </c>
      <c r="H749" s="4">
        <v>2003</v>
      </c>
      <c r="I749" s="4" t="str">
        <f t="shared" si="6"/>
        <v>isei88_03</v>
      </c>
      <c r="J749" s="4" t="s">
        <v>1439</v>
      </c>
      <c r="K749" s="4"/>
      <c r="L749" s="2"/>
      <c r="M749" s="4" t="s">
        <v>8</v>
      </c>
      <c r="N749" s="2"/>
      <c r="O749" s="2"/>
      <c r="P749" s="4" t="s">
        <v>1127</v>
      </c>
      <c r="Q749" s="2" t="s">
        <v>1127</v>
      </c>
    </row>
    <row r="750" spans="1:17" ht="16.5" customHeight="1" x14ac:dyDescent="0.2">
      <c r="A750" s="3" t="s">
        <v>0</v>
      </c>
      <c r="B750" s="4" t="s">
        <v>1459</v>
      </c>
      <c r="C750" s="3" t="s">
        <v>4182</v>
      </c>
      <c r="D750" s="26" t="s">
        <v>1626</v>
      </c>
      <c r="E750" s="26" t="s">
        <v>1437</v>
      </c>
      <c r="F750" s="4">
        <v>21</v>
      </c>
      <c r="G750" s="4" t="str">
        <f t="shared" si="5"/>
        <v>u</v>
      </c>
      <c r="H750" s="4">
        <v>2004</v>
      </c>
      <c r="I750" s="4" t="str">
        <f t="shared" si="6"/>
        <v>isei88_04</v>
      </c>
      <c r="J750" s="4" t="s">
        <v>1439</v>
      </c>
      <c r="K750" s="4"/>
      <c r="L750" s="2"/>
      <c r="M750" s="4" t="s">
        <v>8</v>
      </c>
      <c r="N750" s="2"/>
      <c r="O750" s="2"/>
      <c r="P750" s="4" t="s">
        <v>1127</v>
      </c>
      <c r="Q750" s="2" t="s">
        <v>1127</v>
      </c>
    </row>
    <row r="751" spans="1:17" ht="16.5" customHeight="1" x14ac:dyDescent="0.2">
      <c r="A751" s="3" t="s">
        <v>0</v>
      </c>
      <c r="B751" s="4" t="s">
        <v>1460</v>
      </c>
      <c r="C751" s="3" t="s">
        <v>4182</v>
      </c>
      <c r="D751" s="26" t="s">
        <v>1626</v>
      </c>
      <c r="E751" s="26" t="s">
        <v>1437</v>
      </c>
      <c r="F751" s="4">
        <v>22</v>
      </c>
      <c r="G751" s="4" t="str">
        <f t="shared" si="5"/>
        <v>v</v>
      </c>
      <c r="H751" s="4">
        <v>2005</v>
      </c>
      <c r="I751" s="4" t="str">
        <f t="shared" si="6"/>
        <v>isei88_05</v>
      </c>
      <c r="J751" s="4" t="s">
        <v>1439</v>
      </c>
      <c r="K751" s="4"/>
      <c r="L751" s="2"/>
      <c r="M751" s="4" t="s">
        <v>8</v>
      </c>
      <c r="N751" s="2"/>
      <c r="O751" s="2"/>
      <c r="P751" s="4" t="s">
        <v>1127</v>
      </c>
      <c r="Q751" s="2" t="s">
        <v>1127</v>
      </c>
    </row>
    <row r="752" spans="1:17" ht="16.5" customHeight="1" x14ac:dyDescent="0.2">
      <c r="A752" s="3" t="s">
        <v>0</v>
      </c>
      <c r="B752" s="4" t="s">
        <v>1461</v>
      </c>
      <c r="C752" s="3" t="s">
        <v>4182</v>
      </c>
      <c r="D752" s="26" t="s">
        <v>1626</v>
      </c>
      <c r="E752" s="26" t="s">
        <v>1437</v>
      </c>
      <c r="F752" s="4">
        <v>23</v>
      </c>
      <c r="G752" s="4" t="str">
        <f t="shared" si="5"/>
        <v>w</v>
      </c>
      <c r="H752" s="4">
        <v>2006</v>
      </c>
      <c r="I752" s="4" t="str">
        <f t="shared" si="6"/>
        <v>isei88_06</v>
      </c>
      <c r="J752" s="4" t="s">
        <v>1439</v>
      </c>
      <c r="K752" s="4"/>
      <c r="L752" s="2"/>
      <c r="M752" s="4" t="s">
        <v>8</v>
      </c>
      <c r="N752" s="2"/>
      <c r="O752" s="2"/>
      <c r="P752" s="4" t="s">
        <v>1127</v>
      </c>
      <c r="Q752" s="2" t="s">
        <v>1127</v>
      </c>
    </row>
    <row r="753" spans="1:36" ht="16.5" customHeight="1" x14ac:dyDescent="0.2">
      <c r="A753" s="3" t="s">
        <v>0</v>
      </c>
      <c r="B753" s="4" t="s">
        <v>1462</v>
      </c>
      <c r="C753" s="3" t="s">
        <v>4182</v>
      </c>
      <c r="D753" s="26" t="s">
        <v>1626</v>
      </c>
      <c r="E753" s="26" t="s">
        <v>1437</v>
      </c>
      <c r="F753" s="4">
        <v>24</v>
      </c>
      <c r="G753" s="4" t="str">
        <f t="shared" si="5"/>
        <v>x</v>
      </c>
      <c r="H753" s="4">
        <v>2007</v>
      </c>
      <c r="I753" s="4" t="str">
        <f t="shared" si="6"/>
        <v>isei88_07</v>
      </c>
      <c r="J753" s="4" t="s">
        <v>1439</v>
      </c>
      <c r="K753" s="4"/>
      <c r="L753" s="2"/>
      <c r="M753" s="4" t="s">
        <v>8</v>
      </c>
      <c r="N753" s="2"/>
      <c r="O753" s="2"/>
      <c r="P753" s="4" t="s">
        <v>1127</v>
      </c>
      <c r="Q753" s="2" t="s">
        <v>1127</v>
      </c>
    </row>
    <row r="754" spans="1:36" ht="16.5" customHeight="1" x14ac:dyDescent="0.2">
      <c r="A754" s="3" t="s">
        <v>0</v>
      </c>
      <c r="B754" s="4" t="s">
        <v>1463</v>
      </c>
      <c r="C754" s="3" t="s">
        <v>4182</v>
      </c>
      <c r="D754" s="26" t="s">
        <v>1626</v>
      </c>
      <c r="E754" s="26" t="s">
        <v>1437</v>
      </c>
      <c r="F754" s="4">
        <v>25</v>
      </c>
      <c r="G754" s="4" t="str">
        <f t="shared" si="5"/>
        <v>y</v>
      </c>
      <c r="H754" s="4">
        <v>2008</v>
      </c>
      <c r="I754" s="4" t="str">
        <f t="shared" si="6"/>
        <v>isei88_08</v>
      </c>
      <c r="J754" s="4" t="s">
        <v>1439</v>
      </c>
      <c r="K754" s="4"/>
      <c r="L754" s="2"/>
      <c r="M754" s="4" t="s">
        <v>8</v>
      </c>
      <c r="N754" s="2"/>
      <c r="O754" s="2"/>
      <c r="P754" s="4" t="s">
        <v>1127</v>
      </c>
      <c r="Q754" s="2" t="s">
        <v>1127</v>
      </c>
    </row>
    <row r="755" spans="1:36" ht="16.5" customHeight="1" x14ac:dyDescent="0.2">
      <c r="A755" s="3" t="s">
        <v>0</v>
      </c>
      <c r="B755" s="4" t="s">
        <v>1464</v>
      </c>
      <c r="C755" s="3" t="s">
        <v>4182</v>
      </c>
      <c r="D755" s="26" t="s">
        <v>1626</v>
      </c>
      <c r="E755" s="26" t="s">
        <v>1437</v>
      </c>
      <c r="F755" s="4">
        <v>26</v>
      </c>
      <c r="G755" s="4" t="str">
        <f t="shared" si="5"/>
        <v>z</v>
      </c>
      <c r="H755" s="4">
        <v>2009</v>
      </c>
      <c r="I755" s="4" t="str">
        <f t="shared" si="6"/>
        <v>isei88_09</v>
      </c>
      <c r="J755" s="4" t="s">
        <v>1439</v>
      </c>
      <c r="K755" s="4"/>
      <c r="L755" s="2"/>
      <c r="M755" s="4" t="s">
        <v>8</v>
      </c>
      <c r="N755" s="2"/>
      <c r="O755" s="2"/>
      <c r="P755" s="4" t="s">
        <v>1127</v>
      </c>
      <c r="Q755" s="2" t="s">
        <v>1127</v>
      </c>
    </row>
    <row r="756" spans="1:36" ht="16.5" customHeight="1" x14ac:dyDescent="0.2">
      <c r="A756" s="3" t="s">
        <v>0</v>
      </c>
      <c r="B756" s="4" t="s">
        <v>1465</v>
      </c>
      <c r="C756" s="3" t="s">
        <v>4182</v>
      </c>
      <c r="D756" s="26" t="s">
        <v>1626</v>
      </c>
      <c r="E756" s="26" t="s">
        <v>1437</v>
      </c>
      <c r="F756" s="4">
        <v>27</v>
      </c>
      <c r="G756" s="4" t="str">
        <f>LEFT(B756,2)</f>
        <v>ba</v>
      </c>
      <c r="H756" s="4">
        <v>2010</v>
      </c>
      <c r="I756" s="4" t="str">
        <f t="shared" si="6"/>
        <v>isei88_10</v>
      </c>
      <c r="J756" s="4" t="s">
        <v>1439</v>
      </c>
      <c r="K756" s="4"/>
      <c r="L756" s="2"/>
      <c r="M756" s="4" t="s">
        <v>8</v>
      </c>
      <c r="N756" s="2"/>
      <c r="O756" s="2"/>
      <c r="P756" s="4" t="s">
        <v>1127</v>
      </c>
      <c r="Q756" s="2" t="s">
        <v>1127</v>
      </c>
    </row>
    <row r="757" spans="1:36" ht="16.5" customHeight="1" x14ac:dyDescent="0.2">
      <c r="A757" s="3" t="s">
        <v>0</v>
      </c>
      <c r="B757" s="4" t="s">
        <v>1466</v>
      </c>
      <c r="C757" s="3" t="s">
        <v>4182</v>
      </c>
      <c r="D757" s="26" t="s">
        <v>1626</v>
      </c>
      <c r="E757" s="26" t="s">
        <v>1437</v>
      </c>
      <c r="F757" s="4">
        <v>28</v>
      </c>
      <c r="G757" s="4" t="str">
        <f t="shared" ref="G757:G763" si="7">LEFT(B757,2)</f>
        <v>bb</v>
      </c>
      <c r="H757" s="4">
        <v>2011</v>
      </c>
      <c r="I757" s="4" t="str">
        <f t="shared" si="6"/>
        <v>isei88_11</v>
      </c>
      <c r="J757" s="4" t="s">
        <v>1439</v>
      </c>
      <c r="K757" s="4"/>
      <c r="L757" s="2"/>
      <c r="M757" s="4" t="s">
        <v>8</v>
      </c>
      <c r="N757" s="2"/>
      <c r="O757" s="2"/>
      <c r="P757" s="4" t="s">
        <v>1127</v>
      </c>
      <c r="Q757" s="2" t="s">
        <v>1127</v>
      </c>
    </row>
    <row r="758" spans="1:36" ht="16.5" customHeight="1" x14ac:dyDescent="0.2">
      <c r="A758" s="3" t="s">
        <v>0</v>
      </c>
      <c r="B758" s="4" t="s">
        <v>1467</v>
      </c>
      <c r="C758" s="3" t="s">
        <v>4182</v>
      </c>
      <c r="D758" s="26" t="s">
        <v>1626</v>
      </c>
      <c r="E758" s="26" t="s">
        <v>1437</v>
      </c>
      <c r="F758" s="4">
        <v>29</v>
      </c>
      <c r="G758" s="4" t="str">
        <f t="shared" si="7"/>
        <v>bc</v>
      </c>
      <c r="H758" s="4">
        <v>2012</v>
      </c>
      <c r="I758" s="4" t="str">
        <f t="shared" si="6"/>
        <v>isei88_12</v>
      </c>
      <c r="J758" s="4" t="s">
        <v>1439</v>
      </c>
      <c r="K758" s="4"/>
      <c r="L758" s="2"/>
      <c r="M758" s="4" t="s">
        <v>8</v>
      </c>
      <c r="N758" s="2"/>
      <c r="O758" s="2"/>
      <c r="P758" s="4" t="s">
        <v>1127</v>
      </c>
      <c r="Q758" s="2" t="s">
        <v>1127</v>
      </c>
    </row>
    <row r="759" spans="1:36" ht="16.5" customHeight="1" x14ac:dyDescent="0.2">
      <c r="A759" s="3" t="s">
        <v>0</v>
      </c>
      <c r="B759" s="4" t="s">
        <v>1468</v>
      </c>
      <c r="C759" s="3" t="s">
        <v>4182</v>
      </c>
      <c r="D759" s="26" t="s">
        <v>1626</v>
      </c>
      <c r="E759" s="26" t="s">
        <v>1437</v>
      </c>
      <c r="F759" s="4">
        <v>30</v>
      </c>
      <c r="G759" s="4" t="str">
        <f t="shared" si="7"/>
        <v>bd</v>
      </c>
      <c r="H759" s="4">
        <v>2013</v>
      </c>
      <c r="I759" s="4" t="str">
        <f t="shared" si="6"/>
        <v>isei88_13</v>
      </c>
      <c r="J759" s="4" t="s">
        <v>1439</v>
      </c>
      <c r="K759" s="4"/>
      <c r="L759" s="2"/>
      <c r="M759" s="4" t="s">
        <v>8</v>
      </c>
      <c r="N759" s="2"/>
      <c r="O759" s="2"/>
      <c r="P759" s="4" t="s">
        <v>1127</v>
      </c>
      <c r="Q759" s="2" t="s">
        <v>1127</v>
      </c>
    </row>
    <row r="760" spans="1:36" ht="16.5" customHeight="1" x14ac:dyDescent="0.2">
      <c r="A760" s="3" t="s">
        <v>0</v>
      </c>
      <c r="B760" s="4" t="s">
        <v>1469</v>
      </c>
      <c r="C760" s="3" t="s">
        <v>4182</v>
      </c>
      <c r="D760" s="26" t="s">
        <v>1626</v>
      </c>
      <c r="E760" s="26" t="s">
        <v>1437</v>
      </c>
      <c r="F760" s="4">
        <v>31</v>
      </c>
      <c r="G760" s="4" t="str">
        <f t="shared" si="7"/>
        <v>be</v>
      </c>
      <c r="H760" s="4">
        <v>2014</v>
      </c>
      <c r="I760" s="4" t="str">
        <f t="shared" si="6"/>
        <v>isei88_14</v>
      </c>
      <c r="J760" s="4" t="s">
        <v>1439</v>
      </c>
      <c r="K760" s="4"/>
      <c r="L760" s="2"/>
      <c r="M760" s="4" t="s">
        <v>8</v>
      </c>
      <c r="N760" s="2"/>
      <c r="O760" s="2"/>
      <c r="P760" s="4" t="s">
        <v>1127</v>
      </c>
      <c r="Q760" s="2" t="s">
        <v>1127</v>
      </c>
    </row>
    <row r="761" spans="1:36" ht="16.5" customHeight="1" x14ac:dyDescent="0.2">
      <c r="A761" s="3" t="s">
        <v>0</v>
      </c>
      <c r="B761" s="4" t="s">
        <v>1470</v>
      </c>
      <c r="C761" s="3" t="s">
        <v>4182</v>
      </c>
      <c r="D761" s="26" t="s">
        <v>1626</v>
      </c>
      <c r="E761" s="26" t="s">
        <v>1437</v>
      </c>
      <c r="F761" s="4">
        <v>32</v>
      </c>
      <c r="G761" s="4" t="str">
        <f t="shared" si="7"/>
        <v>bf</v>
      </c>
      <c r="H761" s="4">
        <v>2015</v>
      </c>
      <c r="I761" s="4" t="str">
        <f t="shared" si="6"/>
        <v>isei88_15</v>
      </c>
      <c r="J761" s="4" t="s">
        <v>1439</v>
      </c>
      <c r="K761" s="4"/>
      <c r="L761" s="2"/>
      <c r="M761" s="4" t="s">
        <v>8</v>
      </c>
      <c r="N761" s="2"/>
      <c r="O761" s="2"/>
      <c r="P761" s="4" t="s">
        <v>1127</v>
      </c>
      <c r="Q761" s="2" t="s">
        <v>1127</v>
      </c>
    </row>
    <row r="762" spans="1:36" ht="16.5" customHeight="1" x14ac:dyDescent="0.2">
      <c r="A762" s="3" t="s">
        <v>0</v>
      </c>
      <c r="B762" s="4" t="s">
        <v>1471</v>
      </c>
      <c r="C762" s="3" t="s">
        <v>4182</v>
      </c>
      <c r="D762" s="26" t="s">
        <v>1626</v>
      </c>
      <c r="E762" s="26" t="s">
        <v>1437</v>
      </c>
      <c r="F762" s="4">
        <v>33</v>
      </c>
      <c r="G762" s="4" t="str">
        <f t="shared" si="7"/>
        <v>bg</v>
      </c>
      <c r="H762" s="4">
        <v>2016</v>
      </c>
      <c r="I762" s="4" t="str">
        <f t="shared" si="6"/>
        <v>isei88_16</v>
      </c>
      <c r="J762" s="4" t="s">
        <v>1439</v>
      </c>
      <c r="K762" s="4"/>
      <c r="L762" s="2"/>
      <c r="M762" s="4" t="s">
        <v>8</v>
      </c>
      <c r="N762" s="2"/>
      <c r="O762" s="2"/>
      <c r="P762" s="4" t="s">
        <v>1127</v>
      </c>
      <c r="Q762" s="2" t="s">
        <v>1127</v>
      </c>
    </row>
    <row r="763" spans="1:36" ht="16.5" customHeight="1" x14ac:dyDescent="0.2">
      <c r="A763" s="3" t="s">
        <v>0</v>
      </c>
      <c r="B763" s="4" t="s">
        <v>1472</v>
      </c>
      <c r="C763" s="3" t="s">
        <v>4182</v>
      </c>
      <c r="D763" s="26" t="s">
        <v>1626</v>
      </c>
      <c r="E763" s="26" t="s">
        <v>1437</v>
      </c>
      <c r="F763" s="4">
        <v>34</v>
      </c>
      <c r="G763" s="4" t="str">
        <f t="shared" si="7"/>
        <v>bh</v>
      </c>
      <c r="H763" s="4">
        <v>2017</v>
      </c>
      <c r="I763" s="4" t="str">
        <f t="shared" si="6"/>
        <v>isei88_17</v>
      </c>
      <c r="J763" s="4" t="s">
        <v>1439</v>
      </c>
      <c r="K763" s="4"/>
      <c r="L763" s="2"/>
      <c r="M763" s="4" t="s">
        <v>8</v>
      </c>
      <c r="N763" s="2"/>
      <c r="O763" s="2"/>
      <c r="P763" s="4" t="s">
        <v>1127</v>
      </c>
      <c r="Q763" s="2" t="s">
        <v>1127</v>
      </c>
    </row>
    <row r="764" spans="1:36" ht="17.25" customHeight="1" x14ac:dyDescent="0.2">
      <c r="A764" s="2" t="s">
        <v>0</v>
      </c>
      <c r="B764" s="4" t="s">
        <v>1473</v>
      </c>
      <c r="C764" s="3" t="s">
        <v>4182</v>
      </c>
      <c r="D764" s="4" t="s">
        <v>1625</v>
      </c>
      <c r="E764" s="4" t="s">
        <v>1474</v>
      </c>
      <c r="F764" s="2"/>
      <c r="G764" s="4"/>
      <c r="H764" s="2">
        <v>0</v>
      </c>
      <c r="I764" s="4" t="s">
        <v>1475</v>
      </c>
      <c r="J764" s="4" t="s">
        <v>1476</v>
      </c>
      <c r="K764" s="4" t="s">
        <v>1477</v>
      </c>
      <c r="L764" s="2"/>
      <c r="M764" s="4" t="s">
        <v>1478</v>
      </c>
      <c r="N764" s="2"/>
      <c r="O764" s="2"/>
      <c r="P764" s="2" t="s">
        <v>1127</v>
      </c>
      <c r="Q764" s="2" t="s">
        <v>1127</v>
      </c>
      <c r="R764" s="2"/>
      <c r="S764" s="2"/>
      <c r="T764" s="2"/>
      <c r="U764" s="2"/>
      <c r="V764" s="2"/>
      <c r="W764" s="2"/>
      <c r="X764" s="2"/>
      <c r="Y764" s="2"/>
      <c r="Z764" s="2"/>
      <c r="AA764" s="2"/>
      <c r="AB764" s="2"/>
      <c r="AC764" s="2"/>
      <c r="AD764" s="2"/>
      <c r="AE764" s="2"/>
      <c r="AF764" s="2"/>
      <c r="AG764" s="2"/>
      <c r="AH764" s="2"/>
      <c r="AI764" s="2"/>
      <c r="AJ764" s="2"/>
    </row>
    <row r="765" spans="1:36" ht="17.25" customHeight="1" x14ac:dyDescent="0.2">
      <c r="A765" s="2" t="s">
        <v>0</v>
      </c>
      <c r="B765" s="2" t="s">
        <v>1473</v>
      </c>
      <c r="C765" s="3" t="s">
        <v>4182</v>
      </c>
      <c r="D765" s="4" t="s">
        <v>1625</v>
      </c>
      <c r="E765" s="4" t="s">
        <v>1479</v>
      </c>
      <c r="F765" s="2"/>
      <c r="G765" s="4"/>
      <c r="H765" s="2">
        <v>0</v>
      </c>
      <c r="I765" s="4" t="s">
        <v>1480</v>
      </c>
      <c r="J765" s="4" t="s">
        <v>1481</v>
      </c>
      <c r="K765" s="4" t="s">
        <v>1477</v>
      </c>
      <c r="L765" s="2"/>
      <c r="M765" s="4" t="s">
        <v>1478</v>
      </c>
      <c r="N765" s="2"/>
      <c r="O765" s="2"/>
      <c r="P765" s="2" t="s">
        <v>1127</v>
      </c>
      <c r="Q765" s="2" t="s">
        <v>1127</v>
      </c>
      <c r="R765" s="2"/>
      <c r="S765" s="2"/>
      <c r="V765" s="2"/>
      <c r="W765" s="2"/>
      <c r="X765" s="2"/>
      <c r="Y765" s="2"/>
      <c r="Z765" s="2"/>
      <c r="AA765" s="2"/>
      <c r="AB765" s="2"/>
      <c r="AC765" s="2"/>
      <c r="AD765" s="2"/>
      <c r="AE765" s="2"/>
      <c r="AF765" s="2"/>
      <c r="AG765" s="2"/>
      <c r="AH765" s="2"/>
      <c r="AI765" s="2"/>
      <c r="AJ765" s="2"/>
    </row>
    <row r="766" spans="1:36" ht="17.25" customHeight="1" x14ac:dyDescent="0.2">
      <c r="A766" s="32" t="s">
        <v>0</v>
      </c>
      <c r="B766" s="32" t="s">
        <v>39</v>
      </c>
      <c r="C766" s="3" t="s">
        <v>4182</v>
      </c>
      <c r="D766" s="32" t="s">
        <v>1482</v>
      </c>
      <c r="E766" s="32" t="s">
        <v>1483</v>
      </c>
      <c r="F766" s="2">
        <v>1</v>
      </c>
      <c r="G766" s="4" t="s">
        <v>40</v>
      </c>
      <c r="H766" s="2">
        <v>1984</v>
      </c>
      <c r="I766" t="s">
        <v>1484</v>
      </c>
      <c r="J766" s="2" t="s">
        <v>1485</v>
      </c>
      <c r="K766" s="33" t="s">
        <v>1486</v>
      </c>
      <c r="L766" s="2"/>
      <c r="M766" s="2" t="s">
        <v>8</v>
      </c>
      <c r="N766" s="2"/>
      <c r="O766" s="2"/>
      <c r="P766" s="2" t="s">
        <v>1127</v>
      </c>
      <c r="Q766" s="2" t="s">
        <v>1127</v>
      </c>
    </row>
    <row r="767" spans="1:36" ht="17.25" customHeight="1" x14ac:dyDescent="0.2">
      <c r="A767" s="32" t="s">
        <v>0</v>
      </c>
      <c r="B767" s="32" t="s">
        <v>36</v>
      </c>
      <c r="C767" s="3" t="s">
        <v>4182</v>
      </c>
      <c r="D767" s="32" t="s">
        <v>1482</v>
      </c>
      <c r="E767" s="32" t="s">
        <v>1483</v>
      </c>
      <c r="F767" s="2">
        <v>2</v>
      </c>
      <c r="G767" s="4" t="s">
        <v>37</v>
      </c>
      <c r="H767" s="2">
        <v>1985</v>
      </c>
      <c r="I767" t="s">
        <v>1487</v>
      </c>
      <c r="J767" s="2" t="s">
        <v>1485</v>
      </c>
      <c r="K767" s="33" t="s">
        <v>1486</v>
      </c>
      <c r="L767" s="2"/>
      <c r="M767" s="2" t="s">
        <v>8</v>
      </c>
      <c r="N767" s="2"/>
      <c r="O767" s="2"/>
      <c r="P767" s="2" t="s">
        <v>1127</v>
      </c>
      <c r="Q767" s="2" t="s">
        <v>1127</v>
      </c>
    </row>
    <row r="768" spans="1:36" ht="17.25" customHeight="1" x14ac:dyDescent="0.2">
      <c r="A768" s="32" t="s">
        <v>0</v>
      </c>
      <c r="B768" s="32" t="s">
        <v>79</v>
      </c>
      <c r="C768" s="3" t="s">
        <v>4182</v>
      </c>
      <c r="D768" s="32" t="s">
        <v>1482</v>
      </c>
      <c r="E768" s="32" t="s">
        <v>1483</v>
      </c>
      <c r="F768" s="2">
        <v>3</v>
      </c>
      <c r="G768" s="4" t="s">
        <v>80</v>
      </c>
      <c r="H768" s="2">
        <v>1986</v>
      </c>
      <c r="I768" t="s">
        <v>1488</v>
      </c>
      <c r="J768" s="2" t="s">
        <v>1485</v>
      </c>
      <c r="K768" s="33" t="s">
        <v>1486</v>
      </c>
      <c r="L768" s="2"/>
      <c r="M768" s="2" t="s">
        <v>8</v>
      </c>
      <c r="N768" s="2"/>
      <c r="O768" s="2"/>
      <c r="P768" s="2" t="s">
        <v>1127</v>
      </c>
      <c r="Q768" s="2" t="s">
        <v>1127</v>
      </c>
    </row>
    <row r="769" spans="1:21" ht="17.25" customHeight="1" x14ac:dyDescent="0.2">
      <c r="A769" s="32" t="s">
        <v>0</v>
      </c>
      <c r="B769" s="32" t="s">
        <v>30</v>
      </c>
      <c r="C769" s="3" t="s">
        <v>4182</v>
      </c>
      <c r="D769" s="32" t="s">
        <v>1482</v>
      </c>
      <c r="E769" s="32" t="s">
        <v>1483</v>
      </c>
      <c r="F769" s="2">
        <v>4</v>
      </c>
      <c r="G769" s="4" t="s">
        <v>31</v>
      </c>
      <c r="H769" s="2">
        <v>1987</v>
      </c>
      <c r="I769" t="s">
        <v>1489</v>
      </c>
      <c r="J769" s="2" t="s">
        <v>1485</v>
      </c>
      <c r="K769" s="33" t="s">
        <v>1486</v>
      </c>
      <c r="L769" s="2"/>
      <c r="M769" s="2" t="s">
        <v>8</v>
      </c>
      <c r="N769" s="2"/>
      <c r="O769" s="2"/>
      <c r="P769" s="2" t="s">
        <v>1127</v>
      </c>
      <c r="Q769" s="2" t="s">
        <v>1127</v>
      </c>
    </row>
    <row r="770" spans="1:21" ht="17.25" customHeight="1" x14ac:dyDescent="0.2">
      <c r="A770" s="32" t="s">
        <v>0</v>
      </c>
      <c r="B770" s="32" t="s">
        <v>12</v>
      </c>
      <c r="C770" s="3" t="s">
        <v>4182</v>
      </c>
      <c r="D770" s="32" t="s">
        <v>1482</v>
      </c>
      <c r="E770" s="32" t="s">
        <v>1483</v>
      </c>
      <c r="F770" s="2">
        <v>5</v>
      </c>
      <c r="G770" s="4" t="s">
        <v>13</v>
      </c>
      <c r="H770" s="2">
        <v>1988</v>
      </c>
      <c r="I770" t="s">
        <v>1490</v>
      </c>
      <c r="J770" s="2" t="s">
        <v>1485</v>
      </c>
      <c r="K770" s="33" t="s">
        <v>1486</v>
      </c>
      <c r="L770" s="2"/>
      <c r="M770" s="2" t="s">
        <v>8</v>
      </c>
      <c r="N770" s="2"/>
      <c r="O770" s="2"/>
      <c r="P770" s="2" t="s">
        <v>1127</v>
      </c>
      <c r="Q770" s="2" t="s">
        <v>1127</v>
      </c>
    </row>
    <row r="771" spans="1:21" ht="17.25" customHeight="1" x14ac:dyDescent="0.2">
      <c r="A771" s="32" t="s">
        <v>0</v>
      </c>
      <c r="B771" s="32" t="s">
        <v>48</v>
      </c>
      <c r="C771" s="3" t="s">
        <v>4182</v>
      </c>
      <c r="D771" s="32" t="s">
        <v>1482</v>
      </c>
      <c r="E771" s="32" t="s">
        <v>1483</v>
      </c>
      <c r="F771" s="2">
        <v>6</v>
      </c>
      <c r="G771" s="4" t="s">
        <v>49</v>
      </c>
      <c r="H771" s="2">
        <v>1989</v>
      </c>
      <c r="I771" t="s">
        <v>1491</v>
      </c>
      <c r="J771" s="2" t="s">
        <v>1485</v>
      </c>
      <c r="K771" s="33" t="s">
        <v>1486</v>
      </c>
      <c r="L771" s="2"/>
      <c r="M771" s="2" t="s">
        <v>8</v>
      </c>
      <c r="N771" s="2"/>
      <c r="O771" s="2"/>
      <c r="P771" s="2" t="s">
        <v>1127</v>
      </c>
      <c r="Q771" s="2" t="s">
        <v>1127</v>
      </c>
    </row>
    <row r="772" spans="1:21" ht="17.25" customHeight="1" x14ac:dyDescent="0.2">
      <c r="A772" s="32" t="s">
        <v>0</v>
      </c>
      <c r="B772" s="32" t="s">
        <v>100</v>
      </c>
      <c r="C772" s="3" t="s">
        <v>4182</v>
      </c>
      <c r="D772" s="32" t="s">
        <v>1482</v>
      </c>
      <c r="E772" s="32" t="s">
        <v>1483</v>
      </c>
      <c r="F772" s="2">
        <v>7</v>
      </c>
      <c r="G772" s="4" t="s">
        <v>101</v>
      </c>
      <c r="H772" s="2">
        <v>1990</v>
      </c>
      <c r="I772" t="s">
        <v>1492</v>
      </c>
      <c r="J772" s="2" t="s">
        <v>1485</v>
      </c>
      <c r="K772" s="33" t="s">
        <v>1486</v>
      </c>
      <c r="L772" s="2"/>
      <c r="M772" s="2" t="s">
        <v>8</v>
      </c>
      <c r="N772" s="2"/>
      <c r="O772" s="2"/>
      <c r="P772" s="2" t="s">
        <v>1127</v>
      </c>
      <c r="Q772" s="2" t="s">
        <v>1127</v>
      </c>
    </row>
    <row r="773" spans="1:21" ht="17.25" customHeight="1" x14ac:dyDescent="0.2">
      <c r="A773" s="32" t="s">
        <v>0</v>
      </c>
      <c r="B773" s="32" t="s">
        <v>9</v>
      </c>
      <c r="C773" s="3" t="s">
        <v>4182</v>
      </c>
      <c r="D773" s="32" t="s">
        <v>1482</v>
      </c>
      <c r="E773" s="32" t="s">
        <v>1483</v>
      </c>
      <c r="F773" s="2">
        <v>8</v>
      </c>
      <c r="G773" s="4" t="s">
        <v>10</v>
      </c>
      <c r="H773" s="2">
        <v>1991</v>
      </c>
      <c r="I773" t="s">
        <v>1493</v>
      </c>
      <c r="J773" s="2" t="s">
        <v>1485</v>
      </c>
      <c r="K773" s="33" t="s">
        <v>1486</v>
      </c>
      <c r="L773" s="2"/>
      <c r="M773" s="2" t="s">
        <v>8</v>
      </c>
      <c r="N773" s="2"/>
      <c r="O773" s="2"/>
      <c r="P773" s="2" t="s">
        <v>1127</v>
      </c>
      <c r="Q773" s="2" t="s">
        <v>1127</v>
      </c>
    </row>
    <row r="774" spans="1:21" ht="17.25" customHeight="1" x14ac:dyDescent="0.2">
      <c r="A774" s="32" t="s">
        <v>0</v>
      </c>
      <c r="B774" s="32" t="s">
        <v>54</v>
      </c>
      <c r="C774" s="3" t="s">
        <v>4182</v>
      </c>
      <c r="D774" s="32" t="s">
        <v>1482</v>
      </c>
      <c r="E774" s="32" t="s">
        <v>1483</v>
      </c>
      <c r="F774" s="2">
        <v>9</v>
      </c>
      <c r="G774" s="4" t="s">
        <v>55</v>
      </c>
      <c r="H774" s="2">
        <v>1992</v>
      </c>
      <c r="I774" t="s">
        <v>1494</v>
      </c>
      <c r="J774" s="2" t="s">
        <v>1485</v>
      </c>
      <c r="K774" s="33" t="s">
        <v>1486</v>
      </c>
      <c r="L774" s="2"/>
      <c r="M774" s="2" t="s">
        <v>8</v>
      </c>
      <c r="N774" s="2"/>
      <c r="O774" s="2"/>
      <c r="P774" s="2" t="s">
        <v>1127</v>
      </c>
      <c r="Q774" s="2" t="s">
        <v>1127</v>
      </c>
    </row>
    <row r="775" spans="1:21" ht="17.25" customHeight="1" x14ac:dyDescent="0.2">
      <c r="A775" s="32" t="s">
        <v>0</v>
      </c>
      <c r="B775" s="32" t="s">
        <v>97</v>
      </c>
      <c r="C775" s="3" t="s">
        <v>4182</v>
      </c>
      <c r="D775" s="32" t="s">
        <v>1482</v>
      </c>
      <c r="E775" s="32" t="s">
        <v>1483</v>
      </c>
      <c r="F775" s="2">
        <v>10</v>
      </c>
      <c r="G775" s="4" t="s">
        <v>98</v>
      </c>
      <c r="H775" s="2">
        <v>1993</v>
      </c>
      <c r="I775" t="s">
        <v>1495</v>
      </c>
      <c r="J775" s="2" t="s">
        <v>1485</v>
      </c>
      <c r="K775" s="33" t="s">
        <v>1486</v>
      </c>
      <c r="L775" s="2"/>
      <c r="M775" s="2" t="s">
        <v>8</v>
      </c>
      <c r="N775" s="2"/>
      <c r="O775" s="2"/>
      <c r="P775" s="2" t="s">
        <v>1127</v>
      </c>
      <c r="Q775" s="2" t="s">
        <v>1127</v>
      </c>
    </row>
    <row r="776" spans="1:21" ht="17.25" customHeight="1" x14ac:dyDescent="0.2">
      <c r="A776" s="32" t="s">
        <v>0</v>
      </c>
      <c r="B776" s="32" t="s">
        <v>103</v>
      </c>
      <c r="C776" s="3" t="s">
        <v>4182</v>
      </c>
      <c r="D776" s="32" t="s">
        <v>1482</v>
      </c>
      <c r="E776" s="32" t="s">
        <v>1483</v>
      </c>
      <c r="F776" s="2">
        <v>11</v>
      </c>
      <c r="G776" s="4" t="s">
        <v>104</v>
      </c>
      <c r="H776" s="2">
        <v>1994</v>
      </c>
      <c r="I776" t="s">
        <v>1496</v>
      </c>
      <c r="J776" s="2" t="s">
        <v>1485</v>
      </c>
      <c r="K776" s="33" t="s">
        <v>1486</v>
      </c>
      <c r="L776" s="2"/>
      <c r="M776" s="2" t="s">
        <v>8</v>
      </c>
      <c r="N776" s="2"/>
      <c r="O776" s="2"/>
      <c r="P776" s="2" t="s">
        <v>1127</v>
      </c>
      <c r="Q776" s="2" t="s">
        <v>1127</v>
      </c>
    </row>
    <row r="777" spans="1:21" ht="17.25" customHeight="1" x14ac:dyDescent="0.2">
      <c r="A777" s="32" t="s">
        <v>0</v>
      </c>
      <c r="B777" s="32" t="s">
        <v>88</v>
      </c>
      <c r="C777" s="3" t="s">
        <v>4182</v>
      </c>
      <c r="D777" s="32" t="s">
        <v>1482</v>
      </c>
      <c r="E777" s="32" t="s">
        <v>1483</v>
      </c>
      <c r="F777" s="2">
        <v>12</v>
      </c>
      <c r="G777" s="4" t="s">
        <v>89</v>
      </c>
      <c r="H777" s="2">
        <v>1995</v>
      </c>
      <c r="I777" t="s">
        <v>1497</v>
      </c>
      <c r="J777" s="2" t="s">
        <v>1485</v>
      </c>
      <c r="K777" s="33" t="s">
        <v>1486</v>
      </c>
      <c r="L777" s="2"/>
      <c r="M777" s="2" t="s">
        <v>8</v>
      </c>
      <c r="N777" s="2"/>
      <c r="O777" s="2"/>
      <c r="P777" s="2" t="s">
        <v>1127</v>
      </c>
      <c r="Q777" s="2" t="s">
        <v>1127</v>
      </c>
    </row>
    <row r="778" spans="1:21" ht="17.25" customHeight="1" x14ac:dyDescent="0.2">
      <c r="A778" s="32" t="s">
        <v>0</v>
      </c>
      <c r="B778" s="32" t="s">
        <v>106</v>
      </c>
      <c r="C778" s="3" t="s">
        <v>4182</v>
      </c>
      <c r="D778" s="32" t="s">
        <v>1482</v>
      </c>
      <c r="E778" s="32" t="s">
        <v>1483</v>
      </c>
      <c r="F778" s="2">
        <v>13</v>
      </c>
      <c r="G778" s="4" t="s">
        <v>107</v>
      </c>
      <c r="H778" s="2">
        <v>1996</v>
      </c>
      <c r="I778" t="s">
        <v>1498</v>
      </c>
      <c r="J778" s="2" t="s">
        <v>1485</v>
      </c>
      <c r="K778" s="33" t="s">
        <v>1486</v>
      </c>
      <c r="L778" s="2"/>
      <c r="M778" s="2" t="s">
        <v>8</v>
      </c>
      <c r="N778" s="2"/>
      <c r="O778" s="2"/>
      <c r="P778" s="2" t="s">
        <v>1127</v>
      </c>
      <c r="Q778" s="2" t="s">
        <v>1127</v>
      </c>
    </row>
    <row r="779" spans="1:21" ht="17.25" customHeight="1" x14ac:dyDescent="0.2">
      <c r="A779" s="32" t="s">
        <v>0</v>
      </c>
      <c r="B779" s="32" t="s">
        <v>42</v>
      </c>
      <c r="C779" s="3" t="s">
        <v>4182</v>
      </c>
      <c r="D779" s="32" t="s">
        <v>1482</v>
      </c>
      <c r="E779" s="32" t="s">
        <v>1483</v>
      </c>
      <c r="F779" s="2">
        <v>14</v>
      </c>
      <c r="G779" s="4" t="s">
        <v>43</v>
      </c>
      <c r="H779" s="2">
        <v>1997</v>
      </c>
      <c r="I779" t="s">
        <v>1499</v>
      </c>
      <c r="J779" s="2" t="s">
        <v>1485</v>
      </c>
      <c r="K779" s="33" t="s">
        <v>1486</v>
      </c>
      <c r="L779" s="2"/>
      <c r="M779" s="2" t="s">
        <v>8</v>
      </c>
      <c r="N779" s="2"/>
      <c r="O779" s="2"/>
      <c r="P779" s="2" t="s">
        <v>1127</v>
      </c>
      <c r="Q779" s="2" t="s">
        <v>1127</v>
      </c>
    </row>
    <row r="780" spans="1:21" ht="17.25" customHeight="1" x14ac:dyDescent="0.2">
      <c r="A780" s="32" t="s">
        <v>0</v>
      </c>
      <c r="B780" s="32" t="s">
        <v>18</v>
      </c>
      <c r="C780" s="3" t="s">
        <v>4182</v>
      </c>
      <c r="D780" s="32" t="s">
        <v>1482</v>
      </c>
      <c r="E780" s="32" t="s">
        <v>1483</v>
      </c>
      <c r="F780" s="2">
        <v>15</v>
      </c>
      <c r="G780" s="4" t="s">
        <v>19</v>
      </c>
      <c r="H780" s="2">
        <v>1998</v>
      </c>
      <c r="I780" t="s">
        <v>1500</v>
      </c>
      <c r="J780" s="2" t="s">
        <v>1485</v>
      </c>
      <c r="K780" s="33" t="s">
        <v>1486</v>
      </c>
      <c r="L780" s="2"/>
      <c r="M780" s="2" t="s">
        <v>8</v>
      </c>
      <c r="N780" s="2"/>
      <c r="O780" s="2"/>
      <c r="P780" s="2" t="s">
        <v>1127</v>
      </c>
      <c r="Q780" s="2" t="s">
        <v>1127</v>
      </c>
    </row>
    <row r="781" spans="1:21" ht="17.25" customHeight="1" x14ac:dyDescent="0.2">
      <c r="A781" s="32" t="s">
        <v>0</v>
      </c>
      <c r="B781" s="32" t="s">
        <v>24</v>
      </c>
      <c r="C781" s="3" t="s">
        <v>4182</v>
      </c>
      <c r="D781" s="32" t="s">
        <v>1482</v>
      </c>
      <c r="E781" s="32" t="s">
        <v>1483</v>
      </c>
      <c r="F781" s="2">
        <v>16</v>
      </c>
      <c r="G781" s="4" t="s">
        <v>25</v>
      </c>
      <c r="H781" s="2">
        <v>1999</v>
      </c>
      <c r="I781" t="s">
        <v>1501</v>
      </c>
      <c r="J781" s="2" t="s">
        <v>1485</v>
      </c>
      <c r="K781" s="33" t="s">
        <v>1486</v>
      </c>
      <c r="L781" s="2"/>
      <c r="M781" s="2" t="s">
        <v>8</v>
      </c>
      <c r="N781" s="2"/>
      <c r="O781" s="2"/>
      <c r="P781" s="2" t="s">
        <v>1127</v>
      </c>
      <c r="Q781" s="2" t="s">
        <v>1127</v>
      </c>
    </row>
    <row r="782" spans="1:21" ht="17.25" customHeight="1" x14ac:dyDescent="0.2">
      <c r="A782" s="32" t="s">
        <v>0</v>
      </c>
      <c r="B782" s="32" t="s">
        <v>72</v>
      </c>
      <c r="C782" s="3" t="s">
        <v>4182</v>
      </c>
      <c r="D782" s="32" t="s">
        <v>1482</v>
      </c>
      <c r="E782" s="32" t="s">
        <v>1483</v>
      </c>
      <c r="F782" s="2">
        <v>17</v>
      </c>
      <c r="G782" s="4" t="s">
        <v>73</v>
      </c>
      <c r="H782" s="2">
        <v>2000</v>
      </c>
      <c r="I782" t="s">
        <v>1502</v>
      </c>
      <c r="J782" s="2" t="s">
        <v>1485</v>
      </c>
      <c r="K782" s="33" t="s">
        <v>1486</v>
      </c>
      <c r="L782" s="2"/>
      <c r="M782" s="2" t="s">
        <v>8</v>
      </c>
      <c r="N782" s="2"/>
      <c r="O782" s="2"/>
      <c r="P782" s="2" t="s">
        <v>1127</v>
      </c>
      <c r="Q782" s="2" t="s">
        <v>1127</v>
      </c>
    </row>
    <row r="783" spans="1:21" ht="17.25" customHeight="1" x14ac:dyDescent="0.2">
      <c r="A783" s="32" t="s">
        <v>0</v>
      </c>
      <c r="B783" s="32" t="s">
        <v>57</v>
      </c>
      <c r="C783" s="3" t="s">
        <v>4182</v>
      </c>
      <c r="D783" s="32" t="s">
        <v>1482</v>
      </c>
      <c r="E783" s="32" t="s">
        <v>1483</v>
      </c>
      <c r="F783" s="2">
        <v>18</v>
      </c>
      <c r="G783" s="4" t="s">
        <v>58</v>
      </c>
      <c r="H783" s="2">
        <v>2001</v>
      </c>
      <c r="I783" t="s">
        <v>1503</v>
      </c>
      <c r="J783" s="2" t="s">
        <v>1485</v>
      </c>
      <c r="K783" s="33" t="s">
        <v>1486</v>
      </c>
      <c r="L783" s="2"/>
      <c r="M783" s="2" t="s">
        <v>8</v>
      </c>
      <c r="N783" s="2"/>
      <c r="O783" s="2"/>
      <c r="P783" s="2" t="s">
        <v>1127</v>
      </c>
      <c r="Q783" s="2" t="s">
        <v>1127</v>
      </c>
    </row>
    <row r="784" spans="1:21" ht="17.25" customHeight="1" x14ac:dyDescent="0.2">
      <c r="A784" s="32" t="s">
        <v>0</v>
      </c>
      <c r="B784" s="32" t="s">
        <v>1</v>
      </c>
      <c r="C784" s="3" t="s">
        <v>4182</v>
      </c>
      <c r="D784" s="32" t="s">
        <v>1482</v>
      </c>
      <c r="E784" s="32" t="s">
        <v>1483</v>
      </c>
      <c r="F784" s="2">
        <v>19</v>
      </c>
      <c r="G784" s="4" t="s">
        <v>4</v>
      </c>
      <c r="H784" s="2">
        <v>2002</v>
      </c>
      <c r="I784" t="s">
        <v>1504</v>
      </c>
      <c r="J784" s="2" t="s">
        <v>1485</v>
      </c>
      <c r="K784" s="33" t="s">
        <v>1486</v>
      </c>
      <c r="L784" s="2"/>
      <c r="M784" s="2" t="s">
        <v>8</v>
      </c>
      <c r="N784" s="2"/>
      <c r="O784" s="2"/>
      <c r="P784" s="2" t="s">
        <v>1127</v>
      </c>
      <c r="Q784" s="2" t="s">
        <v>1127</v>
      </c>
      <c r="U784" s="2"/>
    </row>
    <row r="785" spans="1:36" ht="17.25" customHeight="1" x14ac:dyDescent="0.2">
      <c r="A785" s="32" t="s">
        <v>0</v>
      </c>
      <c r="B785" s="32" t="s">
        <v>82</v>
      </c>
      <c r="C785" s="3" t="s">
        <v>4182</v>
      </c>
      <c r="D785" s="32" t="s">
        <v>1482</v>
      </c>
      <c r="E785" s="32" t="s">
        <v>1483</v>
      </c>
      <c r="F785" s="2">
        <v>20</v>
      </c>
      <c r="G785" s="4" t="s">
        <v>83</v>
      </c>
      <c r="H785" s="2">
        <v>2003</v>
      </c>
      <c r="I785" t="s">
        <v>1505</v>
      </c>
      <c r="J785" s="2" t="s">
        <v>1485</v>
      </c>
      <c r="K785" s="33" t="s">
        <v>1486</v>
      </c>
      <c r="L785" s="2"/>
      <c r="M785" s="2" t="s">
        <v>8</v>
      </c>
      <c r="N785" s="2"/>
      <c r="O785" s="2"/>
      <c r="P785" s="2" t="s">
        <v>1127</v>
      </c>
      <c r="Q785" s="2" t="s">
        <v>1127</v>
      </c>
      <c r="U785" s="2"/>
    </row>
    <row r="786" spans="1:36" ht="17.25" customHeight="1" x14ac:dyDescent="0.2">
      <c r="A786" s="32" t="s">
        <v>0</v>
      </c>
      <c r="B786" s="32" t="s">
        <v>63</v>
      </c>
      <c r="C786" s="3" t="s">
        <v>4182</v>
      </c>
      <c r="D786" s="32" t="s">
        <v>1482</v>
      </c>
      <c r="E786" s="32" t="s">
        <v>1483</v>
      </c>
      <c r="F786" s="2">
        <v>21</v>
      </c>
      <c r="G786" s="4" t="s">
        <v>64</v>
      </c>
      <c r="H786" s="2">
        <v>2004</v>
      </c>
      <c r="I786" t="s">
        <v>1506</v>
      </c>
      <c r="J786" s="2" t="s">
        <v>1485</v>
      </c>
      <c r="K786" s="33" t="s">
        <v>1486</v>
      </c>
      <c r="L786" s="2"/>
      <c r="M786" s="2" t="s">
        <v>8</v>
      </c>
      <c r="N786" s="2"/>
      <c r="O786" s="2"/>
      <c r="P786" s="2" t="s">
        <v>1127</v>
      </c>
      <c r="Q786" s="2" t="s">
        <v>1127</v>
      </c>
      <c r="U786" s="2"/>
    </row>
    <row r="787" spans="1:36" ht="17.25" customHeight="1" x14ac:dyDescent="0.2">
      <c r="A787" s="32" t="s">
        <v>0</v>
      </c>
      <c r="B787" s="32" t="s">
        <v>91</v>
      </c>
      <c r="C787" s="3" t="s">
        <v>4182</v>
      </c>
      <c r="D787" s="32" t="s">
        <v>1482</v>
      </c>
      <c r="E787" s="32" t="s">
        <v>1483</v>
      </c>
      <c r="F787" s="2">
        <v>22</v>
      </c>
      <c r="G787" s="4" t="s">
        <v>92</v>
      </c>
      <c r="H787" s="2">
        <v>2005</v>
      </c>
      <c r="I787" t="s">
        <v>1507</v>
      </c>
      <c r="J787" s="2" t="s">
        <v>1485</v>
      </c>
      <c r="K787" s="33" t="s">
        <v>1486</v>
      </c>
      <c r="L787" s="2"/>
      <c r="M787" s="2" t="s">
        <v>8</v>
      </c>
      <c r="N787" s="2"/>
      <c r="O787" s="2"/>
      <c r="P787" s="2" t="s">
        <v>1127</v>
      </c>
      <c r="Q787" s="2" t="s">
        <v>1127</v>
      </c>
      <c r="U787" s="2"/>
    </row>
    <row r="788" spans="1:36" ht="17.25" customHeight="1" x14ac:dyDescent="0.2">
      <c r="A788" s="32" t="s">
        <v>0</v>
      </c>
      <c r="B788" s="32" t="s">
        <v>51</v>
      </c>
      <c r="C788" s="3" t="s">
        <v>4182</v>
      </c>
      <c r="D788" s="32" t="s">
        <v>1482</v>
      </c>
      <c r="E788" s="32" t="s">
        <v>1483</v>
      </c>
      <c r="F788" s="2">
        <v>23</v>
      </c>
      <c r="G788" s="4" t="s">
        <v>52</v>
      </c>
      <c r="H788" s="2">
        <v>2006</v>
      </c>
      <c r="I788" t="s">
        <v>1508</v>
      </c>
      <c r="J788" s="2" t="s">
        <v>1485</v>
      </c>
      <c r="K788" s="33" t="s">
        <v>1486</v>
      </c>
      <c r="L788" s="2"/>
      <c r="M788" s="2" t="s">
        <v>8</v>
      </c>
      <c r="N788" s="2"/>
      <c r="O788" s="2"/>
      <c r="P788" s="2" t="s">
        <v>1127</v>
      </c>
      <c r="Q788" s="2" t="s">
        <v>1127</v>
      </c>
      <c r="U788" s="2"/>
    </row>
    <row r="789" spans="1:36" ht="17.25" customHeight="1" x14ac:dyDescent="0.2">
      <c r="A789" s="32" t="s">
        <v>0</v>
      </c>
      <c r="B789" s="32" t="s">
        <v>94</v>
      </c>
      <c r="C789" s="3" t="s">
        <v>4182</v>
      </c>
      <c r="D789" s="32" t="s">
        <v>1482</v>
      </c>
      <c r="E789" s="32" t="s">
        <v>1483</v>
      </c>
      <c r="F789" s="2">
        <v>24</v>
      </c>
      <c r="G789" s="4" t="s">
        <v>95</v>
      </c>
      <c r="H789" s="2">
        <v>2007</v>
      </c>
      <c r="I789" t="s">
        <v>1509</v>
      </c>
      <c r="J789" s="2" t="s">
        <v>1485</v>
      </c>
      <c r="K789" s="33" t="s">
        <v>1486</v>
      </c>
      <c r="L789" s="2"/>
      <c r="M789" s="2" t="s">
        <v>8</v>
      </c>
      <c r="N789" s="2"/>
      <c r="O789" s="2"/>
      <c r="P789" s="2" t="s">
        <v>1127</v>
      </c>
      <c r="Q789" s="2" t="s">
        <v>1127</v>
      </c>
      <c r="U789" s="2"/>
    </row>
    <row r="790" spans="1:36" ht="17.25" customHeight="1" x14ac:dyDescent="0.2">
      <c r="A790" s="32" t="s">
        <v>0</v>
      </c>
      <c r="B790" s="32" t="s">
        <v>69</v>
      </c>
      <c r="C790" s="3" t="s">
        <v>4182</v>
      </c>
      <c r="D790" s="32" t="s">
        <v>1482</v>
      </c>
      <c r="E790" s="32" t="s">
        <v>1483</v>
      </c>
      <c r="F790" s="2">
        <v>25</v>
      </c>
      <c r="G790" s="4" t="s">
        <v>70</v>
      </c>
      <c r="H790" s="2">
        <v>2008</v>
      </c>
      <c r="I790" t="s">
        <v>1510</v>
      </c>
      <c r="J790" s="2" t="s">
        <v>1485</v>
      </c>
      <c r="K790" s="33" t="s">
        <v>1486</v>
      </c>
      <c r="L790" s="2"/>
      <c r="M790" s="2" t="s">
        <v>8</v>
      </c>
      <c r="N790" s="2"/>
      <c r="O790" s="2"/>
      <c r="P790" s="2" t="s">
        <v>1127</v>
      </c>
      <c r="Q790" s="2" t="s">
        <v>1127</v>
      </c>
      <c r="U790" s="2"/>
    </row>
    <row r="791" spans="1:36" ht="17.25" customHeight="1" x14ac:dyDescent="0.2">
      <c r="A791" s="32" t="s">
        <v>0</v>
      </c>
      <c r="B791" s="32" t="s">
        <v>15</v>
      </c>
      <c r="C791" s="3" t="s">
        <v>4182</v>
      </c>
      <c r="D791" s="32" t="s">
        <v>1482</v>
      </c>
      <c r="E791" s="32" t="s">
        <v>1483</v>
      </c>
      <c r="F791" s="2">
        <v>26</v>
      </c>
      <c r="G791" s="4" t="s">
        <v>16</v>
      </c>
      <c r="H791" s="2">
        <v>2009</v>
      </c>
      <c r="I791" t="s">
        <v>1511</v>
      </c>
      <c r="J791" s="2" t="s">
        <v>1485</v>
      </c>
      <c r="K791" s="33" t="s">
        <v>1486</v>
      </c>
      <c r="L791" s="2"/>
      <c r="M791" s="2" t="s">
        <v>8</v>
      </c>
      <c r="N791" s="2"/>
      <c r="O791" s="2"/>
      <c r="P791" s="2" t="s">
        <v>1127</v>
      </c>
      <c r="Q791" s="2" t="s">
        <v>1127</v>
      </c>
      <c r="U791" s="2"/>
    </row>
    <row r="792" spans="1:36" ht="17.25" customHeight="1" x14ac:dyDescent="0.2">
      <c r="A792" s="32" t="s">
        <v>0</v>
      </c>
      <c r="B792" s="32" t="s">
        <v>33</v>
      </c>
      <c r="C792" s="3" t="s">
        <v>4182</v>
      </c>
      <c r="D792" s="32" t="s">
        <v>1482</v>
      </c>
      <c r="E792" s="32" t="s">
        <v>1483</v>
      </c>
      <c r="F792" s="2">
        <v>27</v>
      </c>
      <c r="G792" s="4" t="s">
        <v>34</v>
      </c>
      <c r="H792" s="2">
        <v>2010</v>
      </c>
      <c r="I792" s="2" t="s">
        <v>1512</v>
      </c>
      <c r="J792" s="2" t="s">
        <v>1485</v>
      </c>
      <c r="K792" s="33" t="s">
        <v>1486</v>
      </c>
      <c r="L792" s="2"/>
      <c r="M792" s="2" t="s">
        <v>8</v>
      </c>
      <c r="N792" s="2"/>
      <c r="O792" s="2"/>
      <c r="P792" s="2" t="s">
        <v>1127</v>
      </c>
      <c r="Q792" s="2" t="s">
        <v>1127</v>
      </c>
      <c r="U792" s="2"/>
    </row>
    <row r="793" spans="1:36" ht="17.25" customHeight="1" x14ac:dyDescent="0.2">
      <c r="A793" s="32" t="s">
        <v>0</v>
      </c>
      <c r="B793" s="32" t="s">
        <v>45</v>
      </c>
      <c r="C793" s="3" t="s">
        <v>4182</v>
      </c>
      <c r="D793" s="32" t="s">
        <v>1482</v>
      </c>
      <c r="E793" s="32" t="s">
        <v>1483</v>
      </c>
      <c r="F793" s="2">
        <v>28</v>
      </c>
      <c r="G793" s="4" t="s">
        <v>46</v>
      </c>
      <c r="H793" s="2">
        <v>2011</v>
      </c>
      <c r="I793" s="2" t="s">
        <v>1513</v>
      </c>
      <c r="J793" s="2" t="s">
        <v>1485</v>
      </c>
      <c r="K793" s="33" t="s">
        <v>1486</v>
      </c>
      <c r="L793" s="2"/>
      <c r="M793" s="2" t="s">
        <v>8</v>
      </c>
      <c r="N793" s="2"/>
      <c r="O793" s="2"/>
      <c r="P793" s="2" t="s">
        <v>1127</v>
      </c>
      <c r="Q793" s="2" t="s">
        <v>1127</v>
      </c>
      <c r="U793" s="2"/>
    </row>
    <row r="794" spans="1:36" ht="17.25" customHeight="1" x14ac:dyDescent="0.2">
      <c r="A794" s="32" t="s">
        <v>0</v>
      </c>
      <c r="B794" s="32" t="s">
        <v>60</v>
      </c>
      <c r="C794" s="3" t="s">
        <v>4182</v>
      </c>
      <c r="D794" s="32" t="s">
        <v>1482</v>
      </c>
      <c r="E794" s="32" t="s">
        <v>1483</v>
      </c>
      <c r="F794" s="2">
        <v>29</v>
      </c>
      <c r="G794" s="4" t="s">
        <v>61</v>
      </c>
      <c r="H794" s="2">
        <v>2012</v>
      </c>
      <c r="I794" s="2" t="s">
        <v>1514</v>
      </c>
      <c r="J794" s="2" t="s">
        <v>1485</v>
      </c>
      <c r="K794" s="33" t="s">
        <v>1486</v>
      </c>
      <c r="L794" s="2"/>
      <c r="M794" s="2" t="s">
        <v>8</v>
      </c>
      <c r="N794" s="2"/>
      <c r="O794" s="2"/>
      <c r="P794" s="2" t="s">
        <v>1127</v>
      </c>
      <c r="Q794" s="2" t="s">
        <v>1127</v>
      </c>
      <c r="U794" s="2"/>
    </row>
    <row r="795" spans="1:36" ht="17.25" customHeight="1" x14ac:dyDescent="0.2">
      <c r="A795" s="32" t="s">
        <v>0</v>
      </c>
      <c r="B795" s="32" t="s">
        <v>85</v>
      </c>
      <c r="C795" s="3" t="s">
        <v>4182</v>
      </c>
      <c r="D795" s="32" t="s">
        <v>1482</v>
      </c>
      <c r="E795" s="32" t="s">
        <v>1483</v>
      </c>
      <c r="F795" s="2">
        <v>30</v>
      </c>
      <c r="G795" s="4" t="s">
        <v>86</v>
      </c>
      <c r="H795" s="2">
        <v>2013</v>
      </c>
      <c r="I795" s="2" t="s">
        <v>1515</v>
      </c>
      <c r="J795" s="2" t="s">
        <v>1485</v>
      </c>
      <c r="K795" s="33" t="s">
        <v>1486</v>
      </c>
      <c r="L795" s="2"/>
      <c r="M795" s="2" t="s">
        <v>8</v>
      </c>
      <c r="N795" s="2"/>
      <c r="O795" s="2"/>
      <c r="P795" s="2" t="s">
        <v>1127</v>
      </c>
      <c r="Q795" s="2" t="s">
        <v>1127</v>
      </c>
      <c r="U795" s="2"/>
    </row>
    <row r="796" spans="1:36" ht="17.25" customHeight="1" x14ac:dyDescent="0.2">
      <c r="A796" s="32" t="s">
        <v>0</v>
      </c>
      <c r="B796" s="32" t="s">
        <v>21</v>
      </c>
      <c r="C796" s="3" t="s">
        <v>4182</v>
      </c>
      <c r="D796" s="32" t="s">
        <v>1482</v>
      </c>
      <c r="E796" s="32" t="s">
        <v>1483</v>
      </c>
      <c r="F796" s="2">
        <v>31</v>
      </c>
      <c r="G796" s="4" t="s">
        <v>22</v>
      </c>
      <c r="H796" s="2">
        <v>2014</v>
      </c>
      <c r="I796" s="2" t="s">
        <v>1516</v>
      </c>
      <c r="J796" s="2" t="s">
        <v>1485</v>
      </c>
      <c r="K796" s="33" t="s">
        <v>1486</v>
      </c>
      <c r="L796" s="2"/>
      <c r="M796" s="2" t="s">
        <v>8</v>
      </c>
      <c r="N796" s="2"/>
      <c r="O796" s="2"/>
      <c r="P796" s="2" t="s">
        <v>1127</v>
      </c>
      <c r="Q796" s="2" t="s">
        <v>1127</v>
      </c>
      <c r="U796" s="2"/>
    </row>
    <row r="797" spans="1:36" ht="17.25" customHeight="1" x14ac:dyDescent="0.2">
      <c r="A797" s="32" t="s">
        <v>0</v>
      </c>
      <c r="B797" s="32" t="s">
        <v>27</v>
      </c>
      <c r="C797" s="3" t="s">
        <v>4182</v>
      </c>
      <c r="D797" s="32" t="s">
        <v>1482</v>
      </c>
      <c r="E797" s="32" t="s">
        <v>1483</v>
      </c>
      <c r="F797" s="2">
        <v>32</v>
      </c>
      <c r="G797" s="4" t="s">
        <v>28</v>
      </c>
      <c r="H797" s="2">
        <v>2015</v>
      </c>
      <c r="I797" s="2" t="s">
        <v>1517</v>
      </c>
      <c r="J797" s="2" t="s">
        <v>1485</v>
      </c>
      <c r="K797" s="33" t="s">
        <v>1486</v>
      </c>
      <c r="L797" s="2"/>
      <c r="M797" s="2" t="s">
        <v>8</v>
      </c>
      <c r="N797" s="2"/>
      <c r="O797" s="2"/>
      <c r="P797" s="2" t="s">
        <v>1127</v>
      </c>
      <c r="Q797" s="2" t="s">
        <v>1127</v>
      </c>
      <c r="U797" s="2"/>
    </row>
    <row r="798" spans="1:36" ht="17.25" customHeight="1" x14ac:dyDescent="0.2">
      <c r="A798" s="32" t="s">
        <v>0</v>
      </c>
      <c r="B798" s="32" t="s">
        <v>75</v>
      </c>
      <c r="C798" s="3" t="s">
        <v>4182</v>
      </c>
      <c r="D798" s="32" t="s">
        <v>1482</v>
      </c>
      <c r="E798" s="32" t="s">
        <v>1483</v>
      </c>
      <c r="F798" s="2">
        <v>33</v>
      </c>
      <c r="G798" s="4" t="s">
        <v>76</v>
      </c>
      <c r="H798" s="2">
        <v>2016</v>
      </c>
      <c r="I798" s="2" t="s">
        <v>1518</v>
      </c>
      <c r="J798" s="2" t="s">
        <v>1485</v>
      </c>
      <c r="K798" s="33" t="s">
        <v>1486</v>
      </c>
      <c r="L798" s="2"/>
      <c r="M798" s="2" t="s">
        <v>8</v>
      </c>
      <c r="N798" s="2"/>
      <c r="O798" s="2"/>
      <c r="P798" s="2" t="s">
        <v>1127</v>
      </c>
      <c r="Q798" s="2" t="s">
        <v>1127</v>
      </c>
      <c r="U798" s="2"/>
      <c r="V798" s="2"/>
    </row>
    <row r="799" spans="1:36" ht="17.25" customHeight="1" x14ac:dyDescent="0.2">
      <c r="A799" s="32" t="s">
        <v>0</v>
      </c>
      <c r="B799" s="32" t="s">
        <v>66</v>
      </c>
      <c r="C799" s="3" t="s">
        <v>4182</v>
      </c>
      <c r="D799" s="32" t="s">
        <v>1482</v>
      </c>
      <c r="E799" s="32" t="s">
        <v>1483</v>
      </c>
      <c r="F799" s="2">
        <v>34</v>
      </c>
      <c r="G799" s="4" t="s">
        <v>67</v>
      </c>
      <c r="H799" s="2">
        <v>2017</v>
      </c>
      <c r="I799" s="2" t="s">
        <v>1519</v>
      </c>
      <c r="J799" s="2" t="s">
        <v>1485</v>
      </c>
      <c r="K799" s="33" t="s">
        <v>1486</v>
      </c>
      <c r="L799" s="2"/>
      <c r="M799" s="2" t="s">
        <v>8</v>
      </c>
      <c r="N799" s="2"/>
      <c r="O799" s="2"/>
      <c r="P799" s="2" t="s">
        <v>1127</v>
      </c>
      <c r="Q799" s="2" t="s">
        <v>1127</v>
      </c>
      <c r="U799" s="2"/>
      <c r="V799" s="2"/>
    </row>
    <row r="800" spans="1:36" ht="17.25" customHeight="1" x14ac:dyDescent="0.2">
      <c r="A800" s="3" t="s">
        <v>0</v>
      </c>
      <c r="B800" s="3" t="s">
        <v>139</v>
      </c>
      <c r="C800" s="3" t="s">
        <v>4182</v>
      </c>
      <c r="D800" s="3" t="s">
        <v>1524</v>
      </c>
      <c r="E800" s="3" t="s">
        <v>1524</v>
      </c>
      <c r="F800" s="2">
        <v>7</v>
      </c>
      <c r="G800" s="4" t="s">
        <v>101</v>
      </c>
      <c r="H800" s="2">
        <v>1990</v>
      </c>
      <c r="I800" s="2" t="s">
        <v>1525</v>
      </c>
      <c r="J800" s="2" t="s">
        <v>1526</v>
      </c>
      <c r="K800" s="2"/>
      <c r="L800" s="2"/>
      <c r="M800" s="2" t="s">
        <v>8</v>
      </c>
      <c r="N800" s="2"/>
      <c r="O800" s="2"/>
      <c r="P800" s="2" t="s">
        <v>1527</v>
      </c>
      <c r="Q800" s="2" t="s">
        <v>3462</v>
      </c>
      <c r="R800" s="2"/>
      <c r="S800" s="2"/>
      <c r="T800" s="2"/>
      <c r="U800" s="2"/>
      <c r="V800" s="2"/>
      <c r="W800" s="2"/>
      <c r="X800" s="2"/>
      <c r="Y800" s="2"/>
      <c r="Z800" s="2"/>
      <c r="AA800" s="2"/>
      <c r="AB800" s="2"/>
      <c r="AC800" s="2"/>
      <c r="AD800" s="2"/>
      <c r="AE800" s="2"/>
      <c r="AF800" s="2"/>
      <c r="AG800" s="2"/>
      <c r="AH800" s="2"/>
      <c r="AI800" s="2"/>
      <c r="AJ800" s="2"/>
    </row>
    <row r="801" spans="1:36" ht="17.25" customHeight="1" x14ac:dyDescent="0.2">
      <c r="A801" s="3" t="s">
        <v>0</v>
      </c>
      <c r="B801" s="3" t="s">
        <v>141</v>
      </c>
      <c r="C801" s="3" t="s">
        <v>4182</v>
      </c>
      <c r="D801" s="3" t="s">
        <v>1524</v>
      </c>
      <c r="E801" s="3" t="s">
        <v>1524</v>
      </c>
      <c r="F801" s="2">
        <v>8</v>
      </c>
      <c r="G801" s="4" t="s">
        <v>10</v>
      </c>
      <c r="H801" s="2">
        <v>1991</v>
      </c>
      <c r="I801" s="2" t="s">
        <v>1528</v>
      </c>
      <c r="J801" s="2" t="s">
        <v>1526</v>
      </c>
      <c r="K801" s="2"/>
      <c r="L801" s="2"/>
      <c r="M801" s="2" t="s">
        <v>8</v>
      </c>
      <c r="N801" s="2"/>
      <c r="O801" s="2"/>
      <c r="P801" s="2" t="s">
        <v>1527</v>
      </c>
      <c r="Q801" s="2" t="s">
        <v>3462</v>
      </c>
      <c r="R801" s="2"/>
      <c r="S801" s="2"/>
      <c r="T801" s="2"/>
      <c r="U801" s="2"/>
      <c r="V801" s="2"/>
      <c r="W801" s="2"/>
      <c r="X801" s="2"/>
      <c r="Y801" s="2"/>
      <c r="Z801" s="2"/>
      <c r="AA801" s="2"/>
      <c r="AB801" s="2"/>
      <c r="AC801" s="2"/>
      <c r="AD801" s="2"/>
      <c r="AE801" s="2"/>
      <c r="AF801" s="2"/>
      <c r="AG801" s="2"/>
      <c r="AH801" s="2"/>
      <c r="AI801" s="2"/>
      <c r="AJ801" s="2"/>
    </row>
    <row r="802" spans="1:36" ht="17.25" customHeight="1" x14ac:dyDescent="0.2">
      <c r="A802" s="3" t="s">
        <v>0</v>
      </c>
      <c r="B802" s="3" t="s">
        <v>143</v>
      </c>
      <c r="C802" s="3" t="s">
        <v>4182</v>
      </c>
      <c r="D802" s="3" t="s">
        <v>1524</v>
      </c>
      <c r="E802" s="3" t="s">
        <v>1524</v>
      </c>
      <c r="F802" s="2">
        <v>9</v>
      </c>
      <c r="G802" s="4" t="s">
        <v>55</v>
      </c>
      <c r="H802" s="2">
        <v>1992</v>
      </c>
      <c r="I802" s="2" t="s">
        <v>1529</v>
      </c>
      <c r="J802" s="2" t="s">
        <v>1526</v>
      </c>
      <c r="K802" s="2"/>
      <c r="L802" s="2"/>
      <c r="M802" s="2" t="s">
        <v>8</v>
      </c>
      <c r="N802" s="2"/>
      <c r="O802" s="2"/>
      <c r="P802" s="2" t="s">
        <v>1527</v>
      </c>
      <c r="Q802" s="2" t="s">
        <v>3462</v>
      </c>
      <c r="R802" s="2"/>
      <c r="S802" s="2"/>
      <c r="T802" s="2"/>
      <c r="U802" s="2"/>
      <c r="V802" s="2"/>
      <c r="W802" s="2"/>
      <c r="X802" s="2"/>
      <c r="Y802" s="2"/>
      <c r="Z802" s="2"/>
      <c r="AA802" s="2"/>
      <c r="AB802" s="2"/>
      <c r="AC802" s="2"/>
      <c r="AD802" s="2"/>
      <c r="AE802" s="2"/>
      <c r="AF802" s="2"/>
      <c r="AG802" s="2"/>
      <c r="AH802" s="2"/>
      <c r="AI802" s="2"/>
      <c r="AJ802" s="2"/>
    </row>
    <row r="803" spans="1:36" ht="17.25" customHeight="1" x14ac:dyDescent="0.2">
      <c r="A803" s="3" t="s">
        <v>0</v>
      </c>
      <c r="B803" s="3" t="s">
        <v>145</v>
      </c>
      <c r="C803" s="3" t="s">
        <v>4182</v>
      </c>
      <c r="D803" s="3" t="s">
        <v>1524</v>
      </c>
      <c r="E803" s="3" t="s">
        <v>1524</v>
      </c>
      <c r="F803" s="2">
        <v>10</v>
      </c>
      <c r="G803" s="4" t="s">
        <v>98</v>
      </c>
      <c r="H803" s="2">
        <v>1993</v>
      </c>
      <c r="I803" s="2" t="s">
        <v>1530</v>
      </c>
      <c r="J803" s="2" t="s">
        <v>1526</v>
      </c>
      <c r="K803" s="2"/>
      <c r="L803" s="2"/>
      <c r="M803" s="2" t="s">
        <v>8</v>
      </c>
      <c r="N803" s="2"/>
      <c r="O803" s="2"/>
      <c r="P803" s="2" t="s">
        <v>1527</v>
      </c>
      <c r="Q803" s="2" t="s">
        <v>3462</v>
      </c>
      <c r="R803" s="2"/>
      <c r="S803" s="2"/>
      <c r="T803" s="2"/>
      <c r="U803" s="2"/>
      <c r="V803" s="2"/>
      <c r="W803" s="2"/>
      <c r="X803" s="2"/>
      <c r="Y803" s="2"/>
      <c r="Z803" s="2"/>
      <c r="AA803" s="2"/>
      <c r="AB803" s="2"/>
      <c r="AC803" s="2"/>
      <c r="AD803" s="2"/>
      <c r="AE803" s="2"/>
      <c r="AF803" s="2"/>
      <c r="AG803" s="2"/>
      <c r="AH803" s="2"/>
      <c r="AI803" s="2"/>
      <c r="AJ803" s="2"/>
    </row>
    <row r="804" spans="1:36" ht="17.25" customHeight="1" x14ac:dyDescent="0.2">
      <c r="A804" s="3" t="s">
        <v>0</v>
      </c>
      <c r="B804" s="3" t="s">
        <v>147</v>
      </c>
      <c r="C804" s="3" t="s">
        <v>4182</v>
      </c>
      <c r="D804" s="3" t="s">
        <v>1524</v>
      </c>
      <c r="E804" s="3" t="s">
        <v>1524</v>
      </c>
      <c r="F804" s="2">
        <v>11</v>
      </c>
      <c r="G804" s="4" t="s">
        <v>104</v>
      </c>
      <c r="H804" s="2">
        <v>1994</v>
      </c>
      <c r="I804" s="2" t="s">
        <v>1531</v>
      </c>
      <c r="J804" s="2" t="s">
        <v>1526</v>
      </c>
      <c r="K804" s="2"/>
      <c r="L804" s="2"/>
      <c r="M804" s="2" t="s">
        <v>8</v>
      </c>
      <c r="N804" s="2"/>
      <c r="O804" s="2"/>
      <c r="P804" s="2" t="s">
        <v>1527</v>
      </c>
      <c r="Q804" s="2" t="s">
        <v>3462</v>
      </c>
      <c r="R804" s="2"/>
      <c r="S804" s="2"/>
      <c r="T804" s="2"/>
      <c r="U804" s="2"/>
      <c r="V804" s="2"/>
      <c r="W804" s="2"/>
      <c r="X804" s="2"/>
      <c r="Y804" s="2"/>
      <c r="Z804" s="2"/>
      <c r="AA804" s="2"/>
      <c r="AB804" s="2"/>
      <c r="AC804" s="2"/>
      <c r="AD804" s="2"/>
      <c r="AE804" s="2"/>
      <c r="AF804" s="2"/>
      <c r="AG804" s="2"/>
      <c r="AH804" s="2"/>
      <c r="AI804" s="2"/>
      <c r="AJ804" s="2"/>
    </row>
    <row r="805" spans="1:36" ht="17.25" customHeight="1" x14ac:dyDescent="0.2">
      <c r="A805" s="3" t="s">
        <v>0</v>
      </c>
      <c r="B805" s="3" t="s">
        <v>149</v>
      </c>
      <c r="C805" s="3" t="s">
        <v>4182</v>
      </c>
      <c r="D805" s="3" t="s">
        <v>1524</v>
      </c>
      <c r="E805" s="3" t="s">
        <v>1524</v>
      </c>
      <c r="F805" s="2">
        <v>12</v>
      </c>
      <c r="G805" s="4" t="s">
        <v>89</v>
      </c>
      <c r="H805" s="2">
        <v>1995</v>
      </c>
      <c r="I805" s="2" t="s">
        <v>1532</v>
      </c>
      <c r="J805" s="2" t="s">
        <v>1526</v>
      </c>
      <c r="K805" s="2"/>
      <c r="L805" s="2"/>
      <c r="M805" s="2" t="s">
        <v>8</v>
      </c>
      <c r="N805" s="2"/>
      <c r="O805" s="2"/>
      <c r="P805" s="2" t="s">
        <v>1527</v>
      </c>
      <c r="Q805" s="2" t="s">
        <v>3462</v>
      </c>
      <c r="R805" s="2"/>
      <c r="S805" s="2"/>
      <c r="T805" s="2"/>
      <c r="U805" s="2"/>
      <c r="V805" s="2"/>
      <c r="W805" s="2"/>
      <c r="X805" s="2"/>
      <c r="Y805" s="2"/>
      <c r="Z805" s="2"/>
      <c r="AA805" s="2"/>
      <c r="AB805" s="2"/>
      <c r="AC805" s="2"/>
      <c r="AD805" s="2"/>
      <c r="AE805" s="2"/>
      <c r="AF805" s="2"/>
      <c r="AG805" s="2"/>
      <c r="AH805" s="2"/>
      <c r="AI805" s="2"/>
      <c r="AJ805" s="2"/>
    </row>
    <row r="806" spans="1:36" ht="17.25" customHeight="1" x14ac:dyDescent="0.2">
      <c r="A806" s="3" t="s">
        <v>0</v>
      </c>
      <c r="B806" s="3" t="s">
        <v>151</v>
      </c>
      <c r="C806" s="3" t="s">
        <v>4182</v>
      </c>
      <c r="D806" s="3" t="s">
        <v>1524</v>
      </c>
      <c r="E806" s="3" t="s">
        <v>1524</v>
      </c>
      <c r="F806" s="2">
        <v>13</v>
      </c>
      <c r="G806" s="4" t="s">
        <v>107</v>
      </c>
      <c r="H806" s="2">
        <v>1996</v>
      </c>
      <c r="I806" s="2" t="s">
        <v>1533</v>
      </c>
      <c r="J806" s="2" t="s">
        <v>1526</v>
      </c>
      <c r="K806" s="2"/>
      <c r="L806" s="2"/>
      <c r="M806" s="2" t="s">
        <v>8</v>
      </c>
      <c r="N806" s="2"/>
      <c r="O806" s="2"/>
      <c r="P806" s="2" t="s">
        <v>1527</v>
      </c>
      <c r="Q806" s="2" t="s">
        <v>3462</v>
      </c>
      <c r="R806" s="2"/>
      <c r="S806" s="2"/>
      <c r="T806" s="2"/>
      <c r="U806" s="2"/>
      <c r="V806" s="2"/>
      <c r="W806" s="2"/>
      <c r="X806" s="2"/>
      <c r="Y806" s="2"/>
      <c r="Z806" s="2"/>
      <c r="AA806" s="2"/>
      <c r="AB806" s="2"/>
      <c r="AC806" s="2"/>
      <c r="AD806" s="2"/>
      <c r="AE806" s="2"/>
      <c r="AF806" s="2"/>
      <c r="AG806" s="2"/>
      <c r="AH806" s="2"/>
      <c r="AI806" s="2"/>
      <c r="AJ806" s="2"/>
    </row>
    <row r="807" spans="1:36" ht="17.25" customHeight="1" x14ac:dyDescent="0.2">
      <c r="A807" s="3" t="s">
        <v>0</v>
      </c>
      <c r="B807" s="3" t="s">
        <v>153</v>
      </c>
      <c r="C807" s="3" t="s">
        <v>4182</v>
      </c>
      <c r="D807" s="3" t="s">
        <v>1524</v>
      </c>
      <c r="E807" s="3" t="s">
        <v>1524</v>
      </c>
      <c r="F807" s="2">
        <v>14</v>
      </c>
      <c r="G807" s="4" t="s">
        <v>43</v>
      </c>
      <c r="H807" s="2">
        <v>1997</v>
      </c>
      <c r="I807" s="2" t="s">
        <v>1534</v>
      </c>
      <c r="J807" s="2" t="s">
        <v>1526</v>
      </c>
      <c r="K807" s="2"/>
      <c r="L807" s="2"/>
      <c r="M807" s="2" t="s">
        <v>8</v>
      </c>
      <c r="N807" s="2"/>
      <c r="O807" s="2"/>
      <c r="P807" s="2" t="s">
        <v>1527</v>
      </c>
      <c r="Q807" s="2" t="s">
        <v>3462</v>
      </c>
      <c r="R807" s="2"/>
      <c r="S807" s="2"/>
      <c r="T807" s="2"/>
      <c r="U807" s="2"/>
      <c r="V807" s="2"/>
      <c r="W807" s="2"/>
      <c r="X807" s="2"/>
      <c r="Y807" s="2"/>
      <c r="Z807" s="2"/>
      <c r="AA807" s="2"/>
      <c r="AB807" s="2"/>
      <c r="AC807" s="2"/>
      <c r="AD807" s="2"/>
      <c r="AE807" s="2"/>
      <c r="AF807" s="2"/>
      <c r="AG807" s="2"/>
      <c r="AH807" s="2"/>
      <c r="AI807" s="2"/>
      <c r="AJ807" s="2"/>
    </row>
    <row r="808" spans="1:36" ht="17.25" customHeight="1" x14ac:dyDescent="0.2">
      <c r="A808" s="3" t="s">
        <v>0</v>
      </c>
      <c r="B808" s="3" t="s">
        <v>155</v>
      </c>
      <c r="C808" s="3" t="s">
        <v>4182</v>
      </c>
      <c r="D808" s="3" t="s">
        <v>1524</v>
      </c>
      <c r="E808" s="3" t="s">
        <v>1524</v>
      </c>
      <c r="F808" s="2">
        <v>15</v>
      </c>
      <c r="G808" s="4" t="s">
        <v>19</v>
      </c>
      <c r="H808" s="2">
        <v>1998</v>
      </c>
      <c r="I808" s="2" t="s">
        <v>1535</v>
      </c>
      <c r="J808" s="2" t="s">
        <v>1526</v>
      </c>
      <c r="K808" s="2"/>
      <c r="L808" s="2"/>
      <c r="M808" s="2" t="s">
        <v>8</v>
      </c>
      <c r="N808" s="2"/>
      <c r="O808" s="2"/>
      <c r="P808" s="2" t="s">
        <v>1527</v>
      </c>
      <c r="Q808" s="2" t="s">
        <v>3462</v>
      </c>
      <c r="R808" s="2"/>
      <c r="S808" s="2"/>
      <c r="T808" s="2"/>
      <c r="U808" s="2"/>
      <c r="V808" s="2"/>
      <c r="W808" s="2"/>
      <c r="X808" s="2"/>
      <c r="Y808" s="2"/>
      <c r="Z808" s="2"/>
      <c r="AA808" s="2"/>
      <c r="AB808" s="2"/>
      <c r="AC808" s="2"/>
      <c r="AD808" s="2"/>
      <c r="AE808" s="2"/>
      <c r="AF808" s="2"/>
      <c r="AG808" s="2"/>
      <c r="AH808" s="2"/>
      <c r="AI808" s="2"/>
      <c r="AJ808" s="2"/>
    </row>
    <row r="809" spans="1:36" ht="17.25" customHeight="1" x14ac:dyDescent="0.2">
      <c r="A809" s="3" t="s">
        <v>0</v>
      </c>
      <c r="B809" s="3" t="s">
        <v>157</v>
      </c>
      <c r="C809" s="3" t="s">
        <v>4182</v>
      </c>
      <c r="D809" s="3" t="s">
        <v>1524</v>
      </c>
      <c r="E809" s="3" t="s">
        <v>1524</v>
      </c>
      <c r="F809" s="2">
        <v>16</v>
      </c>
      <c r="G809" s="4" t="s">
        <v>25</v>
      </c>
      <c r="H809" s="2">
        <v>1999</v>
      </c>
      <c r="I809" s="2" t="s">
        <v>1536</v>
      </c>
      <c r="J809" s="2" t="s">
        <v>1526</v>
      </c>
      <c r="K809" s="2"/>
      <c r="L809" s="2"/>
      <c r="M809" s="2" t="s">
        <v>8</v>
      </c>
      <c r="N809" s="2"/>
      <c r="O809" s="2"/>
      <c r="P809" s="2" t="s">
        <v>1527</v>
      </c>
      <c r="Q809" s="2" t="s">
        <v>3462</v>
      </c>
      <c r="R809" s="2"/>
      <c r="S809" s="2"/>
      <c r="T809" s="2"/>
      <c r="U809" s="2"/>
      <c r="V809" s="2"/>
      <c r="W809" s="2"/>
      <c r="X809" s="2"/>
      <c r="Y809" s="2"/>
      <c r="Z809" s="2"/>
      <c r="AA809" s="2"/>
      <c r="AB809" s="2"/>
      <c r="AC809" s="2"/>
      <c r="AD809" s="2"/>
      <c r="AE809" s="2"/>
      <c r="AF809" s="2"/>
      <c r="AG809" s="2"/>
      <c r="AH809" s="2"/>
      <c r="AI809" s="2"/>
      <c r="AJ809" s="2"/>
    </row>
    <row r="810" spans="1:36" ht="17.25" customHeight="1" x14ac:dyDescent="0.2">
      <c r="A810" s="3" t="s">
        <v>0</v>
      </c>
      <c r="B810" s="3" t="s">
        <v>159</v>
      </c>
      <c r="C810" s="3" t="s">
        <v>4182</v>
      </c>
      <c r="D810" s="3" t="s">
        <v>1524</v>
      </c>
      <c r="E810" s="3" t="s">
        <v>1524</v>
      </c>
      <c r="F810" s="2">
        <v>17</v>
      </c>
      <c r="G810" s="4" t="s">
        <v>73</v>
      </c>
      <c r="H810" s="2">
        <v>2000</v>
      </c>
      <c r="I810" s="2" t="s">
        <v>1537</v>
      </c>
      <c r="J810" s="2" t="s">
        <v>1526</v>
      </c>
      <c r="K810" s="2"/>
      <c r="L810" s="2"/>
      <c r="M810" s="2" t="s">
        <v>8</v>
      </c>
      <c r="N810" s="2"/>
      <c r="O810" s="2"/>
      <c r="P810" s="2" t="s">
        <v>1527</v>
      </c>
      <c r="Q810" s="2" t="s">
        <v>3462</v>
      </c>
      <c r="R810" s="2"/>
      <c r="S810" s="2"/>
      <c r="T810" s="2"/>
      <c r="U810" s="2"/>
      <c r="V810" s="2"/>
      <c r="W810" s="2"/>
      <c r="X810" s="2"/>
      <c r="Y810" s="2"/>
      <c r="Z810" s="2"/>
      <c r="AA810" s="2"/>
      <c r="AB810" s="2"/>
      <c r="AC810" s="2"/>
      <c r="AD810" s="2"/>
      <c r="AE810" s="2"/>
      <c r="AF810" s="2"/>
      <c r="AG810" s="2"/>
      <c r="AH810" s="2"/>
      <c r="AI810" s="2"/>
      <c r="AJ810" s="2"/>
    </row>
    <row r="811" spans="1:36" ht="17.25" customHeight="1" x14ac:dyDescent="0.2">
      <c r="A811" s="3" t="s">
        <v>0</v>
      </c>
      <c r="B811" s="3" t="s">
        <v>161</v>
      </c>
      <c r="C811" s="3" t="s">
        <v>4182</v>
      </c>
      <c r="D811" s="3" t="s">
        <v>1524</v>
      </c>
      <c r="E811" s="3" t="s">
        <v>1524</v>
      </c>
      <c r="F811" s="2">
        <v>18</v>
      </c>
      <c r="G811" s="4" t="s">
        <v>58</v>
      </c>
      <c r="H811" s="2">
        <v>2001</v>
      </c>
      <c r="I811" s="2" t="s">
        <v>1538</v>
      </c>
      <c r="J811" s="2" t="s">
        <v>1526</v>
      </c>
      <c r="K811" s="2"/>
      <c r="L811" s="2"/>
      <c r="M811" s="2" t="s">
        <v>8</v>
      </c>
      <c r="N811" s="2"/>
      <c r="O811" s="2"/>
      <c r="P811" s="2" t="s">
        <v>1527</v>
      </c>
      <c r="Q811" s="2" t="s">
        <v>3462</v>
      </c>
      <c r="R811" s="2"/>
      <c r="S811" s="2"/>
      <c r="T811" s="2"/>
      <c r="U811" s="2"/>
      <c r="V811" s="2"/>
      <c r="W811" s="2"/>
      <c r="X811" s="2"/>
      <c r="Y811" s="2"/>
      <c r="Z811" s="2"/>
      <c r="AA811" s="2"/>
      <c r="AB811" s="2"/>
      <c r="AC811" s="2"/>
      <c r="AD811" s="2"/>
      <c r="AE811" s="2"/>
      <c r="AF811" s="2"/>
      <c r="AG811" s="2"/>
      <c r="AH811" s="2"/>
      <c r="AI811" s="2"/>
      <c r="AJ811" s="2"/>
    </row>
    <row r="812" spans="1:36" ht="17.25" customHeight="1" x14ac:dyDescent="0.2">
      <c r="A812" s="3" t="s">
        <v>0</v>
      </c>
      <c r="B812" s="3" t="s">
        <v>163</v>
      </c>
      <c r="C812" s="3" t="s">
        <v>4182</v>
      </c>
      <c r="D812" s="3" t="s">
        <v>1524</v>
      </c>
      <c r="E812" s="3" t="s">
        <v>1524</v>
      </c>
      <c r="F812" s="2">
        <v>19</v>
      </c>
      <c r="G812" s="4" t="s">
        <v>4</v>
      </c>
      <c r="H812" s="2">
        <v>2002</v>
      </c>
      <c r="I812" s="2" t="s">
        <v>1539</v>
      </c>
      <c r="J812" s="2" t="s">
        <v>1526</v>
      </c>
      <c r="K812" s="2"/>
      <c r="L812" s="2"/>
      <c r="M812" s="2" t="s">
        <v>8</v>
      </c>
      <c r="N812" s="2"/>
      <c r="O812" s="2"/>
      <c r="P812" s="2" t="s">
        <v>1527</v>
      </c>
      <c r="Q812" s="2" t="s">
        <v>3462</v>
      </c>
      <c r="R812" s="2"/>
      <c r="S812" s="2"/>
      <c r="T812" s="2"/>
      <c r="U812" s="2"/>
      <c r="V812" s="2"/>
      <c r="W812" s="2"/>
      <c r="X812" s="2"/>
      <c r="Y812" s="2"/>
      <c r="Z812" s="2"/>
      <c r="AA812" s="2"/>
      <c r="AB812" s="2"/>
      <c r="AC812" s="2"/>
      <c r="AD812" s="2"/>
      <c r="AE812" s="2"/>
      <c r="AF812" s="2"/>
      <c r="AG812" s="2"/>
      <c r="AH812" s="2"/>
      <c r="AI812" s="2"/>
      <c r="AJ812" s="2"/>
    </row>
    <row r="813" spans="1:36" ht="17.25" customHeight="1" x14ac:dyDescent="0.2">
      <c r="A813" s="3" t="s">
        <v>0</v>
      </c>
      <c r="B813" s="3" t="s">
        <v>165</v>
      </c>
      <c r="C813" s="3" t="s">
        <v>4182</v>
      </c>
      <c r="D813" s="3" t="s">
        <v>1524</v>
      </c>
      <c r="E813" s="3" t="s">
        <v>1524</v>
      </c>
      <c r="F813" s="2">
        <v>20</v>
      </c>
      <c r="G813" s="4" t="s">
        <v>83</v>
      </c>
      <c r="H813" s="2">
        <v>2003</v>
      </c>
      <c r="I813" s="2" t="s">
        <v>1540</v>
      </c>
      <c r="J813" s="2" t="s">
        <v>1526</v>
      </c>
      <c r="K813" s="2"/>
      <c r="L813" s="2"/>
      <c r="M813" s="2" t="s">
        <v>8</v>
      </c>
      <c r="N813" s="2"/>
      <c r="O813" s="2"/>
      <c r="P813" s="2" t="s">
        <v>1527</v>
      </c>
      <c r="Q813" s="2" t="s">
        <v>3462</v>
      </c>
      <c r="R813" s="2"/>
      <c r="S813" s="2"/>
      <c r="T813" s="2"/>
      <c r="U813" s="2"/>
      <c r="V813" s="2"/>
      <c r="W813" s="2"/>
      <c r="X813" s="2"/>
      <c r="Y813" s="2"/>
      <c r="Z813" s="2"/>
      <c r="AA813" s="2"/>
      <c r="AB813" s="2"/>
      <c r="AC813" s="2"/>
      <c r="AD813" s="2"/>
      <c r="AE813" s="2"/>
      <c r="AF813" s="2"/>
      <c r="AG813" s="2"/>
      <c r="AH813" s="2"/>
      <c r="AI813" s="2"/>
      <c r="AJ813" s="2"/>
    </row>
    <row r="814" spans="1:36" ht="17.25" customHeight="1" x14ac:dyDescent="0.2">
      <c r="A814" s="3" t="s">
        <v>0</v>
      </c>
      <c r="B814" s="3" t="s">
        <v>167</v>
      </c>
      <c r="C814" s="3" t="s">
        <v>4182</v>
      </c>
      <c r="D814" s="3" t="s">
        <v>1524</v>
      </c>
      <c r="E814" s="3" t="s">
        <v>1524</v>
      </c>
      <c r="F814" s="2">
        <v>21</v>
      </c>
      <c r="G814" s="4" t="s">
        <v>64</v>
      </c>
      <c r="H814" s="2">
        <v>2004</v>
      </c>
      <c r="I814" s="2" t="s">
        <v>1541</v>
      </c>
      <c r="J814" s="2" t="s">
        <v>1526</v>
      </c>
      <c r="K814" s="2"/>
      <c r="L814" s="2"/>
      <c r="M814" s="2" t="s">
        <v>8</v>
      </c>
      <c r="N814" s="2"/>
      <c r="O814" s="2"/>
      <c r="P814" s="2" t="s">
        <v>1527</v>
      </c>
      <c r="Q814" s="2" t="s">
        <v>3462</v>
      </c>
      <c r="R814" s="2"/>
      <c r="S814" s="2"/>
      <c r="T814" s="2"/>
      <c r="U814" s="2"/>
      <c r="V814" s="2"/>
      <c r="W814" s="2"/>
      <c r="X814" s="2"/>
      <c r="Y814" s="2"/>
      <c r="Z814" s="2"/>
      <c r="AA814" s="2"/>
      <c r="AB814" s="2"/>
      <c r="AC814" s="2"/>
      <c r="AD814" s="2"/>
      <c r="AE814" s="2"/>
      <c r="AF814" s="2"/>
      <c r="AG814" s="2"/>
      <c r="AH814" s="2"/>
      <c r="AI814" s="2"/>
      <c r="AJ814" s="2"/>
    </row>
    <row r="815" spans="1:36" ht="17.25" customHeight="1" x14ac:dyDescent="0.2">
      <c r="A815" s="3" t="s">
        <v>0</v>
      </c>
      <c r="B815" s="3" t="s">
        <v>169</v>
      </c>
      <c r="C815" s="3" t="s">
        <v>4182</v>
      </c>
      <c r="D815" s="3" t="s">
        <v>1524</v>
      </c>
      <c r="E815" s="3" t="s">
        <v>1524</v>
      </c>
      <c r="F815" s="2">
        <v>22</v>
      </c>
      <c r="G815" s="4" t="s">
        <v>92</v>
      </c>
      <c r="H815" s="2">
        <v>2005</v>
      </c>
      <c r="I815" s="2" t="s">
        <v>1542</v>
      </c>
      <c r="J815" s="2" t="s">
        <v>1526</v>
      </c>
      <c r="K815" s="2"/>
      <c r="L815" s="2"/>
      <c r="M815" s="2" t="s">
        <v>8</v>
      </c>
      <c r="N815" s="2"/>
      <c r="O815" s="2"/>
      <c r="P815" s="2" t="s">
        <v>1527</v>
      </c>
      <c r="Q815" s="2" t="s">
        <v>3462</v>
      </c>
      <c r="R815" s="2"/>
      <c r="S815" s="2"/>
      <c r="T815" s="2"/>
      <c r="U815" s="2"/>
      <c r="V815" s="2"/>
      <c r="W815" s="2"/>
      <c r="X815" s="2"/>
      <c r="Y815" s="2"/>
      <c r="Z815" s="2"/>
      <c r="AA815" s="2"/>
      <c r="AB815" s="2"/>
      <c r="AC815" s="2"/>
      <c r="AD815" s="2"/>
      <c r="AE815" s="2"/>
      <c r="AF815" s="2"/>
      <c r="AG815" s="2"/>
      <c r="AH815" s="2"/>
      <c r="AI815" s="2"/>
      <c r="AJ815" s="2"/>
    </row>
    <row r="816" spans="1:36" ht="17.25" customHeight="1" x14ac:dyDescent="0.2">
      <c r="A816" s="3" t="s">
        <v>0</v>
      </c>
      <c r="B816" s="3" t="s">
        <v>171</v>
      </c>
      <c r="C816" s="3" t="s">
        <v>4182</v>
      </c>
      <c r="D816" s="3" t="s">
        <v>1524</v>
      </c>
      <c r="E816" s="3" t="s">
        <v>1524</v>
      </c>
      <c r="F816" s="2">
        <v>23</v>
      </c>
      <c r="G816" s="4" t="s">
        <v>52</v>
      </c>
      <c r="H816" s="2">
        <v>2006</v>
      </c>
      <c r="I816" s="2" t="s">
        <v>1543</v>
      </c>
      <c r="J816" s="2" t="s">
        <v>1526</v>
      </c>
      <c r="K816" s="2"/>
      <c r="L816" s="2"/>
      <c r="M816" s="2" t="s">
        <v>8</v>
      </c>
      <c r="N816" s="2"/>
      <c r="O816" s="2"/>
      <c r="P816" s="2" t="s">
        <v>1527</v>
      </c>
      <c r="Q816" s="2" t="s">
        <v>3462</v>
      </c>
      <c r="R816" s="2"/>
      <c r="S816" s="2"/>
      <c r="T816" s="2"/>
      <c r="U816" s="2"/>
      <c r="V816" s="2"/>
      <c r="W816" s="2"/>
      <c r="X816" s="2"/>
      <c r="Y816" s="2"/>
      <c r="Z816" s="2"/>
      <c r="AA816" s="2"/>
      <c r="AB816" s="2"/>
      <c r="AC816" s="2"/>
      <c r="AD816" s="2"/>
      <c r="AE816" s="2"/>
      <c r="AF816" s="2"/>
      <c r="AG816" s="2"/>
      <c r="AH816" s="2"/>
      <c r="AI816" s="2"/>
      <c r="AJ816" s="2"/>
    </row>
    <row r="817" spans="1:36" ht="17.25" customHeight="1" x14ac:dyDescent="0.2">
      <c r="A817" s="3" t="s">
        <v>0</v>
      </c>
      <c r="B817" s="3" t="s">
        <v>173</v>
      </c>
      <c r="C817" s="3" t="s">
        <v>4182</v>
      </c>
      <c r="D817" s="3" t="s">
        <v>1524</v>
      </c>
      <c r="E817" s="3" t="s">
        <v>1524</v>
      </c>
      <c r="F817" s="2">
        <v>24</v>
      </c>
      <c r="G817" s="4" t="s">
        <v>95</v>
      </c>
      <c r="H817" s="2">
        <v>2007</v>
      </c>
      <c r="I817" s="2" t="s">
        <v>1544</v>
      </c>
      <c r="J817" s="2" t="s">
        <v>1526</v>
      </c>
      <c r="K817" s="2"/>
      <c r="L817" s="2"/>
      <c r="M817" s="2" t="s">
        <v>8</v>
      </c>
      <c r="N817" s="2"/>
      <c r="O817" s="2"/>
      <c r="P817" s="2" t="s">
        <v>1527</v>
      </c>
      <c r="Q817" s="2" t="s">
        <v>3462</v>
      </c>
      <c r="R817" s="2"/>
      <c r="S817" s="2"/>
      <c r="T817" s="2"/>
      <c r="U817" s="2"/>
      <c r="V817" s="2"/>
      <c r="W817" s="2"/>
      <c r="X817" s="2"/>
      <c r="Y817" s="2"/>
      <c r="Z817" s="2"/>
      <c r="AA817" s="2"/>
      <c r="AB817" s="2"/>
      <c r="AC817" s="2"/>
      <c r="AD817" s="2"/>
      <c r="AE817" s="2"/>
      <c r="AF817" s="2"/>
      <c r="AG817" s="2"/>
      <c r="AH817" s="2"/>
      <c r="AI817" s="2"/>
      <c r="AJ817" s="2"/>
    </row>
    <row r="818" spans="1:36" ht="17.25" customHeight="1" x14ac:dyDescent="0.2">
      <c r="A818" s="3" t="s">
        <v>0</v>
      </c>
      <c r="B818" s="3" t="s">
        <v>175</v>
      </c>
      <c r="C818" s="3" t="s">
        <v>4182</v>
      </c>
      <c r="D818" s="3" t="s">
        <v>1524</v>
      </c>
      <c r="E818" s="3" t="s">
        <v>1524</v>
      </c>
      <c r="F818" s="2">
        <v>25</v>
      </c>
      <c r="G818" s="4" t="s">
        <v>70</v>
      </c>
      <c r="H818" s="2">
        <v>2008</v>
      </c>
      <c r="I818" s="2" t="s">
        <v>1545</v>
      </c>
      <c r="J818" s="2" t="s">
        <v>1526</v>
      </c>
      <c r="K818" s="2"/>
      <c r="L818" s="2"/>
      <c r="M818" s="2" t="s">
        <v>8</v>
      </c>
      <c r="N818" s="2"/>
      <c r="O818" s="2"/>
      <c r="P818" s="2" t="s">
        <v>1527</v>
      </c>
      <c r="Q818" s="2" t="s">
        <v>3462</v>
      </c>
      <c r="R818" s="2"/>
      <c r="S818" s="2"/>
      <c r="T818" s="2"/>
      <c r="U818" s="2"/>
      <c r="V818" s="2"/>
      <c r="W818" s="2"/>
      <c r="X818" s="2"/>
      <c r="Y818" s="2"/>
      <c r="Z818" s="2"/>
      <c r="AA818" s="2"/>
      <c r="AB818" s="2"/>
      <c r="AC818" s="2"/>
      <c r="AD818" s="2"/>
      <c r="AE818" s="2"/>
      <c r="AF818" s="2"/>
      <c r="AG818" s="2"/>
      <c r="AH818" s="2"/>
      <c r="AI818" s="2"/>
      <c r="AJ818" s="2"/>
    </row>
    <row r="819" spans="1:36" ht="17.25" customHeight="1" x14ac:dyDescent="0.2">
      <c r="A819" s="3" t="s">
        <v>0</v>
      </c>
      <c r="B819" s="3" t="s">
        <v>177</v>
      </c>
      <c r="C819" s="3" t="s">
        <v>4182</v>
      </c>
      <c r="D819" s="3" t="s">
        <v>1524</v>
      </c>
      <c r="E819" s="3" t="s">
        <v>1524</v>
      </c>
      <c r="F819" s="2">
        <v>26</v>
      </c>
      <c r="G819" s="4" t="s">
        <v>16</v>
      </c>
      <c r="H819" s="2">
        <v>2009</v>
      </c>
      <c r="I819" s="2" t="s">
        <v>1546</v>
      </c>
      <c r="J819" s="2" t="s">
        <v>1526</v>
      </c>
      <c r="K819" s="2"/>
      <c r="L819" s="2"/>
      <c r="M819" s="2" t="s">
        <v>8</v>
      </c>
      <c r="N819" s="2"/>
      <c r="O819" s="2"/>
      <c r="P819" s="2" t="s">
        <v>1527</v>
      </c>
      <c r="Q819" s="2" t="s">
        <v>3462</v>
      </c>
      <c r="R819" s="2"/>
      <c r="S819" s="2"/>
      <c r="T819" s="2"/>
      <c r="U819" s="2"/>
      <c r="V819" s="2"/>
      <c r="W819" s="2"/>
      <c r="X819" s="2"/>
      <c r="Y819" s="2"/>
      <c r="Z819" s="2"/>
      <c r="AA819" s="2"/>
      <c r="AB819" s="2"/>
      <c r="AC819" s="2"/>
      <c r="AD819" s="2"/>
      <c r="AE819" s="2"/>
      <c r="AF819" s="2"/>
      <c r="AG819" s="2"/>
      <c r="AH819" s="2"/>
      <c r="AI819" s="2"/>
      <c r="AJ819" s="2"/>
    </row>
    <row r="820" spans="1:36" ht="17.25" customHeight="1" x14ac:dyDescent="0.2">
      <c r="A820" s="3" t="s">
        <v>0</v>
      </c>
      <c r="B820" s="3" t="s">
        <v>179</v>
      </c>
      <c r="C820" s="3" t="s">
        <v>4182</v>
      </c>
      <c r="D820" s="3" t="s">
        <v>1524</v>
      </c>
      <c r="E820" s="3" t="s">
        <v>1524</v>
      </c>
      <c r="F820" s="2">
        <v>27</v>
      </c>
      <c r="G820" s="4" t="s">
        <v>34</v>
      </c>
      <c r="H820" s="2">
        <v>2010</v>
      </c>
      <c r="I820" s="2" t="s">
        <v>1547</v>
      </c>
      <c r="J820" s="2" t="s">
        <v>1526</v>
      </c>
      <c r="K820" s="2"/>
      <c r="L820" s="2"/>
      <c r="M820" s="2" t="s">
        <v>8</v>
      </c>
      <c r="N820" s="2"/>
      <c r="O820" s="2"/>
      <c r="P820" s="2" t="s">
        <v>1527</v>
      </c>
      <c r="Q820" s="2" t="s">
        <v>3462</v>
      </c>
      <c r="R820" s="2"/>
      <c r="S820" s="2"/>
      <c r="T820" s="2"/>
      <c r="U820" s="2"/>
      <c r="V820" s="2"/>
      <c r="W820" s="2"/>
      <c r="X820" s="2"/>
      <c r="Y820" s="2"/>
      <c r="Z820" s="2"/>
      <c r="AA820" s="2"/>
      <c r="AB820" s="2"/>
      <c r="AC820" s="2"/>
      <c r="AD820" s="2"/>
      <c r="AE820" s="2"/>
      <c r="AF820" s="2"/>
      <c r="AG820" s="2"/>
      <c r="AH820" s="2"/>
      <c r="AI820" s="2"/>
      <c r="AJ820" s="2"/>
    </row>
    <row r="821" spans="1:36" ht="17.25" customHeight="1" x14ac:dyDescent="0.2">
      <c r="A821" s="3" t="s">
        <v>0</v>
      </c>
      <c r="B821" s="3" t="s">
        <v>181</v>
      </c>
      <c r="C821" s="3" t="s">
        <v>4182</v>
      </c>
      <c r="D821" s="3" t="s">
        <v>1524</v>
      </c>
      <c r="E821" s="3" t="s">
        <v>1524</v>
      </c>
      <c r="F821" s="2">
        <v>28</v>
      </c>
      <c r="G821" s="4" t="s">
        <v>46</v>
      </c>
      <c r="H821" s="2">
        <v>2011</v>
      </c>
      <c r="I821" s="2" t="s">
        <v>1548</v>
      </c>
      <c r="J821" s="2" t="s">
        <v>1526</v>
      </c>
      <c r="K821" s="2"/>
      <c r="L821" s="2"/>
      <c r="M821" s="2" t="s">
        <v>8</v>
      </c>
      <c r="N821" s="2"/>
      <c r="O821" s="2"/>
      <c r="P821" s="2" t="s">
        <v>1527</v>
      </c>
      <c r="Q821" s="2" t="s">
        <v>3462</v>
      </c>
      <c r="R821" s="2"/>
      <c r="S821" s="2"/>
      <c r="T821" s="2"/>
      <c r="U821" s="2"/>
      <c r="V821" s="2"/>
      <c r="W821" s="2"/>
      <c r="X821" s="2"/>
      <c r="Y821" s="2"/>
      <c r="Z821" s="2"/>
      <c r="AA821" s="2"/>
      <c r="AB821" s="2"/>
      <c r="AC821" s="2"/>
      <c r="AD821" s="2"/>
      <c r="AE821" s="2"/>
      <c r="AF821" s="2"/>
      <c r="AG821" s="2"/>
      <c r="AH821" s="2"/>
      <c r="AI821" s="2"/>
      <c r="AJ821" s="2"/>
    </row>
    <row r="822" spans="1:36" ht="17.25" customHeight="1" x14ac:dyDescent="0.2">
      <c r="A822" s="3" t="s">
        <v>0</v>
      </c>
      <c r="B822" s="3" t="s">
        <v>183</v>
      </c>
      <c r="C822" s="3" t="s">
        <v>4182</v>
      </c>
      <c r="D822" s="3" t="s">
        <v>1524</v>
      </c>
      <c r="E822" s="3" t="s">
        <v>1524</v>
      </c>
      <c r="F822" s="2">
        <v>29</v>
      </c>
      <c r="G822" s="4" t="s">
        <v>61</v>
      </c>
      <c r="H822" s="2">
        <v>2012</v>
      </c>
      <c r="I822" s="2" t="s">
        <v>1549</v>
      </c>
      <c r="J822" s="2" t="s">
        <v>1526</v>
      </c>
      <c r="K822" s="2"/>
      <c r="L822" s="2"/>
      <c r="M822" s="2" t="s">
        <v>8</v>
      </c>
      <c r="N822" s="2"/>
      <c r="O822" s="2"/>
      <c r="P822" s="2" t="s">
        <v>1527</v>
      </c>
      <c r="Q822" s="2" t="s">
        <v>3462</v>
      </c>
      <c r="R822" s="2"/>
      <c r="S822" s="2"/>
      <c r="T822" s="2"/>
      <c r="U822" s="2"/>
      <c r="V822" s="2"/>
      <c r="W822" s="2"/>
      <c r="X822" s="2"/>
      <c r="Y822" s="2"/>
      <c r="Z822" s="2"/>
      <c r="AA822" s="2"/>
      <c r="AB822" s="2"/>
      <c r="AC822" s="2"/>
      <c r="AD822" s="2"/>
      <c r="AE822" s="2"/>
      <c r="AF822" s="2"/>
      <c r="AG822" s="2"/>
      <c r="AH822" s="2"/>
      <c r="AI822" s="2"/>
      <c r="AJ822" s="2"/>
    </row>
    <row r="823" spans="1:36" ht="17.25" customHeight="1" x14ac:dyDescent="0.2">
      <c r="A823" s="3" t="s">
        <v>0</v>
      </c>
      <c r="B823" s="3" t="s">
        <v>185</v>
      </c>
      <c r="C823" s="3" t="s">
        <v>4182</v>
      </c>
      <c r="D823" s="3" t="s">
        <v>1524</v>
      </c>
      <c r="E823" s="3" t="s">
        <v>1524</v>
      </c>
      <c r="F823" s="2">
        <v>30</v>
      </c>
      <c r="G823" s="4" t="s">
        <v>86</v>
      </c>
      <c r="H823" s="2">
        <v>2013</v>
      </c>
      <c r="I823" s="2" t="s">
        <v>1550</v>
      </c>
      <c r="J823" s="2" t="s">
        <v>1526</v>
      </c>
      <c r="K823" s="2"/>
      <c r="L823" s="2"/>
      <c r="M823" s="2" t="s">
        <v>8</v>
      </c>
      <c r="N823" s="2"/>
      <c r="O823" s="2"/>
      <c r="P823" s="2" t="s">
        <v>1527</v>
      </c>
      <c r="Q823" s="2" t="s">
        <v>3462</v>
      </c>
      <c r="R823" s="2"/>
      <c r="S823" s="2"/>
      <c r="T823" s="2"/>
      <c r="U823" s="2"/>
      <c r="V823" s="2"/>
      <c r="W823" s="2"/>
      <c r="X823" s="2"/>
      <c r="Y823" s="2"/>
      <c r="Z823" s="2"/>
      <c r="AA823" s="2"/>
      <c r="AB823" s="2"/>
      <c r="AC823" s="2"/>
      <c r="AD823" s="2"/>
      <c r="AE823" s="2"/>
      <c r="AF823" s="2"/>
      <c r="AG823" s="2"/>
      <c r="AH823" s="2"/>
      <c r="AI823" s="2"/>
      <c r="AJ823" s="2"/>
    </row>
    <row r="824" spans="1:36" ht="17.25" customHeight="1" x14ac:dyDescent="0.2">
      <c r="A824" s="3" t="s">
        <v>0</v>
      </c>
      <c r="B824" s="3" t="s">
        <v>187</v>
      </c>
      <c r="C824" s="3" t="s">
        <v>4182</v>
      </c>
      <c r="D824" s="3" t="s">
        <v>1524</v>
      </c>
      <c r="E824" s="3" t="s">
        <v>1524</v>
      </c>
      <c r="F824" s="2">
        <v>31</v>
      </c>
      <c r="G824" s="4" t="s">
        <v>22</v>
      </c>
      <c r="H824" s="2">
        <v>2014</v>
      </c>
      <c r="I824" s="2" t="s">
        <v>1551</v>
      </c>
      <c r="J824" s="2" t="s">
        <v>1526</v>
      </c>
      <c r="K824" s="2"/>
      <c r="L824" s="2"/>
      <c r="M824" s="2" t="s">
        <v>8</v>
      </c>
      <c r="N824" s="2"/>
      <c r="O824" s="2"/>
      <c r="P824" s="2" t="s">
        <v>1527</v>
      </c>
      <c r="Q824" s="2" t="s">
        <v>3462</v>
      </c>
      <c r="R824" s="2"/>
      <c r="S824" s="2"/>
      <c r="T824" s="2"/>
      <c r="U824" s="2"/>
      <c r="V824" s="2"/>
      <c r="W824" s="2"/>
      <c r="X824" s="2"/>
      <c r="Y824" s="2"/>
      <c r="Z824" s="2"/>
      <c r="AA824" s="2"/>
      <c r="AB824" s="2"/>
      <c r="AC824" s="2"/>
      <c r="AD824" s="2"/>
      <c r="AE824" s="2"/>
      <c r="AF824" s="2"/>
      <c r="AG824" s="2"/>
      <c r="AH824" s="2"/>
      <c r="AI824" s="2"/>
      <c r="AJ824" s="2"/>
    </row>
    <row r="825" spans="1:36" ht="17.25" customHeight="1" x14ac:dyDescent="0.2">
      <c r="A825" s="3" t="s">
        <v>0</v>
      </c>
      <c r="B825" s="3" t="s">
        <v>189</v>
      </c>
      <c r="C825" s="3" t="s">
        <v>4182</v>
      </c>
      <c r="D825" s="3" t="s">
        <v>1524</v>
      </c>
      <c r="E825" s="3" t="s">
        <v>1524</v>
      </c>
      <c r="F825" s="2">
        <v>32</v>
      </c>
      <c r="G825" s="4" t="s">
        <v>28</v>
      </c>
      <c r="H825" s="2">
        <v>2015</v>
      </c>
      <c r="I825" s="2" t="s">
        <v>1552</v>
      </c>
      <c r="J825" s="2" t="s">
        <v>1526</v>
      </c>
      <c r="K825" s="2"/>
      <c r="L825" s="2"/>
      <c r="M825" s="2" t="s">
        <v>8</v>
      </c>
      <c r="N825" s="2"/>
      <c r="O825" s="2"/>
      <c r="P825" s="2" t="s">
        <v>1527</v>
      </c>
      <c r="Q825" s="2" t="s">
        <v>3462</v>
      </c>
      <c r="R825" s="2"/>
      <c r="S825" s="2"/>
      <c r="T825" s="2"/>
      <c r="U825" s="2"/>
      <c r="V825" s="2"/>
      <c r="W825" s="2"/>
      <c r="X825" s="2"/>
      <c r="Y825" s="2"/>
      <c r="Z825" s="2"/>
      <c r="AA825" s="2"/>
      <c r="AB825" s="2"/>
      <c r="AC825" s="2"/>
      <c r="AD825" s="2"/>
      <c r="AE825" s="2"/>
      <c r="AF825" s="2"/>
      <c r="AG825" s="2"/>
      <c r="AH825" s="2"/>
      <c r="AI825" s="2"/>
      <c r="AJ825" s="2"/>
    </row>
    <row r="826" spans="1:36" ht="17.25" customHeight="1" x14ac:dyDescent="0.2">
      <c r="A826" s="3" t="s">
        <v>0</v>
      </c>
      <c r="B826" s="3" t="s">
        <v>39</v>
      </c>
      <c r="C826" s="3" t="s">
        <v>4182</v>
      </c>
      <c r="D826" s="3" t="s">
        <v>1524</v>
      </c>
      <c r="E826" s="3" t="s">
        <v>1553</v>
      </c>
      <c r="F826" s="2">
        <v>1</v>
      </c>
      <c r="G826" s="4" t="s">
        <v>40</v>
      </c>
      <c r="H826" s="2">
        <v>1984</v>
      </c>
      <c r="I826" s="2" t="s">
        <v>1554</v>
      </c>
      <c r="J826" s="2" t="s">
        <v>1555</v>
      </c>
      <c r="K826" s="2"/>
      <c r="L826" s="2"/>
      <c r="M826" s="2" t="s">
        <v>8</v>
      </c>
      <c r="N826" s="2"/>
      <c r="O826" s="2"/>
      <c r="P826" s="2" t="s">
        <v>1527</v>
      </c>
      <c r="Q826" s="2" t="s">
        <v>3462</v>
      </c>
      <c r="R826" s="2"/>
      <c r="S826" s="2"/>
      <c r="T826" s="2"/>
      <c r="U826" s="2"/>
      <c r="V826" s="2"/>
      <c r="W826" s="2"/>
      <c r="X826" s="2"/>
      <c r="Y826" s="2"/>
      <c r="Z826" s="2"/>
      <c r="AA826" s="2"/>
      <c r="AB826" s="2"/>
      <c r="AC826" s="2"/>
      <c r="AD826" s="2"/>
      <c r="AE826" s="2"/>
      <c r="AF826" s="2"/>
      <c r="AG826" s="2"/>
      <c r="AH826" s="2"/>
      <c r="AI826" s="2"/>
      <c r="AJ826" s="2"/>
    </row>
    <row r="827" spans="1:36" ht="17.25" customHeight="1" x14ac:dyDescent="0.2">
      <c r="A827" s="3" t="s">
        <v>0</v>
      </c>
      <c r="B827" s="3" t="s">
        <v>36</v>
      </c>
      <c r="C827" s="3" t="s">
        <v>4182</v>
      </c>
      <c r="D827" s="3" t="s">
        <v>1524</v>
      </c>
      <c r="E827" s="3" t="s">
        <v>1553</v>
      </c>
      <c r="F827" s="2">
        <v>2</v>
      </c>
      <c r="G827" s="4" t="s">
        <v>37</v>
      </c>
      <c r="H827" s="2">
        <v>1985</v>
      </c>
      <c r="I827" s="2" t="s">
        <v>1556</v>
      </c>
      <c r="J827" s="2" t="s">
        <v>1555</v>
      </c>
      <c r="K827" s="2"/>
      <c r="L827" s="2"/>
      <c r="M827" s="2" t="s">
        <v>8</v>
      </c>
      <c r="N827" s="2"/>
      <c r="O827" s="2"/>
      <c r="P827" s="2" t="s">
        <v>1527</v>
      </c>
      <c r="Q827" s="2" t="s">
        <v>3462</v>
      </c>
      <c r="R827" s="2"/>
      <c r="S827" s="2"/>
      <c r="T827" s="2"/>
      <c r="U827" s="2"/>
      <c r="V827" s="2"/>
      <c r="W827" s="2"/>
      <c r="X827" s="2"/>
      <c r="Y827" s="2"/>
      <c r="Z827" s="2"/>
      <c r="AA827" s="2"/>
      <c r="AB827" s="2"/>
      <c r="AC827" s="2"/>
      <c r="AD827" s="2"/>
      <c r="AE827" s="2"/>
      <c r="AF827" s="2"/>
      <c r="AG827" s="2"/>
      <c r="AH827" s="2"/>
      <c r="AI827" s="2"/>
      <c r="AJ827" s="2"/>
    </row>
    <row r="828" spans="1:36" ht="17.25" customHeight="1" x14ac:dyDescent="0.2">
      <c r="A828" s="3" t="s">
        <v>0</v>
      </c>
      <c r="B828" s="3" t="s">
        <v>79</v>
      </c>
      <c r="C828" s="3" t="s">
        <v>4182</v>
      </c>
      <c r="D828" s="3" t="s">
        <v>1524</v>
      </c>
      <c r="E828" s="3" t="s">
        <v>1553</v>
      </c>
      <c r="F828" s="2">
        <v>3</v>
      </c>
      <c r="G828" s="4" t="s">
        <v>80</v>
      </c>
      <c r="H828" s="2">
        <v>1986</v>
      </c>
      <c r="I828" s="2" t="s">
        <v>1557</v>
      </c>
      <c r="J828" s="2" t="s">
        <v>1555</v>
      </c>
      <c r="K828" s="2"/>
      <c r="L828" s="2"/>
      <c r="M828" s="2" t="s">
        <v>8</v>
      </c>
      <c r="N828" s="2"/>
      <c r="O828" s="2"/>
      <c r="P828" s="2" t="s">
        <v>1527</v>
      </c>
      <c r="Q828" s="2" t="s">
        <v>3462</v>
      </c>
      <c r="R828" s="2"/>
      <c r="S828" s="2"/>
      <c r="T828" s="2"/>
      <c r="U828" s="2"/>
      <c r="V828" s="2"/>
      <c r="W828" s="2"/>
      <c r="X828" s="2"/>
      <c r="Y828" s="2"/>
      <c r="Z828" s="2"/>
      <c r="AA828" s="2"/>
      <c r="AB828" s="2"/>
      <c r="AC828" s="2"/>
      <c r="AD828" s="2"/>
      <c r="AE828" s="2"/>
      <c r="AF828" s="2"/>
      <c r="AG828" s="2"/>
      <c r="AH828" s="2"/>
      <c r="AI828" s="2"/>
      <c r="AJ828" s="2"/>
    </row>
    <row r="829" spans="1:36" ht="17.25" customHeight="1" x14ac:dyDescent="0.2">
      <c r="A829" s="3" t="s">
        <v>0</v>
      </c>
      <c r="B829" s="3" t="s">
        <v>30</v>
      </c>
      <c r="C829" s="3" t="s">
        <v>4182</v>
      </c>
      <c r="D829" s="3" t="s">
        <v>1524</v>
      </c>
      <c r="E829" s="3" t="s">
        <v>1553</v>
      </c>
      <c r="F829" s="2">
        <v>4</v>
      </c>
      <c r="G829" s="4" t="s">
        <v>31</v>
      </c>
      <c r="H829" s="2">
        <v>1987</v>
      </c>
      <c r="I829" s="2" t="s">
        <v>1558</v>
      </c>
      <c r="J829" s="2" t="s">
        <v>1555</v>
      </c>
      <c r="K829" s="2"/>
      <c r="L829" s="2"/>
      <c r="M829" s="2" t="s">
        <v>8</v>
      </c>
      <c r="N829" s="2"/>
      <c r="O829" s="2"/>
      <c r="P829" s="2" t="s">
        <v>1527</v>
      </c>
      <c r="Q829" s="2" t="s">
        <v>3462</v>
      </c>
      <c r="R829" s="2"/>
      <c r="S829" s="2"/>
      <c r="T829" s="2"/>
      <c r="U829" s="2"/>
      <c r="V829" s="2"/>
      <c r="W829" s="2"/>
      <c r="X829" s="2"/>
      <c r="Y829" s="2"/>
      <c r="Z829" s="2"/>
      <c r="AA829" s="2"/>
      <c r="AB829" s="2"/>
      <c r="AC829" s="2"/>
      <c r="AD829" s="2"/>
      <c r="AE829" s="2"/>
      <c r="AF829" s="2"/>
      <c r="AG829" s="2"/>
      <c r="AH829" s="2"/>
      <c r="AI829" s="2"/>
      <c r="AJ829" s="2"/>
    </row>
    <row r="830" spans="1:36" ht="17.25" customHeight="1" x14ac:dyDescent="0.2">
      <c r="A830" s="3" t="s">
        <v>0</v>
      </c>
      <c r="B830" s="3" t="s">
        <v>12</v>
      </c>
      <c r="C830" s="3" t="s">
        <v>4182</v>
      </c>
      <c r="D830" s="3" t="s">
        <v>1524</v>
      </c>
      <c r="E830" s="3" t="s">
        <v>1553</v>
      </c>
      <c r="F830" s="2">
        <v>5</v>
      </c>
      <c r="G830" s="4" t="s">
        <v>13</v>
      </c>
      <c r="H830" s="2">
        <v>1988</v>
      </c>
      <c r="I830" s="2" t="s">
        <v>1559</v>
      </c>
      <c r="J830" s="2" t="s">
        <v>1555</v>
      </c>
      <c r="K830" s="2"/>
      <c r="L830" s="2"/>
      <c r="M830" s="2" t="s">
        <v>8</v>
      </c>
      <c r="N830" s="2"/>
      <c r="O830" s="2"/>
      <c r="P830" s="2" t="s">
        <v>1527</v>
      </c>
      <c r="Q830" s="2" t="s">
        <v>3462</v>
      </c>
      <c r="R830" s="2"/>
      <c r="S830" s="2"/>
      <c r="T830" s="2"/>
      <c r="U830" s="2"/>
      <c r="V830" s="2"/>
      <c r="W830" s="2"/>
      <c r="X830" s="2"/>
      <c r="Y830" s="2"/>
      <c r="Z830" s="2"/>
      <c r="AA830" s="2"/>
      <c r="AB830" s="2"/>
      <c r="AC830" s="2"/>
      <c r="AD830" s="2"/>
      <c r="AE830" s="2"/>
      <c r="AF830" s="2"/>
      <c r="AG830" s="2"/>
      <c r="AH830" s="2"/>
      <c r="AI830" s="2"/>
      <c r="AJ830" s="2"/>
    </row>
    <row r="831" spans="1:36" ht="17.25" customHeight="1" x14ac:dyDescent="0.2">
      <c r="A831" s="3" t="s">
        <v>0</v>
      </c>
      <c r="B831" s="3" t="s">
        <v>48</v>
      </c>
      <c r="C831" s="3" t="s">
        <v>4182</v>
      </c>
      <c r="D831" s="3" t="s">
        <v>1524</v>
      </c>
      <c r="E831" s="3" t="s">
        <v>1553</v>
      </c>
      <c r="F831" s="2">
        <v>6</v>
      </c>
      <c r="G831" s="4" t="s">
        <v>49</v>
      </c>
      <c r="H831" s="2">
        <v>1989</v>
      </c>
      <c r="I831" s="2" t="s">
        <v>1560</v>
      </c>
      <c r="J831" s="2" t="s">
        <v>1555</v>
      </c>
      <c r="K831" s="2"/>
      <c r="L831" s="2"/>
      <c r="M831" s="2" t="s">
        <v>8</v>
      </c>
      <c r="N831" s="2"/>
      <c r="O831" s="2"/>
      <c r="P831" s="2" t="s">
        <v>1527</v>
      </c>
      <c r="Q831" s="2" t="s">
        <v>3462</v>
      </c>
      <c r="R831" s="2"/>
      <c r="S831" s="2"/>
      <c r="T831" s="2"/>
      <c r="U831" s="2"/>
      <c r="V831" s="2"/>
      <c r="W831" s="2"/>
      <c r="X831" s="2"/>
      <c r="Y831" s="2"/>
      <c r="Z831" s="2"/>
      <c r="AA831" s="2"/>
      <c r="AB831" s="2"/>
      <c r="AC831" s="2"/>
      <c r="AD831" s="2"/>
      <c r="AE831" s="2"/>
      <c r="AF831" s="2"/>
      <c r="AG831" s="2"/>
      <c r="AH831" s="2"/>
      <c r="AI831" s="2"/>
      <c r="AJ831" s="2"/>
    </row>
    <row r="832" spans="1:36" ht="17.25" customHeight="1" x14ac:dyDescent="0.2">
      <c r="A832" s="3" t="s">
        <v>0</v>
      </c>
      <c r="B832" s="3" t="s">
        <v>100</v>
      </c>
      <c r="C832" s="3" t="s">
        <v>4182</v>
      </c>
      <c r="D832" s="3" t="s">
        <v>1524</v>
      </c>
      <c r="E832" s="3" t="s">
        <v>1553</v>
      </c>
      <c r="F832" s="2">
        <v>7</v>
      </c>
      <c r="G832" s="4" t="s">
        <v>101</v>
      </c>
      <c r="H832" s="2">
        <v>1990</v>
      </c>
      <c r="I832" s="2" t="s">
        <v>1561</v>
      </c>
      <c r="J832" s="2" t="s">
        <v>1555</v>
      </c>
      <c r="K832" s="2"/>
      <c r="L832" s="2"/>
      <c r="M832" s="2" t="s">
        <v>8</v>
      </c>
      <c r="N832" s="2"/>
      <c r="O832" s="2"/>
      <c r="P832" s="2" t="s">
        <v>1527</v>
      </c>
      <c r="Q832" s="2" t="s">
        <v>3462</v>
      </c>
      <c r="R832" s="2"/>
      <c r="S832" s="2"/>
      <c r="T832" s="2"/>
      <c r="U832" s="2"/>
      <c r="V832" s="2"/>
      <c r="W832" s="2"/>
      <c r="X832" s="2"/>
      <c r="Y832" s="2"/>
      <c r="Z832" s="2"/>
      <c r="AA832" s="2"/>
      <c r="AB832" s="2"/>
      <c r="AC832" s="2"/>
      <c r="AD832" s="2"/>
      <c r="AE832" s="2"/>
      <c r="AF832" s="2"/>
      <c r="AG832" s="2"/>
      <c r="AH832" s="2"/>
      <c r="AI832" s="2"/>
      <c r="AJ832" s="2"/>
    </row>
    <row r="833" spans="1:36" ht="17.25" customHeight="1" x14ac:dyDescent="0.2">
      <c r="A833" s="3" t="s">
        <v>0</v>
      </c>
      <c r="B833" s="3" t="s">
        <v>9</v>
      </c>
      <c r="C833" s="3" t="s">
        <v>4182</v>
      </c>
      <c r="D833" s="3" t="s">
        <v>1524</v>
      </c>
      <c r="E833" s="3" t="s">
        <v>1553</v>
      </c>
      <c r="F833" s="2">
        <v>8</v>
      </c>
      <c r="G833" s="4" t="s">
        <v>10</v>
      </c>
      <c r="H833" s="2">
        <v>1991</v>
      </c>
      <c r="I833" s="2" t="s">
        <v>1562</v>
      </c>
      <c r="J833" s="2" t="s">
        <v>1555</v>
      </c>
      <c r="K833" s="2"/>
      <c r="L833" s="2"/>
      <c r="M833" s="2" t="s">
        <v>8</v>
      </c>
      <c r="N833" s="2"/>
      <c r="O833" s="2"/>
      <c r="P833" s="2" t="s">
        <v>1527</v>
      </c>
      <c r="Q833" s="2" t="s">
        <v>3462</v>
      </c>
      <c r="R833" s="2"/>
      <c r="S833" s="2"/>
      <c r="T833" s="2"/>
      <c r="U833" s="2"/>
      <c r="V833" s="2"/>
      <c r="W833" s="2"/>
      <c r="X833" s="2"/>
      <c r="Y833" s="2"/>
      <c r="Z833" s="2"/>
      <c r="AA833" s="2"/>
      <c r="AB833" s="2"/>
      <c r="AC833" s="2"/>
      <c r="AD833" s="2"/>
      <c r="AE833" s="2"/>
      <c r="AF833" s="2"/>
      <c r="AG833" s="2"/>
      <c r="AH833" s="2"/>
      <c r="AI833" s="2"/>
      <c r="AJ833" s="2"/>
    </row>
    <row r="834" spans="1:36" ht="17.25" customHeight="1" x14ac:dyDescent="0.2">
      <c r="A834" s="3" t="s">
        <v>0</v>
      </c>
      <c r="B834" s="3" t="s">
        <v>54</v>
      </c>
      <c r="C834" s="3" t="s">
        <v>4182</v>
      </c>
      <c r="D834" s="3" t="s">
        <v>1524</v>
      </c>
      <c r="E834" s="3" t="s">
        <v>1553</v>
      </c>
      <c r="F834" s="2">
        <v>9</v>
      </c>
      <c r="G834" s="4" t="s">
        <v>55</v>
      </c>
      <c r="H834" s="2">
        <v>1992</v>
      </c>
      <c r="I834" s="2" t="s">
        <v>1563</v>
      </c>
      <c r="J834" s="2" t="s">
        <v>1555</v>
      </c>
      <c r="K834" s="2"/>
      <c r="L834" s="2"/>
      <c r="M834" s="2" t="s">
        <v>8</v>
      </c>
      <c r="N834" s="2"/>
      <c r="O834" s="2"/>
      <c r="P834" s="2" t="s">
        <v>1527</v>
      </c>
      <c r="Q834" s="2" t="s">
        <v>3462</v>
      </c>
      <c r="R834" s="2"/>
      <c r="S834" s="2"/>
      <c r="T834" s="2"/>
      <c r="U834" s="2"/>
      <c r="V834" s="2"/>
      <c r="W834" s="2"/>
      <c r="X834" s="2"/>
      <c r="Y834" s="2"/>
      <c r="Z834" s="2"/>
      <c r="AA834" s="2"/>
      <c r="AB834" s="2"/>
      <c r="AC834" s="2"/>
      <c r="AD834" s="2"/>
      <c r="AE834" s="2"/>
      <c r="AF834" s="2"/>
      <c r="AG834" s="2"/>
      <c r="AH834" s="2"/>
      <c r="AI834" s="2"/>
      <c r="AJ834" s="2"/>
    </row>
    <row r="835" spans="1:36" ht="17.25" customHeight="1" x14ac:dyDescent="0.2">
      <c r="A835" s="3" t="s">
        <v>0</v>
      </c>
      <c r="B835" s="3" t="s">
        <v>97</v>
      </c>
      <c r="C835" s="3" t="s">
        <v>4182</v>
      </c>
      <c r="D835" s="3" t="s">
        <v>1524</v>
      </c>
      <c r="E835" s="3" t="s">
        <v>1553</v>
      </c>
      <c r="F835" s="2">
        <v>10</v>
      </c>
      <c r="G835" s="4" t="s">
        <v>98</v>
      </c>
      <c r="H835" s="2">
        <v>1993</v>
      </c>
      <c r="I835" s="2" t="s">
        <v>1564</v>
      </c>
      <c r="J835" s="2" t="s">
        <v>1555</v>
      </c>
      <c r="K835" s="2"/>
      <c r="L835" s="2"/>
      <c r="M835" s="2" t="s">
        <v>8</v>
      </c>
      <c r="N835" s="2"/>
      <c r="O835" s="2"/>
      <c r="P835" s="2" t="s">
        <v>1527</v>
      </c>
      <c r="Q835" s="2" t="s">
        <v>3462</v>
      </c>
      <c r="R835" s="2"/>
      <c r="S835" s="2"/>
      <c r="T835" s="2"/>
      <c r="U835" s="2"/>
      <c r="V835" s="2"/>
      <c r="W835" s="2"/>
      <c r="X835" s="2"/>
      <c r="Y835" s="2"/>
      <c r="Z835" s="2"/>
      <c r="AA835" s="2"/>
      <c r="AB835" s="2"/>
      <c r="AC835" s="2"/>
      <c r="AD835" s="2"/>
      <c r="AE835" s="2"/>
      <c r="AF835" s="2"/>
      <c r="AG835" s="2"/>
      <c r="AH835" s="2"/>
      <c r="AI835" s="2"/>
      <c r="AJ835" s="2"/>
    </row>
    <row r="836" spans="1:36" ht="17.25" customHeight="1" x14ac:dyDescent="0.2">
      <c r="A836" s="3" t="s">
        <v>0</v>
      </c>
      <c r="B836" s="3" t="s">
        <v>103</v>
      </c>
      <c r="C836" s="3" t="s">
        <v>4182</v>
      </c>
      <c r="D836" s="3" t="s">
        <v>1524</v>
      </c>
      <c r="E836" s="3" t="s">
        <v>1553</v>
      </c>
      <c r="F836" s="2">
        <v>11</v>
      </c>
      <c r="G836" s="4" t="s">
        <v>104</v>
      </c>
      <c r="H836" s="2">
        <v>1994</v>
      </c>
      <c r="I836" s="2" t="s">
        <v>1565</v>
      </c>
      <c r="J836" s="2" t="s">
        <v>1555</v>
      </c>
      <c r="K836" s="2"/>
      <c r="L836" s="2"/>
      <c r="M836" s="2" t="s">
        <v>8</v>
      </c>
      <c r="N836" s="2"/>
      <c r="O836" s="2"/>
      <c r="P836" s="2" t="s">
        <v>1527</v>
      </c>
      <c r="Q836" s="2" t="s">
        <v>3462</v>
      </c>
      <c r="R836" s="2"/>
      <c r="S836" s="2"/>
      <c r="T836" s="2"/>
      <c r="U836" s="2"/>
      <c r="V836" s="2"/>
      <c r="W836" s="2"/>
      <c r="X836" s="2"/>
      <c r="Y836" s="2"/>
      <c r="Z836" s="2"/>
      <c r="AA836" s="2"/>
      <c r="AB836" s="2"/>
      <c r="AC836" s="2"/>
      <c r="AD836" s="2"/>
      <c r="AE836" s="2"/>
      <c r="AF836" s="2"/>
      <c r="AG836" s="2"/>
      <c r="AH836" s="2"/>
      <c r="AI836" s="2"/>
      <c r="AJ836" s="2"/>
    </row>
    <row r="837" spans="1:36" ht="17.25" customHeight="1" x14ac:dyDescent="0.2">
      <c r="A837" s="3" t="s">
        <v>0</v>
      </c>
      <c r="B837" s="3" t="s">
        <v>88</v>
      </c>
      <c r="C837" s="3" t="s">
        <v>4182</v>
      </c>
      <c r="D837" s="3" t="s">
        <v>1524</v>
      </c>
      <c r="E837" s="3" t="s">
        <v>1553</v>
      </c>
      <c r="F837" s="2">
        <v>12</v>
      </c>
      <c r="G837" s="4" t="s">
        <v>89</v>
      </c>
      <c r="H837" s="2">
        <v>1995</v>
      </c>
      <c r="I837" s="2" t="s">
        <v>1566</v>
      </c>
      <c r="J837" s="2" t="s">
        <v>1555</v>
      </c>
      <c r="K837" s="2"/>
      <c r="L837" s="2"/>
      <c r="M837" s="2" t="s">
        <v>8</v>
      </c>
      <c r="N837" s="2"/>
      <c r="O837" s="2"/>
      <c r="P837" s="2" t="s">
        <v>1527</v>
      </c>
      <c r="Q837" s="2" t="s">
        <v>3462</v>
      </c>
      <c r="R837" s="2"/>
      <c r="S837" s="2"/>
      <c r="T837" s="2"/>
      <c r="U837" s="2"/>
      <c r="V837" s="2"/>
      <c r="W837" s="2"/>
      <c r="X837" s="2"/>
      <c r="Y837" s="2"/>
      <c r="Z837" s="2"/>
      <c r="AA837" s="2"/>
      <c r="AB837" s="2"/>
      <c r="AC837" s="2"/>
      <c r="AD837" s="2"/>
      <c r="AE837" s="2"/>
      <c r="AF837" s="2"/>
      <c r="AG837" s="2"/>
      <c r="AH837" s="2"/>
      <c r="AI837" s="2"/>
      <c r="AJ837" s="2"/>
    </row>
    <row r="838" spans="1:36" ht="17.25" customHeight="1" x14ac:dyDescent="0.2">
      <c r="A838" s="3" t="s">
        <v>0</v>
      </c>
      <c r="B838" s="3" t="s">
        <v>106</v>
      </c>
      <c r="C838" s="3" t="s">
        <v>4182</v>
      </c>
      <c r="D838" s="3" t="s">
        <v>1524</v>
      </c>
      <c r="E838" s="3" t="s">
        <v>1553</v>
      </c>
      <c r="F838" s="2">
        <v>13</v>
      </c>
      <c r="G838" s="4" t="s">
        <v>107</v>
      </c>
      <c r="H838" s="2">
        <v>1996</v>
      </c>
      <c r="I838" s="2" t="s">
        <v>1567</v>
      </c>
      <c r="J838" s="2" t="s">
        <v>1555</v>
      </c>
      <c r="K838" s="2"/>
      <c r="L838" s="2"/>
      <c r="M838" s="2" t="s">
        <v>8</v>
      </c>
      <c r="N838" s="2"/>
      <c r="O838" s="2"/>
      <c r="P838" s="2" t="s">
        <v>1527</v>
      </c>
      <c r="Q838" s="2" t="s">
        <v>3462</v>
      </c>
      <c r="R838" s="2"/>
      <c r="S838" s="2"/>
      <c r="T838" s="2"/>
      <c r="U838" s="2"/>
      <c r="V838" s="2"/>
      <c r="W838" s="2"/>
      <c r="X838" s="2"/>
      <c r="Y838" s="2"/>
      <c r="Z838" s="2"/>
      <c r="AA838" s="2"/>
      <c r="AB838" s="2"/>
      <c r="AC838" s="2"/>
      <c r="AD838" s="2"/>
      <c r="AE838" s="2"/>
      <c r="AF838" s="2"/>
      <c r="AG838" s="2"/>
      <c r="AH838" s="2"/>
      <c r="AI838" s="2"/>
      <c r="AJ838" s="2"/>
    </row>
    <row r="839" spans="1:36" ht="17.25" customHeight="1" x14ac:dyDescent="0.2">
      <c r="A839" s="3" t="s">
        <v>0</v>
      </c>
      <c r="B839" s="3" t="s">
        <v>42</v>
      </c>
      <c r="C839" s="3" t="s">
        <v>4182</v>
      </c>
      <c r="D839" s="3" t="s">
        <v>1524</v>
      </c>
      <c r="E839" s="3" t="s">
        <v>1553</v>
      </c>
      <c r="F839" s="2">
        <v>14</v>
      </c>
      <c r="G839" s="4" t="s">
        <v>43</v>
      </c>
      <c r="H839" s="2">
        <v>1997</v>
      </c>
      <c r="I839" s="2" t="s">
        <v>1568</v>
      </c>
      <c r="J839" s="2" t="s">
        <v>1555</v>
      </c>
      <c r="K839" s="2"/>
      <c r="L839" s="2"/>
      <c r="M839" s="2" t="s">
        <v>8</v>
      </c>
      <c r="N839" s="2"/>
      <c r="O839" s="2"/>
      <c r="P839" s="2" t="s">
        <v>1527</v>
      </c>
      <c r="Q839" s="2" t="s">
        <v>3462</v>
      </c>
      <c r="R839" s="2"/>
      <c r="S839" s="2"/>
      <c r="T839" s="2"/>
      <c r="U839" s="2"/>
      <c r="V839" s="2"/>
      <c r="W839" s="2"/>
      <c r="X839" s="2"/>
      <c r="Y839" s="2"/>
      <c r="Z839" s="2"/>
      <c r="AA839" s="2"/>
      <c r="AB839" s="2"/>
      <c r="AC839" s="2"/>
      <c r="AD839" s="2"/>
      <c r="AE839" s="2"/>
      <c r="AF839" s="2"/>
      <c r="AG839" s="2"/>
      <c r="AH839" s="2"/>
      <c r="AI839" s="2"/>
      <c r="AJ839" s="2"/>
    </row>
    <row r="840" spans="1:36" ht="17.25" customHeight="1" x14ac:dyDescent="0.2">
      <c r="A840" s="3" t="s">
        <v>0</v>
      </c>
      <c r="B840" s="3" t="s">
        <v>18</v>
      </c>
      <c r="C840" s="3" t="s">
        <v>4182</v>
      </c>
      <c r="D840" s="3" t="s">
        <v>1524</v>
      </c>
      <c r="E840" s="3" t="s">
        <v>1553</v>
      </c>
      <c r="F840" s="2">
        <v>15</v>
      </c>
      <c r="G840" s="4" t="s">
        <v>19</v>
      </c>
      <c r="H840" s="2">
        <v>1998</v>
      </c>
      <c r="I840" s="2" t="s">
        <v>1569</v>
      </c>
      <c r="J840" s="2" t="s">
        <v>1555</v>
      </c>
      <c r="K840" s="2"/>
      <c r="L840" s="2"/>
      <c r="M840" s="2" t="s">
        <v>8</v>
      </c>
      <c r="N840" s="2"/>
      <c r="O840" s="2"/>
      <c r="P840" s="2" t="s">
        <v>1527</v>
      </c>
      <c r="Q840" s="2" t="s">
        <v>3462</v>
      </c>
      <c r="R840" s="2"/>
      <c r="S840" s="2"/>
      <c r="T840" s="2"/>
      <c r="U840" s="2"/>
      <c r="V840" s="2"/>
      <c r="W840" s="2"/>
      <c r="X840" s="2"/>
      <c r="Y840" s="2"/>
      <c r="Z840" s="2"/>
      <c r="AA840" s="2"/>
      <c r="AB840" s="2"/>
      <c r="AC840" s="2"/>
      <c r="AD840" s="2"/>
      <c r="AE840" s="2"/>
      <c r="AF840" s="2"/>
      <c r="AG840" s="2"/>
      <c r="AH840" s="2"/>
      <c r="AI840" s="2"/>
      <c r="AJ840" s="2"/>
    </row>
    <row r="841" spans="1:36" ht="17.25" customHeight="1" x14ac:dyDescent="0.2">
      <c r="A841" s="3" t="s">
        <v>0</v>
      </c>
      <c r="B841" s="3" t="s">
        <v>24</v>
      </c>
      <c r="C841" s="3" t="s">
        <v>4182</v>
      </c>
      <c r="D841" s="3" t="s">
        <v>1524</v>
      </c>
      <c r="E841" s="3" t="s">
        <v>1553</v>
      </c>
      <c r="F841" s="2">
        <v>16</v>
      </c>
      <c r="G841" s="4" t="s">
        <v>25</v>
      </c>
      <c r="H841" s="2">
        <v>1999</v>
      </c>
      <c r="I841" s="2" t="s">
        <v>1570</v>
      </c>
      <c r="J841" s="2" t="s">
        <v>1555</v>
      </c>
      <c r="K841" s="2"/>
      <c r="L841" s="2"/>
      <c r="M841" s="2" t="s">
        <v>8</v>
      </c>
      <c r="N841" s="2"/>
      <c r="O841" s="2"/>
      <c r="P841" s="2" t="s">
        <v>1527</v>
      </c>
      <c r="Q841" s="2" t="s">
        <v>3462</v>
      </c>
      <c r="R841" s="2"/>
      <c r="S841" s="2"/>
      <c r="T841" s="2"/>
      <c r="U841" s="2"/>
      <c r="V841" s="2"/>
      <c r="W841" s="2"/>
      <c r="X841" s="2"/>
      <c r="Y841" s="2"/>
      <c r="Z841" s="2"/>
      <c r="AA841" s="2"/>
      <c r="AB841" s="2"/>
      <c r="AC841" s="2"/>
      <c r="AD841" s="2"/>
      <c r="AE841" s="2"/>
      <c r="AF841" s="2"/>
      <c r="AG841" s="2"/>
      <c r="AH841" s="2"/>
      <c r="AI841" s="2"/>
      <c r="AJ841" s="2"/>
    </row>
    <row r="842" spans="1:36" ht="17.25" customHeight="1" x14ac:dyDescent="0.2">
      <c r="A842" s="3" t="s">
        <v>0</v>
      </c>
      <c r="B842" s="3" t="s">
        <v>72</v>
      </c>
      <c r="C842" s="3" t="s">
        <v>4182</v>
      </c>
      <c r="D842" s="3" t="s">
        <v>1524</v>
      </c>
      <c r="E842" s="3" t="s">
        <v>1553</v>
      </c>
      <c r="F842" s="2">
        <v>17</v>
      </c>
      <c r="G842" s="4" t="s">
        <v>73</v>
      </c>
      <c r="H842" s="2">
        <v>2000</v>
      </c>
      <c r="I842" s="2" t="s">
        <v>1571</v>
      </c>
      <c r="J842" s="2" t="s">
        <v>1555</v>
      </c>
      <c r="K842" s="2"/>
      <c r="L842" s="2"/>
      <c r="M842" s="2" t="s">
        <v>8</v>
      </c>
      <c r="N842" s="2"/>
      <c r="O842" s="2"/>
      <c r="P842" s="2" t="s">
        <v>1527</v>
      </c>
      <c r="Q842" s="2" t="s">
        <v>3462</v>
      </c>
      <c r="R842" s="2"/>
      <c r="S842" s="2"/>
      <c r="T842" s="2"/>
      <c r="U842" s="2"/>
      <c r="V842" s="2"/>
      <c r="W842" s="2"/>
      <c r="X842" s="2"/>
      <c r="Y842" s="2"/>
      <c r="Z842" s="2"/>
      <c r="AA842" s="2"/>
      <c r="AB842" s="2"/>
      <c r="AC842" s="2"/>
      <c r="AD842" s="2"/>
      <c r="AE842" s="2"/>
      <c r="AF842" s="2"/>
      <c r="AG842" s="2"/>
      <c r="AH842" s="2"/>
      <c r="AI842" s="2"/>
      <c r="AJ842" s="2"/>
    </row>
    <row r="843" spans="1:36" ht="17.25" customHeight="1" x14ac:dyDescent="0.2">
      <c r="A843" s="3" t="s">
        <v>0</v>
      </c>
      <c r="B843" s="3" t="s">
        <v>57</v>
      </c>
      <c r="C843" s="3" t="s">
        <v>4182</v>
      </c>
      <c r="D843" s="3" t="s">
        <v>1524</v>
      </c>
      <c r="E843" s="3" t="s">
        <v>1553</v>
      </c>
      <c r="F843" s="2">
        <v>18</v>
      </c>
      <c r="G843" s="4" t="s">
        <v>58</v>
      </c>
      <c r="H843" s="2">
        <v>2001</v>
      </c>
      <c r="I843" s="2" t="s">
        <v>1572</v>
      </c>
      <c r="J843" s="2" t="s">
        <v>1555</v>
      </c>
      <c r="K843" s="2"/>
      <c r="L843" s="2"/>
      <c r="M843" s="2" t="s">
        <v>8</v>
      </c>
      <c r="N843" s="2"/>
      <c r="O843" s="2"/>
      <c r="P843" s="2" t="s">
        <v>1527</v>
      </c>
      <c r="Q843" s="2" t="s">
        <v>3462</v>
      </c>
      <c r="R843" s="2"/>
      <c r="S843" s="2"/>
      <c r="T843" s="2"/>
      <c r="U843" s="2"/>
      <c r="V843" s="2"/>
      <c r="W843" s="2"/>
      <c r="X843" s="2"/>
      <c r="Y843" s="2"/>
      <c r="Z843" s="2"/>
      <c r="AA843" s="2"/>
      <c r="AB843" s="2"/>
      <c r="AC843" s="2"/>
      <c r="AD843" s="2"/>
      <c r="AE843" s="2"/>
      <c r="AF843" s="2"/>
      <c r="AG843" s="2"/>
      <c r="AH843" s="2"/>
      <c r="AI843" s="2"/>
      <c r="AJ843" s="2"/>
    </row>
    <row r="844" spans="1:36" ht="17.25" customHeight="1" x14ac:dyDescent="0.2">
      <c r="A844" s="3" t="s">
        <v>0</v>
      </c>
      <c r="B844" s="3" t="s">
        <v>1</v>
      </c>
      <c r="C844" s="3" t="s">
        <v>4182</v>
      </c>
      <c r="D844" s="3" t="s">
        <v>1524</v>
      </c>
      <c r="E844" s="3" t="s">
        <v>1553</v>
      </c>
      <c r="F844" s="2">
        <v>19</v>
      </c>
      <c r="G844" s="4" t="s">
        <v>4</v>
      </c>
      <c r="H844" s="2">
        <v>2002</v>
      </c>
      <c r="I844" s="2" t="s">
        <v>1573</v>
      </c>
      <c r="J844" s="2" t="s">
        <v>1555</v>
      </c>
      <c r="K844" s="2"/>
      <c r="L844" s="2"/>
      <c r="M844" s="2" t="s">
        <v>8</v>
      </c>
      <c r="N844" s="2"/>
      <c r="O844" s="2"/>
      <c r="P844" s="2" t="s">
        <v>1527</v>
      </c>
      <c r="Q844" s="2" t="s">
        <v>3462</v>
      </c>
      <c r="R844" s="2"/>
      <c r="S844" s="2"/>
      <c r="T844" s="2"/>
      <c r="U844" s="2"/>
      <c r="V844" s="2"/>
      <c r="W844" s="2"/>
      <c r="X844" s="2"/>
      <c r="Y844" s="2"/>
      <c r="Z844" s="2"/>
      <c r="AA844" s="2"/>
      <c r="AB844" s="2"/>
      <c r="AC844" s="2"/>
      <c r="AD844" s="2"/>
      <c r="AE844" s="2"/>
      <c r="AF844" s="2"/>
      <c r="AG844" s="2"/>
      <c r="AH844" s="2"/>
      <c r="AI844" s="2"/>
      <c r="AJ844" s="2"/>
    </row>
    <row r="845" spans="1:36" ht="17.25" customHeight="1" x14ac:dyDescent="0.2">
      <c r="A845" s="3" t="s">
        <v>0</v>
      </c>
      <c r="B845" s="3" t="s">
        <v>82</v>
      </c>
      <c r="C845" s="3" t="s">
        <v>4182</v>
      </c>
      <c r="D845" s="3" t="s">
        <v>1524</v>
      </c>
      <c r="E845" s="3" t="s">
        <v>1553</v>
      </c>
      <c r="F845" s="2">
        <v>20</v>
      </c>
      <c r="G845" s="4" t="s">
        <v>83</v>
      </c>
      <c r="H845" s="2">
        <v>2003</v>
      </c>
      <c r="I845" s="2" t="s">
        <v>1574</v>
      </c>
      <c r="J845" s="2" t="s">
        <v>1555</v>
      </c>
      <c r="K845" s="2"/>
      <c r="L845" s="2"/>
      <c r="M845" s="2" t="s">
        <v>8</v>
      </c>
      <c r="N845" s="2"/>
      <c r="O845" s="2"/>
      <c r="P845" s="2" t="s">
        <v>1527</v>
      </c>
      <c r="Q845" s="2" t="s">
        <v>3462</v>
      </c>
      <c r="R845" s="2"/>
      <c r="S845" s="2"/>
      <c r="T845" s="2"/>
      <c r="U845" s="2"/>
      <c r="V845" s="2"/>
      <c r="W845" s="2"/>
      <c r="X845" s="2"/>
      <c r="Y845" s="2"/>
      <c r="Z845" s="2"/>
      <c r="AA845" s="2"/>
      <c r="AB845" s="2"/>
      <c r="AC845" s="2"/>
      <c r="AD845" s="2"/>
      <c r="AE845" s="2"/>
      <c r="AF845" s="2"/>
      <c r="AG845" s="2"/>
      <c r="AH845" s="2"/>
      <c r="AI845" s="2"/>
      <c r="AJ845" s="2"/>
    </row>
    <row r="846" spans="1:36" ht="17.25" customHeight="1" x14ac:dyDescent="0.2">
      <c r="A846" s="3" t="s">
        <v>0</v>
      </c>
      <c r="B846" s="3" t="s">
        <v>63</v>
      </c>
      <c r="C846" s="3" t="s">
        <v>4182</v>
      </c>
      <c r="D846" s="3" t="s">
        <v>1524</v>
      </c>
      <c r="E846" s="3" t="s">
        <v>1553</v>
      </c>
      <c r="F846" s="2">
        <v>21</v>
      </c>
      <c r="G846" s="4" t="s">
        <v>64</v>
      </c>
      <c r="H846" s="2">
        <v>2004</v>
      </c>
      <c r="I846" s="2" t="s">
        <v>1575</v>
      </c>
      <c r="J846" s="2" t="s">
        <v>1555</v>
      </c>
      <c r="K846" s="2"/>
      <c r="L846" s="2"/>
      <c r="M846" s="2" t="s">
        <v>8</v>
      </c>
      <c r="N846" s="2"/>
      <c r="O846" s="2"/>
      <c r="P846" s="2" t="s">
        <v>1527</v>
      </c>
      <c r="Q846" s="2" t="s">
        <v>3462</v>
      </c>
      <c r="R846" s="2"/>
      <c r="S846" s="2"/>
      <c r="T846" s="2"/>
      <c r="U846" s="2"/>
      <c r="V846" s="2"/>
      <c r="W846" s="2"/>
      <c r="X846" s="2"/>
      <c r="Y846" s="2"/>
      <c r="Z846" s="2"/>
      <c r="AA846" s="2"/>
      <c r="AB846" s="2"/>
      <c r="AC846" s="2"/>
      <c r="AD846" s="2"/>
      <c r="AE846" s="2"/>
      <c r="AF846" s="2"/>
      <c r="AG846" s="2"/>
      <c r="AH846" s="2"/>
      <c r="AI846" s="2"/>
      <c r="AJ846" s="2"/>
    </row>
    <row r="847" spans="1:36" ht="17.25" customHeight="1" x14ac:dyDescent="0.2">
      <c r="A847" s="3" t="s">
        <v>0</v>
      </c>
      <c r="B847" s="3" t="s">
        <v>91</v>
      </c>
      <c r="C847" s="3" t="s">
        <v>4182</v>
      </c>
      <c r="D847" s="3" t="s">
        <v>1524</v>
      </c>
      <c r="E847" s="3" t="s">
        <v>1553</v>
      </c>
      <c r="F847" s="2">
        <v>22</v>
      </c>
      <c r="G847" s="4" t="s">
        <v>92</v>
      </c>
      <c r="H847" s="2">
        <v>2005</v>
      </c>
      <c r="I847" s="2" t="s">
        <v>1576</v>
      </c>
      <c r="J847" s="2" t="s">
        <v>1555</v>
      </c>
      <c r="K847" s="2"/>
      <c r="L847" s="2"/>
      <c r="M847" s="2" t="s">
        <v>8</v>
      </c>
      <c r="N847" s="2"/>
      <c r="O847" s="2"/>
      <c r="P847" s="2" t="s">
        <v>1527</v>
      </c>
      <c r="Q847" s="2" t="s">
        <v>3462</v>
      </c>
      <c r="R847" s="2"/>
      <c r="S847" s="2"/>
      <c r="T847" s="2"/>
      <c r="U847" s="2"/>
      <c r="V847" s="2"/>
      <c r="W847" s="2"/>
      <c r="X847" s="2"/>
      <c r="Y847" s="2"/>
      <c r="Z847" s="2"/>
      <c r="AA847" s="2"/>
      <c r="AB847" s="2"/>
      <c r="AC847" s="2"/>
      <c r="AD847" s="2"/>
      <c r="AE847" s="2"/>
      <c r="AF847" s="2"/>
      <c r="AG847" s="2"/>
      <c r="AH847" s="2"/>
      <c r="AI847" s="2"/>
      <c r="AJ847" s="2"/>
    </row>
    <row r="848" spans="1:36" ht="17.25" customHeight="1" x14ac:dyDescent="0.2">
      <c r="A848" s="3" t="s">
        <v>0</v>
      </c>
      <c r="B848" s="3" t="s">
        <v>51</v>
      </c>
      <c r="C848" s="3" t="s">
        <v>4182</v>
      </c>
      <c r="D848" s="3" t="s">
        <v>1524</v>
      </c>
      <c r="E848" s="3" t="s">
        <v>1553</v>
      </c>
      <c r="F848" s="2">
        <v>23</v>
      </c>
      <c r="G848" s="4" t="s">
        <v>52</v>
      </c>
      <c r="H848" s="2">
        <v>2006</v>
      </c>
      <c r="I848" s="2" t="s">
        <v>1577</v>
      </c>
      <c r="J848" s="2" t="s">
        <v>1555</v>
      </c>
      <c r="K848" s="2"/>
      <c r="L848" s="2"/>
      <c r="M848" s="2" t="s">
        <v>8</v>
      </c>
      <c r="N848" s="2"/>
      <c r="O848" s="2"/>
      <c r="P848" s="2" t="s">
        <v>1527</v>
      </c>
      <c r="Q848" s="2" t="s">
        <v>3462</v>
      </c>
      <c r="R848" s="2"/>
      <c r="S848" s="2"/>
      <c r="T848" s="2"/>
      <c r="U848" s="2"/>
      <c r="V848" s="2"/>
      <c r="W848" s="2"/>
      <c r="X848" s="2"/>
      <c r="Y848" s="2"/>
      <c r="Z848" s="2"/>
      <c r="AA848" s="2"/>
      <c r="AB848" s="2"/>
      <c r="AC848" s="2"/>
      <c r="AD848" s="2"/>
      <c r="AE848" s="2"/>
      <c r="AF848" s="2"/>
      <c r="AG848" s="2"/>
      <c r="AH848" s="2"/>
      <c r="AI848" s="2"/>
      <c r="AJ848" s="2"/>
    </row>
    <row r="849" spans="1:36" ht="17.25" customHeight="1" x14ac:dyDescent="0.2">
      <c r="A849" s="3" t="s">
        <v>0</v>
      </c>
      <c r="B849" s="3" t="s">
        <v>94</v>
      </c>
      <c r="C849" s="3" t="s">
        <v>4182</v>
      </c>
      <c r="D849" s="3" t="s">
        <v>1524</v>
      </c>
      <c r="E849" s="3" t="s">
        <v>1553</v>
      </c>
      <c r="F849" s="2">
        <v>24</v>
      </c>
      <c r="G849" s="4" t="s">
        <v>95</v>
      </c>
      <c r="H849" s="2">
        <v>2007</v>
      </c>
      <c r="I849" s="2" t="s">
        <v>1578</v>
      </c>
      <c r="J849" s="2" t="s">
        <v>1555</v>
      </c>
      <c r="K849" s="2"/>
      <c r="L849" s="2"/>
      <c r="M849" s="2" t="s">
        <v>8</v>
      </c>
      <c r="N849" s="2"/>
      <c r="O849" s="2"/>
      <c r="P849" s="2" t="s">
        <v>1527</v>
      </c>
      <c r="Q849" s="2" t="s">
        <v>3462</v>
      </c>
      <c r="R849" s="2"/>
      <c r="S849" s="2"/>
      <c r="T849" s="2"/>
      <c r="U849" s="2"/>
      <c r="V849" s="2"/>
      <c r="W849" s="2"/>
      <c r="X849" s="2"/>
      <c r="Y849" s="2"/>
      <c r="Z849" s="2"/>
      <c r="AA849" s="2"/>
      <c r="AB849" s="2"/>
      <c r="AC849" s="2"/>
      <c r="AD849" s="2"/>
      <c r="AE849" s="2"/>
      <c r="AF849" s="2"/>
      <c r="AG849" s="2"/>
      <c r="AH849" s="2"/>
      <c r="AI849" s="2"/>
      <c r="AJ849" s="2"/>
    </row>
    <row r="850" spans="1:36" ht="17.25" customHeight="1" x14ac:dyDescent="0.2">
      <c r="A850" s="3" t="s">
        <v>0</v>
      </c>
      <c r="B850" s="3" t="s">
        <v>69</v>
      </c>
      <c r="C850" s="3" t="s">
        <v>4182</v>
      </c>
      <c r="D850" s="3" t="s">
        <v>1524</v>
      </c>
      <c r="E850" s="3" t="s">
        <v>1553</v>
      </c>
      <c r="F850" s="2">
        <v>25</v>
      </c>
      <c r="G850" s="4" t="s">
        <v>70</v>
      </c>
      <c r="H850" s="2">
        <v>2008</v>
      </c>
      <c r="I850" s="2" t="s">
        <v>1579</v>
      </c>
      <c r="J850" s="2" t="s">
        <v>1555</v>
      </c>
      <c r="K850" s="2"/>
      <c r="L850" s="2"/>
      <c r="M850" s="2" t="s">
        <v>8</v>
      </c>
      <c r="N850" s="2"/>
      <c r="O850" s="2"/>
      <c r="P850" s="2" t="s">
        <v>1527</v>
      </c>
      <c r="Q850" s="2" t="s">
        <v>3462</v>
      </c>
      <c r="R850" s="2"/>
      <c r="S850" s="2"/>
      <c r="T850" s="2"/>
      <c r="U850" s="2"/>
      <c r="V850" s="2"/>
      <c r="W850" s="2"/>
      <c r="X850" s="2"/>
      <c r="Y850" s="2"/>
      <c r="Z850" s="2"/>
      <c r="AA850" s="2"/>
      <c r="AB850" s="2"/>
      <c r="AC850" s="2"/>
      <c r="AD850" s="2"/>
      <c r="AE850" s="2"/>
      <c r="AF850" s="2"/>
      <c r="AG850" s="2"/>
      <c r="AH850" s="2"/>
      <c r="AI850" s="2"/>
      <c r="AJ850" s="2"/>
    </row>
    <row r="851" spans="1:36" ht="17.25" customHeight="1" x14ac:dyDescent="0.2">
      <c r="A851" s="3" t="s">
        <v>0</v>
      </c>
      <c r="B851" s="3" t="s">
        <v>15</v>
      </c>
      <c r="C851" s="3" t="s">
        <v>4182</v>
      </c>
      <c r="D851" s="3" t="s">
        <v>1524</v>
      </c>
      <c r="E851" s="3" t="s">
        <v>1553</v>
      </c>
      <c r="F851" s="2">
        <v>26</v>
      </c>
      <c r="G851" s="4" t="s">
        <v>16</v>
      </c>
      <c r="H851" s="2">
        <v>2009</v>
      </c>
      <c r="I851" s="2" t="s">
        <v>1580</v>
      </c>
      <c r="J851" s="2" t="s">
        <v>1555</v>
      </c>
      <c r="K851" s="2"/>
      <c r="L851" s="2"/>
      <c r="M851" s="2" t="s">
        <v>8</v>
      </c>
      <c r="N851" s="2"/>
      <c r="O851" s="2"/>
      <c r="P851" s="2" t="s">
        <v>1527</v>
      </c>
      <c r="Q851" s="2" t="s">
        <v>3462</v>
      </c>
      <c r="R851" s="2"/>
      <c r="S851" s="2"/>
      <c r="T851" s="2"/>
      <c r="U851" s="2"/>
      <c r="V851" s="2"/>
      <c r="W851" s="2"/>
      <c r="X851" s="2"/>
      <c r="Y851" s="2"/>
      <c r="Z851" s="2"/>
      <c r="AA851" s="2"/>
      <c r="AB851" s="2"/>
      <c r="AC851" s="2"/>
      <c r="AD851" s="2"/>
      <c r="AE851" s="2"/>
      <c r="AF851" s="2"/>
      <c r="AG851" s="2"/>
      <c r="AH851" s="2"/>
      <c r="AI851" s="2"/>
      <c r="AJ851" s="2"/>
    </row>
    <row r="852" spans="1:36" ht="17.25" customHeight="1" x14ac:dyDescent="0.2">
      <c r="A852" s="3" t="s">
        <v>0</v>
      </c>
      <c r="B852" s="3" t="s">
        <v>33</v>
      </c>
      <c r="C852" s="3" t="s">
        <v>4182</v>
      </c>
      <c r="D852" s="3" t="s">
        <v>1524</v>
      </c>
      <c r="E852" s="3" t="s">
        <v>1553</v>
      </c>
      <c r="F852" s="2">
        <v>27</v>
      </c>
      <c r="G852" s="4" t="s">
        <v>34</v>
      </c>
      <c r="H852" s="2">
        <v>2010</v>
      </c>
      <c r="I852" s="2" t="s">
        <v>1581</v>
      </c>
      <c r="J852" s="2" t="s">
        <v>1555</v>
      </c>
      <c r="K852" s="2"/>
      <c r="L852" s="2"/>
      <c r="M852" s="2" t="s">
        <v>8</v>
      </c>
      <c r="N852" s="2"/>
      <c r="O852" s="2"/>
      <c r="P852" s="2" t="s">
        <v>1527</v>
      </c>
      <c r="Q852" s="2" t="s">
        <v>3462</v>
      </c>
      <c r="R852" s="2"/>
      <c r="S852" s="2"/>
      <c r="T852" s="2"/>
      <c r="U852" s="2"/>
      <c r="V852" s="2"/>
      <c r="W852" s="2"/>
      <c r="X852" s="2"/>
      <c r="Y852" s="2"/>
      <c r="Z852" s="2"/>
      <c r="AA852" s="2"/>
      <c r="AB852" s="2"/>
      <c r="AC852" s="2"/>
      <c r="AD852" s="2"/>
      <c r="AE852" s="2"/>
      <c r="AF852" s="2"/>
      <c r="AG852" s="2"/>
      <c r="AH852" s="2"/>
      <c r="AI852" s="2"/>
      <c r="AJ852" s="2"/>
    </row>
    <row r="853" spans="1:36" ht="17.25" customHeight="1" x14ac:dyDescent="0.2">
      <c r="A853" s="3" t="s">
        <v>0</v>
      </c>
      <c r="B853" s="3" t="s">
        <v>45</v>
      </c>
      <c r="C853" s="3" t="s">
        <v>4182</v>
      </c>
      <c r="D853" s="3" t="s">
        <v>1524</v>
      </c>
      <c r="E853" s="3" t="s">
        <v>1553</v>
      </c>
      <c r="F853" s="2">
        <v>28</v>
      </c>
      <c r="G853" s="4" t="s">
        <v>46</v>
      </c>
      <c r="H853" s="2">
        <v>2011</v>
      </c>
      <c r="I853" s="2" t="s">
        <v>1582</v>
      </c>
      <c r="J853" s="2" t="s">
        <v>1555</v>
      </c>
      <c r="K853" s="2"/>
      <c r="L853" s="2"/>
      <c r="M853" s="2" t="s">
        <v>8</v>
      </c>
      <c r="N853" s="2"/>
      <c r="O853" s="2"/>
      <c r="P853" s="2" t="s">
        <v>1527</v>
      </c>
      <c r="Q853" s="2" t="s">
        <v>3462</v>
      </c>
      <c r="R853" s="2"/>
      <c r="S853" s="2"/>
      <c r="T853" s="2"/>
      <c r="U853" s="2"/>
      <c r="V853" s="2"/>
      <c r="W853" s="2"/>
      <c r="X853" s="2"/>
      <c r="Y853" s="2"/>
      <c r="Z853" s="2"/>
      <c r="AA853" s="2"/>
      <c r="AB853" s="2"/>
      <c r="AC853" s="2"/>
      <c r="AD853" s="2"/>
      <c r="AE853" s="2"/>
      <c r="AF853" s="2"/>
      <c r="AG853" s="2"/>
      <c r="AH853" s="2"/>
      <c r="AI853" s="2"/>
      <c r="AJ853" s="2"/>
    </row>
    <row r="854" spans="1:36" ht="17.25" customHeight="1" x14ac:dyDescent="0.2">
      <c r="A854" s="3" t="s">
        <v>0</v>
      </c>
      <c r="B854" s="3" t="s">
        <v>60</v>
      </c>
      <c r="C854" s="3" t="s">
        <v>4182</v>
      </c>
      <c r="D854" s="3" t="s">
        <v>1524</v>
      </c>
      <c r="E854" s="3" t="s">
        <v>1553</v>
      </c>
      <c r="F854" s="2">
        <v>29</v>
      </c>
      <c r="G854" s="4" t="s">
        <v>61</v>
      </c>
      <c r="H854" s="2">
        <v>2012</v>
      </c>
      <c r="I854" s="2" t="s">
        <v>1583</v>
      </c>
      <c r="J854" s="2" t="s">
        <v>1555</v>
      </c>
      <c r="K854" s="2"/>
      <c r="L854" s="2"/>
      <c r="M854" s="2" t="s">
        <v>8</v>
      </c>
      <c r="N854" s="2"/>
      <c r="O854" s="2"/>
      <c r="P854" s="2" t="s">
        <v>1527</v>
      </c>
      <c r="Q854" s="2" t="s">
        <v>3462</v>
      </c>
      <c r="R854" s="2"/>
      <c r="S854" s="2"/>
      <c r="T854" s="2"/>
      <c r="U854" s="2"/>
      <c r="V854" s="2"/>
      <c r="W854" s="2"/>
      <c r="X854" s="2"/>
      <c r="Y854" s="2"/>
      <c r="Z854" s="2"/>
      <c r="AA854" s="2"/>
      <c r="AB854" s="2"/>
      <c r="AC854" s="2"/>
      <c r="AD854" s="2"/>
      <c r="AE854" s="2"/>
      <c r="AF854" s="2"/>
      <c r="AG854" s="2"/>
      <c r="AH854" s="2"/>
      <c r="AI854" s="2"/>
      <c r="AJ854" s="2"/>
    </row>
    <row r="855" spans="1:36" ht="17.25" customHeight="1" x14ac:dyDescent="0.2">
      <c r="A855" s="3" t="s">
        <v>0</v>
      </c>
      <c r="B855" s="3" t="s">
        <v>85</v>
      </c>
      <c r="C855" s="3" t="s">
        <v>4182</v>
      </c>
      <c r="D855" s="3" t="s">
        <v>1524</v>
      </c>
      <c r="E855" s="3" t="s">
        <v>1553</v>
      </c>
      <c r="F855" s="2">
        <v>30</v>
      </c>
      <c r="G855" s="4" t="s">
        <v>86</v>
      </c>
      <c r="H855" s="2">
        <v>2013</v>
      </c>
      <c r="I855" s="2" t="s">
        <v>1584</v>
      </c>
      <c r="J855" s="2" t="s">
        <v>1555</v>
      </c>
      <c r="K855" s="2"/>
      <c r="L855" s="2"/>
      <c r="M855" s="2" t="s">
        <v>8</v>
      </c>
      <c r="N855" s="2"/>
      <c r="O855" s="2"/>
      <c r="P855" s="2" t="s">
        <v>1527</v>
      </c>
      <c r="Q855" s="2" t="s">
        <v>3462</v>
      </c>
      <c r="R855" s="2"/>
      <c r="S855" s="2"/>
      <c r="T855" s="2"/>
      <c r="U855" s="2"/>
      <c r="V855" s="2"/>
      <c r="W855" s="2"/>
      <c r="X855" s="2"/>
      <c r="Y855" s="2"/>
      <c r="Z855" s="2"/>
      <c r="AA855" s="2"/>
      <c r="AB855" s="2"/>
      <c r="AC855" s="2"/>
      <c r="AD855" s="2"/>
      <c r="AE855" s="2"/>
      <c r="AF855" s="2"/>
      <c r="AG855" s="2"/>
      <c r="AH855" s="2"/>
      <c r="AI855" s="2"/>
      <c r="AJ855" s="2"/>
    </row>
    <row r="856" spans="1:36" ht="17.25" customHeight="1" x14ac:dyDescent="0.2">
      <c r="A856" s="3" t="s">
        <v>0</v>
      </c>
      <c r="B856" s="3" t="s">
        <v>21</v>
      </c>
      <c r="C856" s="3" t="s">
        <v>4182</v>
      </c>
      <c r="D856" s="3" t="s">
        <v>1524</v>
      </c>
      <c r="E856" s="3" t="s">
        <v>1553</v>
      </c>
      <c r="F856" s="2">
        <v>31</v>
      </c>
      <c r="G856" s="4" t="s">
        <v>22</v>
      </c>
      <c r="H856" s="2">
        <v>2014</v>
      </c>
      <c r="I856" s="2" t="s">
        <v>1585</v>
      </c>
      <c r="J856" s="2" t="s">
        <v>1555</v>
      </c>
      <c r="K856" s="2"/>
      <c r="L856" s="2"/>
      <c r="M856" s="2" t="s">
        <v>8</v>
      </c>
      <c r="N856" s="2"/>
      <c r="O856" s="2"/>
      <c r="P856" s="2" t="s">
        <v>1527</v>
      </c>
      <c r="Q856" s="2" t="s">
        <v>3462</v>
      </c>
      <c r="R856" s="2"/>
      <c r="S856" s="2"/>
      <c r="T856" s="2"/>
      <c r="U856" s="2"/>
      <c r="V856" s="2"/>
      <c r="W856" s="2"/>
      <c r="X856" s="2"/>
      <c r="Y856" s="2"/>
      <c r="Z856" s="2"/>
      <c r="AA856" s="2"/>
      <c r="AB856" s="2"/>
      <c r="AC856" s="2"/>
      <c r="AD856" s="2"/>
      <c r="AE856" s="2"/>
      <c r="AF856" s="2"/>
      <c r="AG856" s="2"/>
      <c r="AH856" s="2"/>
      <c r="AI856" s="2"/>
      <c r="AJ856" s="2"/>
    </row>
    <row r="857" spans="1:36" ht="17.25" customHeight="1" x14ac:dyDescent="0.2">
      <c r="A857" s="3" t="s">
        <v>0</v>
      </c>
      <c r="B857" s="3" t="s">
        <v>27</v>
      </c>
      <c r="C857" s="3" t="s">
        <v>4182</v>
      </c>
      <c r="D857" s="3" t="s">
        <v>1524</v>
      </c>
      <c r="E857" s="3" t="s">
        <v>1553</v>
      </c>
      <c r="F857" s="2">
        <v>32</v>
      </c>
      <c r="G857" s="4" t="s">
        <v>28</v>
      </c>
      <c r="H857" s="2">
        <v>2015</v>
      </c>
      <c r="I857" s="2" t="s">
        <v>1586</v>
      </c>
      <c r="J857" s="2" t="s">
        <v>1555</v>
      </c>
      <c r="K857" s="2"/>
      <c r="L857" s="2"/>
      <c r="M857" s="2" t="s">
        <v>8</v>
      </c>
      <c r="N857" s="2"/>
      <c r="O857" s="2"/>
      <c r="P857" s="2" t="s">
        <v>1527</v>
      </c>
      <c r="Q857" s="2" t="s">
        <v>3462</v>
      </c>
      <c r="R857" s="2"/>
      <c r="S857" s="2"/>
      <c r="T857" s="2"/>
      <c r="U857" s="2"/>
      <c r="V857" s="2"/>
      <c r="W857" s="2"/>
      <c r="X857" s="2"/>
      <c r="Y857" s="2"/>
      <c r="Z857" s="2"/>
      <c r="AA857" s="2"/>
      <c r="AB857" s="2"/>
      <c r="AC857" s="2"/>
      <c r="AD857" s="2"/>
      <c r="AE857" s="2"/>
      <c r="AF857" s="2"/>
      <c r="AG857" s="2"/>
      <c r="AH857" s="2"/>
      <c r="AI857" s="2"/>
      <c r="AJ857" s="2"/>
    </row>
    <row r="858" spans="1:36" x14ac:dyDescent="0.2">
      <c r="A858" s="44" t="s">
        <v>0</v>
      </c>
      <c r="B858" s="44" t="s">
        <v>147</v>
      </c>
      <c r="C858" s="3" t="s">
        <v>4182</v>
      </c>
      <c r="D858" s="44" t="s">
        <v>1641</v>
      </c>
      <c r="E858" s="44" t="s">
        <v>1642</v>
      </c>
      <c r="F858" s="25">
        <v>11</v>
      </c>
      <c r="G858" s="25" t="s">
        <v>104</v>
      </c>
      <c r="H858" s="25">
        <v>1994</v>
      </c>
      <c r="I858" s="25" t="s">
        <v>1643</v>
      </c>
      <c r="J858" s="25" t="s">
        <v>1644</v>
      </c>
      <c r="K858" s="25" t="s">
        <v>1645</v>
      </c>
      <c r="L858" s="25"/>
      <c r="M858" s="25" t="s">
        <v>1646</v>
      </c>
      <c r="N858" s="25"/>
      <c r="O858" s="25"/>
      <c r="P858" s="25" t="s">
        <v>1127</v>
      </c>
      <c r="Q858" s="25" t="s">
        <v>1127</v>
      </c>
      <c r="R858" s="25"/>
      <c r="S858" s="25"/>
      <c r="T858" s="25"/>
      <c r="U858" s="25"/>
      <c r="V858" s="25"/>
      <c r="W858" s="25"/>
      <c r="X858" s="25"/>
      <c r="Y858" s="25"/>
      <c r="Z858" s="25"/>
      <c r="AA858" s="25"/>
      <c r="AB858" s="25"/>
      <c r="AC858" s="25"/>
      <c r="AD858" s="25"/>
      <c r="AE858" s="25"/>
      <c r="AF858" s="25"/>
      <c r="AG858" s="25"/>
      <c r="AH858" s="25"/>
      <c r="AI858" s="25"/>
      <c r="AJ858" s="25"/>
    </row>
    <row r="859" spans="1:36" x14ac:dyDescent="0.2">
      <c r="A859" s="44" t="s">
        <v>0</v>
      </c>
      <c r="B859" s="44" t="s">
        <v>149</v>
      </c>
      <c r="C859" s="3" t="s">
        <v>4182</v>
      </c>
      <c r="D859" s="44" t="s">
        <v>1641</v>
      </c>
      <c r="E859" s="44" t="s">
        <v>1642</v>
      </c>
      <c r="F859" s="25">
        <v>12</v>
      </c>
      <c r="G859" s="25" t="s">
        <v>89</v>
      </c>
      <c r="H859" s="25">
        <v>1995</v>
      </c>
      <c r="I859" s="25" t="s">
        <v>1647</v>
      </c>
      <c r="J859" s="25" t="s">
        <v>1644</v>
      </c>
      <c r="K859" s="25" t="s">
        <v>1645</v>
      </c>
      <c r="L859" s="25"/>
      <c r="M859" s="25" t="s">
        <v>1646</v>
      </c>
      <c r="N859" s="25"/>
      <c r="O859" s="25"/>
      <c r="P859" s="25" t="s">
        <v>1127</v>
      </c>
      <c r="Q859" s="25" t="s">
        <v>1127</v>
      </c>
      <c r="R859" s="25"/>
      <c r="S859" s="25"/>
      <c r="T859" s="25"/>
      <c r="U859" s="25"/>
      <c r="V859" s="25"/>
      <c r="W859" s="25"/>
      <c r="X859" s="25"/>
      <c r="Y859" s="25"/>
      <c r="Z859" s="25"/>
      <c r="AA859" s="25"/>
      <c r="AB859" s="25"/>
      <c r="AC859" s="25"/>
      <c r="AD859" s="25"/>
      <c r="AE859" s="25"/>
      <c r="AF859" s="25"/>
      <c r="AG859" s="25"/>
      <c r="AH859" s="25"/>
      <c r="AI859" s="25"/>
      <c r="AJ859" s="25"/>
    </row>
    <row r="860" spans="1:36" x14ac:dyDescent="0.2">
      <c r="A860" s="44" t="s">
        <v>0</v>
      </c>
      <c r="B860" s="44" t="s">
        <v>151</v>
      </c>
      <c r="C860" s="3" t="s">
        <v>4182</v>
      </c>
      <c r="D860" s="44" t="s">
        <v>1641</v>
      </c>
      <c r="E860" s="44" t="s">
        <v>1642</v>
      </c>
      <c r="F860" s="25">
        <v>13</v>
      </c>
      <c r="G860" s="25" t="s">
        <v>107</v>
      </c>
      <c r="H860" s="25">
        <v>1996</v>
      </c>
      <c r="I860" s="25" t="s">
        <v>1648</v>
      </c>
      <c r="J860" s="25" t="s">
        <v>1644</v>
      </c>
      <c r="K860" s="25" t="s">
        <v>1645</v>
      </c>
      <c r="L860" s="25"/>
      <c r="M860" s="25" t="s">
        <v>1646</v>
      </c>
      <c r="N860" s="25"/>
      <c r="O860" s="25"/>
      <c r="P860" s="25" t="s">
        <v>1127</v>
      </c>
      <c r="Q860" s="25" t="s">
        <v>1127</v>
      </c>
      <c r="R860" s="25"/>
      <c r="S860" s="25"/>
      <c r="T860" s="25"/>
      <c r="U860" s="25"/>
      <c r="V860" s="25"/>
      <c r="W860" s="25"/>
      <c r="X860" s="25"/>
      <c r="Y860" s="25"/>
      <c r="Z860" s="25"/>
      <c r="AA860" s="25"/>
      <c r="AB860" s="25"/>
      <c r="AC860" s="25"/>
      <c r="AD860" s="25"/>
      <c r="AE860" s="25"/>
      <c r="AF860" s="25"/>
      <c r="AG860" s="25"/>
      <c r="AH860" s="25"/>
      <c r="AI860" s="25"/>
      <c r="AJ860" s="25"/>
    </row>
    <row r="861" spans="1:36" x14ac:dyDescent="0.2">
      <c r="A861" s="44" t="s">
        <v>0</v>
      </c>
      <c r="B861" s="44" t="s">
        <v>153</v>
      </c>
      <c r="C861" s="3" t="s">
        <v>4182</v>
      </c>
      <c r="D861" s="44" t="s">
        <v>1641</v>
      </c>
      <c r="E861" s="44" t="s">
        <v>1642</v>
      </c>
      <c r="F861" s="25">
        <v>14</v>
      </c>
      <c r="G861" s="25" t="s">
        <v>43</v>
      </c>
      <c r="H861" s="25">
        <v>1997</v>
      </c>
      <c r="I861" s="25" t="s">
        <v>1649</v>
      </c>
      <c r="J861" s="25" t="s">
        <v>1644</v>
      </c>
      <c r="K861" s="25" t="s">
        <v>1645</v>
      </c>
      <c r="L861" s="25"/>
      <c r="M861" s="25" t="s">
        <v>1646</v>
      </c>
      <c r="N861" s="25"/>
      <c r="O861" s="25"/>
      <c r="P861" s="25" t="s">
        <v>1127</v>
      </c>
      <c r="Q861" s="25" t="s">
        <v>1127</v>
      </c>
      <c r="R861" s="25"/>
      <c r="S861" s="25"/>
      <c r="T861" s="25"/>
      <c r="U861" s="25"/>
      <c r="V861" s="25"/>
      <c r="W861" s="25"/>
      <c r="X861" s="25"/>
      <c r="Y861" s="25"/>
      <c r="Z861" s="25"/>
      <c r="AA861" s="25"/>
      <c r="AB861" s="25"/>
      <c r="AC861" s="25"/>
      <c r="AD861" s="25"/>
      <c r="AE861" s="25"/>
      <c r="AF861" s="25"/>
      <c r="AG861" s="25"/>
      <c r="AH861" s="25"/>
      <c r="AI861" s="25"/>
      <c r="AJ861" s="25"/>
    </row>
    <row r="862" spans="1:36" x14ac:dyDescent="0.2">
      <c r="A862" s="44" t="s">
        <v>0</v>
      </c>
      <c r="B862" s="44" t="s">
        <v>155</v>
      </c>
      <c r="C862" s="3" t="s">
        <v>4182</v>
      </c>
      <c r="D862" s="44" t="s">
        <v>1641</v>
      </c>
      <c r="E862" s="44" t="s">
        <v>1642</v>
      </c>
      <c r="F862" s="25">
        <v>15</v>
      </c>
      <c r="G862" s="25" t="s">
        <v>19</v>
      </c>
      <c r="H862" s="25">
        <v>1998</v>
      </c>
      <c r="I862" s="25" t="s">
        <v>1650</v>
      </c>
      <c r="J862" s="25" t="s">
        <v>1644</v>
      </c>
      <c r="K862" s="25" t="s">
        <v>1645</v>
      </c>
      <c r="L862" s="25"/>
      <c r="M862" s="25" t="s">
        <v>1646</v>
      </c>
      <c r="N862" s="25"/>
      <c r="O862" s="25"/>
      <c r="P862" s="25" t="s">
        <v>1127</v>
      </c>
      <c r="Q862" s="25" t="s">
        <v>1127</v>
      </c>
      <c r="R862" s="25"/>
      <c r="S862" s="25"/>
      <c r="T862" s="25"/>
      <c r="U862" s="25"/>
      <c r="V862" s="25"/>
      <c r="W862" s="25"/>
      <c r="X862" s="25"/>
      <c r="Y862" s="25"/>
      <c r="Z862" s="25"/>
      <c r="AA862" s="25"/>
      <c r="AB862" s="25"/>
      <c r="AC862" s="25"/>
      <c r="AD862" s="25"/>
      <c r="AE862" s="25"/>
      <c r="AF862" s="25"/>
      <c r="AG862" s="25"/>
      <c r="AH862" s="25"/>
      <c r="AI862" s="25"/>
      <c r="AJ862" s="25"/>
    </row>
    <row r="863" spans="1:36" x14ac:dyDescent="0.2">
      <c r="A863" s="44" t="s">
        <v>0</v>
      </c>
      <c r="B863" s="44" t="s">
        <v>157</v>
      </c>
      <c r="C863" s="3" t="s">
        <v>4182</v>
      </c>
      <c r="D863" s="44" t="s">
        <v>1641</v>
      </c>
      <c r="E863" s="44" t="s">
        <v>1642</v>
      </c>
      <c r="F863" s="25">
        <v>16</v>
      </c>
      <c r="G863" s="25" t="s">
        <v>25</v>
      </c>
      <c r="H863" s="25">
        <v>1999</v>
      </c>
      <c r="I863" s="25" t="s">
        <v>1651</v>
      </c>
      <c r="J863" s="25" t="s">
        <v>1644</v>
      </c>
      <c r="K863" s="25" t="s">
        <v>1645</v>
      </c>
      <c r="L863" s="25"/>
      <c r="M863" s="25" t="s">
        <v>1646</v>
      </c>
      <c r="N863" s="25"/>
      <c r="O863" s="25"/>
      <c r="P863" s="25" t="s">
        <v>1127</v>
      </c>
      <c r="Q863" s="25" t="s">
        <v>1127</v>
      </c>
      <c r="R863" s="25"/>
      <c r="S863" s="25"/>
      <c r="T863" s="25"/>
      <c r="U863" s="25"/>
      <c r="V863" s="25"/>
      <c r="W863" s="25"/>
      <c r="X863" s="25"/>
      <c r="Y863" s="25"/>
      <c r="Z863" s="25"/>
      <c r="AA863" s="25"/>
      <c r="AB863" s="25"/>
      <c r="AC863" s="25"/>
      <c r="AD863" s="25"/>
      <c r="AE863" s="25"/>
      <c r="AF863" s="25"/>
      <c r="AG863" s="25"/>
      <c r="AH863" s="25"/>
      <c r="AI863" s="25"/>
      <c r="AJ863" s="25"/>
    </row>
    <row r="864" spans="1:36" x14ac:dyDescent="0.2">
      <c r="A864" s="44" t="s">
        <v>0</v>
      </c>
      <c r="B864" s="44" t="s">
        <v>159</v>
      </c>
      <c r="C864" s="3" t="s">
        <v>4182</v>
      </c>
      <c r="D864" s="44" t="s">
        <v>1641</v>
      </c>
      <c r="E864" s="44" t="s">
        <v>1642</v>
      </c>
      <c r="F864" s="25">
        <v>17</v>
      </c>
      <c r="G864" s="25" t="s">
        <v>73</v>
      </c>
      <c r="H864" s="25">
        <v>2000</v>
      </c>
      <c r="I864" s="25" t="s">
        <v>1652</v>
      </c>
      <c r="J864" s="25" t="s">
        <v>1644</v>
      </c>
      <c r="K864" s="25" t="s">
        <v>1645</v>
      </c>
      <c r="L864" s="25"/>
      <c r="M864" s="25" t="s">
        <v>1646</v>
      </c>
      <c r="N864" s="25"/>
      <c r="O864" s="25"/>
      <c r="P864" s="25" t="s">
        <v>1127</v>
      </c>
      <c r="Q864" s="25" t="s">
        <v>1127</v>
      </c>
      <c r="R864" s="25"/>
      <c r="S864" s="25"/>
      <c r="T864" s="25"/>
      <c r="U864" s="25"/>
      <c r="V864" s="25"/>
      <c r="W864" s="25"/>
      <c r="X864" s="25"/>
      <c r="Y864" s="25"/>
      <c r="Z864" s="25"/>
      <c r="AA864" s="25"/>
      <c r="AB864" s="25"/>
      <c r="AC864" s="25"/>
      <c r="AD864" s="25"/>
      <c r="AE864" s="25"/>
      <c r="AF864" s="25"/>
      <c r="AG864" s="25"/>
      <c r="AH864" s="25"/>
      <c r="AI864" s="25"/>
      <c r="AJ864" s="25"/>
    </row>
    <row r="865" spans="1:36" x14ac:dyDescent="0.2">
      <c r="A865" s="44" t="s">
        <v>0</v>
      </c>
      <c r="B865" s="44" t="s">
        <v>161</v>
      </c>
      <c r="C865" s="3" t="s">
        <v>4182</v>
      </c>
      <c r="D865" s="44" t="s">
        <v>1641</v>
      </c>
      <c r="E865" s="44" t="s">
        <v>1642</v>
      </c>
      <c r="F865" s="25">
        <v>18</v>
      </c>
      <c r="G865" s="25" t="s">
        <v>58</v>
      </c>
      <c r="H865" s="25">
        <v>2001</v>
      </c>
      <c r="I865" s="25" t="s">
        <v>1653</v>
      </c>
      <c r="J865" s="25" t="s">
        <v>1644</v>
      </c>
      <c r="K865" s="25" t="s">
        <v>1645</v>
      </c>
      <c r="L865" s="25"/>
      <c r="M865" s="25" t="s">
        <v>1646</v>
      </c>
      <c r="N865" s="25"/>
      <c r="O865" s="25"/>
      <c r="P865" s="25" t="s">
        <v>1127</v>
      </c>
      <c r="Q865" s="25" t="s">
        <v>1127</v>
      </c>
      <c r="R865" s="25"/>
      <c r="S865" s="25"/>
      <c r="T865" s="25"/>
      <c r="U865" s="25"/>
      <c r="V865" s="25"/>
      <c r="W865" s="25"/>
      <c r="X865" s="25"/>
      <c r="Y865" s="25"/>
      <c r="Z865" s="25"/>
      <c r="AA865" s="25"/>
      <c r="AB865" s="25"/>
      <c r="AC865" s="25"/>
      <c r="AD865" s="25"/>
      <c r="AE865" s="25"/>
      <c r="AF865" s="25"/>
      <c r="AG865" s="25"/>
      <c r="AH865" s="25"/>
      <c r="AI865" s="25"/>
      <c r="AJ865" s="25"/>
    </row>
    <row r="866" spans="1:36" x14ac:dyDescent="0.2">
      <c r="A866" s="44" t="s">
        <v>0</v>
      </c>
      <c r="B866" s="44" t="s">
        <v>163</v>
      </c>
      <c r="C866" s="3" t="s">
        <v>4182</v>
      </c>
      <c r="D866" s="44" t="s">
        <v>1641</v>
      </c>
      <c r="E866" s="44" t="s">
        <v>1642</v>
      </c>
      <c r="F866" s="25">
        <v>19</v>
      </c>
      <c r="G866" s="25" t="s">
        <v>4</v>
      </c>
      <c r="H866" s="25">
        <v>2002</v>
      </c>
      <c r="I866" s="25" t="s">
        <v>1654</v>
      </c>
      <c r="J866" s="25" t="s">
        <v>1644</v>
      </c>
      <c r="K866" s="25" t="s">
        <v>1645</v>
      </c>
      <c r="L866" s="25"/>
      <c r="M866" s="25" t="s">
        <v>1646</v>
      </c>
      <c r="N866" s="25"/>
      <c r="O866" s="25"/>
      <c r="P866" s="25" t="s">
        <v>1127</v>
      </c>
      <c r="Q866" s="25" t="s">
        <v>1127</v>
      </c>
      <c r="R866" s="25"/>
      <c r="S866" s="25"/>
      <c r="T866" s="25"/>
      <c r="U866" s="25"/>
      <c r="V866" s="25"/>
      <c r="W866" s="25"/>
      <c r="X866" s="25"/>
      <c r="Y866" s="25"/>
      <c r="Z866" s="25"/>
      <c r="AA866" s="25"/>
      <c r="AB866" s="25"/>
      <c r="AC866" s="25"/>
      <c r="AD866" s="25"/>
      <c r="AE866" s="25"/>
      <c r="AF866" s="25"/>
      <c r="AG866" s="25"/>
      <c r="AH866" s="25"/>
      <c r="AI866" s="25"/>
      <c r="AJ866" s="25"/>
    </row>
    <row r="867" spans="1:36" x14ac:dyDescent="0.2">
      <c r="A867" s="44" t="s">
        <v>0</v>
      </c>
      <c r="B867" s="44" t="s">
        <v>165</v>
      </c>
      <c r="C867" s="3" t="s">
        <v>4182</v>
      </c>
      <c r="D867" s="44" t="s">
        <v>1641</v>
      </c>
      <c r="E867" s="44" t="s">
        <v>1642</v>
      </c>
      <c r="F867" s="25">
        <v>20</v>
      </c>
      <c r="G867" s="25" t="s">
        <v>83</v>
      </c>
      <c r="H867" s="25">
        <v>2003</v>
      </c>
      <c r="I867" s="25" t="s">
        <v>1655</v>
      </c>
      <c r="J867" s="25" t="s">
        <v>1644</v>
      </c>
      <c r="K867" s="25" t="s">
        <v>1645</v>
      </c>
      <c r="L867" s="25"/>
      <c r="M867" s="25" t="s">
        <v>1646</v>
      </c>
      <c r="N867" s="25"/>
      <c r="O867" s="25"/>
      <c r="P867" s="25" t="s">
        <v>1127</v>
      </c>
      <c r="Q867" s="25" t="s">
        <v>1127</v>
      </c>
      <c r="R867" s="25"/>
      <c r="S867" s="25"/>
      <c r="T867" s="25"/>
      <c r="U867" s="25"/>
      <c r="V867" s="25"/>
      <c r="W867" s="25"/>
      <c r="X867" s="25"/>
      <c r="Y867" s="25"/>
      <c r="Z867" s="25"/>
      <c r="AA867" s="25"/>
      <c r="AB867" s="25"/>
      <c r="AC867" s="25"/>
      <c r="AD867" s="25"/>
      <c r="AE867" s="25"/>
      <c r="AF867" s="25"/>
      <c r="AG867" s="25"/>
      <c r="AH867" s="25"/>
      <c r="AI867" s="25"/>
      <c r="AJ867" s="25"/>
    </row>
    <row r="868" spans="1:36" x14ac:dyDescent="0.2">
      <c r="A868" s="44" t="s">
        <v>0</v>
      </c>
      <c r="B868" s="44" t="s">
        <v>167</v>
      </c>
      <c r="C868" s="3" t="s">
        <v>4182</v>
      </c>
      <c r="D868" s="44" t="s">
        <v>1641</v>
      </c>
      <c r="E868" s="44" t="s">
        <v>1642</v>
      </c>
      <c r="F868" s="25">
        <v>21</v>
      </c>
      <c r="G868" s="25" t="s">
        <v>64</v>
      </c>
      <c r="H868" s="25">
        <v>2004</v>
      </c>
      <c r="I868" s="25" t="s">
        <v>1656</v>
      </c>
      <c r="J868" s="25" t="s">
        <v>1644</v>
      </c>
      <c r="K868" s="25" t="s">
        <v>1645</v>
      </c>
      <c r="L868" s="25"/>
      <c r="M868" s="25" t="s">
        <v>1646</v>
      </c>
      <c r="N868" s="25"/>
      <c r="O868" s="25"/>
      <c r="P868" s="25" t="s">
        <v>1127</v>
      </c>
      <c r="Q868" s="25" t="s">
        <v>1127</v>
      </c>
      <c r="R868" s="25"/>
      <c r="S868" s="25"/>
      <c r="T868" s="25"/>
      <c r="U868" s="25"/>
      <c r="V868" s="25"/>
      <c r="W868" s="25"/>
      <c r="X868" s="25"/>
      <c r="Y868" s="25"/>
      <c r="Z868" s="25"/>
      <c r="AA868" s="25"/>
      <c r="AB868" s="25"/>
      <c r="AC868" s="25"/>
      <c r="AD868" s="25"/>
      <c r="AE868" s="25"/>
      <c r="AF868" s="25"/>
      <c r="AG868" s="25"/>
      <c r="AH868" s="25"/>
      <c r="AI868" s="25"/>
      <c r="AJ868" s="25"/>
    </row>
    <row r="869" spans="1:36" x14ac:dyDescent="0.2">
      <c r="A869" s="44" t="s">
        <v>0</v>
      </c>
      <c r="B869" s="44" t="s">
        <v>169</v>
      </c>
      <c r="C869" s="3" t="s">
        <v>4182</v>
      </c>
      <c r="D869" s="44" t="s">
        <v>1641</v>
      </c>
      <c r="E869" s="44" t="s">
        <v>1642</v>
      </c>
      <c r="F869" s="25">
        <v>22</v>
      </c>
      <c r="G869" s="25" t="s">
        <v>92</v>
      </c>
      <c r="H869" s="25">
        <v>2005</v>
      </c>
      <c r="I869" s="25" t="s">
        <v>1657</v>
      </c>
      <c r="J869" s="25" t="s">
        <v>1644</v>
      </c>
      <c r="K869" s="25" t="s">
        <v>1645</v>
      </c>
      <c r="L869" s="25"/>
      <c r="M869" s="25" t="s">
        <v>1646</v>
      </c>
      <c r="N869" s="25"/>
      <c r="O869" s="25"/>
      <c r="P869" s="25" t="s">
        <v>1127</v>
      </c>
      <c r="Q869" s="25" t="s">
        <v>1127</v>
      </c>
      <c r="R869" s="25"/>
      <c r="S869" s="25"/>
      <c r="T869" s="25"/>
      <c r="U869" s="25"/>
      <c r="V869" s="25"/>
      <c r="W869" s="25"/>
      <c r="X869" s="25"/>
      <c r="Y869" s="25"/>
      <c r="Z869" s="25"/>
      <c r="AA869" s="25"/>
      <c r="AB869" s="25"/>
      <c r="AC869" s="25"/>
      <c r="AD869" s="25"/>
      <c r="AE869" s="25"/>
      <c r="AF869" s="25"/>
      <c r="AG869" s="25"/>
      <c r="AH869" s="25"/>
      <c r="AI869" s="25"/>
      <c r="AJ869" s="25"/>
    </row>
    <row r="870" spans="1:36" x14ac:dyDescent="0.2">
      <c r="A870" s="44" t="s">
        <v>0</v>
      </c>
      <c r="B870" s="44" t="s">
        <v>171</v>
      </c>
      <c r="C870" s="3" t="s">
        <v>4182</v>
      </c>
      <c r="D870" s="44" t="s">
        <v>1641</v>
      </c>
      <c r="E870" s="44" t="s">
        <v>1642</v>
      </c>
      <c r="F870" s="25">
        <v>23</v>
      </c>
      <c r="G870" s="25" t="s">
        <v>52</v>
      </c>
      <c r="H870" s="25">
        <v>2006</v>
      </c>
      <c r="I870" s="25" t="s">
        <v>1658</v>
      </c>
      <c r="J870" s="25" t="s">
        <v>1644</v>
      </c>
      <c r="K870" s="25" t="s">
        <v>1645</v>
      </c>
      <c r="L870" s="25"/>
      <c r="M870" s="25" t="s">
        <v>1646</v>
      </c>
      <c r="N870" s="25"/>
      <c r="O870" s="25"/>
      <c r="P870" s="25" t="s">
        <v>1127</v>
      </c>
      <c r="Q870" s="25" t="s">
        <v>1127</v>
      </c>
      <c r="R870" s="25"/>
      <c r="S870" s="25"/>
      <c r="T870" s="25"/>
      <c r="U870" s="25"/>
      <c r="V870" s="25"/>
      <c r="W870" s="25"/>
      <c r="X870" s="25"/>
      <c r="Y870" s="25"/>
      <c r="Z870" s="25"/>
      <c r="AA870" s="25"/>
      <c r="AB870" s="25"/>
      <c r="AC870" s="25"/>
      <c r="AD870" s="25"/>
      <c r="AE870" s="25"/>
      <c r="AF870" s="25"/>
      <c r="AG870" s="25"/>
      <c r="AH870" s="25"/>
      <c r="AI870" s="25"/>
      <c r="AJ870" s="25"/>
    </row>
    <row r="871" spans="1:36" x14ac:dyDescent="0.2">
      <c r="A871" s="44" t="s">
        <v>0</v>
      </c>
      <c r="B871" s="44" t="s">
        <v>173</v>
      </c>
      <c r="C871" s="3" t="s">
        <v>4182</v>
      </c>
      <c r="D871" s="44" t="s">
        <v>1641</v>
      </c>
      <c r="E871" s="44" t="s">
        <v>1642</v>
      </c>
      <c r="F871" s="25">
        <v>24</v>
      </c>
      <c r="G871" s="25" t="s">
        <v>95</v>
      </c>
      <c r="H871" s="25">
        <v>2007</v>
      </c>
      <c r="I871" s="25" t="s">
        <v>1659</v>
      </c>
      <c r="J871" s="25" t="s">
        <v>1644</v>
      </c>
      <c r="K871" s="25" t="s">
        <v>1645</v>
      </c>
      <c r="L871" s="25"/>
      <c r="M871" s="25" t="s">
        <v>1646</v>
      </c>
      <c r="N871" s="25"/>
      <c r="O871" s="25"/>
      <c r="P871" s="25" t="s">
        <v>1127</v>
      </c>
      <c r="Q871" s="25" t="s">
        <v>1127</v>
      </c>
      <c r="R871" s="25"/>
      <c r="S871" s="25"/>
      <c r="T871" s="25"/>
      <c r="U871" s="25"/>
      <c r="V871" s="25"/>
      <c r="W871" s="25"/>
      <c r="X871" s="25"/>
      <c r="Y871" s="25"/>
      <c r="Z871" s="25"/>
      <c r="AA871" s="25"/>
      <c r="AB871" s="25"/>
      <c r="AC871" s="25"/>
      <c r="AD871" s="25"/>
      <c r="AE871" s="25"/>
      <c r="AF871" s="25"/>
      <c r="AG871" s="25"/>
      <c r="AH871" s="25"/>
      <c r="AI871" s="25"/>
      <c r="AJ871" s="25"/>
    </row>
    <row r="872" spans="1:36" x14ac:dyDescent="0.2">
      <c r="A872" s="44" t="s">
        <v>0</v>
      </c>
      <c r="B872" s="44" t="s">
        <v>175</v>
      </c>
      <c r="C872" s="3" t="s">
        <v>4182</v>
      </c>
      <c r="D872" s="44" t="s">
        <v>1641</v>
      </c>
      <c r="E872" s="44" t="s">
        <v>1642</v>
      </c>
      <c r="F872" s="25">
        <v>25</v>
      </c>
      <c r="G872" s="25" t="s">
        <v>70</v>
      </c>
      <c r="H872" s="25">
        <v>2008</v>
      </c>
      <c r="I872" s="25" t="s">
        <v>1660</v>
      </c>
      <c r="J872" s="25" t="s">
        <v>1644</v>
      </c>
      <c r="K872" s="25" t="s">
        <v>1645</v>
      </c>
      <c r="L872" s="25"/>
      <c r="M872" s="25" t="s">
        <v>1646</v>
      </c>
      <c r="N872" s="25"/>
      <c r="O872" s="25"/>
      <c r="P872" s="25" t="s">
        <v>1127</v>
      </c>
      <c r="Q872" s="25" t="s">
        <v>1127</v>
      </c>
      <c r="R872" s="25"/>
      <c r="S872" s="25"/>
      <c r="T872" s="25"/>
      <c r="U872" s="25"/>
      <c r="V872" s="25"/>
      <c r="W872" s="25"/>
      <c r="X872" s="25"/>
      <c r="Y872" s="25"/>
      <c r="Z872" s="25"/>
      <c r="AA872" s="25"/>
      <c r="AB872" s="25"/>
      <c r="AC872" s="25"/>
      <c r="AD872" s="25"/>
      <c r="AE872" s="25"/>
      <c r="AF872" s="25"/>
      <c r="AG872" s="25"/>
      <c r="AH872" s="25"/>
      <c r="AI872" s="25"/>
      <c r="AJ872" s="25"/>
    </row>
    <row r="873" spans="1:36" x14ac:dyDescent="0.2">
      <c r="A873" s="44" t="s">
        <v>0</v>
      </c>
      <c r="B873" s="44" t="s">
        <v>177</v>
      </c>
      <c r="C873" s="3" t="s">
        <v>4182</v>
      </c>
      <c r="D873" s="44" t="s">
        <v>1641</v>
      </c>
      <c r="E873" s="44" t="s">
        <v>1642</v>
      </c>
      <c r="F873" s="25">
        <v>26</v>
      </c>
      <c r="G873" s="25" t="s">
        <v>16</v>
      </c>
      <c r="H873" s="25">
        <v>2009</v>
      </c>
      <c r="I873" s="25" t="s">
        <v>1661</v>
      </c>
      <c r="J873" s="25" t="s">
        <v>1644</v>
      </c>
      <c r="K873" s="25" t="s">
        <v>1645</v>
      </c>
      <c r="L873" s="25"/>
      <c r="M873" s="25" t="s">
        <v>1646</v>
      </c>
      <c r="N873" s="25"/>
      <c r="O873" s="25"/>
      <c r="P873" s="25" t="s">
        <v>1127</v>
      </c>
      <c r="Q873" s="25" t="s">
        <v>1127</v>
      </c>
      <c r="R873" s="25"/>
      <c r="S873" s="25"/>
      <c r="T873" s="25"/>
      <c r="U873" s="25"/>
      <c r="V873" s="25"/>
      <c r="W873" s="25"/>
      <c r="X873" s="25"/>
      <c r="Y873" s="25"/>
      <c r="Z873" s="25"/>
      <c r="AA873" s="25"/>
      <c r="AB873" s="25"/>
      <c r="AC873" s="25"/>
      <c r="AD873" s="25"/>
      <c r="AE873" s="25"/>
      <c r="AF873" s="25"/>
      <c r="AG873" s="25"/>
      <c r="AH873" s="25"/>
      <c r="AI873" s="25"/>
      <c r="AJ873" s="25"/>
    </row>
    <row r="874" spans="1:36" x14ac:dyDescent="0.2">
      <c r="A874" s="44" t="s">
        <v>0</v>
      </c>
      <c r="B874" s="44" t="s">
        <v>179</v>
      </c>
      <c r="C874" s="3" t="s">
        <v>4182</v>
      </c>
      <c r="D874" s="44" t="s">
        <v>1641</v>
      </c>
      <c r="E874" s="44" t="s">
        <v>1642</v>
      </c>
      <c r="F874" s="25">
        <v>27</v>
      </c>
      <c r="G874" s="25" t="s">
        <v>34</v>
      </c>
      <c r="H874" s="25">
        <v>2010</v>
      </c>
      <c r="I874" s="25" t="s">
        <v>1662</v>
      </c>
      <c r="J874" s="25" t="s">
        <v>1644</v>
      </c>
      <c r="K874" s="25" t="s">
        <v>1645</v>
      </c>
      <c r="L874" s="25"/>
      <c r="M874" s="25" t="s">
        <v>1646</v>
      </c>
      <c r="N874" s="25"/>
      <c r="O874" s="25"/>
      <c r="P874" s="25" t="s">
        <v>1127</v>
      </c>
      <c r="Q874" s="25" t="s">
        <v>1127</v>
      </c>
      <c r="R874" s="25"/>
      <c r="S874" s="25"/>
      <c r="T874" s="25"/>
      <c r="U874" s="25"/>
      <c r="V874" s="25"/>
      <c r="W874" s="25"/>
      <c r="X874" s="25"/>
      <c r="Y874" s="25"/>
      <c r="Z874" s="25"/>
      <c r="AA874" s="25"/>
      <c r="AB874" s="25"/>
      <c r="AC874" s="25"/>
      <c r="AD874" s="25"/>
      <c r="AE874" s="25"/>
      <c r="AF874" s="25"/>
      <c r="AG874" s="25"/>
      <c r="AH874" s="25"/>
      <c r="AI874" s="25"/>
      <c r="AJ874" s="25"/>
    </row>
    <row r="875" spans="1:36" x14ac:dyDescent="0.2">
      <c r="A875" s="44" t="s">
        <v>0</v>
      </c>
      <c r="B875" s="44" t="s">
        <v>181</v>
      </c>
      <c r="C875" s="3" t="s">
        <v>4182</v>
      </c>
      <c r="D875" s="44" t="s">
        <v>1641</v>
      </c>
      <c r="E875" s="44" t="s">
        <v>1642</v>
      </c>
      <c r="F875" s="25">
        <v>28</v>
      </c>
      <c r="G875" s="25" t="s">
        <v>46</v>
      </c>
      <c r="H875" s="25">
        <v>2011</v>
      </c>
      <c r="I875" s="25" t="s">
        <v>1663</v>
      </c>
      <c r="J875" s="25" t="s">
        <v>1644</v>
      </c>
      <c r="K875" s="25" t="s">
        <v>1645</v>
      </c>
      <c r="L875" s="25"/>
      <c r="M875" s="25" t="s">
        <v>1646</v>
      </c>
      <c r="N875" s="25"/>
      <c r="O875" s="25"/>
      <c r="P875" s="25" t="s">
        <v>1127</v>
      </c>
      <c r="Q875" s="25" t="s">
        <v>1127</v>
      </c>
      <c r="R875" s="25"/>
      <c r="S875" s="25"/>
      <c r="T875" s="25"/>
      <c r="U875" s="25"/>
      <c r="V875" s="25"/>
      <c r="W875" s="25"/>
      <c r="X875" s="25"/>
      <c r="Y875" s="25"/>
      <c r="Z875" s="25"/>
      <c r="AA875" s="25"/>
      <c r="AB875" s="25"/>
      <c r="AC875" s="25"/>
      <c r="AD875" s="25"/>
      <c r="AE875" s="25"/>
      <c r="AF875" s="25"/>
      <c r="AG875" s="25"/>
      <c r="AH875" s="25"/>
      <c r="AI875" s="25"/>
      <c r="AJ875" s="25"/>
    </row>
    <row r="876" spans="1:36" x14ac:dyDescent="0.2">
      <c r="A876" s="44" t="s">
        <v>0</v>
      </c>
      <c r="B876" s="44" t="s">
        <v>183</v>
      </c>
      <c r="C876" s="3" t="s">
        <v>4182</v>
      </c>
      <c r="D876" s="44" t="s">
        <v>1641</v>
      </c>
      <c r="E876" s="44" t="s">
        <v>1642</v>
      </c>
      <c r="F876" s="25">
        <v>29</v>
      </c>
      <c r="G876" s="25" t="s">
        <v>61</v>
      </c>
      <c r="H876" s="25">
        <v>2012</v>
      </c>
      <c r="I876" s="25" t="s">
        <v>1664</v>
      </c>
      <c r="J876" s="25" t="s">
        <v>1644</v>
      </c>
      <c r="K876" s="25" t="s">
        <v>1645</v>
      </c>
      <c r="L876" s="25"/>
      <c r="M876" s="25" t="s">
        <v>1646</v>
      </c>
      <c r="N876" s="25"/>
      <c r="O876" s="25"/>
      <c r="P876" s="25" t="s">
        <v>1127</v>
      </c>
      <c r="Q876" s="25" t="s">
        <v>1127</v>
      </c>
      <c r="R876" s="25"/>
      <c r="S876" s="25"/>
      <c r="T876" s="25"/>
      <c r="U876" s="25"/>
      <c r="V876" s="25"/>
      <c r="W876" s="25"/>
      <c r="X876" s="25"/>
      <c r="Y876" s="25"/>
      <c r="Z876" s="25"/>
      <c r="AA876" s="25"/>
      <c r="AB876" s="25"/>
      <c r="AC876" s="25"/>
      <c r="AD876" s="25"/>
      <c r="AE876" s="25"/>
      <c r="AF876" s="25"/>
      <c r="AG876" s="25"/>
      <c r="AH876" s="25"/>
      <c r="AI876" s="25"/>
      <c r="AJ876" s="25"/>
    </row>
    <row r="877" spans="1:36" x14ac:dyDescent="0.2">
      <c r="A877" s="44" t="s">
        <v>0</v>
      </c>
      <c r="B877" s="44" t="s">
        <v>185</v>
      </c>
      <c r="C877" s="3" t="s">
        <v>4182</v>
      </c>
      <c r="D877" s="44" t="s">
        <v>1641</v>
      </c>
      <c r="E877" s="44" t="s">
        <v>1642</v>
      </c>
      <c r="F877" s="25">
        <v>30</v>
      </c>
      <c r="G877" s="25" t="s">
        <v>86</v>
      </c>
      <c r="H877" s="25">
        <v>2013</v>
      </c>
      <c r="I877" s="25" t="s">
        <v>1665</v>
      </c>
      <c r="J877" s="25" t="s">
        <v>1644</v>
      </c>
      <c r="K877" s="25" t="s">
        <v>1645</v>
      </c>
      <c r="L877" s="25"/>
      <c r="M877" s="25" t="s">
        <v>1646</v>
      </c>
      <c r="N877" s="25"/>
      <c r="O877" s="25"/>
      <c r="P877" s="25" t="s">
        <v>1127</v>
      </c>
      <c r="Q877" s="25" t="s">
        <v>1127</v>
      </c>
      <c r="R877" s="25"/>
      <c r="S877" s="25"/>
      <c r="T877" s="25"/>
      <c r="U877" s="25"/>
      <c r="V877" s="25"/>
      <c r="W877" s="25"/>
      <c r="X877" s="25"/>
      <c r="Y877" s="25"/>
      <c r="Z877" s="25"/>
      <c r="AA877" s="25"/>
      <c r="AB877" s="25"/>
      <c r="AC877" s="25"/>
      <c r="AD877" s="25"/>
      <c r="AE877" s="25"/>
      <c r="AF877" s="25"/>
      <c r="AG877" s="25"/>
      <c r="AH877" s="25"/>
      <c r="AI877" s="25"/>
      <c r="AJ877" s="25"/>
    </row>
    <row r="878" spans="1:36" x14ac:dyDescent="0.2">
      <c r="A878" s="44" t="s">
        <v>0</v>
      </c>
      <c r="B878" s="44" t="s">
        <v>187</v>
      </c>
      <c r="C878" s="3" t="s">
        <v>4182</v>
      </c>
      <c r="D878" s="44" t="s">
        <v>1641</v>
      </c>
      <c r="E878" s="44" t="s">
        <v>1642</v>
      </c>
      <c r="F878" s="25">
        <v>31</v>
      </c>
      <c r="G878" s="25" t="s">
        <v>22</v>
      </c>
      <c r="H878" s="25">
        <v>2014</v>
      </c>
      <c r="I878" s="25" t="s">
        <v>1666</v>
      </c>
      <c r="J878" s="25" t="s">
        <v>1644</v>
      </c>
      <c r="K878" s="25" t="s">
        <v>1645</v>
      </c>
      <c r="L878" s="25"/>
      <c r="M878" s="25" t="s">
        <v>1646</v>
      </c>
      <c r="N878" s="25"/>
      <c r="O878" s="25"/>
      <c r="P878" s="25" t="s">
        <v>1127</v>
      </c>
      <c r="Q878" s="25" t="s">
        <v>1127</v>
      </c>
      <c r="R878" s="25"/>
      <c r="S878" s="25"/>
      <c r="T878" s="25"/>
      <c r="U878" s="25"/>
      <c r="V878" s="25"/>
      <c r="W878" s="25"/>
      <c r="X878" s="25"/>
      <c r="Y878" s="25"/>
      <c r="Z878" s="25"/>
      <c r="AA878" s="25"/>
      <c r="AB878" s="25"/>
      <c r="AC878" s="25"/>
      <c r="AD878" s="25"/>
      <c r="AE878" s="25"/>
      <c r="AF878" s="25"/>
      <c r="AG878" s="25"/>
      <c r="AH878" s="25"/>
      <c r="AI878" s="25"/>
      <c r="AJ878" s="25"/>
    </row>
    <row r="879" spans="1:36" x14ac:dyDescent="0.2">
      <c r="A879" s="44" t="s">
        <v>0</v>
      </c>
      <c r="B879" s="44" t="s">
        <v>189</v>
      </c>
      <c r="C879" s="3" t="s">
        <v>4182</v>
      </c>
      <c r="D879" s="44" t="s">
        <v>1641</v>
      </c>
      <c r="E879" s="44" t="s">
        <v>1642</v>
      </c>
      <c r="F879" s="25">
        <v>32</v>
      </c>
      <c r="G879" s="25" t="s">
        <v>28</v>
      </c>
      <c r="H879" s="25">
        <v>2015</v>
      </c>
      <c r="I879" s="25" t="s">
        <v>1667</v>
      </c>
      <c r="J879" s="25" t="s">
        <v>1644</v>
      </c>
      <c r="K879" s="25" t="s">
        <v>1645</v>
      </c>
      <c r="L879" s="25"/>
      <c r="M879" s="25" t="s">
        <v>1646</v>
      </c>
      <c r="N879" s="25"/>
      <c r="O879" s="25"/>
      <c r="P879" s="25" t="s">
        <v>1127</v>
      </c>
      <c r="Q879" s="25" t="s">
        <v>1127</v>
      </c>
      <c r="R879" s="25"/>
      <c r="S879" s="25"/>
      <c r="T879" s="25"/>
      <c r="U879" s="25"/>
      <c r="V879" s="25"/>
      <c r="W879" s="25"/>
      <c r="X879" s="25"/>
      <c r="Y879" s="25"/>
      <c r="Z879" s="25"/>
      <c r="AA879" s="25"/>
      <c r="AB879" s="25"/>
      <c r="AC879" s="25"/>
      <c r="AD879" s="25"/>
      <c r="AE879" s="25"/>
      <c r="AF879" s="25"/>
      <c r="AG879" s="25"/>
      <c r="AH879" s="25"/>
      <c r="AI879" s="25"/>
      <c r="AJ879" s="25"/>
    </row>
    <row r="880" spans="1:36" ht="17.25" customHeight="1" x14ac:dyDescent="0.2">
      <c r="A880" s="27" t="s">
        <v>0</v>
      </c>
      <c r="B880" s="27" t="s">
        <v>157</v>
      </c>
      <c r="C880" s="3" t="s">
        <v>4182</v>
      </c>
      <c r="D880" s="27" t="s">
        <v>1629</v>
      </c>
      <c r="E880" s="27" t="s">
        <v>1629</v>
      </c>
      <c r="F880" s="2">
        <v>16</v>
      </c>
      <c r="G880" s="4" t="s">
        <v>25</v>
      </c>
      <c r="H880" s="2">
        <v>1999</v>
      </c>
      <c r="I880" s="2" t="s">
        <v>1668</v>
      </c>
      <c r="J880" s="2" t="s">
        <v>1669</v>
      </c>
      <c r="K880" s="22" t="s">
        <v>1393</v>
      </c>
      <c r="L880" s="2"/>
      <c r="M880" s="2" t="s">
        <v>1126</v>
      </c>
      <c r="N880" s="2"/>
      <c r="O880" s="2"/>
      <c r="P880" s="2" t="s">
        <v>1127</v>
      </c>
      <c r="Q880" s="25" t="s">
        <v>1127</v>
      </c>
      <c r="R880" s="2"/>
      <c r="S880" s="2"/>
      <c r="T880" s="2"/>
      <c r="U880" s="2"/>
      <c r="V880" s="2"/>
      <c r="W880" s="2"/>
      <c r="X880" s="2"/>
      <c r="Y880" s="2"/>
      <c r="Z880" s="2"/>
      <c r="AA880" s="2"/>
      <c r="AB880" s="2"/>
      <c r="AC880" s="2"/>
      <c r="AD880" s="2"/>
      <c r="AE880" s="2"/>
      <c r="AF880" s="2"/>
      <c r="AG880" s="2"/>
      <c r="AH880" s="2"/>
      <c r="AI880" s="2"/>
      <c r="AJ880" s="2"/>
    </row>
    <row r="881" spans="1:36" ht="17.25" customHeight="1" x14ac:dyDescent="0.2">
      <c r="A881" s="27" t="s">
        <v>0</v>
      </c>
      <c r="B881" s="27" t="s">
        <v>159</v>
      </c>
      <c r="C881" s="3" t="s">
        <v>4182</v>
      </c>
      <c r="D881" s="27" t="s">
        <v>1629</v>
      </c>
      <c r="E881" s="27" t="s">
        <v>1629</v>
      </c>
      <c r="F881" s="2">
        <v>17</v>
      </c>
      <c r="G881" s="4" t="s">
        <v>73</v>
      </c>
      <c r="H881" s="2">
        <v>2000</v>
      </c>
      <c r="I881" s="2" t="s">
        <v>1670</v>
      </c>
      <c r="J881" s="2" t="s">
        <v>1669</v>
      </c>
      <c r="K881" s="22" t="s">
        <v>1393</v>
      </c>
      <c r="L881" s="2"/>
      <c r="M881" s="2" t="s">
        <v>1126</v>
      </c>
      <c r="N881" s="2"/>
      <c r="O881" s="2"/>
      <c r="P881" s="2" t="s">
        <v>1127</v>
      </c>
      <c r="Q881" s="25" t="s">
        <v>1127</v>
      </c>
      <c r="R881" s="2"/>
      <c r="S881" s="2"/>
      <c r="T881" s="2"/>
      <c r="U881" s="2"/>
      <c r="V881" s="2"/>
      <c r="W881" s="2"/>
      <c r="X881" s="2"/>
      <c r="Y881" s="2"/>
      <c r="Z881" s="2"/>
      <c r="AA881" s="2"/>
      <c r="AB881" s="2"/>
      <c r="AC881" s="2"/>
      <c r="AD881" s="2"/>
      <c r="AE881" s="2"/>
      <c r="AF881" s="2"/>
      <c r="AG881" s="2"/>
      <c r="AH881" s="2"/>
      <c r="AI881" s="2"/>
      <c r="AJ881" s="2"/>
    </row>
    <row r="882" spans="1:36" ht="17.25" customHeight="1" x14ac:dyDescent="0.2">
      <c r="A882" s="27" t="s">
        <v>0</v>
      </c>
      <c r="B882" s="27" t="s">
        <v>161</v>
      </c>
      <c r="C882" s="3" t="s">
        <v>4182</v>
      </c>
      <c r="D882" s="27" t="s">
        <v>1629</v>
      </c>
      <c r="E882" s="27" t="s">
        <v>1629</v>
      </c>
      <c r="F882" s="2">
        <v>18</v>
      </c>
      <c r="G882" s="4" t="s">
        <v>58</v>
      </c>
      <c r="H882" s="2">
        <v>2001</v>
      </c>
      <c r="I882" s="2" t="s">
        <v>1671</v>
      </c>
      <c r="J882" s="2" t="s">
        <v>1669</v>
      </c>
      <c r="K882" s="22" t="s">
        <v>1393</v>
      </c>
      <c r="L882" s="2"/>
      <c r="M882" s="2" t="s">
        <v>1126</v>
      </c>
      <c r="N882" s="2"/>
      <c r="O882" s="2"/>
      <c r="P882" s="2" t="s">
        <v>1127</v>
      </c>
      <c r="Q882" s="25" t="s">
        <v>1127</v>
      </c>
      <c r="R882" s="2"/>
      <c r="S882" s="2"/>
      <c r="T882" s="2"/>
      <c r="U882" s="2"/>
      <c r="V882" s="2"/>
      <c r="W882" s="2"/>
      <c r="X882" s="2"/>
      <c r="Y882" s="2"/>
      <c r="Z882" s="2"/>
      <c r="AA882" s="2"/>
      <c r="AB882" s="2"/>
      <c r="AC882" s="2"/>
      <c r="AD882" s="2"/>
      <c r="AE882" s="2"/>
      <c r="AF882" s="2"/>
      <c r="AG882" s="2"/>
      <c r="AH882" s="2"/>
      <c r="AI882" s="2"/>
      <c r="AJ882" s="2"/>
    </row>
    <row r="883" spans="1:36" ht="17.25" customHeight="1" x14ac:dyDescent="0.2">
      <c r="A883" s="27" t="s">
        <v>0</v>
      </c>
      <c r="B883" s="27" t="s">
        <v>163</v>
      </c>
      <c r="C883" s="3" t="s">
        <v>4182</v>
      </c>
      <c r="D883" s="27" t="s">
        <v>1629</v>
      </c>
      <c r="E883" s="27" t="s">
        <v>1629</v>
      </c>
      <c r="F883" s="2">
        <v>19</v>
      </c>
      <c r="G883" s="4" t="s">
        <v>4</v>
      </c>
      <c r="H883" s="2">
        <v>2002</v>
      </c>
      <c r="I883" s="2" t="s">
        <v>1672</v>
      </c>
      <c r="J883" s="2" t="s">
        <v>1669</v>
      </c>
      <c r="K883" s="22" t="s">
        <v>1393</v>
      </c>
      <c r="L883" s="2"/>
      <c r="M883" s="2" t="s">
        <v>1126</v>
      </c>
      <c r="N883" s="2"/>
      <c r="O883" s="2"/>
      <c r="P883" s="2" t="s">
        <v>1127</v>
      </c>
      <c r="Q883" s="25" t="s">
        <v>1127</v>
      </c>
      <c r="R883" s="2"/>
      <c r="S883" s="2"/>
      <c r="T883" s="2"/>
      <c r="U883" s="2"/>
      <c r="V883" s="2"/>
      <c r="W883" s="2"/>
      <c r="X883" s="2"/>
      <c r="Y883" s="2"/>
      <c r="Z883" s="2"/>
      <c r="AA883" s="2"/>
      <c r="AB883" s="2"/>
      <c r="AC883" s="2"/>
      <c r="AD883" s="2"/>
      <c r="AE883" s="2"/>
      <c r="AF883" s="2"/>
      <c r="AG883" s="2"/>
      <c r="AH883" s="2"/>
      <c r="AI883" s="2"/>
      <c r="AJ883" s="2"/>
    </row>
    <row r="884" spans="1:36" ht="17.25" customHeight="1" x14ac:dyDescent="0.2">
      <c r="A884" s="27" t="s">
        <v>0</v>
      </c>
      <c r="B884" s="27" t="s">
        <v>165</v>
      </c>
      <c r="C884" s="3" t="s">
        <v>4182</v>
      </c>
      <c r="D884" s="27" t="s">
        <v>1629</v>
      </c>
      <c r="E884" s="27" t="s">
        <v>1629</v>
      </c>
      <c r="F884" s="2">
        <v>20</v>
      </c>
      <c r="G884" s="4" t="s">
        <v>83</v>
      </c>
      <c r="H884" s="2">
        <v>2003</v>
      </c>
      <c r="I884" s="2" t="s">
        <v>1673</v>
      </c>
      <c r="J884" s="2" t="s">
        <v>1669</v>
      </c>
      <c r="K884" s="22" t="s">
        <v>1393</v>
      </c>
      <c r="L884" s="2"/>
      <c r="M884" s="2" t="s">
        <v>1126</v>
      </c>
      <c r="N884" s="2"/>
      <c r="O884" s="2"/>
      <c r="P884" s="2" t="s">
        <v>1127</v>
      </c>
      <c r="Q884" s="25" t="s">
        <v>1127</v>
      </c>
      <c r="R884" s="2"/>
      <c r="S884" s="2"/>
      <c r="T884" s="2"/>
      <c r="U884" s="2"/>
      <c r="V884" s="2"/>
      <c r="W884" s="2"/>
      <c r="X884" s="2"/>
      <c r="Y884" s="2"/>
      <c r="Z884" s="2"/>
      <c r="AA884" s="2"/>
      <c r="AB884" s="2"/>
      <c r="AC884" s="2"/>
      <c r="AD884" s="2"/>
      <c r="AE884" s="2"/>
      <c r="AF884" s="2"/>
      <c r="AG884" s="2"/>
      <c r="AH884" s="2"/>
      <c r="AI884" s="2"/>
      <c r="AJ884" s="2"/>
    </row>
    <row r="885" spans="1:36" ht="17.25" customHeight="1" x14ac:dyDescent="0.2">
      <c r="A885" s="27" t="s">
        <v>0</v>
      </c>
      <c r="B885" s="27" t="s">
        <v>167</v>
      </c>
      <c r="C885" s="3" t="s">
        <v>4182</v>
      </c>
      <c r="D885" s="27" t="s">
        <v>1629</v>
      </c>
      <c r="E885" s="27" t="s">
        <v>1629</v>
      </c>
      <c r="F885" s="2">
        <v>21</v>
      </c>
      <c r="G885" s="4" t="s">
        <v>64</v>
      </c>
      <c r="H885" s="2">
        <v>2004</v>
      </c>
      <c r="I885" s="2" t="s">
        <v>1674</v>
      </c>
      <c r="J885" s="2" t="s">
        <v>1669</v>
      </c>
      <c r="K885" s="22" t="s">
        <v>1393</v>
      </c>
      <c r="L885" s="2"/>
      <c r="M885" s="2" t="s">
        <v>1126</v>
      </c>
      <c r="N885" s="2"/>
      <c r="O885" s="2"/>
      <c r="P885" s="2" t="s">
        <v>1127</v>
      </c>
      <c r="Q885" s="25" t="s">
        <v>1127</v>
      </c>
      <c r="R885" s="2"/>
      <c r="S885" s="2"/>
      <c r="T885" s="2"/>
      <c r="U885" s="2"/>
      <c r="V885" s="2"/>
      <c r="W885" s="2"/>
      <c r="X885" s="2"/>
      <c r="Y885" s="2"/>
      <c r="Z885" s="2"/>
      <c r="AA885" s="2"/>
      <c r="AB885" s="2"/>
      <c r="AC885" s="2"/>
      <c r="AD885" s="2"/>
      <c r="AE885" s="2"/>
      <c r="AF885" s="2"/>
      <c r="AG885" s="2"/>
      <c r="AH885" s="2"/>
      <c r="AI885" s="2"/>
      <c r="AJ885" s="2"/>
    </row>
    <row r="886" spans="1:36" ht="17.25" customHeight="1" x14ac:dyDescent="0.2">
      <c r="A886" s="27" t="s">
        <v>0</v>
      </c>
      <c r="B886" s="27" t="s">
        <v>169</v>
      </c>
      <c r="C886" s="3" t="s">
        <v>4182</v>
      </c>
      <c r="D886" s="27" t="s">
        <v>1629</v>
      </c>
      <c r="E886" s="27" t="s">
        <v>1629</v>
      </c>
      <c r="F886" s="2">
        <v>22</v>
      </c>
      <c r="G886" s="4" t="s">
        <v>92</v>
      </c>
      <c r="H886" s="2">
        <v>2005</v>
      </c>
      <c r="I886" s="2" t="s">
        <v>1675</v>
      </c>
      <c r="J886" s="2" t="s">
        <v>1669</v>
      </c>
      <c r="K886" s="22" t="s">
        <v>1393</v>
      </c>
      <c r="L886" s="2"/>
      <c r="M886" s="2" t="s">
        <v>1126</v>
      </c>
      <c r="N886" s="2"/>
      <c r="O886" s="2"/>
      <c r="P886" s="2" t="s">
        <v>1127</v>
      </c>
      <c r="Q886" s="25" t="s">
        <v>1127</v>
      </c>
      <c r="R886" s="2"/>
      <c r="S886" s="2"/>
      <c r="T886" s="2"/>
      <c r="U886" s="2"/>
      <c r="V886" s="2"/>
      <c r="W886" s="2"/>
      <c r="X886" s="2"/>
      <c r="Y886" s="2"/>
      <c r="Z886" s="2"/>
      <c r="AA886" s="2"/>
      <c r="AB886" s="2"/>
      <c r="AC886" s="2"/>
      <c r="AD886" s="2"/>
      <c r="AE886" s="2"/>
      <c r="AF886" s="2"/>
      <c r="AG886" s="2"/>
      <c r="AH886" s="2"/>
      <c r="AI886" s="2"/>
      <c r="AJ886" s="2"/>
    </row>
    <row r="887" spans="1:36" ht="17.25" customHeight="1" x14ac:dyDescent="0.2">
      <c r="A887" s="27" t="s">
        <v>0</v>
      </c>
      <c r="B887" s="27" t="s">
        <v>171</v>
      </c>
      <c r="C887" s="3" t="s">
        <v>4182</v>
      </c>
      <c r="D887" s="27" t="s">
        <v>1629</v>
      </c>
      <c r="E887" s="27" t="s">
        <v>1629</v>
      </c>
      <c r="F887" s="2">
        <v>23</v>
      </c>
      <c r="G887" s="4" t="s">
        <v>52</v>
      </c>
      <c r="H887" s="2">
        <v>2006</v>
      </c>
      <c r="I887" s="2" t="s">
        <v>1676</v>
      </c>
      <c r="J887" s="2" t="s">
        <v>1669</v>
      </c>
      <c r="K887" s="22" t="s">
        <v>1393</v>
      </c>
      <c r="L887" s="2"/>
      <c r="M887" s="2" t="s">
        <v>1126</v>
      </c>
      <c r="N887" s="2"/>
      <c r="O887" s="2"/>
      <c r="P887" s="2" t="s">
        <v>1127</v>
      </c>
      <c r="Q887" s="25" t="s">
        <v>1127</v>
      </c>
      <c r="R887" s="2"/>
      <c r="S887" s="2"/>
      <c r="T887" s="2"/>
      <c r="U887" s="2"/>
      <c r="V887" s="2"/>
      <c r="W887" s="2"/>
      <c r="X887" s="2"/>
      <c r="Y887" s="2"/>
      <c r="Z887" s="2"/>
      <c r="AA887" s="2"/>
      <c r="AB887" s="2"/>
      <c r="AC887" s="2"/>
      <c r="AD887" s="2"/>
      <c r="AE887" s="2"/>
      <c r="AF887" s="2"/>
      <c r="AG887" s="2"/>
      <c r="AH887" s="2"/>
      <c r="AI887" s="2"/>
      <c r="AJ887" s="2"/>
    </row>
    <row r="888" spans="1:36" ht="17.25" customHeight="1" x14ac:dyDescent="0.2">
      <c r="A888" s="27" t="s">
        <v>0</v>
      </c>
      <c r="B888" s="27" t="s">
        <v>173</v>
      </c>
      <c r="C888" s="3" t="s">
        <v>4182</v>
      </c>
      <c r="D888" s="27" t="s">
        <v>1629</v>
      </c>
      <c r="E888" s="27" t="s">
        <v>1629</v>
      </c>
      <c r="F888" s="2">
        <v>24</v>
      </c>
      <c r="G888" s="4" t="s">
        <v>95</v>
      </c>
      <c r="H888" s="2">
        <v>2007</v>
      </c>
      <c r="I888" s="2" t="s">
        <v>1677</v>
      </c>
      <c r="J888" s="2" t="s">
        <v>1669</v>
      </c>
      <c r="K888" s="22" t="s">
        <v>1393</v>
      </c>
      <c r="L888" s="2"/>
      <c r="M888" s="2" t="s">
        <v>1126</v>
      </c>
      <c r="N888" s="2"/>
      <c r="O888" s="2"/>
      <c r="P888" s="2" t="s">
        <v>1127</v>
      </c>
      <c r="Q888" s="25" t="s">
        <v>1127</v>
      </c>
      <c r="R888" s="2"/>
      <c r="S888" s="2"/>
      <c r="T888" s="2"/>
      <c r="U888" s="2"/>
      <c r="V888" s="2"/>
      <c r="W888" s="2"/>
      <c r="X888" s="2"/>
      <c r="Y888" s="2"/>
      <c r="Z888" s="2"/>
      <c r="AA888" s="2"/>
      <c r="AB888" s="2"/>
      <c r="AC888" s="2"/>
      <c r="AD888" s="2"/>
      <c r="AE888" s="2"/>
      <c r="AF888" s="2"/>
      <c r="AG888" s="2"/>
      <c r="AH888" s="2"/>
      <c r="AI888" s="2"/>
      <c r="AJ888" s="2"/>
    </row>
    <row r="889" spans="1:36" ht="17.25" customHeight="1" x14ac:dyDescent="0.2">
      <c r="A889" s="27" t="s">
        <v>0</v>
      </c>
      <c r="B889" s="27" t="s">
        <v>175</v>
      </c>
      <c r="C889" s="3" t="s">
        <v>4182</v>
      </c>
      <c r="D889" s="27" t="s">
        <v>1629</v>
      </c>
      <c r="E889" s="27" t="s">
        <v>1629</v>
      </c>
      <c r="F889" s="2">
        <v>25</v>
      </c>
      <c r="G889" s="4" t="s">
        <v>70</v>
      </c>
      <c r="H889" s="2">
        <v>2008</v>
      </c>
      <c r="I889" s="2" t="s">
        <v>1678</v>
      </c>
      <c r="J889" s="2" t="s">
        <v>1669</v>
      </c>
      <c r="K889" s="22" t="s">
        <v>1393</v>
      </c>
      <c r="L889" s="2"/>
      <c r="M889" s="2" t="s">
        <v>1126</v>
      </c>
      <c r="N889" s="2"/>
      <c r="O889" s="2"/>
      <c r="P889" s="2" t="s">
        <v>1127</v>
      </c>
      <c r="Q889" s="25" t="s">
        <v>1127</v>
      </c>
      <c r="R889" s="2"/>
      <c r="S889" s="2"/>
      <c r="T889" s="2"/>
      <c r="U889" s="2"/>
      <c r="V889" s="2"/>
      <c r="W889" s="2"/>
      <c r="X889" s="2"/>
      <c r="Y889" s="2"/>
      <c r="Z889" s="2"/>
      <c r="AA889" s="2"/>
      <c r="AB889" s="2"/>
      <c r="AC889" s="2"/>
      <c r="AD889" s="2"/>
      <c r="AE889" s="2"/>
      <c r="AF889" s="2"/>
      <c r="AG889" s="2"/>
      <c r="AH889" s="2"/>
      <c r="AI889" s="2"/>
      <c r="AJ889" s="2"/>
    </row>
    <row r="890" spans="1:36" ht="17.25" customHeight="1" x14ac:dyDescent="0.2">
      <c r="A890" s="27" t="s">
        <v>0</v>
      </c>
      <c r="B890" s="27" t="s">
        <v>177</v>
      </c>
      <c r="C890" s="3" t="s">
        <v>4182</v>
      </c>
      <c r="D890" s="27" t="s">
        <v>1629</v>
      </c>
      <c r="E890" s="27" t="s">
        <v>1629</v>
      </c>
      <c r="F890" s="2">
        <v>26</v>
      </c>
      <c r="G890" s="4" t="s">
        <v>16</v>
      </c>
      <c r="H890" s="2">
        <v>2009</v>
      </c>
      <c r="I890" s="2" t="s">
        <v>1679</v>
      </c>
      <c r="J890" s="2" t="s">
        <v>1669</v>
      </c>
      <c r="K890" s="22" t="s">
        <v>1393</v>
      </c>
      <c r="L890" s="2"/>
      <c r="M890" s="2" t="s">
        <v>1126</v>
      </c>
      <c r="N890" s="2"/>
      <c r="O890" s="2"/>
      <c r="P890" s="2" t="s">
        <v>1127</v>
      </c>
      <c r="Q890" s="25" t="s">
        <v>1127</v>
      </c>
      <c r="R890" s="2"/>
      <c r="S890" s="2"/>
      <c r="T890" s="2"/>
      <c r="U890" s="2"/>
      <c r="V890" s="2"/>
      <c r="W890" s="2"/>
      <c r="X890" s="2"/>
      <c r="Y890" s="2"/>
      <c r="Z890" s="2"/>
      <c r="AA890" s="2"/>
      <c r="AB890" s="2"/>
      <c r="AC890" s="2"/>
      <c r="AD890" s="2"/>
      <c r="AE890" s="2"/>
      <c r="AF890" s="2"/>
      <c r="AG890" s="2"/>
      <c r="AH890" s="2"/>
      <c r="AI890" s="2"/>
      <c r="AJ890" s="2"/>
    </row>
    <row r="891" spans="1:36" ht="17.25" customHeight="1" x14ac:dyDescent="0.2">
      <c r="A891" s="27" t="s">
        <v>0</v>
      </c>
      <c r="B891" s="27" t="s">
        <v>179</v>
      </c>
      <c r="C891" s="3" t="s">
        <v>4182</v>
      </c>
      <c r="D891" s="27" t="s">
        <v>1629</v>
      </c>
      <c r="E891" s="27" t="s">
        <v>1629</v>
      </c>
      <c r="F891" s="2">
        <v>27</v>
      </c>
      <c r="G891" s="4" t="s">
        <v>34</v>
      </c>
      <c r="H891" s="2">
        <v>2010</v>
      </c>
      <c r="I891" s="2" t="s">
        <v>1680</v>
      </c>
      <c r="J891" s="2" t="s">
        <v>1669</v>
      </c>
      <c r="K891" s="22" t="s">
        <v>1393</v>
      </c>
      <c r="L891" s="2"/>
      <c r="M891" s="2" t="s">
        <v>1126</v>
      </c>
      <c r="N891" s="2"/>
      <c r="O891" s="2"/>
      <c r="P891" s="2" t="s">
        <v>1127</v>
      </c>
      <c r="Q891" s="25" t="s">
        <v>1127</v>
      </c>
      <c r="R891" s="2"/>
      <c r="S891" s="2"/>
      <c r="T891" s="2"/>
      <c r="U891" s="2"/>
      <c r="V891" s="2"/>
      <c r="W891" s="2"/>
      <c r="X891" s="2"/>
      <c r="Y891" s="2"/>
      <c r="Z891" s="2"/>
      <c r="AA891" s="2"/>
      <c r="AB891" s="2"/>
      <c r="AC891" s="2"/>
      <c r="AD891" s="2"/>
      <c r="AE891" s="2"/>
      <c r="AF891" s="2"/>
      <c r="AG891" s="2"/>
      <c r="AH891" s="2"/>
      <c r="AI891" s="2"/>
      <c r="AJ891" s="2"/>
    </row>
    <row r="892" spans="1:36" ht="17.25" customHeight="1" x14ac:dyDescent="0.2">
      <c r="A892" s="27" t="s">
        <v>0</v>
      </c>
      <c r="B892" s="27" t="s">
        <v>181</v>
      </c>
      <c r="C892" s="3" t="s">
        <v>4182</v>
      </c>
      <c r="D892" s="27" t="s">
        <v>1629</v>
      </c>
      <c r="E892" s="27" t="s">
        <v>1629</v>
      </c>
      <c r="F892" s="2">
        <v>28</v>
      </c>
      <c r="G892" s="4" t="s">
        <v>46</v>
      </c>
      <c r="H892" s="2">
        <v>2011</v>
      </c>
      <c r="I892" s="2" t="s">
        <v>1681</v>
      </c>
      <c r="J892" s="2" t="s">
        <v>1669</v>
      </c>
      <c r="K892" s="22" t="s">
        <v>1393</v>
      </c>
      <c r="L892" s="2"/>
      <c r="M892" s="2" t="s">
        <v>1126</v>
      </c>
      <c r="N892" s="2"/>
      <c r="O892" s="2"/>
      <c r="P892" s="2" t="s">
        <v>1127</v>
      </c>
      <c r="Q892" s="25" t="s">
        <v>1127</v>
      </c>
      <c r="R892" s="2"/>
      <c r="S892" s="2"/>
      <c r="T892" s="2"/>
      <c r="U892" s="2"/>
      <c r="V892" s="2"/>
      <c r="W892" s="2"/>
      <c r="X892" s="2"/>
      <c r="Y892" s="2"/>
      <c r="Z892" s="2"/>
      <c r="AA892" s="2"/>
      <c r="AB892" s="2"/>
      <c r="AC892" s="2"/>
      <c r="AD892" s="2"/>
      <c r="AE892" s="2"/>
      <c r="AF892" s="2"/>
      <c r="AG892" s="2"/>
      <c r="AH892" s="2"/>
      <c r="AI892" s="2"/>
      <c r="AJ892" s="2"/>
    </row>
    <row r="893" spans="1:36" ht="17.25" customHeight="1" x14ac:dyDescent="0.2">
      <c r="A893" s="27" t="s">
        <v>0</v>
      </c>
      <c r="B893" s="27" t="s">
        <v>183</v>
      </c>
      <c r="C893" s="3" t="s">
        <v>4182</v>
      </c>
      <c r="D893" s="27" t="s">
        <v>1629</v>
      </c>
      <c r="E893" s="27" t="s">
        <v>1629</v>
      </c>
      <c r="F893" s="2">
        <v>29</v>
      </c>
      <c r="G893" s="4" t="s">
        <v>61</v>
      </c>
      <c r="H893" s="2">
        <v>2012</v>
      </c>
      <c r="I893" s="2" t="s">
        <v>1682</v>
      </c>
      <c r="J893" s="2" t="s">
        <v>1669</v>
      </c>
      <c r="K893" s="22" t="s">
        <v>1393</v>
      </c>
      <c r="L893" s="2"/>
      <c r="M893" s="2" t="s">
        <v>1126</v>
      </c>
      <c r="N893" s="2"/>
      <c r="O893" s="2"/>
      <c r="P893" s="2" t="s">
        <v>1127</v>
      </c>
      <c r="Q893" s="25" t="s">
        <v>1127</v>
      </c>
      <c r="R893" s="2"/>
      <c r="S893" s="2"/>
      <c r="T893" s="2"/>
      <c r="U893" s="2"/>
      <c r="V893" s="2"/>
      <c r="W893" s="2"/>
      <c r="X893" s="2"/>
      <c r="Y893" s="2"/>
      <c r="Z893" s="2"/>
      <c r="AA893" s="2"/>
      <c r="AB893" s="2"/>
      <c r="AC893" s="2"/>
      <c r="AD893" s="2"/>
      <c r="AE893" s="2"/>
      <c r="AF893" s="2"/>
      <c r="AG893" s="2"/>
      <c r="AH893" s="2"/>
      <c r="AI893" s="2"/>
      <c r="AJ893" s="2"/>
    </row>
    <row r="894" spans="1:36" ht="17.25" customHeight="1" x14ac:dyDescent="0.2">
      <c r="A894" s="27" t="s">
        <v>0</v>
      </c>
      <c r="B894" s="27" t="s">
        <v>185</v>
      </c>
      <c r="C894" s="3" t="s">
        <v>4182</v>
      </c>
      <c r="D894" s="27" t="s">
        <v>1629</v>
      </c>
      <c r="E894" s="27" t="s">
        <v>1629</v>
      </c>
      <c r="F894" s="2">
        <v>30</v>
      </c>
      <c r="G894" s="4" t="s">
        <v>86</v>
      </c>
      <c r="H894" s="2">
        <v>2013</v>
      </c>
      <c r="I894" s="2" t="s">
        <v>1683</v>
      </c>
      <c r="J894" s="2" t="s">
        <v>1669</v>
      </c>
      <c r="K894" s="22" t="s">
        <v>1393</v>
      </c>
      <c r="L894" s="2"/>
      <c r="M894" s="2" t="s">
        <v>1126</v>
      </c>
      <c r="N894" s="2"/>
      <c r="O894" s="2"/>
      <c r="P894" s="2" t="s">
        <v>1127</v>
      </c>
      <c r="Q894" s="25" t="s">
        <v>1127</v>
      </c>
      <c r="R894" s="2"/>
      <c r="S894" s="2"/>
      <c r="T894" s="2"/>
      <c r="U894" s="2"/>
      <c r="V894" s="2"/>
      <c r="W894" s="2"/>
      <c r="X894" s="2"/>
      <c r="Y894" s="2"/>
      <c r="Z894" s="2"/>
      <c r="AA894" s="2"/>
      <c r="AB894" s="2"/>
      <c r="AC894" s="2"/>
      <c r="AD894" s="2"/>
      <c r="AE894" s="2"/>
      <c r="AF894" s="2"/>
      <c r="AG894" s="2"/>
      <c r="AH894" s="2"/>
      <c r="AI894" s="2"/>
      <c r="AJ894" s="2"/>
    </row>
    <row r="895" spans="1:36" ht="17.25" customHeight="1" x14ac:dyDescent="0.2">
      <c r="A895" s="27" t="s">
        <v>0</v>
      </c>
      <c r="B895" s="27" t="s">
        <v>187</v>
      </c>
      <c r="C895" s="3" t="s">
        <v>4182</v>
      </c>
      <c r="D895" s="27" t="s">
        <v>1629</v>
      </c>
      <c r="E895" s="27" t="s">
        <v>1629</v>
      </c>
      <c r="F895" s="2">
        <v>31</v>
      </c>
      <c r="G895" s="4" t="s">
        <v>22</v>
      </c>
      <c r="H895" s="2">
        <v>2014</v>
      </c>
      <c r="I895" s="2" t="s">
        <v>1684</v>
      </c>
      <c r="J895" s="2" t="s">
        <v>1669</v>
      </c>
      <c r="K895" s="22" t="s">
        <v>1393</v>
      </c>
      <c r="L895" s="2"/>
      <c r="M895" s="2" t="s">
        <v>1126</v>
      </c>
      <c r="N895" s="2"/>
      <c r="O895" s="2"/>
      <c r="P895" s="2" t="s">
        <v>1127</v>
      </c>
      <c r="Q895" s="25" t="s">
        <v>1127</v>
      </c>
      <c r="R895" s="2"/>
      <c r="S895" s="2"/>
      <c r="T895" s="2"/>
      <c r="U895" s="2"/>
      <c r="V895" s="2"/>
      <c r="W895" s="2"/>
      <c r="X895" s="2"/>
      <c r="Y895" s="2"/>
      <c r="Z895" s="2"/>
      <c r="AA895" s="2"/>
      <c r="AB895" s="2"/>
      <c r="AC895" s="2"/>
      <c r="AD895" s="2"/>
      <c r="AE895" s="2"/>
      <c r="AF895" s="2"/>
      <c r="AG895" s="2"/>
      <c r="AH895" s="2"/>
      <c r="AI895" s="2"/>
      <c r="AJ895" s="2"/>
    </row>
    <row r="896" spans="1:36" ht="17.25" customHeight="1" x14ac:dyDescent="0.2">
      <c r="A896" s="27" t="s">
        <v>0</v>
      </c>
      <c r="B896" s="27" t="s">
        <v>189</v>
      </c>
      <c r="C896" s="3" t="s">
        <v>4182</v>
      </c>
      <c r="D896" s="27" t="s">
        <v>1629</v>
      </c>
      <c r="E896" s="27" t="s">
        <v>1629</v>
      </c>
      <c r="F896" s="2">
        <v>32</v>
      </c>
      <c r="G896" s="4" t="s">
        <v>28</v>
      </c>
      <c r="H896" s="2">
        <v>2015</v>
      </c>
      <c r="I896" s="2" t="s">
        <v>1685</v>
      </c>
      <c r="J896" s="2" t="s">
        <v>1669</v>
      </c>
      <c r="K896" s="22" t="s">
        <v>1393</v>
      </c>
      <c r="L896" s="2"/>
      <c r="M896" s="2" t="s">
        <v>1126</v>
      </c>
      <c r="N896" s="2"/>
      <c r="O896" s="2"/>
      <c r="P896" s="2" t="s">
        <v>1127</v>
      </c>
      <c r="Q896" s="25" t="s">
        <v>1127</v>
      </c>
      <c r="R896" s="2"/>
      <c r="S896" s="2"/>
      <c r="T896" s="2"/>
      <c r="U896" s="2"/>
      <c r="V896" s="2"/>
      <c r="W896" s="2"/>
      <c r="X896" s="2"/>
      <c r="Y896" s="2"/>
      <c r="Z896" s="2"/>
      <c r="AA896" s="2"/>
      <c r="AB896" s="2"/>
      <c r="AC896" s="2"/>
      <c r="AD896" s="2"/>
      <c r="AE896" s="2"/>
      <c r="AF896" s="2"/>
      <c r="AG896" s="2"/>
      <c r="AH896" s="2"/>
      <c r="AI896" s="2"/>
      <c r="AJ896" s="2"/>
    </row>
    <row r="897" spans="1:36" ht="17.25" customHeight="1" x14ac:dyDescent="0.2">
      <c r="A897" s="3" t="s">
        <v>0</v>
      </c>
      <c r="B897" s="3" t="s">
        <v>39</v>
      </c>
      <c r="C897" s="3" t="s">
        <v>4182</v>
      </c>
      <c r="D897" s="3" t="s">
        <v>1630</v>
      </c>
      <c r="E897" s="3" t="s">
        <v>1686</v>
      </c>
      <c r="F897" s="2">
        <v>1</v>
      </c>
      <c r="G897" s="4" t="s">
        <v>40</v>
      </c>
      <c r="H897" s="2">
        <v>1984</v>
      </c>
      <c r="I897" s="2" t="s">
        <v>1687</v>
      </c>
      <c r="J897" s="2" t="s">
        <v>1688</v>
      </c>
      <c r="K897" s="2" t="s">
        <v>1689</v>
      </c>
      <c r="L897" s="2"/>
      <c r="M897" s="2" t="s">
        <v>8</v>
      </c>
      <c r="N897" s="2"/>
      <c r="O897" s="2"/>
      <c r="P897" s="2" t="s">
        <v>1127</v>
      </c>
      <c r="Q897" s="25" t="s">
        <v>3462</v>
      </c>
      <c r="R897" s="2"/>
      <c r="S897" s="2"/>
      <c r="T897" s="2"/>
      <c r="U897" s="2"/>
      <c r="V897" s="2"/>
      <c r="W897" s="2"/>
      <c r="X897" s="2"/>
      <c r="Y897" s="2"/>
      <c r="Z897" s="2"/>
      <c r="AA897" s="2"/>
      <c r="AB897" s="2"/>
      <c r="AC897" s="2"/>
      <c r="AD897" s="2"/>
      <c r="AE897" s="2"/>
      <c r="AF897" s="2"/>
      <c r="AG897" s="2"/>
      <c r="AH897" s="2"/>
      <c r="AI897" s="2"/>
      <c r="AJ897" s="2"/>
    </row>
    <row r="898" spans="1:36" ht="17.25" customHeight="1" x14ac:dyDescent="0.2">
      <c r="A898" s="3" t="s">
        <v>0</v>
      </c>
      <c r="B898" s="3" t="s">
        <v>36</v>
      </c>
      <c r="C898" s="3" t="s">
        <v>4182</v>
      </c>
      <c r="D898" s="3" t="s">
        <v>1630</v>
      </c>
      <c r="E898" s="3" t="s">
        <v>1686</v>
      </c>
      <c r="F898" s="2">
        <v>2</v>
      </c>
      <c r="G898" s="4" t="s">
        <v>37</v>
      </c>
      <c r="H898" s="2">
        <v>1985</v>
      </c>
      <c r="I898" s="2" t="s">
        <v>1690</v>
      </c>
      <c r="J898" s="2" t="s">
        <v>1688</v>
      </c>
      <c r="K898" s="2" t="s">
        <v>1689</v>
      </c>
      <c r="L898" s="2"/>
      <c r="M898" s="2" t="s">
        <v>8</v>
      </c>
      <c r="N898" s="2"/>
      <c r="O898" s="2"/>
      <c r="P898" s="2" t="s">
        <v>1127</v>
      </c>
      <c r="Q898" s="25" t="s">
        <v>3462</v>
      </c>
      <c r="R898" s="2"/>
      <c r="S898" s="2"/>
      <c r="T898" s="2"/>
      <c r="U898" s="2"/>
      <c r="V898" s="2"/>
      <c r="W898" s="2"/>
      <c r="X898" s="2"/>
      <c r="Y898" s="2"/>
      <c r="Z898" s="2"/>
      <c r="AA898" s="2"/>
      <c r="AB898" s="2"/>
      <c r="AC898" s="2"/>
      <c r="AD898" s="2"/>
      <c r="AE898" s="2"/>
      <c r="AF898" s="2"/>
      <c r="AG898" s="2"/>
      <c r="AH898" s="2"/>
      <c r="AI898" s="2"/>
      <c r="AJ898" s="2"/>
    </row>
    <row r="899" spans="1:36" ht="17.25" customHeight="1" x14ac:dyDescent="0.2">
      <c r="A899" s="3" t="s">
        <v>0</v>
      </c>
      <c r="B899" s="3" t="s">
        <v>79</v>
      </c>
      <c r="C899" s="3" t="s">
        <v>4182</v>
      </c>
      <c r="D899" s="3" t="s">
        <v>1630</v>
      </c>
      <c r="E899" s="3" t="s">
        <v>1686</v>
      </c>
      <c r="F899" s="2">
        <v>3</v>
      </c>
      <c r="G899" s="4" t="s">
        <v>80</v>
      </c>
      <c r="H899" s="2">
        <v>1986</v>
      </c>
      <c r="I899" s="2" t="s">
        <v>1691</v>
      </c>
      <c r="J899" s="2" t="s">
        <v>1688</v>
      </c>
      <c r="K899" s="2" t="s">
        <v>1689</v>
      </c>
      <c r="L899" s="2"/>
      <c r="M899" s="2" t="s">
        <v>8</v>
      </c>
      <c r="N899" s="2"/>
      <c r="O899" s="2"/>
      <c r="P899" s="2" t="s">
        <v>1127</v>
      </c>
      <c r="Q899" s="25" t="s">
        <v>3462</v>
      </c>
      <c r="R899" s="2"/>
      <c r="S899" s="2"/>
      <c r="T899" s="2"/>
      <c r="U899" s="2"/>
      <c r="V899" s="2"/>
      <c r="W899" s="2"/>
      <c r="X899" s="2"/>
      <c r="Y899" s="2"/>
      <c r="Z899" s="2"/>
      <c r="AA899" s="2"/>
      <c r="AB899" s="2"/>
      <c r="AC899" s="2"/>
      <c r="AD899" s="2"/>
      <c r="AE899" s="2"/>
      <c r="AF899" s="2"/>
      <c r="AG899" s="2"/>
      <c r="AH899" s="2"/>
      <c r="AI899" s="2"/>
      <c r="AJ899" s="2"/>
    </row>
    <row r="900" spans="1:36" ht="17.25" customHeight="1" x14ac:dyDescent="0.2">
      <c r="A900" s="3" t="s">
        <v>0</v>
      </c>
      <c r="B900" s="3" t="s">
        <v>30</v>
      </c>
      <c r="C900" s="3" t="s">
        <v>4182</v>
      </c>
      <c r="D900" s="3" t="s">
        <v>1630</v>
      </c>
      <c r="E900" s="3" t="s">
        <v>1686</v>
      </c>
      <c r="F900" s="2">
        <v>4</v>
      </c>
      <c r="G900" s="4" t="s">
        <v>31</v>
      </c>
      <c r="H900" s="2">
        <v>1987</v>
      </c>
      <c r="I900" s="2" t="s">
        <v>1692</v>
      </c>
      <c r="J900" s="2" t="s">
        <v>1688</v>
      </c>
      <c r="K900" s="2" t="s">
        <v>1689</v>
      </c>
      <c r="L900" s="2"/>
      <c r="M900" s="2" t="s">
        <v>8</v>
      </c>
      <c r="N900" s="2"/>
      <c r="O900" s="2"/>
      <c r="P900" s="2" t="s">
        <v>1127</v>
      </c>
      <c r="Q900" s="25" t="s">
        <v>3462</v>
      </c>
      <c r="R900" s="2"/>
      <c r="S900" s="2"/>
      <c r="T900" s="2"/>
      <c r="U900" s="2"/>
      <c r="V900" s="2"/>
      <c r="W900" s="2"/>
      <c r="X900" s="2"/>
      <c r="Y900" s="2"/>
      <c r="Z900" s="2"/>
      <c r="AA900" s="2"/>
      <c r="AB900" s="2"/>
      <c r="AC900" s="2"/>
      <c r="AD900" s="2"/>
      <c r="AE900" s="2"/>
      <c r="AF900" s="2"/>
      <c r="AG900" s="2"/>
      <c r="AH900" s="2"/>
      <c r="AI900" s="2"/>
      <c r="AJ900" s="2"/>
    </row>
    <row r="901" spans="1:36" ht="17.25" customHeight="1" x14ac:dyDescent="0.2">
      <c r="A901" s="3" t="s">
        <v>0</v>
      </c>
      <c r="B901" s="3" t="s">
        <v>12</v>
      </c>
      <c r="C901" s="3" t="s">
        <v>4182</v>
      </c>
      <c r="D901" s="3" t="s">
        <v>1630</v>
      </c>
      <c r="E901" s="3" t="s">
        <v>1686</v>
      </c>
      <c r="F901" s="2">
        <v>5</v>
      </c>
      <c r="G901" s="4" t="s">
        <v>13</v>
      </c>
      <c r="H901" s="2">
        <v>1988</v>
      </c>
      <c r="I901" s="2" t="s">
        <v>1693</v>
      </c>
      <c r="J901" s="2" t="s">
        <v>1688</v>
      </c>
      <c r="K901" s="2" t="s">
        <v>1689</v>
      </c>
      <c r="L901" s="2"/>
      <c r="M901" s="2" t="s">
        <v>8</v>
      </c>
      <c r="N901" s="2"/>
      <c r="O901" s="2"/>
      <c r="P901" s="2" t="s">
        <v>1127</v>
      </c>
      <c r="Q901" s="25" t="s">
        <v>3462</v>
      </c>
      <c r="R901" s="2"/>
      <c r="S901" s="2"/>
      <c r="T901" s="2"/>
      <c r="U901" s="2"/>
      <c r="V901" s="2"/>
      <c r="W901" s="2"/>
      <c r="X901" s="2"/>
      <c r="Y901" s="2"/>
      <c r="Z901" s="2"/>
      <c r="AA901" s="2"/>
      <c r="AB901" s="2"/>
      <c r="AC901" s="2"/>
      <c r="AD901" s="2"/>
      <c r="AE901" s="2"/>
      <c r="AF901" s="2"/>
      <c r="AG901" s="2"/>
      <c r="AH901" s="2"/>
      <c r="AI901" s="2"/>
      <c r="AJ901" s="2"/>
    </row>
    <row r="902" spans="1:36" ht="17.25" customHeight="1" x14ac:dyDescent="0.2">
      <c r="A902" s="3" t="s">
        <v>0</v>
      </c>
      <c r="B902" s="3" t="s">
        <v>48</v>
      </c>
      <c r="C902" s="3" t="s">
        <v>4182</v>
      </c>
      <c r="D902" s="3" t="s">
        <v>1630</v>
      </c>
      <c r="E902" s="3" t="s">
        <v>1686</v>
      </c>
      <c r="F902" s="2">
        <v>6</v>
      </c>
      <c r="G902" s="4" t="s">
        <v>49</v>
      </c>
      <c r="H902" s="2">
        <v>1989</v>
      </c>
      <c r="I902" s="2" t="s">
        <v>1694</v>
      </c>
      <c r="J902" s="2" t="s">
        <v>1688</v>
      </c>
      <c r="K902" s="2" t="s">
        <v>1689</v>
      </c>
      <c r="L902" s="2"/>
      <c r="M902" s="2" t="s">
        <v>8</v>
      </c>
      <c r="N902" s="2"/>
      <c r="O902" s="2"/>
      <c r="P902" s="2" t="s">
        <v>1127</v>
      </c>
      <c r="Q902" s="25" t="s">
        <v>3462</v>
      </c>
      <c r="R902" s="2"/>
      <c r="S902" s="2"/>
      <c r="T902" s="2"/>
      <c r="U902" s="2"/>
      <c r="V902" s="2"/>
      <c r="W902" s="2"/>
      <c r="X902" s="2"/>
      <c r="Y902" s="2"/>
      <c r="Z902" s="2"/>
      <c r="AA902" s="2"/>
      <c r="AB902" s="2"/>
      <c r="AC902" s="2"/>
      <c r="AD902" s="2"/>
      <c r="AE902" s="2"/>
      <c r="AF902" s="2"/>
      <c r="AG902" s="2"/>
      <c r="AH902" s="2"/>
      <c r="AI902" s="2"/>
      <c r="AJ902" s="2"/>
    </row>
    <row r="903" spans="1:36" ht="17.25" customHeight="1" x14ac:dyDescent="0.2">
      <c r="A903" s="3" t="s">
        <v>0</v>
      </c>
      <c r="B903" s="3" t="s">
        <v>100</v>
      </c>
      <c r="C903" s="3" t="s">
        <v>4182</v>
      </c>
      <c r="D903" s="3" t="s">
        <v>1630</v>
      </c>
      <c r="E903" s="3" t="s">
        <v>1686</v>
      </c>
      <c r="F903" s="2">
        <v>7</v>
      </c>
      <c r="G903" s="4" t="s">
        <v>101</v>
      </c>
      <c r="H903" s="2">
        <v>1990</v>
      </c>
      <c r="I903" s="2" t="s">
        <v>1695</v>
      </c>
      <c r="J903" s="2" t="s">
        <v>1688</v>
      </c>
      <c r="K903" s="2" t="s">
        <v>1689</v>
      </c>
      <c r="L903" s="2"/>
      <c r="M903" s="2" t="s">
        <v>8</v>
      </c>
      <c r="N903" s="2"/>
      <c r="O903" s="2"/>
      <c r="P903" s="2" t="s">
        <v>1127</v>
      </c>
      <c r="Q903" s="25" t="s">
        <v>3462</v>
      </c>
      <c r="R903" s="2"/>
      <c r="S903" s="2"/>
      <c r="T903" s="2"/>
      <c r="U903" s="2"/>
      <c r="V903" s="2"/>
      <c r="W903" s="2"/>
      <c r="X903" s="2"/>
      <c r="Y903" s="2"/>
      <c r="Z903" s="2"/>
      <c r="AA903" s="2"/>
      <c r="AB903" s="2"/>
      <c r="AC903" s="2"/>
      <c r="AD903" s="2"/>
      <c r="AE903" s="2"/>
      <c r="AF903" s="2"/>
      <c r="AG903" s="2"/>
      <c r="AH903" s="2"/>
      <c r="AI903" s="2"/>
      <c r="AJ903" s="2"/>
    </row>
    <row r="904" spans="1:36" ht="17.25" customHeight="1" x14ac:dyDescent="0.2">
      <c r="A904" s="3" t="s">
        <v>0</v>
      </c>
      <c r="B904" s="3" t="s">
        <v>9</v>
      </c>
      <c r="C904" s="3" t="s">
        <v>4182</v>
      </c>
      <c r="D904" s="3" t="s">
        <v>1630</v>
      </c>
      <c r="E904" s="3" t="s">
        <v>1686</v>
      </c>
      <c r="F904" s="2">
        <v>8</v>
      </c>
      <c r="G904" s="4" t="s">
        <v>10</v>
      </c>
      <c r="H904" s="2">
        <v>1991</v>
      </c>
      <c r="I904" s="2" t="s">
        <v>1696</v>
      </c>
      <c r="J904" s="2" t="s">
        <v>1688</v>
      </c>
      <c r="K904" s="2" t="s">
        <v>1689</v>
      </c>
      <c r="L904" s="2"/>
      <c r="M904" s="2" t="s">
        <v>8</v>
      </c>
      <c r="N904" s="2"/>
      <c r="O904" s="2"/>
      <c r="P904" s="2" t="s">
        <v>1127</v>
      </c>
      <c r="Q904" s="25" t="s">
        <v>3462</v>
      </c>
      <c r="R904" s="2"/>
      <c r="S904" s="2"/>
      <c r="T904" s="2"/>
      <c r="U904" s="2"/>
      <c r="V904" s="2"/>
      <c r="W904" s="2"/>
      <c r="X904" s="2"/>
      <c r="Y904" s="2"/>
      <c r="Z904" s="2"/>
      <c r="AA904" s="2"/>
      <c r="AB904" s="2"/>
      <c r="AC904" s="2"/>
      <c r="AD904" s="2"/>
      <c r="AE904" s="2"/>
      <c r="AF904" s="2"/>
      <c r="AG904" s="2"/>
      <c r="AH904" s="2"/>
      <c r="AI904" s="2"/>
      <c r="AJ904" s="2"/>
    </row>
    <row r="905" spans="1:36" ht="17.25" customHeight="1" x14ac:dyDescent="0.2">
      <c r="A905" s="3" t="s">
        <v>0</v>
      </c>
      <c r="B905" s="3" t="s">
        <v>54</v>
      </c>
      <c r="C905" s="3" t="s">
        <v>4182</v>
      </c>
      <c r="D905" s="3" t="s">
        <v>1630</v>
      </c>
      <c r="E905" s="3" t="s">
        <v>1686</v>
      </c>
      <c r="F905" s="2">
        <v>9</v>
      </c>
      <c r="G905" s="4" t="s">
        <v>55</v>
      </c>
      <c r="H905" s="2">
        <v>1992</v>
      </c>
      <c r="I905" s="2" t="s">
        <v>1697</v>
      </c>
      <c r="J905" s="2" t="s">
        <v>1688</v>
      </c>
      <c r="K905" s="2" t="s">
        <v>1689</v>
      </c>
      <c r="L905" s="2"/>
      <c r="M905" s="2" t="s">
        <v>8</v>
      </c>
      <c r="N905" s="2"/>
      <c r="O905" s="2"/>
      <c r="P905" s="2" t="s">
        <v>1127</v>
      </c>
      <c r="Q905" s="25" t="s">
        <v>3462</v>
      </c>
      <c r="R905" s="2"/>
      <c r="S905" s="2"/>
      <c r="T905" s="2"/>
      <c r="U905" s="2"/>
      <c r="V905" s="2"/>
      <c r="W905" s="2"/>
      <c r="X905" s="2"/>
      <c r="Y905" s="2"/>
      <c r="Z905" s="2"/>
      <c r="AA905" s="2"/>
      <c r="AB905" s="2"/>
      <c r="AC905" s="2"/>
      <c r="AD905" s="2"/>
      <c r="AE905" s="2"/>
      <c r="AF905" s="2"/>
      <c r="AG905" s="2"/>
      <c r="AH905" s="2"/>
      <c r="AI905" s="2"/>
      <c r="AJ905" s="2"/>
    </row>
    <row r="906" spans="1:36" ht="17.25" customHeight="1" x14ac:dyDescent="0.2">
      <c r="A906" s="3" t="s">
        <v>0</v>
      </c>
      <c r="B906" s="3" t="s">
        <v>97</v>
      </c>
      <c r="C906" s="3" t="s">
        <v>4182</v>
      </c>
      <c r="D906" s="3" t="s">
        <v>1630</v>
      </c>
      <c r="E906" s="3" t="s">
        <v>1686</v>
      </c>
      <c r="F906" s="2">
        <v>10</v>
      </c>
      <c r="G906" s="4" t="s">
        <v>98</v>
      </c>
      <c r="H906" s="2">
        <v>1993</v>
      </c>
      <c r="I906" s="2" t="s">
        <v>1698</v>
      </c>
      <c r="J906" s="2" t="s">
        <v>1688</v>
      </c>
      <c r="K906" s="2" t="s">
        <v>1689</v>
      </c>
      <c r="L906" s="2"/>
      <c r="M906" s="2" t="s">
        <v>8</v>
      </c>
      <c r="N906" s="2"/>
      <c r="O906" s="2"/>
      <c r="P906" s="2" t="s">
        <v>1127</v>
      </c>
      <c r="Q906" s="25" t="s">
        <v>3462</v>
      </c>
      <c r="R906" s="2"/>
      <c r="S906" s="2"/>
      <c r="T906" s="2"/>
      <c r="U906" s="2"/>
      <c r="V906" s="2"/>
      <c r="W906" s="2"/>
      <c r="X906" s="2"/>
      <c r="Y906" s="2"/>
      <c r="Z906" s="2"/>
      <c r="AA906" s="2"/>
      <c r="AB906" s="2"/>
      <c r="AC906" s="2"/>
      <c r="AD906" s="2"/>
      <c r="AE906" s="2"/>
      <c r="AF906" s="2"/>
      <c r="AG906" s="2"/>
      <c r="AH906" s="2"/>
      <c r="AI906" s="2"/>
      <c r="AJ906" s="2"/>
    </row>
    <row r="907" spans="1:36" ht="17.25" customHeight="1" x14ac:dyDescent="0.2">
      <c r="A907" s="3" t="s">
        <v>0</v>
      </c>
      <c r="B907" s="3" t="s">
        <v>103</v>
      </c>
      <c r="C907" s="3" t="s">
        <v>4182</v>
      </c>
      <c r="D907" s="3" t="s">
        <v>1630</v>
      </c>
      <c r="E907" s="3" t="s">
        <v>1686</v>
      </c>
      <c r="F907" s="2">
        <v>11</v>
      </c>
      <c r="G907" s="4" t="s">
        <v>104</v>
      </c>
      <c r="H907" s="2">
        <v>1994</v>
      </c>
      <c r="I907" s="2" t="s">
        <v>1699</v>
      </c>
      <c r="J907" s="2" t="s">
        <v>1688</v>
      </c>
      <c r="K907" s="2" t="s">
        <v>1689</v>
      </c>
      <c r="L907" s="2"/>
      <c r="M907" s="2" t="s">
        <v>8</v>
      </c>
      <c r="N907" s="2"/>
      <c r="O907" s="2"/>
      <c r="P907" s="2" t="s">
        <v>1127</v>
      </c>
      <c r="Q907" s="25" t="s">
        <v>3462</v>
      </c>
      <c r="R907" s="2"/>
      <c r="S907" s="2"/>
      <c r="T907" s="2"/>
      <c r="U907" s="2"/>
      <c r="V907" s="2"/>
      <c r="W907" s="2"/>
      <c r="X907" s="2"/>
      <c r="Y907" s="2"/>
      <c r="Z907" s="2"/>
      <c r="AA907" s="2"/>
      <c r="AB907" s="2"/>
      <c r="AC907" s="2"/>
      <c r="AD907" s="2"/>
      <c r="AE907" s="2"/>
      <c r="AF907" s="2"/>
      <c r="AG907" s="2"/>
      <c r="AH907" s="2"/>
      <c r="AI907" s="2"/>
      <c r="AJ907" s="2"/>
    </row>
    <row r="908" spans="1:36" ht="17.25" customHeight="1" x14ac:dyDescent="0.2">
      <c r="A908" s="3" t="s">
        <v>0</v>
      </c>
      <c r="B908" s="3" t="s">
        <v>88</v>
      </c>
      <c r="C908" s="3" t="s">
        <v>4182</v>
      </c>
      <c r="D908" s="3" t="s">
        <v>1630</v>
      </c>
      <c r="E908" s="3" t="s">
        <v>1686</v>
      </c>
      <c r="F908" s="2">
        <v>12</v>
      </c>
      <c r="G908" s="4" t="s">
        <v>89</v>
      </c>
      <c r="H908" s="2">
        <v>1995</v>
      </c>
      <c r="I908" s="2" t="s">
        <v>1700</v>
      </c>
      <c r="J908" s="2" t="s">
        <v>1688</v>
      </c>
      <c r="K908" s="2" t="s">
        <v>1689</v>
      </c>
      <c r="L908" s="2"/>
      <c r="M908" s="2" t="s">
        <v>8</v>
      </c>
      <c r="N908" s="2"/>
      <c r="O908" s="2"/>
      <c r="P908" s="2" t="s">
        <v>1127</v>
      </c>
      <c r="Q908" s="25" t="s">
        <v>3462</v>
      </c>
      <c r="R908" s="2"/>
      <c r="S908" s="2"/>
      <c r="T908" s="2"/>
      <c r="U908" s="2"/>
      <c r="V908" s="2"/>
      <c r="W908" s="2"/>
      <c r="X908" s="2"/>
      <c r="Y908" s="2"/>
      <c r="Z908" s="2"/>
      <c r="AA908" s="2"/>
      <c r="AB908" s="2"/>
      <c r="AC908" s="2"/>
      <c r="AD908" s="2"/>
      <c r="AE908" s="2"/>
      <c r="AF908" s="2"/>
      <c r="AG908" s="2"/>
      <c r="AH908" s="2"/>
      <c r="AI908" s="2"/>
      <c r="AJ908" s="2"/>
    </row>
    <row r="909" spans="1:36" ht="17.25" customHeight="1" x14ac:dyDescent="0.2">
      <c r="A909" s="3" t="s">
        <v>0</v>
      </c>
      <c r="B909" s="3" t="s">
        <v>106</v>
      </c>
      <c r="C909" s="3" t="s">
        <v>4182</v>
      </c>
      <c r="D909" s="3" t="s">
        <v>1630</v>
      </c>
      <c r="E909" s="3" t="s">
        <v>1686</v>
      </c>
      <c r="F909" s="2">
        <v>13</v>
      </c>
      <c r="G909" s="4" t="s">
        <v>107</v>
      </c>
      <c r="H909" s="2">
        <v>1996</v>
      </c>
      <c r="I909" s="2" t="s">
        <v>1701</v>
      </c>
      <c r="J909" s="2" t="s">
        <v>1688</v>
      </c>
      <c r="K909" s="2" t="s">
        <v>1689</v>
      </c>
      <c r="L909" s="2"/>
      <c r="M909" s="2" t="s">
        <v>8</v>
      </c>
      <c r="N909" s="2"/>
      <c r="O909" s="2"/>
      <c r="P909" s="2" t="s">
        <v>1127</v>
      </c>
      <c r="Q909" s="25" t="s">
        <v>3462</v>
      </c>
      <c r="R909" s="2"/>
      <c r="S909" s="2"/>
      <c r="T909" s="2"/>
      <c r="U909" s="2"/>
      <c r="V909" s="2"/>
      <c r="W909" s="2"/>
      <c r="X909" s="2"/>
      <c r="Y909" s="2"/>
      <c r="Z909" s="2"/>
      <c r="AA909" s="2"/>
      <c r="AB909" s="2"/>
      <c r="AC909" s="2"/>
      <c r="AD909" s="2"/>
      <c r="AE909" s="2"/>
      <c r="AF909" s="2"/>
      <c r="AG909" s="2"/>
      <c r="AH909" s="2"/>
      <c r="AI909" s="2"/>
      <c r="AJ909" s="2"/>
    </row>
    <row r="910" spans="1:36" ht="17.25" customHeight="1" x14ac:dyDescent="0.2">
      <c r="A910" s="3" t="s">
        <v>0</v>
      </c>
      <c r="B910" s="3" t="s">
        <v>42</v>
      </c>
      <c r="C910" s="3" t="s">
        <v>4182</v>
      </c>
      <c r="D910" s="3" t="s">
        <v>1630</v>
      </c>
      <c r="E910" s="3" t="s">
        <v>1686</v>
      </c>
      <c r="F910" s="2">
        <v>14</v>
      </c>
      <c r="G910" s="4" t="s">
        <v>43</v>
      </c>
      <c r="H910" s="2">
        <v>1997</v>
      </c>
      <c r="I910" s="2" t="s">
        <v>1702</v>
      </c>
      <c r="J910" s="2" t="s">
        <v>1688</v>
      </c>
      <c r="K910" s="2" t="s">
        <v>1689</v>
      </c>
      <c r="L910" s="2"/>
      <c r="M910" s="2" t="s">
        <v>8</v>
      </c>
      <c r="N910" s="2"/>
      <c r="O910" s="2"/>
      <c r="P910" s="2" t="s">
        <v>1127</v>
      </c>
      <c r="Q910" s="25" t="s">
        <v>3462</v>
      </c>
      <c r="R910" s="2"/>
      <c r="S910" s="2"/>
      <c r="T910" s="2"/>
      <c r="U910" s="2"/>
      <c r="V910" s="2"/>
      <c r="W910" s="2"/>
      <c r="X910" s="2"/>
      <c r="Y910" s="2"/>
      <c r="Z910" s="2"/>
      <c r="AA910" s="2"/>
      <c r="AB910" s="2"/>
      <c r="AC910" s="2"/>
      <c r="AD910" s="2"/>
      <c r="AE910" s="2"/>
      <c r="AF910" s="2"/>
      <c r="AG910" s="2"/>
      <c r="AH910" s="2"/>
      <c r="AI910" s="2"/>
      <c r="AJ910" s="2"/>
    </row>
    <row r="911" spans="1:36" ht="17.25" customHeight="1" x14ac:dyDescent="0.2">
      <c r="A911" s="3" t="s">
        <v>0</v>
      </c>
      <c r="B911" s="3" t="s">
        <v>18</v>
      </c>
      <c r="C911" s="3" t="s">
        <v>4182</v>
      </c>
      <c r="D911" s="3" t="s">
        <v>1630</v>
      </c>
      <c r="E911" s="3" t="s">
        <v>1686</v>
      </c>
      <c r="F911" s="2">
        <v>15</v>
      </c>
      <c r="G911" s="4" t="s">
        <v>19</v>
      </c>
      <c r="H911" s="2">
        <v>1998</v>
      </c>
      <c r="I911" s="2" t="s">
        <v>1703</v>
      </c>
      <c r="J911" s="2" t="s">
        <v>1688</v>
      </c>
      <c r="K911" s="2" t="s">
        <v>1689</v>
      </c>
      <c r="L911" s="2"/>
      <c r="M911" s="2" t="s">
        <v>8</v>
      </c>
      <c r="N911" s="2"/>
      <c r="O911" s="2"/>
      <c r="P911" s="2" t="s">
        <v>1127</v>
      </c>
      <c r="Q911" s="25" t="s">
        <v>3462</v>
      </c>
      <c r="R911" s="2"/>
      <c r="S911" s="2"/>
      <c r="T911" s="2"/>
      <c r="U911" s="2"/>
      <c r="V911" s="2"/>
      <c r="W911" s="2"/>
      <c r="X911" s="2"/>
      <c r="Y911" s="2"/>
      <c r="Z911" s="2"/>
      <c r="AA911" s="2"/>
      <c r="AB911" s="2"/>
      <c r="AC911" s="2"/>
      <c r="AD911" s="2"/>
      <c r="AE911" s="2"/>
      <c r="AF911" s="2"/>
      <c r="AG911" s="2"/>
      <c r="AH911" s="2"/>
      <c r="AI911" s="2"/>
      <c r="AJ911" s="2"/>
    </row>
    <row r="912" spans="1:36" ht="17.25" customHeight="1" x14ac:dyDescent="0.2">
      <c r="A912" s="3" t="s">
        <v>0</v>
      </c>
      <c r="B912" s="3" t="s">
        <v>24</v>
      </c>
      <c r="C912" s="3" t="s">
        <v>4182</v>
      </c>
      <c r="D912" s="3" t="s">
        <v>1630</v>
      </c>
      <c r="E912" s="3" t="s">
        <v>1686</v>
      </c>
      <c r="F912" s="2">
        <v>16</v>
      </c>
      <c r="G912" s="4" t="s">
        <v>25</v>
      </c>
      <c r="H912" s="2">
        <v>1999</v>
      </c>
      <c r="I912" s="2" t="s">
        <v>1704</v>
      </c>
      <c r="J912" s="2" t="s">
        <v>1688</v>
      </c>
      <c r="K912" s="2" t="s">
        <v>1689</v>
      </c>
      <c r="L912" s="2"/>
      <c r="M912" s="2" t="s">
        <v>8</v>
      </c>
      <c r="N912" s="2"/>
      <c r="O912" s="2"/>
      <c r="P912" s="2" t="s">
        <v>1127</v>
      </c>
      <c r="Q912" s="25" t="s">
        <v>3462</v>
      </c>
      <c r="R912" s="2"/>
      <c r="S912" s="2"/>
      <c r="T912" s="2"/>
      <c r="U912" s="2"/>
      <c r="V912" s="2"/>
      <c r="W912" s="2"/>
      <c r="X912" s="2"/>
      <c r="Y912" s="2"/>
      <c r="Z912" s="2"/>
      <c r="AA912" s="2"/>
      <c r="AB912" s="2"/>
      <c r="AC912" s="2"/>
      <c r="AD912" s="2"/>
      <c r="AE912" s="2"/>
      <c r="AF912" s="2"/>
      <c r="AG912" s="2"/>
      <c r="AH912" s="2"/>
      <c r="AI912" s="2"/>
      <c r="AJ912" s="2"/>
    </row>
    <row r="913" spans="1:36" ht="17.25" customHeight="1" x14ac:dyDescent="0.2">
      <c r="A913" s="3" t="s">
        <v>0</v>
      </c>
      <c r="B913" s="3" t="s">
        <v>72</v>
      </c>
      <c r="C913" s="3" t="s">
        <v>4182</v>
      </c>
      <c r="D913" s="3" t="s">
        <v>1630</v>
      </c>
      <c r="E913" s="3" t="s">
        <v>1686</v>
      </c>
      <c r="F913" s="2">
        <v>17</v>
      </c>
      <c r="G913" s="4" t="s">
        <v>73</v>
      </c>
      <c r="H913" s="2">
        <v>2000</v>
      </c>
      <c r="I913" s="2" t="s">
        <v>1705</v>
      </c>
      <c r="J913" s="2" t="s">
        <v>1688</v>
      </c>
      <c r="K913" s="2" t="s">
        <v>1689</v>
      </c>
      <c r="L913" s="2"/>
      <c r="M913" s="2" t="s">
        <v>8</v>
      </c>
      <c r="N913" s="2"/>
      <c r="O913" s="2"/>
      <c r="P913" s="2" t="s">
        <v>1127</v>
      </c>
      <c r="Q913" s="25" t="s">
        <v>3462</v>
      </c>
      <c r="R913" s="2"/>
      <c r="S913" s="2"/>
      <c r="T913" s="2"/>
      <c r="U913" s="2"/>
      <c r="V913" s="2"/>
      <c r="W913" s="2"/>
      <c r="X913" s="2"/>
      <c r="Y913" s="2"/>
      <c r="Z913" s="2"/>
      <c r="AA913" s="2"/>
      <c r="AB913" s="2"/>
      <c r="AC913" s="2"/>
      <c r="AD913" s="2"/>
      <c r="AE913" s="2"/>
      <c r="AF913" s="2"/>
      <c r="AG913" s="2"/>
      <c r="AH913" s="2"/>
      <c r="AI913" s="2"/>
      <c r="AJ913" s="2"/>
    </row>
    <row r="914" spans="1:36" ht="17.25" customHeight="1" x14ac:dyDescent="0.2">
      <c r="A914" s="3" t="s">
        <v>0</v>
      </c>
      <c r="B914" s="3" t="s">
        <v>57</v>
      </c>
      <c r="C914" s="3" t="s">
        <v>4182</v>
      </c>
      <c r="D914" s="3" t="s">
        <v>1630</v>
      </c>
      <c r="E914" s="3" t="s">
        <v>1686</v>
      </c>
      <c r="F914" s="2">
        <v>18</v>
      </c>
      <c r="G914" s="4" t="s">
        <v>58</v>
      </c>
      <c r="H914" s="2">
        <v>2001</v>
      </c>
      <c r="I914" s="2" t="s">
        <v>1706</v>
      </c>
      <c r="J914" s="2" t="s">
        <v>1688</v>
      </c>
      <c r="K914" s="2" t="s">
        <v>1689</v>
      </c>
      <c r="L914" s="2"/>
      <c r="M914" s="2" t="s">
        <v>8</v>
      </c>
      <c r="N914" s="2"/>
      <c r="O914" s="2"/>
      <c r="P914" s="2" t="s">
        <v>1127</v>
      </c>
      <c r="Q914" s="25" t="s">
        <v>3462</v>
      </c>
      <c r="R914" s="2"/>
      <c r="S914" s="2"/>
      <c r="T914" s="2"/>
      <c r="U914" s="2"/>
      <c r="V914" s="2"/>
      <c r="W914" s="2"/>
      <c r="X914" s="2"/>
      <c r="Y914" s="2"/>
      <c r="Z914" s="2"/>
      <c r="AA914" s="2"/>
      <c r="AB914" s="2"/>
      <c r="AC914" s="2"/>
      <c r="AD914" s="2"/>
      <c r="AE914" s="2"/>
      <c r="AF914" s="2"/>
      <c r="AG914" s="2"/>
      <c r="AH914" s="2"/>
      <c r="AI914" s="2"/>
      <c r="AJ914" s="2"/>
    </row>
    <row r="915" spans="1:36" ht="17.25" customHeight="1" x14ac:dyDescent="0.2">
      <c r="A915" s="3" t="s">
        <v>0</v>
      </c>
      <c r="B915" s="3" t="s">
        <v>1</v>
      </c>
      <c r="C915" s="3" t="s">
        <v>4182</v>
      </c>
      <c r="D915" s="3" t="s">
        <v>1630</v>
      </c>
      <c r="E915" s="3" t="s">
        <v>1686</v>
      </c>
      <c r="F915" s="2">
        <v>19</v>
      </c>
      <c r="G915" s="4" t="s">
        <v>4</v>
      </c>
      <c r="H915" s="2">
        <v>2002</v>
      </c>
      <c r="I915" s="2" t="s">
        <v>1707</v>
      </c>
      <c r="J915" s="2" t="s">
        <v>1688</v>
      </c>
      <c r="K915" s="2" t="s">
        <v>1689</v>
      </c>
      <c r="L915" s="2"/>
      <c r="M915" s="2" t="s">
        <v>8</v>
      </c>
      <c r="N915" s="2"/>
      <c r="O915" s="2"/>
      <c r="P915" s="2" t="s">
        <v>1127</v>
      </c>
      <c r="Q915" s="25" t="s">
        <v>3462</v>
      </c>
      <c r="R915" s="2"/>
      <c r="S915" s="2"/>
      <c r="T915" s="2"/>
      <c r="U915" s="2"/>
      <c r="V915" s="2"/>
      <c r="W915" s="2"/>
      <c r="X915" s="2"/>
      <c r="Y915" s="2"/>
      <c r="Z915" s="2"/>
      <c r="AA915" s="2"/>
      <c r="AB915" s="2"/>
      <c r="AC915" s="2"/>
      <c r="AD915" s="2"/>
      <c r="AE915" s="2"/>
      <c r="AF915" s="2"/>
      <c r="AG915" s="2"/>
      <c r="AH915" s="2"/>
      <c r="AI915" s="2"/>
      <c r="AJ915" s="2"/>
    </row>
    <row r="916" spans="1:36" ht="17.25" customHeight="1" x14ac:dyDescent="0.2">
      <c r="A916" s="3" t="s">
        <v>0</v>
      </c>
      <c r="B916" s="3" t="s">
        <v>82</v>
      </c>
      <c r="C916" s="3" t="s">
        <v>4182</v>
      </c>
      <c r="D916" s="3" t="s">
        <v>1630</v>
      </c>
      <c r="E916" s="3" t="s">
        <v>1686</v>
      </c>
      <c r="F916" s="2">
        <v>20</v>
      </c>
      <c r="G916" s="4" t="s">
        <v>83</v>
      </c>
      <c r="H916" s="2">
        <v>2003</v>
      </c>
      <c r="I916" s="2" t="s">
        <v>1708</v>
      </c>
      <c r="J916" s="2" t="s">
        <v>1688</v>
      </c>
      <c r="K916" s="2" t="s">
        <v>1689</v>
      </c>
      <c r="L916" s="2"/>
      <c r="M916" s="2" t="s">
        <v>8</v>
      </c>
      <c r="N916" s="2"/>
      <c r="O916" s="2"/>
      <c r="P916" s="2" t="s">
        <v>1127</v>
      </c>
      <c r="Q916" s="25" t="s">
        <v>3462</v>
      </c>
      <c r="R916" s="2"/>
      <c r="S916" s="2"/>
      <c r="T916" s="2"/>
      <c r="U916" s="2"/>
      <c r="V916" s="2"/>
      <c r="W916" s="2"/>
      <c r="X916" s="2"/>
      <c r="Y916" s="2"/>
      <c r="Z916" s="2"/>
      <c r="AA916" s="2"/>
      <c r="AB916" s="2"/>
      <c r="AC916" s="2"/>
      <c r="AD916" s="2"/>
      <c r="AE916" s="2"/>
      <c r="AF916" s="2"/>
      <c r="AG916" s="2"/>
      <c r="AH916" s="2"/>
      <c r="AI916" s="2"/>
      <c r="AJ916" s="2"/>
    </row>
    <row r="917" spans="1:36" ht="17.25" customHeight="1" x14ac:dyDescent="0.2">
      <c r="A917" s="3" t="s">
        <v>0</v>
      </c>
      <c r="B917" s="3" t="s">
        <v>63</v>
      </c>
      <c r="C917" s="3" t="s">
        <v>4182</v>
      </c>
      <c r="D917" s="3" t="s">
        <v>1630</v>
      </c>
      <c r="E917" s="3" t="s">
        <v>1686</v>
      </c>
      <c r="F917" s="2">
        <v>21</v>
      </c>
      <c r="G917" s="4" t="s">
        <v>64</v>
      </c>
      <c r="H917" s="2">
        <v>2004</v>
      </c>
      <c r="I917" s="2" t="s">
        <v>1709</v>
      </c>
      <c r="J917" s="2" t="s">
        <v>1688</v>
      </c>
      <c r="K917" s="2" t="s">
        <v>1689</v>
      </c>
      <c r="L917" s="2"/>
      <c r="M917" s="2" t="s">
        <v>8</v>
      </c>
      <c r="N917" s="2"/>
      <c r="O917" s="2"/>
      <c r="P917" s="2" t="s">
        <v>1127</v>
      </c>
      <c r="Q917" s="25" t="s">
        <v>3462</v>
      </c>
      <c r="R917" s="2"/>
      <c r="S917" s="2"/>
      <c r="T917" s="2"/>
      <c r="U917" s="2"/>
      <c r="V917" s="2"/>
      <c r="W917" s="2"/>
      <c r="X917" s="2"/>
      <c r="Y917" s="2"/>
      <c r="Z917" s="2"/>
      <c r="AA917" s="2"/>
      <c r="AB917" s="2"/>
      <c r="AC917" s="2"/>
      <c r="AD917" s="2"/>
      <c r="AE917" s="2"/>
      <c r="AF917" s="2"/>
      <c r="AG917" s="2"/>
      <c r="AH917" s="2"/>
      <c r="AI917" s="2"/>
      <c r="AJ917" s="2"/>
    </row>
    <row r="918" spans="1:36" ht="17.25" customHeight="1" x14ac:dyDescent="0.2">
      <c r="A918" s="3" t="s">
        <v>0</v>
      </c>
      <c r="B918" s="3" t="s">
        <v>91</v>
      </c>
      <c r="C918" s="3" t="s">
        <v>4182</v>
      </c>
      <c r="D918" s="3" t="s">
        <v>1630</v>
      </c>
      <c r="E918" s="3" t="s">
        <v>1686</v>
      </c>
      <c r="F918" s="2">
        <v>22</v>
      </c>
      <c r="G918" s="4" t="s">
        <v>92</v>
      </c>
      <c r="H918" s="2">
        <v>2005</v>
      </c>
      <c r="I918" s="2" t="s">
        <v>1710</v>
      </c>
      <c r="J918" s="2" t="s">
        <v>1688</v>
      </c>
      <c r="K918" s="2" t="s">
        <v>1689</v>
      </c>
      <c r="L918" s="2"/>
      <c r="M918" s="2" t="s">
        <v>8</v>
      </c>
      <c r="N918" s="2"/>
      <c r="O918" s="2"/>
      <c r="P918" s="2" t="s">
        <v>1127</v>
      </c>
      <c r="Q918" s="25" t="s">
        <v>3462</v>
      </c>
      <c r="R918" s="2"/>
      <c r="S918" s="2"/>
      <c r="T918" s="2"/>
      <c r="U918" s="2"/>
      <c r="V918" s="2"/>
      <c r="W918" s="2"/>
      <c r="X918" s="2"/>
      <c r="Y918" s="2"/>
      <c r="Z918" s="2"/>
      <c r="AA918" s="2"/>
      <c r="AB918" s="2"/>
      <c r="AC918" s="2"/>
      <c r="AD918" s="2"/>
      <c r="AE918" s="2"/>
      <c r="AF918" s="2"/>
      <c r="AG918" s="2"/>
      <c r="AH918" s="2"/>
      <c r="AI918" s="2"/>
      <c r="AJ918" s="2"/>
    </row>
    <row r="919" spans="1:36" ht="17.25" customHeight="1" x14ac:dyDescent="0.2">
      <c r="A919" s="3" t="s">
        <v>0</v>
      </c>
      <c r="B919" s="3" t="s">
        <v>51</v>
      </c>
      <c r="C919" s="3" t="s">
        <v>4182</v>
      </c>
      <c r="D919" s="3" t="s">
        <v>1630</v>
      </c>
      <c r="E919" s="3" t="s">
        <v>1686</v>
      </c>
      <c r="F919" s="2">
        <v>23</v>
      </c>
      <c r="G919" s="4" t="s">
        <v>52</v>
      </c>
      <c r="H919" s="2">
        <v>2006</v>
      </c>
      <c r="I919" s="2" t="s">
        <v>1711</v>
      </c>
      <c r="J919" s="2" t="s">
        <v>1688</v>
      </c>
      <c r="K919" s="2" t="s">
        <v>1689</v>
      </c>
      <c r="L919" s="2"/>
      <c r="M919" s="2" t="s">
        <v>8</v>
      </c>
      <c r="N919" s="2"/>
      <c r="O919" s="2"/>
      <c r="P919" s="2" t="s">
        <v>1127</v>
      </c>
      <c r="Q919" s="25" t="s">
        <v>3462</v>
      </c>
      <c r="R919" s="2"/>
      <c r="S919" s="2"/>
      <c r="T919" s="2"/>
      <c r="U919" s="2"/>
      <c r="V919" s="2"/>
      <c r="W919" s="2"/>
      <c r="X919" s="2"/>
      <c r="Y919" s="2"/>
      <c r="Z919" s="2"/>
      <c r="AA919" s="2"/>
      <c r="AB919" s="2"/>
      <c r="AC919" s="2"/>
      <c r="AD919" s="2"/>
      <c r="AE919" s="2"/>
      <c r="AF919" s="2"/>
      <c r="AG919" s="2"/>
      <c r="AH919" s="2"/>
      <c r="AI919" s="2"/>
      <c r="AJ919" s="2"/>
    </row>
    <row r="920" spans="1:36" ht="17.25" customHeight="1" x14ac:dyDescent="0.2">
      <c r="A920" s="3" t="s">
        <v>0</v>
      </c>
      <c r="B920" s="3" t="s">
        <v>94</v>
      </c>
      <c r="C920" s="3" t="s">
        <v>4182</v>
      </c>
      <c r="D920" s="3" t="s">
        <v>1630</v>
      </c>
      <c r="E920" s="3" t="s">
        <v>1686</v>
      </c>
      <c r="F920" s="2">
        <v>24</v>
      </c>
      <c r="G920" s="4" t="s">
        <v>95</v>
      </c>
      <c r="H920" s="2">
        <v>2007</v>
      </c>
      <c r="I920" s="2" t="s">
        <v>1712</v>
      </c>
      <c r="J920" s="2" t="s">
        <v>1688</v>
      </c>
      <c r="K920" s="2" t="s">
        <v>1689</v>
      </c>
      <c r="L920" s="2"/>
      <c r="M920" s="2" t="s">
        <v>8</v>
      </c>
      <c r="N920" s="2"/>
      <c r="O920" s="2"/>
      <c r="P920" s="2" t="s">
        <v>1127</v>
      </c>
      <c r="Q920" s="25" t="s">
        <v>3462</v>
      </c>
      <c r="R920" s="2"/>
      <c r="S920" s="2"/>
      <c r="T920" s="2"/>
      <c r="U920" s="2"/>
      <c r="V920" s="2"/>
      <c r="W920" s="2"/>
      <c r="X920" s="2"/>
      <c r="Y920" s="2"/>
      <c r="Z920" s="2"/>
      <c r="AA920" s="2"/>
      <c r="AB920" s="2"/>
      <c r="AC920" s="2"/>
      <c r="AD920" s="2"/>
      <c r="AE920" s="2"/>
      <c r="AF920" s="2"/>
      <c r="AG920" s="2"/>
      <c r="AH920" s="2"/>
      <c r="AI920" s="2"/>
      <c r="AJ920" s="2"/>
    </row>
    <row r="921" spans="1:36" ht="17.25" customHeight="1" x14ac:dyDescent="0.2">
      <c r="A921" s="3" t="s">
        <v>0</v>
      </c>
      <c r="B921" s="3" t="s">
        <v>69</v>
      </c>
      <c r="C921" s="3" t="s">
        <v>4182</v>
      </c>
      <c r="D921" s="3" t="s">
        <v>1630</v>
      </c>
      <c r="E921" s="3" t="s">
        <v>1686</v>
      </c>
      <c r="F921" s="2">
        <v>25</v>
      </c>
      <c r="G921" s="4" t="s">
        <v>70</v>
      </c>
      <c r="H921" s="2">
        <v>2008</v>
      </c>
      <c r="I921" s="2" t="s">
        <v>1713</v>
      </c>
      <c r="J921" s="2" t="s">
        <v>1688</v>
      </c>
      <c r="K921" s="2" t="s">
        <v>1689</v>
      </c>
      <c r="L921" s="2"/>
      <c r="M921" s="2" t="s">
        <v>8</v>
      </c>
      <c r="N921" s="2"/>
      <c r="O921" s="2"/>
      <c r="P921" s="2" t="s">
        <v>1127</v>
      </c>
      <c r="Q921" s="25" t="s">
        <v>3462</v>
      </c>
      <c r="R921" s="2"/>
      <c r="S921" s="2"/>
      <c r="T921" s="2"/>
      <c r="U921" s="2"/>
      <c r="V921" s="2"/>
      <c r="W921" s="2"/>
      <c r="X921" s="2"/>
      <c r="Y921" s="2"/>
      <c r="Z921" s="2"/>
      <c r="AA921" s="2"/>
      <c r="AB921" s="2"/>
      <c r="AC921" s="2"/>
      <c r="AD921" s="2"/>
      <c r="AE921" s="2"/>
      <c r="AF921" s="2"/>
      <c r="AG921" s="2"/>
      <c r="AH921" s="2"/>
      <c r="AI921" s="2"/>
      <c r="AJ921" s="2"/>
    </row>
    <row r="922" spans="1:36" ht="17.25" customHeight="1" x14ac:dyDescent="0.2">
      <c r="A922" s="3" t="s">
        <v>0</v>
      </c>
      <c r="B922" s="3" t="s">
        <v>15</v>
      </c>
      <c r="C922" s="3" t="s">
        <v>4182</v>
      </c>
      <c r="D922" s="3" t="s">
        <v>1630</v>
      </c>
      <c r="E922" s="3" t="s">
        <v>1686</v>
      </c>
      <c r="F922" s="2">
        <v>26</v>
      </c>
      <c r="G922" s="4" t="s">
        <v>16</v>
      </c>
      <c r="H922" s="2">
        <v>2009</v>
      </c>
      <c r="I922" s="2" t="s">
        <v>1714</v>
      </c>
      <c r="J922" s="2" t="s">
        <v>1688</v>
      </c>
      <c r="K922" s="2" t="s">
        <v>1689</v>
      </c>
      <c r="L922" s="2"/>
      <c r="M922" s="2" t="s">
        <v>8</v>
      </c>
      <c r="N922" s="2"/>
      <c r="O922" s="2"/>
      <c r="P922" s="2" t="s">
        <v>1127</v>
      </c>
      <c r="Q922" s="25" t="s">
        <v>3462</v>
      </c>
      <c r="R922" s="2"/>
      <c r="S922" s="2"/>
      <c r="T922" s="2"/>
      <c r="U922" s="2"/>
      <c r="V922" s="2"/>
      <c r="W922" s="2"/>
      <c r="X922" s="2"/>
      <c r="Y922" s="2"/>
      <c r="Z922" s="2"/>
      <c r="AA922" s="2"/>
      <c r="AB922" s="2"/>
      <c r="AC922" s="2"/>
      <c r="AD922" s="2"/>
      <c r="AE922" s="2"/>
      <c r="AF922" s="2"/>
      <c r="AG922" s="2"/>
      <c r="AH922" s="2"/>
      <c r="AI922" s="2"/>
      <c r="AJ922" s="2"/>
    </row>
    <row r="923" spans="1:36" ht="17.25" customHeight="1" x14ac:dyDescent="0.2">
      <c r="A923" s="3" t="s">
        <v>0</v>
      </c>
      <c r="B923" s="3" t="s">
        <v>33</v>
      </c>
      <c r="C923" s="3" t="s">
        <v>4182</v>
      </c>
      <c r="D923" s="3" t="s">
        <v>1630</v>
      </c>
      <c r="E923" s="3" t="s">
        <v>1686</v>
      </c>
      <c r="F923" s="2">
        <v>27</v>
      </c>
      <c r="G923" s="4" t="s">
        <v>34</v>
      </c>
      <c r="H923" s="2">
        <v>2010</v>
      </c>
      <c r="I923" s="2" t="s">
        <v>1715</v>
      </c>
      <c r="J923" s="2" t="s">
        <v>1688</v>
      </c>
      <c r="K923" s="2" t="s">
        <v>1689</v>
      </c>
      <c r="L923" s="2"/>
      <c r="M923" s="2" t="s">
        <v>8</v>
      </c>
      <c r="N923" s="2"/>
      <c r="O923" s="2"/>
      <c r="P923" s="2" t="s">
        <v>1127</v>
      </c>
      <c r="Q923" s="25" t="s">
        <v>3462</v>
      </c>
      <c r="R923" s="2"/>
      <c r="S923" s="2"/>
      <c r="T923" s="2"/>
      <c r="U923" s="2"/>
      <c r="V923" s="2"/>
      <c r="W923" s="2"/>
      <c r="X923" s="2"/>
      <c r="Y923" s="2"/>
      <c r="Z923" s="2"/>
      <c r="AA923" s="2"/>
      <c r="AB923" s="2"/>
      <c r="AC923" s="2"/>
      <c r="AD923" s="2"/>
      <c r="AE923" s="2"/>
      <c r="AF923" s="2"/>
      <c r="AG923" s="2"/>
      <c r="AH923" s="2"/>
      <c r="AI923" s="2"/>
      <c r="AJ923" s="2"/>
    </row>
    <row r="924" spans="1:36" ht="17.25" customHeight="1" x14ac:dyDescent="0.2">
      <c r="A924" s="3" t="s">
        <v>0</v>
      </c>
      <c r="B924" s="3" t="s">
        <v>45</v>
      </c>
      <c r="C924" s="3" t="s">
        <v>4182</v>
      </c>
      <c r="D924" s="3" t="s">
        <v>1630</v>
      </c>
      <c r="E924" s="3" t="s">
        <v>1686</v>
      </c>
      <c r="F924" s="2">
        <v>28</v>
      </c>
      <c r="G924" s="4" t="s">
        <v>46</v>
      </c>
      <c r="H924" s="2">
        <v>2011</v>
      </c>
      <c r="I924" s="2" t="s">
        <v>1716</v>
      </c>
      <c r="J924" s="2" t="s">
        <v>1688</v>
      </c>
      <c r="K924" s="2" t="s">
        <v>1689</v>
      </c>
      <c r="L924" s="2"/>
      <c r="M924" s="2" t="s">
        <v>8</v>
      </c>
      <c r="N924" s="2"/>
      <c r="O924" s="2"/>
      <c r="P924" s="2" t="s">
        <v>1127</v>
      </c>
      <c r="Q924" s="25" t="s">
        <v>3462</v>
      </c>
      <c r="R924" s="2"/>
      <c r="S924" s="2"/>
      <c r="T924" s="2"/>
      <c r="U924" s="2"/>
      <c r="V924" s="2"/>
      <c r="W924" s="2"/>
      <c r="X924" s="2"/>
      <c r="Y924" s="2"/>
      <c r="Z924" s="2"/>
      <c r="AA924" s="2"/>
      <c r="AB924" s="2"/>
      <c r="AC924" s="2"/>
      <c r="AD924" s="2"/>
      <c r="AE924" s="2"/>
      <c r="AF924" s="2"/>
      <c r="AG924" s="2"/>
      <c r="AH924" s="2"/>
      <c r="AI924" s="2"/>
      <c r="AJ924" s="2"/>
    </row>
    <row r="925" spans="1:36" ht="17.25" customHeight="1" x14ac:dyDescent="0.2">
      <c r="A925" s="3" t="s">
        <v>0</v>
      </c>
      <c r="B925" s="3" t="s">
        <v>60</v>
      </c>
      <c r="C925" s="3" t="s">
        <v>4182</v>
      </c>
      <c r="D925" s="3" t="s">
        <v>1630</v>
      </c>
      <c r="E925" s="3" t="s">
        <v>1686</v>
      </c>
      <c r="F925" s="2">
        <v>29</v>
      </c>
      <c r="G925" s="4" t="s">
        <v>61</v>
      </c>
      <c r="H925" s="2">
        <v>2012</v>
      </c>
      <c r="I925" s="2" t="s">
        <v>1717</v>
      </c>
      <c r="J925" s="2" t="s">
        <v>1688</v>
      </c>
      <c r="K925" s="2" t="s">
        <v>1689</v>
      </c>
      <c r="L925" s="2"/>
      <c r="M925" s="2" t="s">
        <v>8</v>
      </c>
      <c r="N925" s="2"/>
      <c r="O925" s="2"/>
      <c r="P925" s="2" t="s">
        <v>1127</v>
      </c>
      <c r="Q925" s="25" t="s">
        <v>3462</v>
      </c>
      <c r="R925" s="2"/>
      <c r="S925" s="2"/>
      <c r="T925" s="2"/>
      <c r="U925" s="2"/>
      <c r="V925" s="2"/>
      <c r="W925" s="2"/>
      <c r="X925" s="2"/>
      <c r="Y925" s="2"/>
      <c r="Z925" s="2"/>
      <c r="AA925" s="2"/>
      <c r="AB925" s="2"/>
      <c r="AC925" s="2"/>
      <c r="AD925" s="2"/>
      <c r="AE925" s="2"/>
      <c r="AF925" s="2"/>
      <c r="AG925" s="2"/>
      <c r="AH925" s="2"/>
      <c r="AI925" s="2"/>
      <c r="AJ925" s="2"/>
    </row>
    <row r="926" spans="1:36" ht="17.25" customHeight="1" x14ac:dyDescent="0.2">
      <c r="A926" s="3" t="s">
        <v>0</v>
      </c>
      <c r="B926" s="3" t="s">
        <v>85</v>
      </c>
      <c r="C926" s="3" t="s">
        <v>4182</v>
      </c>
      <c r="D926" s="3" t="s">
        <v>1630</v>
      </c>
      <c r="E926" s="3" t="s">
        <v>1686</v>
      </c>
      <c r="F926" s="2">
        <v>30</v>
      </c>
      <c r="G926" s="4" t="s">
        <v>86</v>
      </c>
      <c r="H926" s="2">
        <v>2013</v>
      </c>
      <c r="I926" s="2" t="s">
        <v>1718</v>
      </c>
      <c r="J926" s="2" t="s">
        <v>1688</v>
      </c>
      <c r="K926" s="2" t="s">
        <v>1689</v>
      </c>
      <c r="L926" s="2"/>
      <c r="M926" s="2" t="s">
        <v>8</v>
      </c>
      <c r="N926" s="2"/>
      <c r="O926" s="2"/>
      <c r="P926" s="2" t="s">
        <v>1127</v>
      </c>
      <c r="Q926" s="25" t="s">
        <v>3462</v>
      </c>
      <c r="R926" s="2"/>
      <c r="S926" s="2"/>
      <c r="T926" s="2"/>
      <c r="U926" s="2"/>
      <c r="V926" s="2"/>
      <c r="W926" s="2"/>
      <c r="X926" s="2"/>
      <c r="Y926" s="2"/>
      <c r="Z926" s="2"/>
      <c r="AA926" s="2"/>
      <c r="AB926" s="2"/>
      <c r="AC926" s="2"/>
      <c r="AD926" s="2"/>
      <c r="AE926" s="2"/>
      <c r="AF926" s="2"/>
      <c r="AG926" s="2"/>
      <c r="AH926" s="2"/>
      <c r="AI926" s="2"/>
      <c r="AJ926" s="2"/>
    </row>
    <row r="927" spans="1:36" ht="17.25" customHeight="1" x14ac:dyDescent="0.2">
      <c r="A927" s="3" t="s">
        <v>0</v>
      </c>
      <c r="B927" s="3" t="s">
        <v>21</v>
      </c>
      <c r="C927" s="3" t="s">
        <v>4182</v>
      </c>
      <c r="D927" s="3" t="s">
        <v>1630</v>
      </c>
      <c r="E927" s="3" t="s">
        <v>1686</v>
      </c>
      <c r="F927" s="2">
        <v>31</v>
      </c>
      <c r="G927" s="4" t="s">
        <v>22</v>
      </c>
      <c r="H927" s="2">
        <v>2014</v>
      </c>
      <c r="I927" s="2" t="s">
        <v>1719</v>
      </c>
      <c r="J927" s="2" t="s">
        <v>1688</v>
      </c>
      <c r="K927" s="2" t="s">
        <v>1689</v>
      </c>
      <c r="L927" s="2"/>
      <c r="M927" s="2" t="s">
        <v>8</v>
      </c>
      <c r="N927" s="2"/>
      <c r="O927" s="2"/>
      <c r="P927" s="2" t="s">
        <v>1127</v>
      </c>
      <c r="Q927" s="25" t="s">
        <v>3462</v>
      </c>
      <c r="R927" s="2"/>
      <c r="S927" s="2"/>
      <c r="T927" s="2"/>
      <c r="U927" s="2"/>
      <c r="V927" s="2"/>
      <c r="W927" s="2"/>
      <c r="X927" s="2"/>
      <c r="Y927" s="2"/>
      <c r="Z927" s="2"/>
      <c r="AA927" s="2"/>
      <c r="AB927" s="2"/>
      <c r="AC927" s="2"/>
      <c r="AD927" s="2"/>
      <c r="AE927" s="2"/>
      <c r="AF927" s="2"/>
      <c r="AG927" s="2"/>
      <c r="AH927" s="2"/>
      <c r="AI927" s="2"/>
      <c r="AJ927" s="2"/>
    </row>
    <row r="928" spans="1:36" ht="17.25" customHeight="1" x14ac:dyDescent="0.2">
      <c r="A928" s="3" t="s">
        <v>0</v>
      </c>
      <c r="B928" s="3" t="s">
        <v>27</v>
      </c>
      <c r="C928" s="3" t="s">
        <v>4182</v>
      </c>
      <c r="D928" s="3" t="s">
        <v>1630</v>
      </c>
      <c r="E928" s="3" t="s">
        <v>1686</v>
      </c>
      <c r="F928" s="2">
        <v>32</v>
      </c>
      <c r="G928" s="4" t="s">
        <v>28</v>
      </c>
      <c r="H928" s="2">
        <v>2015</v>
      </c>
      <c r="I928" s="2" t="s">
        <v>1720</v>
      </c>
      <c r="J928" s="2" t="s">
        <v>1688</v>
      </c>
      <c r="K928" s="2" t="s">
        <v>1689</v>
      </c>
      <c r="L928" s="2"/>
      <c r="M928" s="2" t="s">
        <v>8</v>
      </c>
      <c r="N928" s="2"/>
      <c r="O928" s="2"/>
      <c r="P928" s="2" t="s">
        <v>1127</v>
      </c>
      <c r="Q928" s="25" t="s">
        <v>3462</v>
      </c>
      <c r="R928" s="2"/>
      <c r="S928" s="2"/>
      <c r="T928" s="2"/>
      <c r="U928" s="2"/>
      <c r="V928" s="2"/>
      <c r="W928" s="2"/>
      <c r="X928" s="2"/>
      <c r="Y928" s="2"/>
      <c r="Z928" s="2"/>
      <c r="AA928" s="2"/>
      <c r="AB928" s="2"/>
      <c r="AC928" s="2"/>
      <c r="AD928" s="2"/>
      <c r="AE928" s="2"/>
      <c r="AF928" s="2"/>
      <c r="AG928" s="2"/>
      <c r="AH928" s="2"/>
      <c r="AI928" s="2"/>
      <c r="AJ928" s="2"/>
    </row>
    <row r="929" spans="1:36" ht="17.25" customHeight="1" x14ac:dyDescent="0.2">
      <c r="A929" s="3" t="s">
        <v>0</v>
      </c>
      <c r="B929" s="3" t="s">
        <v>75</v>
      </c>
      <c r="C929" s="3" t="s">
        <v>4182</v>
      </c>
      <c r="D929" s="3" t="s">
        <v>1630</v>
      </c>
      <c r="E929" s="3" t="s">
        <v>1686</v>
      </c>
      <c r="F929" s="2">
        <v>33</v>
      </c>
      <c r="G929" s="4" t="s">
        <v>76</v>
      </c>
      <c r="H929" s="2">
        <v>2016</v>
      </c>
      <c r="I929" s="2" t="s">
        <v>1721</v>
      </c>
      <c r="J929" s="2" t="s">
        <v>1688</v>
      </c>
      <c r="K929" s="2" t="s">
        <v>1689</v>
      </c>
      <c r="L929" s="2"/>
      <c r="M929" s="2" t="s">
        <v>8</v>
      </c>
      <c r="N929" s="2"/>
      <c r="O929" s="2"/>
      <c r="P929" s="2" t="s">
        <v>1127</v>
      </c>
      <c r="Q929" s="25" t="s">
        <v>3462</v>
      </c>
      <c r="R929" s="2"/>
      <c r="S929" s="2"/>
      <c r="T929" s="2"/>
      <c r="U929" s="2"/>
      <c r="V929" s="2"/>
      <c r="W929" s="2"/>
      <c r="X929" s="2"/>
      <c r="Y929" s="2"/>
      <c r="Z929" s="2"/>
      <c r="AA929" s="2"/>
      <c r="AB929" s="2"/>
      <c r="AC929" s="2"/>
      <c r="AD929" s="2"/>
      <c r="AE929" s="2"/>
      <c r="AF929" s="2"/>
      <c r="AG929" s="2"/>
      <c r="AH929" s="2"/>
      <c r="AI929" s="2"/>
      <c r="AJ929" s="2"/>
    </row>
    <row r="930" spans="1:36" ht="17.25" customHeight="1" x14ac:dyDescent="0.2">
      <c r="A930" s="3" t="s">
        <v>0</v>
      </c>
      <c r="B930" s="3" t="s">
        <v>66</v>
      </c>
      <c r="C930" s="3" t="s">
        <v>4182</v>
      </c>
      <c r="D930" s="3" t="s">
        <v>1630</v>
      </c>
      <c r="E930" s="3" t="s">
        <v>1686</v>
      </c>
      <c r="F930" s="2">
        <v>34</v>
      </c>
      <c r="G930" s="4" t="s">
        <v>67</v>
      </c>
      <c r="H930" s="2">
        <v>2017</v>
      </c>
      <c r="I930" s="2" t="s">
        <v>1722</v>
      </c>
      <c r="J930" s="2" t="s">
        <v>1688</v>
      </c>
      <c r="K930" s="2" t="s">
        <v>1689</v>
      </c>
      <c r="L930" s="2"/>
      <c r="M930" s="2" t="s">
        <v>8</v>
      </c>
      <c r="N930" s="2"/>
      <c r="O930" s="2"/>
      <c r="P930" s="2" t="s">
        <v>1127</v>
      </c>
      <c r="Q930" s="25" t="s">
        <v>3462</v>
      </c>
      <c r="R930" s="2"/>
      <c r="S930" s="2"/>
      <c r="T930" s="2"/>
      <c r="U930" s="2"/>
      <c r="V930" s="2"/>
      <c r="W930" s="2"/>
      <c r="X930" s="2"/>
      <c r="Y930" s="2"/>
      <c r="Z930" s="2"/>
      <c r="AA930" s="2"/>
      <c r="AB930" s="2"/>
      <c r="AC930" s="2"/>
      <c r="AD930" s="2"/>
      <c r="AE930" s="2"/>
      <c r="AF930" s="2"/>
      <c r="AG930" s="2"/>
      <c r="AH930" s="2"/>
      <c r="AI930" s="2"/>
      <c r="AJ930" s="2"/>
    </row>
    <row r="931" spans="1:36" ht="17.25" customHeight="1" x14ac:dyDescent="0.2">
      <c r="A931" s="1" t="s">
        <v>0</v>
      </c>
      <c r="B931" s="1" t="s">
        <v>163</v>
      </c>
      <c r="C931" s="3" t="s">
        <v>4182</v>
      </c>
      <c r="D931" s="1" t="s">
        <v>1635</v>
      </c>
      <c r="E931" s="1" t="s">
        <v>1723</v>
      </c>
      <c r="F931" s="2">
        <v>19</v>
      </c>
      <c r="G931" s="2" t="s">
        <v>4</v>
      </c>
      <c r="H931" s="2">
        <v>2002</v>
      </c>
      <c r="I931" s="2" t="s">
        <v>1724</v>
      </c>
      <c r="J931" s="2" t="s">
        <v>1725</v>
      </c>
      <c r="K931" s="2"/>
      <c r="L931" s="2" t="s">
        <v>398</v>
      </c>
      <c r="M931" t="s">
        <v>8</v>
      </c>
      <c r="N931" s="2">
        <v>1</v>
      </c>
      <c r="O931" s="2">
        <v>5</v>
      </c>
      <c r="P931" s="2" t="s">
        <v>1527</v>
      </c>
      <c r="Q931" s="25" t="s">
        <v>3462</v>
      </c>
      <c r="R931" s="2"/>
      <c r="S931" s="2"/>
      <c r="T931" s="2"/>
      <c r="U931" s="2"/>
      <c r="V931" s="2"/>
      <c r="W931" s="2"/>
      <c r="X931" s="2"/>
      <c r="Y931" s="2"/>
      <c r="Z931" s="2"/>
      <c r="AA931" s="2"/>
      <c r="AB931" s="2"/>
      <c r="AC931" s="2"/>
      <c r="AD931" s="2"/>
      <c r="AE931" s="2"/>
      <c r="AF931" s="2"/>
      <c r="AG931" s="2"/>
      <c r="AH931" s="2"/>
      <c r="AI931" s="2"/>
      <c r="AJ931" s="2"/>
    </row>
    <row r="932" spans="1:36" ht="17.25" customHeight="1" x14ac:dyDescent="0.2">
      <c r="A932" s="1" t="s">
        <v>0</v>
      </c>
      <c r="B932" s="1" t="s">
        <v>167</v>
      </c>
      <c r="C932" s="3" t="s">
        <v>4182</v>
      </c>
      <c r="D932" s="1" t="s">
        <v>1635</v>
      </c>
      <c r="E932" s="1" t="s">
        <v>1723</v>
      </c>
      <c r="F932" s="2">
        <v>21</v>
      </c>
      <c r="G932" s="2" t="s">
        <v>64</v>
      </c>
      <c r="H932" s="2">
        <v>2004</v>
      </c>
      <c r="I932" s="2" t="s">
        <v>1726</v>
      </c>
      <c r="J932" s="2" t="s">
        <v>1727</v>
      </c>
      <c r="K932" s="2"/>
      <c r="L932" s="2" t="s">
        <v>398</v>
      </c>
      <c r="M932" t="s">
        <v>8</v>
      </c>
      <c r="N932" s="2">
        <v>1</v>
      </c>
      <c r="O932" s="2">
        <v>5</v>
      </c>
      <c r="P932" s="2" t="s">
        <v>1527</v>
      </c>
      <c r="Q932" s="25" t="s">
        <v>3462</v>
      </c>
      <c r="R932" s="2"/>
      <c r="S932" s="2"/>
      <c r="T932" s="2"/>
      <c r="U932" s="2"/>
      <c r="V932" s="2"/>
      <c r="W932" s="2"/>
      <c r="X932" s="2"/>
      <c r="Y932" s="2"/>
      <c r="Z932" s="2"/>
      <c r="AA932" s="2"/>
      <c r="AB932" s="2"/>
      <c r="AC932" s="2"/>
      <c r="AD932" s="2"/>
      <c r="AE932" s="2"/>
      <c r="AF932" s="2"/>
      <c r="AG932" s="2"/>
      <c r="AH932" s="2"/>
      <c r="AI932" s="2"/>
      <c r="AJ932" s="2"/>
    </row>
    <row r="933" spans="1:36" ht="17.25" customHeight="1" x14ac:dyDescent="0.2">
      <c r="A933" s="1" t="s">
        <v>0</v>
      </c>
      <c r="B933" s="1" t="s">
        <v>171</v>
      </c>
      <c r="C933" s="3" t="s">
        <v>4182</v>
      </c>
      <c r="D933" s="1" t="s">
        <v>1635</v>
      </c>
      <c r="E933" s="1" t="s">
        <v>1723</v>
      </c>
      <c r="F933" s="2">
        <v>23</v>
      </c>
      <c r="G933" s="2" t="s">
        <v>52</v>
      </c>
      <c r="H933" s="2">
        <v>2006</v>
      </c>
      <c r="I933" s="2" t="s">
        <v>1728</v>
      </c>
      <c r="J933" s="2" t="s">
        <v>1729</v>
      </c>
      <c r="K933" s="2"/>
      <c r="L933" s="2" t="s">
        <v>398</v>
      </c>
      <c r="M933" t="s">
        <v>8</v>
      </c>
      <c r="N933" s="2">
        <v>1</v>
      </c>
      <c r="O933" s="2">
        <v>5</v>
      </c>
      <c r="P933" s="2" t="s">
        <v>1527</v>
      </c>
      <c r="Q933" s="25" t="s">
        <v>3462</v>
      </c>
      <c r="R933" s="2"/>
      <c r="S933" s="2"/>
      <c r="T933" s="2"/>
      <c r="U933" s="2"/>
      <c r="V933" s="2"/>
      <c r="W933" s="2"/>
      <c r="X933" s="2"/>
      <c r="Y933" s="2"/>
      <c r="Z933" s="2"/>
      <c r="AA933" s="2"/>
      <c r="AB933" s="2"/>
      <c r="AC933" s="2"/>
      <c r="AD933" s="2"/>
      <c r="AE933" s="2"/>
      <c r="AF933" s="2"/>
      <c r="AG933" s="2"/>
      <c r="AH933" s="2"/>
      <c r="AI933" s="2"/>
      <c r="AJ933" s="2"/>
    </row>
    <row r="934" spans="1:36" ht="17.25" customHeight="1" x14ac:dyDescent="0.2">
      <c r="A934" s="1" t="s">
        <v>0</v>
      </c>
      <c r="B934" s="1" t="s">
        <v>175</v>
      </c>
      <c r="C934" s="3" t="s">
        <v>4182</v>
      </c>
      <c r="D934" s="1" t="s">
        <v>1635</v>
      </c>
      <c r="E934" s="1" t="s">
        <v>1723</v>
      </c>
      <c r="F934" s="2">
        <v>25</v>
      </c>
      <c r="G934" s="2" t="s">
        <v>70</v>
      </c>
      <c r="H934" s="2">
        <v>2008</v>
      </c>
      <c r="I934" s="2" t="s">
        <v>1730</v>
      </c>
      <c r="J934" s="2" t="s">
        <v>1729</v>
      </c>
      <c r="K934" s="2"/>
      <c r="L934" s="2" t="s">
        <v>398</v>
      </c>
      <c r="M934" t="s">
        <v>8</v>
      </c>
      <c r="N934" s="2">
        <v>1</v>
      </c>
      <c r="O934" s="2">
        <v>5</v>
      </c>
      <c r="P934" s="2" t="s">
        <v>1527</v>
      </c>
      <c r="Q934" s="25" t="s">
        <v>3462</v>
      </c>
      <c r="R934" s="2"/>
      <c r="S934" s="2"/>
      <c r="T934" s="2"/>
      <c r="U934" s="2"/>
      <c r="V934" s="2"/>
      <c r="W934" s="2"/>
      <c r="X934" s="2"/>
      <c r="Y934" s="2"/>
      <c r="Z934" s="2"/>
      <c r="AA934" s="2"/>
      <c r="AB934" s="2"/>
      <c r="AC934" s="2"/>
      <c r="AD934" s="2"/>
      <c r="AE934" s="2"/>
      <c r="AF934" s="2"/>
      <c r="AG934" s="2"/>
      <c r="AH934" s="2"/>
      <c r="AI934" s="2"/>
      <c r="AJ934" s="2"/>
    </row>
    <row r="935" spans="1:36" ht="17.25" customHeight="1" x14ac:dyDescent="0.2">
      <c r="A935" s="1" t="s">
        <v>0</v>
      </c>
      <c r="B935" s="1" t="s">
        <v>179</v>
      </c>
      <c r="C935" s="3" t="s">
        <v>4182</v>
      </c>
      <c r="D935" s="1" t="s">
        <v>1635</v>
      </c>
      <c r="E935" s="1" t="s">
        <v>1723</v>
      </c>
      <c r="F935" s="2">
        <v>27</v>
      </c>
      <c r="G935" s="2" t="s">
        <v>34</v>
      </c>
      <c r="H935" s="2">
        <v>2010</v>
      </c>
      <c r="I935" s="2" t="s">
        <v>1731</v>
      </c>
      <c r="J935" s="2" t="s">
        <v>1729</v>
      </c>
      <c r="K935" s="2"/>
      <c r="L935" s="2" t="s">
        <v>398</v>
      </c>
      <c r="M935" t="s">
        <v>8</v>
      </c>
      <c r="N935" s="2">
        <v>1</v>
      </c>
      <c r="O935" s="2">
        <v>5</v>
      </c>
      <c r="P935" s="2" t="s">
        <v>1527</v>
      </c>
      <c r="Q935" s="25" t="s">
        <v>3462</v>
      </c>
      <c r="R935" s="2"/>
      <c r="S935" s="2"/>
      <c r="T935" s="2"/>
      <c r="U935" s="2"/>
      <c r="V935" s="2"/>
      <c r="W935" s="2"/>
      <c r="X935" s="2"/>
      <c r="Y935" s="2"/>
      <c r="Z935" s="2"/>
      <c r="AA935" s="2"/>
      <c r="AB935" s="2"/>
      <c r="AC935" s="2"/>
      <c r="AD935" s="2"/>
      <c r="AE935" s="2"/>
      <c r="AF935" s="2"/>
      <c r="AG935" s="2"/>
      <c r="AH935" s="2"/>
      <c r="AI935" s="2"/>
      <c r="AJ935" s="2"/>
    </row>
    <row r="936" spans="1:36" ht="17.25" customHeight="1" x14ac:dyDescent="0.2">
      <c r="A936" s="1" t="s">
        <v>0</v>
      </c>
      <c r="B936" s="1" t="s">
        <v>183</v>
      </c>
      <c r="C936" s="3" t="s">
        <v>4182</v>
      </c>
      <c r="D936" s="1" t="s">
        <v>1635</v>
      </c>
      <c r="E936" s="1" t="s">
        <v>1723</v>
      </c>
      <c r="F936" s="2">
        <v>29</v>
      </c>
      <c r="G936" s="2" t="s">
        <v>61</v>
      </c>
      <c r="H936" s="2">
        <v>2012</v>
      </c>
      <c r="I936" s="2" t="s">
        <v>1732</v>
      </c>
      <c r="J936" s="2" t="s">
        <v>1729</v>
      </c>
      <c r="K936" s="2"/>
      <c r="L936" s="2" t="s">
        <v>398</v>
      </c>
      <c r="M936" t="s">
        <v>8</v>
      </c>
      <c r="N936" s="2">
        <v>1</v>
      </c>
      <c r="O936" s="2">
        <v>5</v>
      </c>
      <c r="P936" s="2" t="s">
        <v>1527</v>
      </c>
      <c r="Q936" s="25" t="s">
        <v>3462</v>
      </c>
      <c r="R936" s="2"/>
      <c r="S936" s="2"/>
      <c r="T936" s="2"/>
      <c r="U936" s="2"/>
      <c r="V936" s="2"/>
      <c r="W936" s="2"/>
      <c r="X936" s="2"/>
      <c r="Y936" s="2"/>
      <c r="Z936" s="2"/>
      <c r="AA936" s="2"/>
      <c r="AB936" s="2"/>
      <c r="AC936" s="2"/>
      <c r="AD936" s="2"/>
      <c r="AE936" s="2"/>
      <c r="AF936" s="2"/>
      <c r="AG936" s="2"/>
      <c r="AH936" s="2"/>
      <c r="AI936" s="2"/>
      <c r="AJ936" s="2"/>
    </row>
    <row r="937" spans="1:36" ht="17.25" customHeight="1" x14ac:dyDescent="0.2">
      <c r="A937" s="1" t="s">
        <v>0</v>
      </c>
      <c r="B937" s="1" t="s">
        <v>187</v>
      </c>
      <c r="C937" s="3" t="s">
        <v>4182</v>
      </c>
      <c r="D937" s="1" t="s">
        <v>1635</v>
      </c>
      <c r="E937" s="1" t="s">
        <v>1723</v>
      </c>
      <c r="F937" s="2">
        <v>31</v>
      </c>
      <c r="G937" s="2" t="s">
        <v>22</v>
      </c>
      <c r="H937" s="2">
        <v>2014</v>
      </c>
      <c r="I937" s="2" t="s">
        <v>1733</v>
      </c>
      <c r="J937" s="2" t="s">
        <v>1729</v>
      </c>
      <c r="K937" s="2"/>
      <c r="L937" s="2" t="s">
        <v>398</v>
      </c>
      <c r="M937" t="s">
        <v>8</v>
      </c>
      <c r="N937" s="2">
        <v>1</v>
      </c>
      <c r="O937" s="2">
        <v>5</v>
      </c>
      <c r="P937" s="2" t="s">
        <v>1527</v>
      </c>
      <c r="Q937" s="25" t="s">
        <v>3462</v>
      </c>
      <c r="R937" s="2"/>
      <c r="S937" s="2"/>
      <c r="T937" s="2"/>
      <c r="U937" s="2"/>
      <c r="V937" s="2"/>
      <c r="W937" s="2"/>
      <c r="X937" s="2"/>
      <c r="Y937" s="2"/>
      <c r="Z937" s="2"/>
      <c r="AA937" s="2"/>
      <c r="AB937" s="2"/>
      <c r="AC937" s="2"/>
      <c r="AD937" s="2"/>
      <c r="AE937" s="2"/>
      <c r="AF937" s="2"/>
      <c r="AG937" s="2"/>
      <c r="AH937" s="2"/>
      <c r="AI937" s="2"/>
      <c r="AJ937" s="2"/>
    </row>
    <row r="938" spans="1:36" ht="17.25" customHeight="1" x14ac:dyDescent="0.2">
      <c r="A938" s="1" t="s">
        <v>0</v>
      </c>
      <c r="B938" s="1" t="s">
        <v>1224</v>
      </c>
      <c r="C938" s="3" t="s">
        <v>4182</v>
      </c>
      <c r="D938" s="1" t="s">
        <v>1635</v>
      </c>
      <c r="E938" s="1" t="s">
        <v>1723</v>
      </c>
      <c r="F938" s="2">
        <v>33</v>
      </c>
      <c r="G938" s="2" t="s">
        <v>76</v>
      </c>
      <c r="H938" s="2">
        <v>2016</v>
      </c>
      <c r="I938" s="2" t="s">
        <v>1734</v>
      </c>
      <c r="J938" s="2" t="s">
        <v>1729</v>
      </c>
      <c r="K938" s="2"/>
      <c r="L938" s="2" t="s">
        <v>398</v>
      </c>
      <c r="M938" t="s">
        <v>8</v>
      </c>
      <c r="N938" s="2">
        <v>1</v>
      </c>
      <c r="O938" s="2">
        <v>5</v>
      </c>
      <c r="P938" s="2" t="s">
        <v>1527</v>
      </c>
      <c r="Q938" s="25" t="s">
        <v>3462</v>
      </c>
      <c r="R938" s="2"/>
      <c r="S938" s="2"/>
      <c r="T938" s="2"/>
      <c r="U938" s="2"/>
      <c r="V938" s="2"/>
      <c r="W938" s="2"/>
      <c r="X938" s="2"/>
      <c r="Y938" s="2"/>
      <c r="Z938" s="2"/>
      <c r="AA938" s="2"/>
      <c r="AB938" s="2"/>
      <c r="AC938" s="2"/>
      <c r="AD938" s="2"/>
      <c r="AE938" s="2"/>
      <c r="AF938" s="2"/>
      <c r="AG938" s="2"/>
      <c r="AH938" s="2"/>
      <c r="AI938" s="2"/>
      <c r="AJ938" s="2"/>
    </row>
    <row r="939" spans="1:36" ht="17.25" customHeight="1" x14ac:dyDescent="0.2">
      <c r="A939" s="1" t="s">
        <v>0</v>
      </c>
      <c r="B939" s="1" t="s">
        <v>1735</v>
      </c>
      <c r="C939" s="3" t="s">
        <v>4182</v>
      </c>
      <c r="D939" s="1" t="s">
        <v>1635</v>
      </c>
      <c r="E939" s="1" t="s">
        <v>1723</v>
      </c>
      <c r="F939" s="2">
        <v>34</v>
      </c>
      <c r="G939" s="2" t="s">
        <v>67</v>
      </c>
      <c r="H939" s="2">
        <v>2017</v>
      </c>
      <c r="I939" s="2" t="s">
        <v>1736</v>
      </c>
      <c r="J939" s="2" t="s">
        <v>1737</v>
      </c>
      <c r="K939" s="2"/>
      <c r="L939" s="2" t="s">
        <v>1520</v>
      </c>
      <c r="M939" t="s">
        <v>8</v>
      </c>
      <c r="N939" s="2">
        <v>1</v>
      </c>
      <c r="O939" s="2">
        <v>5</v>
      </c>
      <c r="P939" s="2" t="s">
        <v>1527</v>
      </c>
      <c r="Q939" s="25" t="s">
        <v>3462</v>
      </c>
      <c r="R939" s="2"/>
      <c r="S939" s="2"/>
      <c r="T939" s="2"/>
      <c r="U939" s="2"/>
      <c r="V939" s="2"/>
      <c r="W939" s="2"/>
      <c r="X939" s="2"/>
      <c r="Y939" s="2"/>
      <c r="Z939" s="2"/>
      <c r="AA939" s="2"/>
      <c r="AB939" s="2"/>
      <c r="AC939" s="2"/>
      <c r="AD939" s="2"/>
      <c r="AE939" s="2"/>
      <c r="AF939" s="2"/>
      <c r="AG939" s="2"/>
      <c r="AH939" s="2"/>
      <c r="AI939" s="2"/>
      <c r="AJ939" s="2"/>
    </row>
    <row r="940" spans="1:36" ht="17.25" customHeight="1" x14ac:dyDescent="0.2">
      <c r="A940" s="1" t="s">
        <v>0</v>
      </c>
      <c r="B940" s="1" t="s">
        <v>163</v>
      </c>
      <c r="C940" s="3" t="s">
        <v>4182</v>
      </c>
      <c r="D940" s="1" t="s">
        <v>1635</v>
      </c>
      <c r="E940" s="1" t="s">
        <v>1738</v>
      </c>
      <c r="F940" s="2">
        <v>19</v>
      </c>
      <c r="G940" s="2" t="s">
        <v>4</v>
      </c>
      <c r="H940" s="2">
        <v>2002</v>
      </c>
      <c r="I940" s="2" t="s">
        <v>1739</v>
      </c>
      <c r="J940" s="2" t="s">
        <v>1740</v>
      </c>
      <c r="K940" s="2"/>
      <c r="L940" s="2" t="s">
        <v>398</v>
      </c>
      <c r="M940" t="s">
        <v>8</v>
      </c>
      <c r="N940" s="2">
        <v>1</v>
      </c>
      <c r="O940" s="2">
        <v>5</v>
      </c>
      <c r="P940" s="2" t="s">
        <v>1527</v>
      </c>
      <c r="Q940" s="25" t="s">
        <v>3462</v>
      </c>
      <c r="R940" s="2"/>
      <c r="S940" s="2"/>
      <c r="T940" s="2"/>
      <c r="U940" s="2"/>
      <c r="V940" s="2"/>
      <c r="W940" s="2"/>
      <c r="X940" s="2"/>
      <c r="Y940" s="2"/>
      <c r="Z940" s="2"/>
      <c r="AA940" s="2"/>
      <c r="AB940" s="2"/>
      <c r="AC940" s="2"/>
      <c r="AD940" s="2"/>
      <c r="AE940" s="2"/>
      <c r="AF940" s="2"/>
      <c r="AG940" s="2"/>
      <c r="AH940" s="2"/>
      <c r="AI940" s="2"/>
      <c r="AJ940" s="2"/>
    </row>
    <row r="941" spans="1:36" ht="17.25" customHeight="1" x14ac:dyDescent="0.2">
      <c r="A941" s="1" t="s">
        <v>0</v>
      </c>
      <c r="B941" s="1" t="s">
        <v>167</v>
      </c>
      <c r="C941" s="3" t="s">
        <v>4182</v>
      </c>
      <c r="D941" s="1" t="s">
        <v>1635</v>
      </c>
      <c r="E941" s="1" t="s">
        <v>1738</v>
      </c>
      <c r="F941" s="2">
        <v>21</v>
      </c>
      <c r="G941" s="2" t="s">
        <v>64</v>
      </c>
      <c r="H941" s="2">
        <v>2004</v>
      </c>
      <c r="I941" s="2" t="s">
        <v>1741</v>
      </c>
      <c r="J941" s="2" t="s">
        <v>1742</v>
      </c>
      <c r="K941" s="2"/>
      <c r="L941" s="2" t="s">
        <v>398</v>
      </c>
      <c r="M941" t="s">
        <v>8</v>
      </c>
      <c r="N941" s="2">
        <v>1</v>
      </c>
      <c r="O941" s="2">
        <v>5</v>
      </c>
      <c r="P941" s="2" t="s">
        <v>1527</v>
      </c>
      <c r="Q941" s="25" t="s">
        <v>3462</v>
      </c>
      <c r="R941" s="2"/>
      <c r="S941" s="2"/>
      <c r="T941" s="2"/>
      <c r="U941" s="2"/>
      <c r="V941" s="2"/>
      <c r="W941" s="2"/>
      <c r="X941" s="2"/>
      <c r="Y941" s="2"/>
      <c r="Z941" s="2"/>
      <c r="AA941" s="2"/>
      <c r="AB941" s="2"/>
      <c r="AC941" s="2"/>
      <c r="AD941" s="2"/>
      <c r="AE941" s="2"/>
      <c r="AF941" s="2"/>
      <c r="AG941" s="2"/>
      <c r="AH941" s="2"/>
      <c r="AI941" s="2"/>
      <c r="AJ941" s="2"/>
    </row>
    <row r="942" spans="1:36" ht="17.25" customHeight="1" x14ac:dyDescent="0.2">
      <c r="A942" s="1" t="s">
        <v>0</v>
      </c>
      <c r="B942" s="1" t="s">
        <v>171</v>
      </c>
      <c r="C942" s="3" t="s">
        <v>4182</v>
      </c>
      <c r="D942" s="1" t="s">
        <v>1635</v>
      </c>
      <c r="E942" s="1" t="s">
        <v>1738</v>
      </c>
      <c r="F942" s="2">
        <v>23</v>
      </c>
      <c r="G942" s="2" t="s">
        <v>52</v>
      </c>
      <c r="H942" s="2">
        <v>2006</v>
      </c>
      <c r="I942" s="2" t="s">
        <v>1743</v>
      </c>
      <c r="J942" s="2" t="s">
        <v>1744</v>
      </c>
      <c r="K942" s="2"/>
      <c r="L942" s="2" t="s">
        <v>398</v>
      </c>
      <c r="M942" t="s">
        <v>8</v>
      </c>
      <c r="N942" s="2">
        <v>1</v>
      </c>
      <c r="O942" s="2">
        <v>5</v>
      </c>
      <c r="P942" s="2" t="s">
        <v>1527</v>
      </c>
      <c r="Q942" s="25" t="s">
        <v>3462</v>
      </c>
      <c r="R942" s="2"/>
      <c r="S942" s="2"/>
      <c r="T942" s="2"/>
      <c r="U942" s="2"/>
      <c r="V942" s="2"/>
      <c r="W942" s="2"/>
      <c r="X942" s="2"/>
      <c r="Y942" s="2"/>
      <c r="Z942" s="2"/>
      <c r="AA942" s="2"/>
      <c r="AB942" s="2"/>
      <c r="AC942" s="2"/>
      <c r="AD942" s="2"/>
      <c r="AE942" s="2"/>
      <c r="AF942" s="2"/>
      <c r="AG942" s="2"/>
      <c r="AH942" s="2"/>
      <c r="AI942" s="2"/>
      <c r="AJ942" s="2"/>
    </row>
    <row r="943" spans="1:36" ht="17.25" customHeight="1" x14ac:dyDescent="0.2">
      <c r="A943" s="1" t="s">
        <v>0</v>
      </c>
      <c r="B943" s="1" t="s">
        <v>175</v>
      </c>
      <c r="C943" s="3" t="s">
        <v>4182</v>
      </c>
      <c r="D943" s="1" t="s">
        <v>1635</v>
      </c>
      <c r="E943" s="1" t="s">
        <v>1738</v>
      </c>
      <c r="F943" s="2">
        <v>25</v>
      </c>
      <c r="G943" s="2" t="s">
        <v>70</v>
      </c>
      <c r="H943" s="2">
        <v>2008</v>
      </c>
      <c r="I943" s="2" t="s">
        <v>1745</v>
      </c>
      <c r="J943" s="2" t="s">
        <v>1744</v>
      </c>
      <c r="K943" s="2"/>
      <c r="L943" s="2" t="s">
        <v>398</v>
      </c>
      <c r="M943" t="s">
        <v>8</v>
      </c>
      <c r="N943" s="2">
        <v>1</v>
      </c>
      <c r="O943" s="2">
        <v>5</v>
      </c>
      <c r="P943" s="2" t="s">
        <v>1527</v>
      </c>
      <c r="Q943" s="25" t="s">
        <v>3462</v>
      </c>
      <c r="R943" s="2"/>
      <c r="S943" s="2"/>
      <c r="T943" s="2"/>
      <c r="U943" s="2"/>
      <c r="V943" s="2"/>
      <c r="W943" s="2"/>
      <c r="X943" s="2"/>
      <c r="Y943" s="2"/>
      <c r="Z943" s="2"/>
      <c r="AA943" s="2"/>
      <c r="AB943" s="2"/>
      <c r="AC943" s="2"/>
      <c r="AD943" s="2"/>
      <c r="AE943" s="2"/>
      <c r="AF943" s="2"/>
      <c r="AG943" s="2"/>
      <c r="AH943" s="2"/>
      <c r="AI943" s="2"/>
      <c r="AJ943" s="2"/>
    </row>
    <row r="944" spans="1:36" ht="17.25" customHeight="1" x14ac:dyDescent="0.2">
      <c r="A944" s="1" t="s">
        <v>0</v>
      </c>
      <c r="B944" s="1" t="s">
        <v>179</v>
      </c>
      <c r="C944" s="3" t="s">
        <v>4182</v>
      </c>
      <c r="D944" s="1" t="s">
        <v>1635</v>
      </c>
      <c r="E944" s="1" t="s">
        <v>1738</v>
      </c>
      <c r="F944" s="2">
        <v>27</v>
      </c>
      <c r="G944" s="2" t="s">
        <v>34</v>
      </c>
      <c r="H944" s="2">
        <v>2010</v>
      </c>
      <c r="I944" s="2" t="s">
        <v>1746</v>
      </c>
      <c r="J944" s="2" t="s">
        <v>1744</v>
      </c>
      <c r="K944" s="2"/>
      <c r="L944" s="2" t="s">
        <v>398</v>
      </c>
      <c r="M944" t="s">
        <v>8</v>
      </c>
      <c r="N944" s="2">
        <v>1</v>
      </c>
      <c r="O944" s="2">
        <v>5</v>
      </c>
      <c r="P944" s="2" t="s">
        <v>1527</v>
      </c>
      <c r="Q944" s="25" t="s">
        <v>3462</v>
      </c>
      <c r="R944" s="2"/>
      <c r="S944" s="2"/>
      <c r="T944" s="2"/>
      <c r="U944" s="2"/>
      <c r="V944" s="2"/>
      <c r="W944" s="2"/>
      <c r="X944" s="2"/>
      <c r="Y944" s="2"/>
      <c r="Z944" s="2"/>
      <c r="AA944" s="2"/>
      <c r="AB944" s="2"/>
      <c r="AC944" s="2"/>
      <c r="AD944" s="2"/>
      <c r="AE944" s="2"/>
      <c r="AF944" s="2"/>
      <c r="AG944" s="2"/>
      <c r="AH944" s="2"/>
      <c r="AI944" s="2"/>
      <c r="AJ944" s="2"/>
    </row>
    <row r="945" spans="1:36" ht="17.25" customHeight="1" x14ac:dyDescent="0.2">
      <c r="A945" s="1" t="s">
        <v>0</v>
      </c>
      <c r="B945" s="1" t="s">
        <v>183</v>
      </c>
      <c r="C945" s="3" t="s">
        <v>4182</v>
      </c>
      <c r="D945" s="1" t="s">
        <v>1635</v>
      </c>
      <c r="E945" s="1" t="s">
        <v>1738</v>
      </c>
      <c r="F945" s="2">
        <v>29</v>
      </c>
      <c r="G945" s="2" t="s">
        <v>61</v>
      </c>
      <c r="H945" s="2">
        <v>2012</v>
      </c>
      <c r="I945" s="2" t="s">
        <v>1747</v>
      </c>
      <c r="J945" s="2" t="s">
        <v>1744</v>
      </c>
      <c r="K945" s="2"/>
      <c r="L945" s="2" t="s">
        <v>398</v>
      </c>
      <c r="M945" t="s">
        <v>8</v>
      </c>
      <c r="N945" s="2">
        <v>1</v>
      </c>
      <c r="O945" s="2">
        <v>5</v>
      </c>
      <c r="P945" s="2" t="s">
        <v>1527</v>
      </c>
      <c r="Q945" s="25" t="s">
        <v>3462</v>
      </c>
      <c r="R945" s="2"/>
      <c r="S945" s="2"/>
      <c r="T945" s="2"/>
      <c r="U945" s="2"/>
      <c r="V945" s="2"/>
      <c r="W945" s="2"/>
      <c r="X945" s="2"/>
      <c r="Y945" s="2"/>
      <c r="Z945" s="2"/>
      <c r="AA945" s="2"/>
      <c r="AB945" s="2"/>
      <c r="AC945" s="2"/>
      <c r="AD945" s="2"/>
      <c r="AE945" s="2"/>
      <c r="AF945" s="2"/>
      <c r="AG945" s="2"/>
      <c r="AH945" s="2"/>
      <c r="AI945" s="2"/>
      <c r="AJ945" s="2"/>
    </row>
    <row r="946" spans="1:36" ht="17.25" customHeight="1" x14ac:dyDescent="0.2">
      <c r="A946" s="1" t="s">
        <v>0</v>
      </c>
      <c r="B946" s="1" t="s">
        <v>187</v>
      </c>
      <c r="C946" s="3" t="s">
        <v>4182</v>
      </c>
      <c r="D946" s="1" t="s">
        <v>1635</v>
      </c>
      <c r="E946" s="1" t="s">
        <v>1738</v>
      </c>
      <c r="F946" s="2">
        <v>31</v>
      </c>
      <c r="G946" s="2" t="s">
        <v>22</v>
      </c>
      <c r="H946" s="2">
        <v>2014</v>
      </c>
      <c r="I946" s="2" t="s">
        <v>1748</v>
      </c>
      <c r="J946" s="2" t="s">
        <v>1744</v>
      </c>
      <c r="K946" s="2"/>
      <c r="L946" s="2" t="s">
        <v>398</v>
      </c>
      <c r="M946" t="s">
        <v>8</v>
      </c>
      <c r="N946" s="2">
        <v>1</v>
      </c>
      <c r="O946" s="2">
        <v>5</v>
      </c>
      <c r="P946" s="2" t="s">
        <v>1527</v>
      </c>
      <c r="Q946" s="25" t="s">
        <v>3462</v>
      </c>
      <c r="R946" s="2"/>
      <c r="S946" s="2"/>
      <c r="T946" s="2"/>
      <c r="U946" s="2"/>
      <c r="V946" s="2"/>
      <c r="W946" s="2"/>
      <c r="X946" s="2"/>
      <c r="Y946" s="2"/>
      <c r="Z946" s="2"/>
      <c r="AA946" s="2"/>
      <c r="AB946" s="2"/>
      <c r="AC946" s="2"/>
      <c r="AD946" s="2"/>
      <c r="AE946" s="2"/>
      <c r="AF946" s="2"/>
      <c r="AG946" s="2"/>
      <c r="AH946" s="2"/>
      <c r="AI946" s="2"/>
      <c r="AJ946" s="2"/>
    </row>
    <row r="947" spans="1:36" ht="17.25" customHeight="1" x14ac:dyDescent="0.2">
      <c r="A947" s="1" t="s">
        <v>0</v>
      </c>
      <c r="B947" s="1" t="s">
        <v>1224</v>
      </c>
      <c r="C947" s="3" t="s">
        <v>4182</v>
      </c>
      <c r="D947" s="1" t="s">
        <v>1635</v>
      </c>
      <c r="E947" s="1" t="s">
        <v>1738</v>
      </c>
      <c r="F947" s="2">
        <v>33</v>
      </c>
      <c r="G947" s="2" t="s">
        <v>76</v>
      </c>
      <c r="H947" s="2">
        <v>2016</v>
      </c>
      <c r="I947" s="2" t="s">
        <v>1749</v>
      </c>
      <c r="J947" s="2" t="s">
        <v>1744</v>
      </c>
      <c r="K947" s="2"/>
      <c r="L947" s="2" t="s">
        <v>398</v>
      </c>
      <c r="M947" t="s">
        <v>8</v>
      </c>
      <c r="N947" s="2">
        <v>1</v>
      </c>
      <c r="O947" s="2">
        <v>5</v>
      </c>
      <c r="P947" s="2" t="s">
        <v>1527</v>
      </c>
      <c r="Q947" s="25" t="s">
        <v>3462</v>
      </c>
      <c r="R947" s="2"/>
      <c r="S947" s="2"/>
      <c r="T947" s="2"/>
      <c r="U947" s="2"/>
      <c r="V947" s="2"/>
      <c r="W947" s="2"/>
      <c r="X947" s="2"/>
      <c r="Y947" s="2"/>
      <c r="Z947" s="2"/>
      <c r="AA947" s="2"/>
      <c r="AB947" s="2"/>
      <c r="AC947" s="2"/>
      <c r="AD947" s="2"/>
      <c r="AE947" s="2"/>
      <c r="AF947" s="2"/>
      <c r="AG947" s="2"/>
      <c r="AH947" s="2"/>
      <c r="AI947" s="2"/>
      <c r="AJ947" s="2"/>
    </row>
    <row r="948" spans="1:36" ht="17.25" customHeight="1" x14ac:dyDescent="0.2">
      <c r="A948" s="1" t="s">
        <v>0</v>
      </c>
      <c r="B948" s="1" t="s">
        <v>1735</v>
      </c>
      <c r="C948" s="3" t="s">
        <v>4182</v>
      </c>
      <c r="D948" s="1" t="s">
        <v>1635</v>
      </c>
      <c r="E948" s="1" t="s">
        <v>1738</v>
      </c>
      <c r="F948" s="2">
        <v>34</v>
      </c>
      <c r="G948" s="2" t="s">
        <v>67</v>
      </c>
      <c r="H948" s="2">
        <v>2017</v>
      </c>
      <c r="I948" s="2" t="s">
        <v>1750</v>
      </c>
      <c r="J948" s="2" t="s">
        <v>1751</v>
      </c>
      <c r="K948" s="2"/>
      <c r="L948" s="2" t="s">
        <v>398</v>
      </c>
      <c r="M948" t="s">
        <v>8</v>
      </c>
      <c r="N948" s="2">
        <v>1</v>
      </c>
      <c r="O948" s="2">
        <v>5</v>
      </c>
      <c r="P948" s="2" t="s">
        <v>1527</v>
      </c>
      <c r="Q948" s="25" t="s">
        <v>3462</v>
      </c>
      <c r="R948" s="2"/>
      <c r="S948" s="2"/>
      <c r="T948" s="2"/>
      <c r="U948" s="2"/>
      <c r="V948" s="2"/>
      <c r="W948" s="2"/>
      <c r="X948" s="2"/>
      <c r="Y948" s="2"/>
      <c r="Z948" s="2"/>
      <c r="AA948" s="2"/>
      <c r="AB948" s="2"/>
      <c r="AC948" s="2"/>
      <c r="AD948" s="2"/>
      <c r="AE948" s="2"/>
      <c r="AF948" s="2"/>
      <c r="AG948" s="2"/>
      <c r="AH948" s="2"/>
      <c r="AI948" s="2"/>
      <c r="AJ948" s="2"/>
    </row>
    <row r="949" spans="1:36" ht="17.25" customHeight="1" x14ac:dyDescent="0.2">
      <c r="A949" s="1" t="s">
        <v>0</v>
      </c>
      <c r="B949" s="1" t="s">
        <v>163</v>
      </c>
      <c r="C949" s="3" t="s">
        <v>4182</v>
      </c>
      <c r="D949" s="1" t="s">
        <v>1635</v>
      </c>
      <c r="E949" s="1" t="s">
        <v>1752</v>
      </c>
      <c r="F949" s="2">
        <v>19</v>
      </c>
      <c r="G949" s="2" t="s">
        <v>4</v>
      </c>
      <c r="H949" s="2">
        <v>2002</v>
      </c>
      <c r="I949" s="2" t="s">
        <v>1753</v>
      </c>
      <c r="J949" s="2" t="s">
        <v>1754</v>
      </c>
      <c r="K949" s="2"/>
      <c r="L949" s="2" t="s">
        <v>398</v>
      </c>
      <c r="M949" t="s">
        <v>8</v>
      </c>
      <c r="N949" s="2">
        <v>1</v>
      </c>
      <c r="O949" s="2">
        <v>5</v>
      </c>
      <c r="P949" s="2" t="s">
        <v>1527</v>
      </c>
      <c r="Q949" s="25" t="s">
        <v>3462</v>
      </c>
      <c r="R949" s="2"/>
      <c r="S949" s="2"/>
      <c r="T949" s="2"/>
      <c r="U949" s="2"/>
      <c r="V949" s="2"/>
      <c r="W949" s="2"/>
      <c r="X949" s="2"/>
      <c r="Y949" s="2"/>
      <c r="Z949" s="2"/>
      <c r="AA949" s="2"/>
      <c r="AB949" s="2"/>
      <c r="AC949" s="2"/>
      <c r="AD949" s="2"/>
      <c r="AE949" s="2"/>
      <c r="AF949" s="2"/>
      <c r="AG949" s="2"/>
      <c r="AH949" s="2"/>
      <c r="AI949" s="2"/>
      <c r="AJ949" s="2"/>
    </row>
    <row r="950" spans="1:36" ht="17.25" customHeight="1" x14ac:dyDescent="0.2">
      <c r="A950" s="1" t="s">
        <v>0</v>
      </c>
      <c r="B950" s="1" t="s">
        <v>167</v>
      </c>
      <c r="C950" s="3" t="s">
        <v>4182</v>
      </c>
      <c r="D950" s="1" t="s">
        <v>1635</v>
      </c>
      <c r="E950" s="1" t="s">
        <v>1752</v>
      </c>
      <c r="F950" s="2">
        <v>21</v>
      </c>
      <c r="G950" s="2" t="s">
        <v>64</v>
      </c>
      <c r="H950" s="2">
        <v>2004</v>
      </c>
      <c r="I950" s="2" t="s">
        <v>1755</v>
      </c>
      <c r="J950" s="2" t="s">
        <v>1754</v>
      </c>
      <c r="K950" s="2"/>
      <c r="L950" s="2" t="s">
        <v>398</v>
      </c>
      <c r="M950" t="s">
        <v>8</v>
      </c>
      <c r="N950" s="2">
        <v>1</v>
      </c>
      <c r="O950" s="2">
        <v>5</v>
      </c>
      <c r="P950" s="2" t="s">
        <v>1527</v>
      </c>
      <c r="Q950" s="25" t="s">
        <v>3462</v>
      </c>
      <c r="R950" s="2"/>
      <c r="S950" s="2"/>
      <c r="T950" s="2"/>
      <c r="U950" s="2"/>
      <c r="V950" s="2"/>
      <c r="W950" s="2"/>
      <c r="X950" s="2"/>
      <c r="Y950" s="2"/>
      <c r="Z950" s="2"/>
      <c r="AA950" s="2"/>
      <c r="AB950" s="2"/>
      <c r="AC950" s="2"/>
      <c r="AD950" s="2"/>
      <c r="AE950" s="2"/>
      <c r="AF950" s="2"/>
      <c r="AG950" s="2"/>
      <c r="AH950" s="2"/>
      <c r="AI950" s="2"/>
      <c r="AJ950" s="2"/>
    </row>
    <row r="951" spans="1:36" ht="17.25" customHeight="1" x14ac:dyDescent="0.2">
      <c r="A951" s="1" t="s">
        <v>0</v>
      </c>
      <c r="B951" s="1" t="s">
        <v>171</v>
      </c>
      <c r="C951" s="3" t="s">
        <v>4182</v>
      </c>
      <c r="D951" s="1" t="s">
        <v>1635</v>
      </c>
      <c r="E951" s="1" t="s">
        <v>1752</v>
      </c>
      <c r="F951" s="2">
        <v>23</v>
      </c>
      <c r="G951" s="2" t="s">
        <v>52</v>
      </c>
      <c r="H951" s="2">
        <v>2006</v>
      </c>
      <c r="I951" s="2" t="s">
        <v>1756</v>
      </c>
      <c r="J951" s="2" t="s">
        <v>1754</v>
      </c>
      <c r="K951" s="2"/>
      <c r="L951" s="2" t="s">
        <v>398</v>
      </c>
      <c r="M951" t="s">
        <v>8</v>
      </c>
      <c r="N951" s="2">
        <v>1</v>
      </c>
      <c r="O951" s="2">
        <v>5</v>
      </c>
      <c r="P951" s="2" t="s">
        <v>1527</v>
      </c>
      <c r="Q951" s="25" t="s">
        <v>3462</v>
      </c>
      <c r="R951" s="2"/>
      <c r="S951" s="2"/>
      <c r="T951" s="2"/>
      <c r="U951" s="2"/>
      <c r="V951" s="2"/>
      <c r="W951" s="2"/>
      <c r="X951" s="2"/>
      <c r="Y951" s="2"/>
      <c r="Z951" s="2"/>
      <c r="AA951" s="2"/>
      <c r="AB951" s="2"/>
      <c r="AC951" s="2"/>
      <c r="AD951" s="2"/>
      <c r="AE951" s="2"/>
      <c r="AF951" s="2"/>
      <c r="AG951" s="2"/>
      <c r="AH951" s="2"/>
      <c r="AI951" s="2"/>
      <c r="AJ951" s="2"/>
    </row>
    <row r="952" spans="1:36" ht="17.25" customHeight="1" x14ac:dyDescent="0.2">
      <c r="A952" s="1" t="s">
        <v>0</v>
      </c>
      <c r="B952" s="1" t="s">
        <v>175</v>
      </c>
      <c r="C952" s="3" t="s">
        <v>4182</v>
      </c>
      <c r="D952" s="1" t="s">
        <v>1635</v>
      </c>
      <c r="E952" s="1" t="s">
        <v>1752</v>
      </c>
      <c r="F952" s="2">
        <v>25</v>
      </c>
      <c r="G952" s="2" t="s">
        <v>70</v>
      </c>
      <c r="H952" s="2">
        <v>2008</v>
      </c>
      <c r="I952" s="2" t="s">
        <v>1757</v>
      </c>
      <c r="J952" s="2" t="s">
        <v>1754</v>
      </c>
      <c r="K952" s="2"/>
      <c r="L952" s="2" t="s">
        <v>398</v>
      </c>
      <c r="M952" t="s">
        <v>8</v>
      </c>
      <c r="N952" s="2">
        <v>1</v>
      </c>
      <c r="O952" s="2">
        <v>5</v>
      </c>
      <c r="P952" s="2" t="s">
        <v>1527</v>
      </c>
      <c r="Q952" s="25" t="s">
        <v>3462</v>
      </c>
      <c r="R952" s="2"/>
      <c r="S952" s="2"/>
      <c r="T952" s="2"/>
      <c r="U952" s="2"/>
      <c r="V952" s="2"/>
      <c r="W952" s="2"/>
      <c r="X952" s="2"/>
      <c r="Y952" s="2"/>
      <c r="Z952" s="2"/>
      <c r="AA952" s="2"/>
      <c r="AB952" s="2"/>
      <c r="AC952" s="2"/>
      <c r="AD952" s="2"/>
      <c r="AE952" s="2"/>
      <c r="AF952" s="2"/>
      <c r="AG952" s="2"/>
      <c r="AH952" s="2"/>
      <c r="AI952" s="2"/>
      <c r="AJ952" s="2"/>
    </row>
    <row r="953" spans="1:36" ht="17.25" customHeight="1" x14ac:dyDescent="0.2">
      <c r="A953" s="1" t="s">
        <v>0</v>
      </c>
      <c r="B953" s="1" t="s">
        <v>179</v>
      </c>
      <c r="C953" s="3" t="s">
        <v>4182</v>
      </c>
      <c r="D953" s="1" t="s">
        <v>1635</v>
      </c>
      <c r="E953" s="1" t="s">
        <v>1752</v>
      </c>
      <c r="F953" s="2">
        <v>27</v>
      </c>
      <c r="G953" s="2" t="s">
        <v>34</v>
      </c>
      <c r="H953" s="2">
        <v>2010</v>
      </c>
      <c r="I953" s="2" t="s">
        <v>1758</v>
      </c>
      <c r="J953" s="2" t="s">
        <v>1754</v>
      </c>
      <c r="K953" s="2"/>
      <c r="L953" s="2" t="s">
        <v>398</v>
      </c>
      <c r="M953" t="s">
        <v>8</v>
      </c>
      <c r="N953" s="2">
        <v>1</v>
      </c>
      <c r="O953" s="2">
        <v>5</v>
      </c>
      <c r="P953" s="2" t="s">
        <v>1527</v>
      </c>
      <c r="Q953" s="25" t="s">
        <v>3462</v>
      </c>
      <c r="R953" s="2"/>
      <c r="S953" s="2"/>
      <c r="T953" s="2"/>
      <c r="U953" s="2"/>
      <c r="V953" s="2"/>
      <c r="W953" s="2"/>
      <c r="X953" s="2"/>
      <c r="Y953" s="2"/>
      <c r="Z953" s="2"/>
      <c r="AA953" s="2"/>
      <c r="AB953" s="2"/>
      <c r="AC953" s="2"/>
      <c r="AD953" s="2"/>
      <c r="AE953" s="2"/>
      <c r="AF953" s="2"/>
      <c r="AG953" s="2"/>
      <c r="AH953" s="2"/>
      <c r="AI953" s="2"/>
      <c r="AJ953" s="2"/>
    </row>
    <row r="954" spans="1:36" ht="17.25" customHeight="1" x14ac:dyDescent="0.2">
      <c r="A954" s="1" t="s">
        <v>0</v>
      </c>
      <c r="B954" s="1" t="s">
        <v>183</v>
      </c>
      <c r="C954" s="3" t="s">
        <v>4182</v>
      </c>
      <c r="D954" s="1" t="s">
        <v>1635</v>
      </c>
      <c r="E954" s="1" t="s">
        <v>1752</v>
      </c>
      <c r="F954" s="2">
        <v>29</v>
      </c>
      <c r="G954" s="2" t="s">
        <v>61</v>
      </c>
      <c r="H954" s="2">
        <v>2012</v>
      </c>
      <c r="I954" s="2" t="s">
        <v>1759</v>
      </c>
      <c r="J954" s="2" t="s">
        <v>1754</v>
      </c>
      <c r="K954" s="2"/>
      <c r="L954" s="2" t="s">
        <v>398</v>
      </c>
      <c r="M954" t="s">
        <v>8</v>
      </c>
      <c r="N954" s="2">
        <v>1</v>
      </c>
      <c r="O954" s="2">
        <v>5</v>
      </c>
      <c r="P954" s="2" t="s">
        <v>1527</v>
      </c>
      <c r="Q954" s="25" t="s">
        <v>3462</v>
      </c>
      <c r="R954" s="2"/>
      <c r="S954" s="2"/>
      <c r="T954" s="2"/>
      <c r="U954" s="2"/>
      <c r="V954" s="2"/>
      <c r="W954" s="2"/>
      <c r="X954" s="2"/>
      <c r="Y954" s="2"/>
      <c r="Z954" s="2"/>
      <c r="AA954" s="2"/>
      <c r="AB954" s="2"/>
      <c r="AC954" s="2"/>
      <c r="AD954" s="2"/>
      <c r="AE954" s="2"/>
      <c r="AF954" s="2"/>
      <c r="AG954" s="2"/>
      <c r="AH954" s="2"/>
      <c r="AI954" s="2"/>
      <c r="AJ954" s="2"/>
    </row>
    <row r="955" spans="1:36" ht="17.25" customHeight="1" x14ac:dyDescent="0.2">
      <c r="A955" s="1" t="s">
        <v>0</v>
      </c>
      <c r="B955" s="1" t="s">
        <v>187</v>
      </c>
      <c r="C955" s="3" t="s">
        <v>4182</v>
      </c>
      <c r="D955" s="1" t="s">
        <v>1635</v>
      </c>
      <c r="E955" s="1" t="s">
        <v>1752</v>
      </c>
      <c r="F955" s="2">
        <v>31</v>
      </c>
      <c r="G955" s="2" t="s">
        <v>22</v>
      </c>
      <c r="H955" s="2">
        <v>2014</v>
      </c>
      <c r="I955" s="2" t="s">
        <v>1760</v>
      </c>
      <c r="J955" s="2" t="s">
        <v>1754</v>
      </c>
      <c r="K955" s="2"/>
      <c r="L955" s="2" t="s">
        <v>398</v>
      </c>
      <c r="M955" t="s">
        <v>8</v>
      </c>
      <c r="N955" s="2">
        <v>1</v>
      </c>
      <c r="O955" s="2">
        <v>5</v>
      </c>
      <c r="P955" s="2" t="s">
        <v>1527</v>
      </c>
      <c r="Q955" s="25" t="s">
        <v>3462</v>
      </c>
      <c r="R955" s="2"/>
      <c r="S955" s="2"/>
      <c r="T955" s="2"/>
      <c r="U955" s="2"/>
      <c r="V955" s="2"/>
      <c r="W955" s="2"/>
      <c r="X955" s="2"/>
      <c r="Y955" s="2"/>
      <c r="Z955" s="2"/>
      <c r="AA955" s="2"/>
      <c r="AB955" s="2"/>
      <c r="AC955" s="2"/>
      <c r="AD955" s="2"/>
      <c r="AE955" s="2"/>
      <c r="AF955" s="2"/>
      <c r="AG955" s="2"/>
      <c r="AH955" s="2"/>
      <c r="AI955" s="2"/>
      <c r="AJ955" s="2"/>
    </row>
    <row r="956" spans="1:36" ht="17.25" customHeight="1" x14ac:dyDescent="0.2">
      <c r="A956" s="1" t="s">
        <v>0</v>
      </c>
      <c r="B956" s="1" t="s">
        <v>1224</v>
      </c>
      <c r="C956" s="3" t="s">
        <v>4182</v>
      </c>
      <c r="D956" s="1" t="s">
        <v>1635</v>
      </c>
      <c r="E956" s="1" t="s">
        <v>1752</v>
      </c>
      <c r="F956" s="2">
        <v>33</v>
      </c>
      <c r="G956" s="2" t="s">
        <v>76</v>
      </c>
      <c r="H956" s="2">
        <v>2016</v>
      </c>
      <c r="I956" s="2" t="s">
        <v>1761</v>
      </c>
      <c r="J956" s="2" t="s">
        <v>1754</v>
      </c>
      <c r="K956" s="2"/>
      <c r="L956" s="2" t="s">
        <v>398</v>
      </c>
      <c r="M956" t="s">
        <v>8</v>
      </c>
      <c r="N956" s="2">
        <v>1</v>
      </c>
      <c r="O956" s="2">
        <v>5</v>
      </c>
      <c r="P956" s="2" t="s">
        <v>1527</v>
      </c>
      <c r="Q956" s="25" t="s">
        <v>3462</v>
      </c>
      <c r="R956" s="2"/>
      <c r="S956" s="2"/>
      <c r="T956" s="2"/>
      <c r="U956" s="2"/>
      <c r="V956" s="2"/>
      <c r="W956" s="2"/>
      <c r="X956" s="2"/>
      <c r="Y956" s="2"/>
      <c r="Z956" s="2"/>
      <c r="AA956" s="2"/>
      <c r="AB956" s="2"/>
      <c r="AC956" s="2"/>
      <c r="AD956" s="2"/>
      <c r="AE956" s="2"/>
      <c r="AF956" s="2"/>
      <c r="AG956" s="2"/>
      <c r="AH956" s="2"/>
      <c r="AI956" s="2"/>
      <c r="AJ956" s="2"/>
    </row>
    <row r="957" spans="1:36" ht="17.25" customHeight="1" x14ac:dyDescent="0.2">
      <c r="A957" s="1" t="s">
        <v>0</v>
      </c>
      <c r="B957" s="1" t="s">
        <v>1735</v>
      </c>
      <c r="C957" s="3" t="s">
        <v>4182</v>
      </c>
      <c r="D957" s="1" t="s">
        <v>1635</v>
      </c>
      <c r="E957" s="1" t="s">
        <v>1752</v>
      </c>
      <c r="F957" s="2">
        <v>34</v>
      </c>
      <c r="G957" s="2" t="s">
        <v>67</v>
      </c>
      <c r="H957" s="2">
        <v>2017</v>
      </c>
      <c r="I957" s="2" t="s">
        <v>1762</v>
      </c>
      <c r="J957" s="2" t="s">
        <v>1763</v>
      </c>
      <c r="K957" s="2"/>
      <c r="L957" s="2" t="s">
        <v>398</v>
      </c>
      <c r="M957" t="s">
        <v>8</v>
      </c>
      <c r="N957" s="2">
        <v>1</v>
      </c>
      <c r="O957" s="2">
        <v>5</v>
      </c>
      <c r="P957" s="2" t="s">
        <v>1527</v>
      </c>
      <c r="Q957" s="25" t="s">
        <v>3462</v>
      </c>
      <c r="R957" s="2"/>
      <c r="S957" s="2"/>
      <c r="T957" s="2"/>
      <c r="U957" s="2"/>
      <c r="V957" s="2"/>
      <c r="W957" s="2"/>
      <c r="X957" s="2"/>
      <c r="Y957" s="2"/>
      <c r="Z957" s="2"/>
      <c r="AA957" s="2"/>
      <c r="AB957" s="2"/>
      <c r="AC957" s="2"/>
      <c r="AD957" s="2"/>
      <c r="AE957" s="2"/>
      <c r="AF957" s="2"/>
      <c r="AG957" s="2"/>
      <c r="AH957" s="2"/>
      <c r="AI957" s="2"/>
      <c r="AJ957" s="2"/>
    </row>
    <row r="958" spans="1:36" ht="17.25" customHeight="1" x14ac:dyDescent="0.2">
      <c r="A958" s="1" t="s">
        <v>0</v>
      </c>
      <c r="B958" s="1" t="s">
        <v>163</v>
      </c>
      <c r="C958" s="3" t="s">
        <v>4182</v>
      </c>
      <c r="D958" s="1" t="s">
        <v>1635</v>
      </c>
      <c r="E958" s="1" t="s">
        <v>1764</v>
      </c>
      <c r="F958" s="2">
        <v>19</v>
      </c>
      <c r="G958" s="2" t="s">
        <v>4</v>
      </c>
      <c r="H958" s="2">
        <v>2002</v>
      </c>
      <c r="I958" s="2" t="s">
        <v>1765</v>
      </c>
      <c r="J958" s="2" t="s">
        <v>1766</v>
      </c>
      <c r="K958" s="2"/>
      <c r="L958" s="2" t="s">
        <v>1520</v>
      </c>
      <c r="M958" t="s">
        <v>8</v>
      </c>
      <c r="N958" s="2">
        <v>1</v>
      </c>
      <c r="O958" s="2">
        <v>5</v>
      </c>
      <c r="P958" s="2" t="s">
        <v>1527</v>
      </c>
      <c r="Q958" s="25" t="s">
        <v>3462</v>
      </c>
      <c r="R958" s="2"/>
      <c r="S958" s="2"/>
      <c r="T958" s="2"/>
      <c r="U958" s="2"/>
      <c r="V958" s="2"/>
      <c r="W958" s="2"/>
      <c r="X958" s="2"/>
      <c r="Y958" s="2"/>
      <c r="Z958" s="2"/>
      <c r="AA958" s="2"/>
      <c r="AB958" s="2"/>
      <c r="AC958" s="2"/>
      <c r="AD958" s="2"/>
      <c r="AE958" s="2"/>
      <c r="AF958" s="2"/>
      <c r="AG958" s="2"/>
      <c r="AH958" s="2"/>
      <c r="AI958" s="2"/>
      <c r="AJ958" s="2"/>
    </row>
    <row r="959" spans="1:36" ht="17.25" customHeight="1" x14ac:dyDescent="0.2">
      <c r="A959" s="1" t="s">
        <v>0</v>
      </c>
      <c r="B959" s="1" t="s">
        <v>167</v>
      </c>
      <c r="C959" s="3" t="s">
        <v>4182</v>
      </c>
      <c r="D959" s="1" t="s">
        <v>1635</v>
      </c>
      <c r="E959" s="1" t="s">
        <v>1764</v>
      </c>
      <c r="F959" s="2">
        <v>21</v>
      </c>
      <c r="G959" s="2" t="s">
        <v>64</v>
      </c>
      <c r="H959" s="2">
        <v>2004</v>
      </c>
      <c r="I959" s="2" t="s">
        <v>1767</v>
      </c>
      <c r="J959" s="2" t="s">
        <v>1766</v>
      </c>
      <c r="K959" s="2"/>
      <c r="L959" s="2" t="s">
        <v>1520</v>
      </c>
      <c r="M959" t="s">
        <v>8</v>
      </c>
      <c r="N959" s="2">
        <v>1</v>
      </c>
      <c r="O959" s="2">
        <v>5</v>
      </c>
      <c r="P959" s="2" t="s">
        <v>1527</v>
      </c>
      <c r="Q959" s="25" t="s">
        <v>3462</v>
      </c>
      <c r="R959" s="2"/>
      <c r="S959" s="2"/>
      <c r="T959" s="2"/>
      <c r="U959" s="2"/>
      <c r="V959" s="2"/>
      <c r="W959" s="2"/>
      <c r="X959" s="2"/>
      <c r="Y959" s="2"/>
      <c r="Z959" s="2"/>
      <c r="AA959" s="2"/>
      <c r="AB959" s="2"/>
      <c r="AC959" s="2"/>
      <c r="AD959" s="2"/>
      <c r="AE959" s="2"/>
      <c r="AF959" s="2"/>
      <c r="AG959" s="2"/>
      <c r="AH959" s="2"/>
      <c r="AI959" s="2"/>
      <c r="AJ959" s="2"/>
    </row>
    <row r="960" spans="1:36" ht="17.25" customHeight="1" x14ac:dyDescent="0.2">
      <c r="A960" s="1" t="s">
        <v>0</v>
      </c>
      <c r="B960" s="1" t="s">
        <v>171</v>
      </c>
      <c r="C960" s="3" t="s">
        <v>4182</v>
      </c>
      <c r="D960" s="1" t="s">
        <v>1635</v>
      </c>
      <c r="E960" s="1" t="s">
        <v>1764</v>
      </c>
      <c r="F960" s="2">
        <v>23</v>
      </c>
      <c r="G960" s="2" t="s">
        <v>52</v>
      </c>
      <c r="H960" s="2">
        <v>2006</v>
      </c>
      <c r="I960" s="2" t="s">
        <v>1768</v>
      </c>
      <c r="J960" s="2" t="s">
        <v>1766</v>
      </c>
      <c r="K960" s="2"/>
      <c r="L960" s="2" t="s">
        <v>1520</v>
      </c>
      <c r="M960" t="s">
        <v>8</v>
      </c>
      <c r="N960" s="2">
        <v>1</v>
      </c>
      <c r="O960" s="2">
        <v>5</v>
      </c>
      <c r="P960" s="2" t="s">
        <v>1527</v>
      </c>
      <c r="Q960" s="25" t="s">
        <v>3462</v>
      </c>
      <c r="R960" s="2"/>
      <c r="S960" s="2"/>
      <c r="T960" s="2"/>
      <c r="U960" s="2"/>
      <c r="V960" s="2"/>
      <c r="W960" s="2"/>
      <c r="X960" s="2"/>
      <c r="Y960" s="2"/>
      <c r="Z960" s="2"/>
      <c r="AA960" s="2"/>
      <c r="AB960" s="2"/>
      <c r="AC960" s="2"/>
      <c r="AD960" s="2"/>
      <c r="AE960" s="2"/>
      <c r="AF960" s="2"/>
      <c r="AG960" s="2"/>
      <c r="AH960" s="2"/>
      <c r="AI960" s="2"/>
      <c r="AJ960" s="2"/>
    </row>
    <row r="961" spans="1:36" ht="17.25" customHeight="1" x14ac:dyDescent="0.2">
      <c r="A961" s="1" t="s">
        <v>0</v>
      </c>
      <c r="B961" s="1" t="s">
        <v>175</v>
      </c>
      <c r="C961" s="3" t="s">
        <v>4182</v>
      </c>
      <c r="D961" s="1" t="s">
        <v>1635</v>
      </c>
      <c r="E961" s="1" t="s">
        <v>1764</v>
      </c>
      <c r="F961" s="2">
        <v>25</v>
      </c>
      <c r="G961" s="2" t="s">
        <v>70</v>
      </c>
      <c r="H961" s="2">
        <v>2008</v>
      </c>
      <c r="I961" s="2" t="s">
        <v>1769</v>
      </c>
      <c r="J961" s="2" t="s">
        <v>1766</v>
      </c>
      <c r="K961" s="2"/>
      <c r="L961" s="2" t="s">
        <v>1520</v>
      </c>
      <c r="M961" t="s">
        <v>8</v>
      </c>
      <c r="N961" s="2">
        <v>1</v>
      </c>
      <c r="O961" s="2">
        <v>5</v>
      </c>
      <c r="P961" s="2" t="s">
        <v>1527</v>
      </c>
      <c r="Q961" s="25" t="s">
        <v>3462</v>
      </c>
      <c r="R961" s="2"/>
      <c r="S961" s="2"/>
      <c r="T961" s="2"/>
      <c r="U961" s="2"/>
      <c r="V961" s="2"/>
      <c r="W961" s="2"/>
      <c r="X961" s="2"/>
      <c r="Y961" s="2"/>
      <c r="Z961" s="2"/>
      <c r="AA961" s="2"/>
      <c r="AB961" s="2"/>
      <c r="AC961" s="2"/>
      <c r="AD961" s="2"/>
      <c r="AE961" s="2"/>
      <c r="AF961" s="2"/>
      <c r="AG961" s="2"/>
      <c r="AH961" s="2"/>
      <c r="AI961" s="2"/>
      <c r="AJ961" s="2"/>
    </row>
    <row r="962" spans="1:36" ht="17.25" customHeight="1" x14ac:dyDescent="0.2">
      <c r="A962" s="1" t="s">
        <v>0</v>
      </c>
      <c r="B962" s="1" t="s">
        <v>179</v>
      </c>
      <c r="C962" s="3" t="s">
        <v>4182</v>
      </c>
      <c r="D962" s="1" t="s">
        <v>1635</v>
      </c>
      <c r="E962" s="1" t="s">
        <v>1764</v>
      </c>
      <c r="F962" s="2">
        <v>27</v>
      </c>
      <c r="G962" s="2" t="s">
        <v>34</v>
      </c>
      <c r="H962" s="2">
        <v>2010</v>
      </c>
      <c r="I962" s="2" t="s">
        <v>1770</v>
      </c>
      <c r="J962" s="2" t="s">
        <v>1766</v>
      </c>
      <c r="K962" s="2"/>
      <c r="L962" s="2" t="s">
        <v>1520</v>
      </c>
      <c r="M962" t="s">
        <v>8</v>
      </c>
      <c r="N962" s="2">
        <v>1</v>
      </c>
      <c r="O962" s="2">
        <v>5</v>
      </c>
      <c r="P962" s="2" t="s">
        <v>1527</v>
      </c>
      <c r="Q962" s="25" t="s">
        <v>3462</v>
      </c>
      <c r="R962" s="2"/>
      <c r="S962" s="2"/>
      <c r="T962" s="2"/>
      <c r="U962" s="2"/>
      <c r="V962" s="2"/>
      <c r="W962" s="2"/>
      <c r="X962" s="2"/>
      <c r="Y962" s="2"/>
      <c r="Z962" s="2"/>
      <c r="AA962" s="2"/>
      <c r="AB962" s="2"/>
      <c r="AC962" s="2"/>
      <c r="AD962" s="2"/>
      <c r="AE962" s="2"/>
      <c r="AF962" s="2"/>
      <c r="AG962" s="2"/>
      <c r="AH962" s="2"/>
      <c r="AI962" s="2"/>
      <c r="AJ962" s="2"/>
    </row>
    <row r="963" spans="1:36" ht="17.25" customHeight="1" x14ac:dyDescent="0.2">
      <c r="A963" s="1" t="s">
        <v>0</v>
      </c>
      <c r="B963" s="1" t="s">
        <v>183</v>
      </c>
      <c r="C963" s="3" t="s">
        <v>4182</v>
      </c>
      <c r="D963" s="1" t="s">
        <v>1635</v>
      </c>
      <c r="E963" s="1" t="s">
        <v>1764</v>
      </c>
      <c r="F963" s="2">
        <v>29</v>
      </c>
      <c r="G963" s="2" t="s">
        <v>61</v>
      </c>
      <c r="H963" s="2">
        <v>2012</v>
      </c>
      <c r="I963" s="2" t="s">
        <v>1771</v>
      </c>
      <c r="J963" s="2" t="s">
        <v>1766</v>
      </c>
      <c r="K963" s="2"/>
      <c r="L963" s="2" t="s">
        <v>1520</v>
      </c>
      <c r="M963" t="s">
        <v>8</v>
      </c>
      <c r="N963" s="2">
        <v>1</v>
      </c>
      <c r="O963" s="2">
        <v>5</v>
      </c>
      <c r="P963" s="2" t="s">
        <v>1527</v>
      </c>
      <c r="Q963" s="25" t="s">
        <v>3462</v>
      </c>
      <c r="R963" s="2"/>
      <c r="S963" s="2"/>
      <c r="T963" s="2"/>
      <c r="U963" s="2"/>
      <c r="V963" s="2"/>
      <c r="W963" s="2"/>
      <c r="X963" s="2"/>
      <c r="Y963" s="2"/>
      <c r="Z963" s="2"/>
      <c r="AA963" s="2"/>
      <c r="AB963" s="2"/>
      <c r="AC963" s="2"/>
      <c r="AD963" s="2"/>
      <c r="AE963" s="2"/>
      <c r="AF963" s="2"/>
      <c r="AG963" s="2"/>
      <c r="AH963" s="2"/>
      <c r="AI963" s="2"/>
      <c r="AJ963" s="2"/>
    </row>
    <row r="964" spans="1:36" ht="17.25" customHeight="1" x14ac:dyDescent="0.2">
      <c r="A964" s="1" t="s">
        <v>0</v>
      </c>
      <c r="B964" s="1" t="s">
        <v>187</v>
      </c>
      <c r="C964" s="3" t="s">
        <v>4182</v>
      </c>
      <c r="D964" s="1" t="s">
        <v>1635</v>
      </c>
      <c r="E964" s="1" t="s">
        <v>1764</v>
      </c>
      <c r="F964" s="2">
        <v>31</v>
      </c>
      <c r="G964" s="2" t="s">
        <v>22</v>
      </c>
      <c r="H964" s="2">
        <v>2014</v>
      </c>
      <c r="I964" s="2" t="s">
        <v>1772</v>
      </c>
      <c r="J964" s="2" t="s">
        <v>1766</v>
      </c>
      <c r="K964" s="2"/>
      <c r="L964" s="2" t="s">
        <v>1520</v>
      </c>
      <c r="M964" t="s">
        <v>8</v>
      </c>
      <c r="N964" s="2">
        <v>1</v>
      </c>
      <c r="O964" s="2">
        <v>5</v>
      </c>
      <c r="P964" s="2" t="s">
        <v>1527</v>
      </c>
      <c r="Q964" s="25" t="s">
        <v>3462</v>
      </c>
      <c r="R964" s="2"/>
      <c r="S964" s="2"/>
      <c r="T964" s="2"/>
      <c r="U964" s="2"/>
      <c r="V964" s="2"/>
      <c r="W964" s="2"/>
      <c r="X964" s="2"/>
      <c r="Y964" s="2"/>
      <c r="Z964" s="2"/>
      <c r="AA964" s="2"/>
      <c r="AB964" s="2"/>
      <c r="AC964" s="2"/>
      <c r="AD964" s="2"/>
      <c r="AE964" s="2"/>
      <c r="AF964" s="2"/>
      <c r="AG964" s="2"/>
      <c r="AH964" s="2"/>
      <c r="AI964" s="2"/>
      <c r="AJ964" s="2"/>
    </row>
    <row r="965" spans="1:36" ht="17.25" customHeight="1" x14ac:dyDescent="0.2">
      <c r="A965" s="1" t="s">
        <v>0</v>
      </c>
      <c r="B965" s="1" t="s">
        <v>1224</v>
      </c>
      <c r="C965" s="3" t="s">
        <v>4182</v>
      </c>
      <c r="D965" s="1" t="s">
        <v>1635</v>
      </c>
      <c r="E965" s="1" t="s">
        <v>1764</v>
      </c>
      <c r="F965" s="2">
        <v>33</v>
      </c>
      <c r="G965" s="2" t="s">
        <v>76</v>
      </c>
      <c r="H965" s="2">
        <v>2016</v>
      </c>
      <c r="I965" s="2" t="s">
        <v>1773</v>
      </c>
      <c r="J965" s="2" t="s">
        <v>1766</v>
      </c>
      <c r="K965" s="2"/>
      <c r="L965" s="2" t="s">
        <v>1520</v>
      </c>
      <c r="M965" t="s">
        <v>8</v>
      </c>
      <c r="N965" s="2">
        <v>1</v>
      </c>
      <c r="O965" s="2">
        <v>5</v>
      </c>
      <c r="P965" s="2" t="s">
        <v>1527</v>
      </c>
      <c r="Q965" s="25" t="s">
        <v>3462</v>
      </c>
      <c r="R965" s="2"/>
      <c r="S965" s="2"/>
      <c r="T965" s="2"/>
      <c r="U965" s="2"/>
      <c r="V965" s="2"/>
      <c r="W965" s="2"/>
      <c r="X965" s="2"/>
      <c r="Y965" s="2"/>
      <c r="Z965" s="2"/>
      <c r="AA965" s="2"/>
      <c r="AB965" s="2"/>
      <c r="AC965" s="2"/>
      <c r="AD965" s="2"/>
      <c r="AE965" s="2"/>
      <c r="AF965" s="2"/>
      <c r="AG965" s="2"/>
      <c r="AH965" s="2"/>
      <c r="AI965" s="2"/>
      <c r="AJ965" s="2"/>
    </row>
    <row r="966" spans="1:36" ht="17.25" customHeight="1" x14ac:dyDescent="0.2">
      <c r="A966" s="1" t="s">
        <v>0</v>
      </c>
      <c r="B966" s="1" t="s">
        <v>1735</v>
      </c>
      <c r="C966" s="3" t="s">
        <v>4182</v>
      </c>
      <c r="D966" s="1" t="s">
        <v>1635</v>
      </c>
      <c r="E966" s="1" t="s">
        <v>1764</v>
      </c>
      <c r="F966" s="2">
        <v>34</v>
      </c>
      <c r="G966" s="2" t="s">
        <v>67</v>
      </c>
      <c r="H966" s="2">
        <v>2017</v>
      </c>
      <c r="I966" s="2" t="s">
        <v>1774</v>
      </c>
      <c r="J966" s="2" t="s">
        <v>1775</v>
      </c>
      <c r="K966" s="2"/>
      <c r="L966" s="2" t="s">
        <v>398</v>
      </c>
      <c r="M966" t="s">
        <v>8</v>
      </c>
      <c r="N966" s="2">
        <v>1</v>
      </c>
      <c r="O966" s="2">
        <v>5</v>
      </c>
      <c r="P966" s="2" t="s">
        <v>1527</v>
      </c>
      <c r="Q966" s="25" t="s">
        <v>3462</v>
      </c>
      <c r="R966" s="2"/>
      <c r="S966" s="2"/>
      <c r="T966" s="2"/>
      <c r="U966" s="2"/>
      <c r="V966" s="2"/>
      <c r="W966" s="2"/>
      <c r="X966" s="2"/>
      <c r="Y966" s="2"/>
      <c r="Z966" s="2"/>
      <c r="AA966" s="2"/>
      <c r="AB966" s="2"/>
      <c r="AC966" s="2"/>
      <c r="AD966" s="2"/>
      <c r="AE966" s="2"/>
      <c r="AF966" s="2"/>
      <c r="AG966" s="2"/>
      <c r="AH966" s="2"/>
      <c r="AI966" s="2"/>
      <c r="AJ966" s="2"/>
    </row>
    <row r="967" spans="1:36" ht="17.25" customHeight="1" x14ac:dyDescent="0.2">
      <c r="A967" s="3" t="s">
        <v>0</v>
      </c>
      <c r="B967" s="3" t="s">
        <v>143</v>
      </c>
      <c r="C967" s="3" t="s">
        <v>4182</v>
      </c>
      <c r="D967" s="3" t="s">
        <v>1637</v>
      </c>
      <c r="E967" s="3" t="s">
        <v>1776</v>
      </c>
      <c r="F967" s="2">
        <v>9</v>
      </c>
      <c r="G967" s="4" t="s">
        <v>55</v>
      </c>
      <c r="H967" s="2">
        <v>1992</v>
      </c>
      <c r="I967" s="2" t="s">
        <v>1777</v>
      </c>
      <c r="J967" s="2" t="s">
        <v>1778</v>
      </c>
      <c r="K967" s="2" t="s">
        <v>1779</v>
      </c>
      <c r="L967" s="2" t="s">
        <v>1520</v>
      </c>
      <c r="M967" s="2" t="s">
        <v>8</v>
      </c>
      <c r="N967" s="2">
        <v>1</v>
      </c>
      <c r="O967" s="2">
        <v>5</v>
      </c>
      <c r="P967" s="2" t="s">
        <v>1527</v>
      </c>
      <c r="Q967" s="25" t="s">
        <v>3462</v>
      </c>
      <c r="R967" s="2"/>
      <c r="S967" s="2"/>
      <c r="T967" s="2"/>
      <c r="U967" s="2"/>
      <c r="V967" s="2"/>
      <c r="W967" s="2"/>
      <c r="X967" s="2"/>
      <c r="Y967" s="2"/>
      <c r="Z967" s="2"/>
      <c r="AA967" s="2"/>
      <c r="AB967" s="2"/>
      <c r="AC967" s="2"/>
      <c r="AD967" s="2"/>
      <c r="AE967" s="2"/>
      <c r="AF967" s="2"/>
      <c r="AG967" s="2"/>
      <c r="AH967" s="2"/>
      <c r="AI967" s="2"/>
      <c r="AJ967" s="2"/>
    </row>
    <row r="968" spans="1:36" ht="17.25" customHeight="1" x14ac:dyDescent="0.2">
      <c r="A968" s="3" t="s">
        <v>0</v>
      </c>
      <c r="B968" s="3" t="s">
        <v>147</v>
      </c>
      <c r="C968" s="3" t="s">
        <v>4182</v>
      </c>
      <c r="D968" s="3" t="s">
        <v>1637</v>
      </c>
      <c r="E968" s="3" t="s">
        <v>1776</v>
      </c>
      <c r="F968" s="2">
        <v>11</v>
      </c>
      <c r="G968" s="4" t="s">
        <v>104</v>
      </c>
      <c r="H968" s="2">
        <v>1994</v>
      </c>
      <c r="I968" s="2" t="s">
        <v>1780</v>
      </c>
      <c r="J968" s="2" t="s">
        <v>1778</v>
      </c>
      <c r="K968" s="2" t="s">
        <v>1779</v>
      </c>
      <c r="L968" s="2" t="s">
        <v>1520</v>
      </c>
      <c r="M968" s="2" t="s">
        <v>8</v>
      </c>
      <c r="N968" s="2">
        <v>1</v>
      </c>
      <c r="O968" s="2">
        <v>5</v>
      </c>
      <c r="P968" s="2" t="s">
        <v>1527</v>
      </c>
      <c r="Q968" s="25" t="s">
        <v>3462</v>
      </c>
      <c r="R968" s="2"/>
      <c r="S968" s="2"/>
      <c r="T968" s="2"/>
      <c r="U968" s="2"/>
      <c r="V968" s="2"/>
      <c r="W968" s="2"/>
      <c r="X968" s="2"/>
      <c r="Y968" s="2"/>
      <c r="Z968" s="2"/>
      <c r="AA968" s="2"/>
      <c r="AB968" s="2"/>
      <c r="AC968" s="2"/>
      <c r="AD968" s="2"/>
      <c r="AE968" s="2"/>
      <c r="AF968" s="2"/>
      <c r="AG968" s="2"/>
      <c r="AH968" s="2"/>
      <c r="AI968" s="2"/>
      <c r="AJ968" s="2"/>
    </row>
    <row r="969" spans="1:36" ht="17.25" customHeight="1" x14ac:dyDescent="0.2">
      <c r="A969" s="3" t="s">
        <v>0</v>
      </c>
      <c r="B969" s="3" t="s">
        <v>149</v>
      </c>
      <c r="C969" s="3" t="s">
        <v>4182</v>
      </c>
      <c r="D969" s="3" t="s">
        <v>1637</v>
      </c>
      <c r="E969" s="3" t="s">
        <v>1776</v>
      </c>
      <c r="F969" s="2">
        <v>12</v>
      </c>
      <c r="G969" s="4" t="s">
        <v>89</v>
      </c>
      <c r="H969" s="2">
        <v>1995</v>
      </c>
      <c r="I969" s="2" t="s">
        <v>1781</v>
      </c>
      <c r="J969" s="2" t="s">
        <v>1778</v>
      </c>
      <c r="K969" s="2" t="s">
        <v>1779</v>
      </c>
      <c r="L969" s="2" t="s">
        <v>1520</v>
      </c>
      <c r="M969" s="2" t="s">
        <v>8</v>
      </c>
      <c r="N969" s="2">
        <v>1</v>
      </c>
      <c r="O969" s="2">
        <v>5</v>
      </c>
      <c r="P969" s="2" t="s">
        <v>1527</v>
      </c>
      <c r="Q969" s="25" t="s">
        <v>3462</v>
      </c>
      <c r="R969" s="2"/>
      <c r="S969" s="2"/>
      <c r="T969" s="2"/>
      <c r="U969" s="2"/>
      <c r="V969" s="2"/>
      <c r="W969" s="2"/>
      <c r="X969" s="2"/>
      <c r="Y969" s="2"/>
      <c r="Z969" s="2"/>
      <c r="AA969" s="2"/>
      <c r="AB969" s="2"/>
      <c r="AC969" s="2"/>
      <c r="AD969" s="2"/>
      <c r="AE969" s="2"/>
      <c r="AF969" s="2"/>
      <c r="AG969" s="2"/>
      <c r="AH969" s="2"/>
      <c r="AI969" s="2"/>
      <c r="AJ969" s="2"/>
    </row>
    <row r="970" spans="1:36" ht="17.25" customHeight="1" x14ac:dyDescent="0.2">
      <c r="A970" s="3" t="s">
        <v>0</v>
      </c>
      <c r="B970" s="3" t="s">
        <v>151</v>
      </c>
      <c r="C970" s="3" t="s">
        <v>4182</v>
      </c>
      <c r="D970" s="3" t="s">
        <v>1637</v>
      </c>
      <c r="E970" s="3" t="s">
        <v>1776</v>
      </c>
      <c r="F970" s="2">
        <v>13</v>
      </c>
      <c r="G970" s="4" t="s">
        <v>107</v>
      </c>
      <c r="H970" s="2">
        <v>1996</v>
      </c>
      <c r="I970" s="2" t="s">
        <v>1782</v>
      </c>
      <c r="J970" s="2" t="s">
        <v>1778</v>
      </c>
      <c r="K970" s="2" t="s">
        <v>1779</v>
      </c>
      <c r="L970" s="2" t="s">
        <v>1520</v>
      </c>
      <c r="M970" s="2" t="s">
        <v>8</v>
      </c>
      <c r="N970" s="2">
        <v>1</v>
      </c>
      <c r="O970" s="2">
        <v>5</v>
      </c>
      <c r="P970" s="2" t="s">
        <v>1527</v>
      </c>
      <c r="Q970" s="25" t="s">
        <v>3462</v>
      </c>
      <c r="R970" s="2"/>
      <c r="S970" s="2"/>
      <c r="T970" s="2"/>
      <c r="U970" s="2"/>
      <c r="V970" s="2"/>
      <c r="W970" s="2"/>
      <c r="X970" s="2"/>
      <c r="Y970" s="2"/>
      <c r="Z970" s="2"/>
      <c r="AA970" s="2"/>
      <c r="AB970" s="2"/>
      <c r="AC970" s="2"/>
      <c r="AD970" s="2"/>
      <c r="AE970" s="2"/>
      <c r="AF970" s="2"/>
      <c r="AG970" s="2"/>
      <c r="AH970" s="2"/>
      <c r="AI970" s="2"/>
      <c r="AJ970" s="2"/>
    </row>
    <row r="971" spans="1:36" ht="17.25" customHeight="1" x14ac:dyDescent="0.2">
      <c r="A971" s="3" t="s">
        <v>0</v>
      </c>
      <c r="B971" s="3" t="s">
        <v>153</v>
      </c>
      <c r="C971" s="3" t="s">
        <v>4182</v>
      </c>
      <c r="D971" s="3" t="s">
        <v>1637</v>
      </c>
      <c r="E971" s="3" t="s">
        <v>1776</v>
      </c>
      <c r="F971" s="2">
        <v>14</v>
      </c>
      <c r="G971" s="4" t="s">
        <v>43</v>
      </c>
      <c r="H971" s="2">
        <v>1997</v>
      </c>
      <c r="I971" s="2" t="s">
        <v>1783</v>
      </c>
      <c r="J971" s="2" t="s">
        <v>1778</v>
      </c>
      <c r="K971" s="2" t="s">
        <v>1779</v>
      </c>
      <c r="L971" s="2" t="s">
        <v>1520</v>
      </c>
      <c r="M971" s="2" t="s">
        <v>8</v>
      </c>
      <c r="N971" s="2">
        <v>1</v>
      </c>
      <c r="O971" s="2">
        <v>5</v>
      </c>
      <c r="P971" s="2" t="s">
        <v>1527</v>
      </c>
      <c r="Q971" s="25" t="s">
        <v>3462</v>
      </c>
      <c r="R971" s="2"/>
      <c r="S971" s="2"/>
      <c r="T971" s="45"/>
      <c r="U971" s="45"/>
      <c r="V971" s="2"/>
      <c r="W971" s="2"/>
      <c r="X971" s="2"/>
      <c r="Y971" s="2"/>
      <c r="Z971" s="2"/>
      <c r="AA971" s="2"/>
      <c r="AB971" s="2"/>
      <c r="AC971" s="2"/>
      <c r="AD971" s="2"/>
      <c r="AE971" s="2"/>
      <c r="AF971" s="2"/>
      <c r="AG971" s="2"/>
      <c r="AH971" s="2"/>
      <c r="AI971" s="2"/>
      <c r="AJ971" s="2"/>
    </row>
    <row r="972" spans="1:36" ht="17.25" customHeight="1" x14ac:dyDescent="0.2">
      <c r="A972" s="3" t="s">
        <v>0</v>
      </c>
      <c r="B972" s="3" t="s">
        <v>155</v>
      </c>
      <c r="C972" s="3" t="s">
        <v>4182</v>
      </c>
      <c r="D972" s="3" t="s">
        <v>1637</v>
      </c>
      <c r="E972" s="3" t="s">
        <v>1776</v>
      </c>
      <c r="F972" s="2">
        <v>15</v>
      </c>
      <c r="G972" s="4" t="s">
        <v>19</v>
      </c>
      <c r="H972" s="2">
        <v>1998</v>
      </c>
      <c r="I972" s="2" t="s">
        <v>1784</v>
      </c>
      <c r="J972" s="2" t="s">
        <v>1778</v>
      </c>
      <c r="K972" s="2" t="s">
        <v>1779</v>
      </c>
      <c r="L972" s="2" t="s">
        <v>1520</v>
      </c>
      <c r="M972" s="2" t="s">
        <v>8</v>
      </c>
      <c r="N972" s="2">
        <v>1</v>
      </c>
      <c r="O972" s="2">
        <v>5</v>
      </c>
      <c r="P972" s="2" t="s">
        <v>1527</v>
      </c>
      <c r="Q972" s="25" t="s">
        <v>3462</v>
      </c>
      <c r="R972" s="2"/>
      <c r="S972" s="2"/>
      <c r="T972" s="2"/>
      <c r="U972" s="2"/>
      <c r="V972" s="45"/>
      <c r="W972" s="45"/>
      <c r="X972" s="45"/>
      <c r="Y972" s="45"/>
      <c r="Z972" s="45"/>
      <c r="AA972" s="45"/>
      <c r="AB972" s="45"/>
      <c r="AC972" s="45"/>
      <c r="AD972" s="45"/>
      <c r="AE972" s="45"/>
      <c r="AF972" s="45"/>
      <c r="AG972" s="45"/>
      <c r="AH972" s="45"/>
      <c r="AI972" s="45"/>
      <c r="AJ972" s="45"/>
    </row>
    <row r="973" spans="1:36" ht="17.25" customHeight="1" x14ac:dyDescent="0.2">
      <c r="A973" s="3" t="s">
        <v>0</v>
      </c>
      <c r="B973" s="3" t="s">
        <v>157</v>
      </c>
      <c r="C973" s="3" t="s">
        <v>4182</v>
      </c>
      <c r="D973" s="3" t="s">
        <v>1637</v>
      </c>
      <c r="E973" s="3" t="s">
        <v>1776</v>
      </c>
      <c r="F973" s="2">
        <v>16</v>
      </c>
      <c r="G973" s="4" t="s">
        <v>25</v>
      </c>
      <c r="H973" s="2">
        <v>1999</v>
      </c>
      <c r="I973" s="2" t="s">
        <v>1785</v>
      </c>
      <c r="J973" s="2" t="s">
        <v>1778</v>
      </c>
      <c r="K973" s="2" t="s">
        <v>1779</v>
      </c>
      <c r="L973" s="2" t="s">
        <v>1520</v>
      </c>
      <c r="M973" s="2" t="s">
        <v>8</v>
      </c>
      <c r="N973" s="2">
        <v>1</v>
      </c>
      <c r="O973" s="2">
        <v>5</v>
      </c>
      <c r="P973" s="2" t="s">
        <v>1527</v>
      </c>
      <c r="Q973" s="25" t="s">
        <v>3462</v>
      </c>
      <c r="R973" s="2"/>
      <c r="S973" s="2"/>
      <c r="T973" s="2"/>
      <c r="U973" s="2"/>
      <c r="V973" s="2"/>
      <c r="W973" s="2"/>
      <c r="X973" s="2"/>
      <c r="Y973" s="2"/>
      <c r="Z973" s="2"/>
      <c r="AA973" s="2"/>
      <c r="AB973" s="2"/>
      <c r="AC973" s="2"/>
      <c r="AD973" s="2"/>
      <c r="AE973" s="2"/>
      <c r="AF973" s="2"/>
      <c r="AG973" s="2"/>
      <c r="AH973" s="2"/>
      <c r="AI973" s="2"/>
      <c r="AJ973" s="2"/>
    </row>
    <row r="974" spans="1:36" ht="17.25" customHeight="1" x14ac:dyDescent="0.2">
      <c r="A974" s="3" t="s">
        <v>0</v>
      </c>
      <c r="B974" s="3" t="s">
        <v>159</v>
      </c>
      <c r="C974" s="3" t="s">
        <v>4182</v>
      </c>
      <c r="D974" s="3" t="s">
        <v>1637</v>
      </c>
      <c r="E974" s="3" t="s">
        <v>1776</v>
      </c>
      <c r="F974" s="2">
        <v>17</v>
      </c>
      <c r="G974" s="4" t="s">
        <v>73</v>
      </c>
      <c r="H974" s="2">
        <v>2000</v>
      </c>
      <c r="I974" s="2" t="s">
        <v>1786</v>
      </c>
      <c r="J974" s="2" t="s">
        <v>1778</v>
      </c>
      <c r="K974" s="2" t="s">
        <v>1779</v>
      </c>
      <c r="L974" s="2" t="s">
        <v>1520</v>
      </c>
      <c r="M974" s="2" t="s">
        <v>8</v>
      </c>
      <c r="N974" s="2">
        <v>1</v>
      </c>
      <c r="O974" s="2">
        <v>5</v>
      </c>
      <c r="P974" s="2" t="s">
        <v>1527</v>
      </c>
      <c r="Q974" s="25" t="s">
        <v>3462</v>
      </c>
      <c r="R974" s="2"/>
      <c r="S974" s="2"/>
      <c r="T974" s="2"/>
      <c r="U974" s="2"/>
      <c r="V974" s="2"/>
      <c r="W974" s="2"/>
      <c r="X974" s="2"/>
      <c r="Y974" s="2"/>
      <c r="Z974" s="2"/>
      <c r="AA974" s="2"/>
      <c r="AB974" s="2"/>
      <c r="AC974" s="2"/>
      <c r="AD974" s="2"/>
      <c r="AE974" s="2"/>
      <c r="AF974" s="2"/>
      <c r="AG974" s="2"/>
      <c r="AH974" s="2"/>
      <c r="AI974" s="2"/>
      <c r="AJ974" s="2"/>
    </row>
    <row r="975" spans="1:36" ht="17.25" customHeight="1" x14ac:dyDescent="0.2">
      <c r="A975" s="3" t="s">
        <v>0</v>
      </c>
      <c r="B975" s="3" t="s">
        <v>161</v>
      </c>
      <c r="C975" s="3" t="s">
        <v>4182</v>
      </c>
      <c r="D975" s="3" t="s">
        <v>1637</v>
      </c>
      <c r="E975" s="3" t="s">
        <v>1776</v>
      </c>
      <c r="F975" s="2">
        <v>18</v>
      </c>
      <c r="G975" s="4" t="s">
        <v>58</v>
      </c>
      <c r="H975" s="2">
        <v>2001</v>
      </c>
      <c r="I975" s="2" t="s">
        <v>1787</v>
      </c>
      <c r="J975" s="2" t="s">
        <v>1778</v>
      </c>
      <c r="K975" s="2" t="s">
        <v>1779</v>
      </c>
      <c r="L975" s="2" t="s">
        <v>1520</v>
      </c>
      <c r="M975" s="2" t="s">
        <v>8</v>
      </c>
      <c r="N975" s="2">
        <v>1</v>
      </c>
      <c r="O975" s="2">
        <v>5</v>
      </c>
      <c r="P975" s="2" t="s">
        <v>1527</v>
      </c>
      <c r="Q975" s="25" t="s">
        <v>3462</v>
      </c>
      <c r="R975" s="2"/>
      <c r="S975" s="2"/>
      <c r="T975" s="2"/>
      <c r="U975" s="2"/>
      <c r="V975" s="2"/>
      <c r="W975" s="2"/>
      <c r="X975" s="2"/>
      <c r="Y975" s="2"/>
      <c r="Z975" s="2"/>
      <c r="AA975" s="2"/>
      <c r="AB975" s="2"/>
      <c r="AC975" s="2"/>
      <c r="AD975" s="2"/>
      <c r="AE975" s="2"/>
      <c r="AF975" s="2"/>
      <c r="AG975" s="2"/>
      <c r="AH975" s="2"/>
      <c r="AI975" s="2"/>
      <c r="AJ975" s="2"/>
    </row>
    <row r="976" spans="1:36" ht="17.25" customHeight="1" x14ac:dyDescent="0.2">
      <c r="A976" s="3" t="s">
        <v>0</v>
      </c>
      <c r="B976" s="3" t="s">
        <v>163</v>
      </c>
      <c r="C976" s="3" t="s">
        <v>4182</v>
      </c>
      <c r="D976" s="3" t="s">
        <v>1637</v>
      </c>
      <c r="E976" s="3" t="s">
        <v>1776</v>
      </c>
      <c r="F976" s="2">
        <v>19</v>
      </c>
      <c r="G976" s="4" t="s">
        <v>4</v>
      </c>
      <c r="H976" s="2">
        <v>2002</v>
      </c>
      <c r="I976" s="2" t="s">
        <v>1788</v>
      </c>
      <c r="J976" s="2" t="s">
        <v>1778</v>
      </c>
      <c r="K976" s="2" t="s">
        <v>1779</v>
      </c>
      <c r="L976" s="2" t="s">
        <v>1520</v>
      </c>
      <c r="M976" s="2" t="s">
        <v>8</v>
      </c>
      <c r="N976" s="2">
        <v>1</v>
      </c>
      <c r="O976" s="2">
        <v>5</v>
      </c>
      <c r="P976" s="2" t="s">
        <v>1527</v>
      </c>
      <c r="Q976" s="25" t="s">
        <v>3462</v>
      </c>
      <c r="R976" s="2"/>
      <c r="S976" s="2"/>
      <c r="T976" s="2"/>
      <c r="U976" s="2"/>
      <c r="V976" s="2"/>
      <c r="W976" s="2"/>
      <c r="X976" s="2"/>
      <c r="Y976" s="2"/>
      <c r="Z976" s="2"/>
      <c r="AA976" s="2"/>
      <c r="AB976" s="2"/>
      <c r="AC976" s="2"/>
      <c r="AD976" s="2"/>
      <c r="AE976" s="2"/>
      <c r="AF976" s="2"/>
      <c r="AG976" s="2"/>
      <c r="AH976" s="2"/>
      <c r="AI976" s="2"/>
      <c r="AJ976" s="2"/>
    </row>
    <row r="977" spans="1:36" ht="17.25" customHeight="1" x14ac:dyDescent="0.2">
      <c r="A977" s="3" t="s">
        <v>0</v>
      </c>
      <c r="B977" s="3" t="s">
        <v>165</v>
      </c>
      <c r="C977" s="3" t="s">
        <v>4182</v>
      </c>
      <c r="D977" s="3" t="s">
        <v>1637</v>
      </c>
      <c r="E977" s="3" t="s">
        <v>1776</v>
      </c>
      <c r="F977" s="2">
        <v>20</v>
      </c>
      <c r="G977" s="4" t="s">
        <v>83</v>
      </c>
      <c r="H977" s="2">
        <v>2003</v>
      </c>
      <c r="I977" s="2" t="s">
        <v>1789</v>
      </c>
      <c r="J977" s="2" t="s">
        <v>1778</v>
      </c>
      <c r="K977" s="2" t="s">
        <v>1779</v>
      </c>
      <c r="L977" s="2" t="s">
        <v>1520</v>
      </c>
      <c r="M977" s="2" t="s">
        <v>8</v>
      </c>
      <c r="N977" s="2">
        <v>1</v>
      </c>
      <c r="O977" s="2">
        <v>5</v>
      </c>
      <c r="P977" s="2" t="s">
        <v>1527</v>
      </c>
      <c r="Q977" s="25" t="s">
        <v>3462</v>
      </c>
      <c r="R977" s="2"/>
      <c r="S977" s="2"/>
      <c r="T977" s="2"/>
      <c r="U977" s="2"/>
      <c r="V977" s="2"/>
      <c r="W977" s="2"/>
      <c r="X977" s="2"/>
      <c r="Y977" s="2"/>
      <c r="Z977" s="2"/>
      <c r="AA977" s="2"/>
      <c r="AB977" s="2"/>
      <c r="AC977" s="2"/>
      <c r="AD977" s="2"/>
      <c r="AE977" s="2"/>
      <c r="AF977" s="2"/>
      <c r="AG977" s="2"/>
      <c r="AH977" s="2"/>
      <c r="AI977" s="2"/>
      <c r="AJ977" s="2"/>
    </row>
    <row r="978" spans="1:36" ht="17.25" customHeight="1" x14ac:dyDescent="0.2">
      <c r="A978" s="3" t="s">
        <v>0</v>
      </c>
      <c r="B978" s="3" t="s">
        <v>167</v>
      </c>
      <c r="C978" s="3" t="s">
        <v>4182</v>
      </c>
      <c r="D978" s="3" t="s">
        <v>1637</v>
      </c>
      <c r="E978" s="3" t="s">
        <v>1776</v>
      </c>
      <c r="F978" s="2">
        <v>21</v>
      </c>
      <c r="G978" s="4" t="s">
        <v>64</v>
      </c>
      <c r="H978" s="2">
        <v>2004</v>
      </c>
      <c r="I978" s="2" t="s">
        <v>1790</v>
      </c>
      <c r="J978" s="2" t="s">
        <v>1778</v>
      </c>
      <c r="K978" s="2" t="s">
        <v>1779</v>
      </c>
      <c r="L978" s="2" t="s">
        <v>1520</v>
      </c>
      <c r="M978" s="2" t="s">
        <v>8</v>
      </c>
      <c r="N978" s="2">
        <v>1</v>
      </c>
      <c r="O978" s="2">
        <v>5</v>
      </c>
      <c r="P978" s="2" t="s">
        <v>1527</v>
      </c>
      <c r="Q978" s="25" t="s">
        <v>3462</v>
      </c>
      <c r="R978" s="2"/>
      <c r="S978" s="2"/>
      <c r="T978" s="2"/>
      <c r="U978" s="2"/>
      <c r="V978" s="2"/>
      <c r="W978" s="2"/>
      <c r="X978" s="2"/>
      <c r="Y978" s="2"/>
      <c r="Z978" s="2"/>
      <c r="AA978" s="2"/>
      <c r="AB978" s="2"/>
      <c r="AC978" s="2"/>
      <c r="AD978" s="2"/>
      <c r="AE978" s="2"/>
      <c r="AF978" s="2"/>
      <c r="AG978" s="2"/>
      <c r="AH978" s="2"/>
      <c r="AI978" s="2"/>
      <c r="AJ978" s="2"/>
    </row>
    <row r="979" spans="1:36" ht="17.25" customHeight="1" x14ac:dyDescent="0.2">
      <c r="A979" s="3" t="s">
        <v>0</v>
      </c>
      <c r="B979" s="3" t="s">
        <v>169</v>
      </c>
      <c r="C979" s="3" t="s">
        <v>4182</v>
      </c>
      <c r="D979" s="3" t="s">
        <v>1637</v>
      </c>
      <c r="E979" s="3" t="s">
        <v>1776</v>
      </c>
      <c r="F979" s="2">
        <v>22</v>
      </c>
      <c r="G979" s="4" t="s">
        <v>92</v>
      </c>
      <c r="H979" s="2">
        <v>2005</v>
      </c>
      <c r="I979" s="2" t="s">
        <v>1791</v>
      </c>
      <c r="J979" s="2" t="s">
        <v>1778</v>
      </c>
      <c r="K979" s="2" t="s">
        <v>1779</v>
      </c>
      <c r="L979" s="2" t="s">
        <v>1520</v>
      </c>
      <c r="M979" s="2" t="s">
        <v>8</v>
      </c>
      <c r="N979" s="2">
        <v>1</v>
      </c>
      <c r="O979" s="2">
        <v>5</v>
      </c>
      <c r="P979" s="2" t="s">
        <v>1527</v>
      </c>
      <c r="Q979" s="25" t="s">
        <v>3462</v>
      </c>
      <c r="R979" s="2"/>
      <c r="S979" s="2"/>
      <c r="T979" s="2"/>
      <c r="U979" s="2"/>
      <c r="V979" s="2"/>
      <c r="W979" s="2"/>
      <c r="X979" s="2"/>
      <c r="Y979" s="2"/>
      <c r="Z979" s="2"/>
      <c r="AA979" s="2"/>
      <c r="AB979" s="2"/>
      <c r="AC979" s="2"/>
      <c r="AD979" s="2"/>
      <c r="AE979" s="2"/>
      <c r="AF979" s="2"/>
      <c r="AG979" s="2"/>
      <c r="AH979" s="2"/>
      <c r="AI979" s="2"/>
      <c r="AJ979" s="2"/>
    </row>
    <row r="980" spans="1:36" ht="17.25" customHeight="1" x14ac:dyDescent="0.2">
      <c r="A980" s="3" t="s">
        <v>0</v>
      </c>
      <c r="B980" s="3" t="s">
        <v>171</v>
      </c>
      <c r="C980" s="3" t="s">
        <v>4182</v>
      </c>
      <c r="D980" s="3" t="s">
        <v>1637</v>
      </c>
      <c r="E980" s="3" t="s">
        <v>1776</v>
      </c>
      <c r="F980" s="2">
        <v>23</v>
      </c>
      <c r="G980" s="4" t="s">
        <v>52</v>
      </c>
      <c r="H980" s="2">
        <v>2006</v>
      </c>
      <c r="I980" s="2" t="s">
        <v>1792</v>
      </c>
      <c r="J980" s="2" t="s">
        <v>1778</v>
      </c>
      <c r="K980" s="2" t="s">
        <v>1779</v>
      </c>
      <c r="L980" s="2" t="s">
        <v>1520</v>
      </c>
      <c r="M980" s="2" t="s">
        <v>8</v>
      </c>
      <c r="N980" s="2">
        <v>1</v>
      </c>
      <c r="O980" s="2">
        <v>5</v>
      </c>
      <c r="P980" s="2" t="s">
        <v>1527</v>
      </c>
      <c r="Q980" s="25" t="s">
        <v>3462</v>
      </c>
      <c r="R980" s="2"/>
      <c r="S980" s="2"/>
      <c r="T980" s="2"/>
      <c r="U980" s="2"/>
      <c r="V980" s="2"/>
      <c r="W980" s="2"/>
      <c r="X980" s="2"/>
      <c r="Y980" s="2"/>
      <c r="Z980" s="2"/>
      <c r="AA980" s="2"/>
      <c r="AB980" s="2"/>
      <c r="AC980" s="2"/>
      <c r="AD980" s="2"/>
      <c r="AE980" s="2"/>
      <c r="AF980" s="2"/>
      <c r="AG980" s="2"/>
      <c r="AH980" s="2"/>
      <c r="AI980" s="2"/>
      <c r="AJ980" s="2"/>
    </row>
    <row r="981" spans="1:36" ht="17.25" customHeight="1" x14ac:dyDescent="0.2">
      <c r="A981" s="3" t="s">
        <v>0</v>
      </c>
      <c r="B981" s="3" t="s">
        <v>173</v>
      </c>
      <c r="C981" s="3" t="s">
        <v>4182</v>
      </c>
      <c r="D981" s="3" t="s">
        <v>1637</v>
      </c>
      <c r="E981" s="3" t="s">
        <v>1776</v>
      </c>
      <c r="F981" s="2">
        <v>24</v>
      </c>
      <c r="G981" s="4" t="s">
        <v>95</v>
      </c>
      <c r="H981" s="2">
        <v>2007</v>
      </c>
      <c r="I981" s="2" t="s">
        <v>1793</v>
      </c>
      <c r="J981" s="2" t="s">
        <v>1778</v>
      </c>
      <c r="K981" s="2" t="s">
        <v>1779</v>
      </c>
      <c r="L981" s="2" t="s">
        <v>1520</v>
      </c>
      <c r="M981" s="2" t="s">
        <v>8</v>
      </c>
      <c r="N981" s="2">
        <v>1</v>
      </c>
      <c r="O981" s="2">
        <v>5</v>
      </c>
      <c r="P981" s="2" t="s">
        <v>1527</v>
      </c>
      <c r="Q981" s="25" t="s">
        <v>3462</v>
      </c>
      <c r="R981" s="2"/>
      <c r="S981" s="2"/>
      <c r="T981" s="2"/>
      <c r="U981" s="2"/>
      <c r="V981" s="2"/>
      <c r="W981" s="2"/>
      <c r="X981" s="2"/>
      <c r="Y981" s="2"/>
      <c r="Z981" s="2"/>
      <c r="AA981" s="2"/>
      <c r="AB981" s="2"/>
      <c r="AC981" s="2"/>
      <c r="AD981" s="2"/>
      <c r="AE981" s="2"/>
      <c r="AF981" s="2"/>
      <c r="AG981" s="2"/>
      <c r="AH981" s="2"/>
      <c r="AI981" s="2"/>
      <c r="AJ981" s="2"/>
    </row>
    <row r="982" spans="1:36" ht="17.25" customHeight="1" x14ac:dyDescent="0.2">
      <c r="A982" s="3" t="s">
        <v>0</v>
      </c>
      <c r="B982" s="3" t="s">
        <v>175</v>
      </c>
      <c r="C982" s="3" t="s">
        <v>4182</v>
      </c>
      <c r="D982" s="3" t="s">
        <v>1637</v>
      </c>
      <c r="E982" s="3" t="s">
        <v>1776</v>
      </c>
      <c r="F982" s="2">
        <v>25</v>
      </c>
      <c r="G982" s="4" t="s">
        <v>70</v>
      </c>
      <c r="H982" s="2">
        <v>2008</v>
      </c>
      <c r="I982" s="2" t="s">
        <v>1794</v>
      </c>
      <c r="J982" s="2" t="s">
        <v>1778</v>
      </c>
      <c r="K982" s="2" t="s">
        <v>1779</v>
      </c>
      <c r="L982" s="2" t="s">
        <v>1520</v>
      </c>
      <c r="M982" s="2" t="s">
        <v>8</v>
      </c>
      <c r="N982" s="2">
        <v>1</v>
      </c>
      <c r="O982" s="2">
        <v>5</v>
      </c>
      <c r="P982" s="2" t="s">
        <v>1527</v>
      </c>
      <c r="Q982" s="25" t="s">
        <v>3462</v>
      </c>
      <c r="R982" s="2"/>
      <c r="S982" s="2"/>
      <c r="T982" s="2"/>
      <c r="U982" s="2"/>
      <c r="V982" s="2"/>
      <c r="W982" s="2"/>
      <c r="X982" s="2"/>
      <c r="Y982" s="2"/>
      <c r="Z982" s="2"/>
      <c r="AA982" s="2"/>
      <c r="AB982" s="2"/>
      <c r="AC982" s="2"/>
      <c r="AD982" s="2"/>
      <c r="AE982" s="2"/>
      <c r="AF982" s="2"/>
      <c r="AG982" s="2"/>
      <c r="AH982" s="2"/>
      <c r="AI982" s="2"/>
      <c r="AJ982" s="2"/>
    </row>
    <row r="983" spans="1:36" ht="17.25" customHeight="1" x14ac:dyDescent="0.2">
      <c r="A983" s="3" t="s">
        <v>0</v>
      </c>
      <c r="B983" s="3" t="s">
        <v>177</v>
      </c>
      <c r="C983" s="3" t="s">
        <v>4182</v>
      </c>
      <c r="D983" s="3" t="s">
        <v>1637</v>
      </c>
      <c r="E983" s="3" t="s">
        <v>1776</v>
      </c>
      <c r="F983" s="2">
        <v>26</v>
      </c>
      <c r="G983" s="4" t="s">
        <v>16</v>
      </c>
      <c r="H983" s="2">
        <v>2009</v>
      </c>
      <c r="I983" s="2" t="s">
        <v>1795</v>
      </c>
      <c r="J983" s="2" t="s">
        <v>1778</v>
      </c>
      <c r="K983" s="2" t="s">
        <v>1779</v>
      </c>
      <c r="L983" s="2" t="s">
        <v>1520</v>
      </c>
      <c r="M983" s="2" t="s">
        <v>8</v>
      </c>
      <c r="N983" s="2">
        <v>1</v>
      </c>
      <c r="O983" s="2">
        <v>5</v>
      </c>
      <c r="P983" s="2" t="s">
        <v>1527</v>
      </c>
      <c r="Q983" s="25" t="s">
        <v>3462</v>
      </c>
      <c r="R983" s="2"/>
      <c r="S983" s="2"/>
      <c r="T983" s="2"/>
      <c r="U983" s="2"/>
      <c r="V983" s="2"/>
      <c r="W983" s="2"/>
      <c r="X983" s="2"/>
      <c r="Y983" s="2"/>
      <c r="Z983" s="2"/>
      <c r="AA983" s="2"/>
      <c r="AB983" s="2"/>
      <c r="AC983" s="2"/>
      <c r="AD983" s="2"/>
      <c r="AE983" s="2"/>
      <c r="AF983" s="2"/>
      <c r="AG983" s="2"/>
      <c r="AH983" s="2"/>
      <c r="AI983" s="2"/>
      <c r="AJ983" s="2"/>
    </row>
    <row r="984" spans="1:36" ht="17.25" customHeight="1" x14ac:dyDescent="0.2">
      <c r="A984" s="3" t="s">
        <v>0</v>
      </c>
      <c r="B984" s="3" t="s">
        <v>179</v>
      </c>
      <c r="C984" s="3" t="s">
        <v>4182</v>
      </c>
      <c r="D984" s="3" t="s">
        <v>1637</v>
      </c>
      <c r="E984" s="3" t="s">
        <v>1776</v>
      </c>
      <c r="F984" s="2">
        <v>27</v>
      </c>
      <c r="G984" s="4" t="s">
        <v>34</v>
      </c>
      <c r="H984" s="2">
        <v>2010</v>
      </c>
      <c r="I984" s="2" t="s">
        <v>1796</v>
      </c>
      <c r="J984" s="2" t="s">
        <v>1778</v>
      </c>
      <c r="K984" s="2" t="s">
        <v>1779</v>
      </c>
      <c r="L984" s="2" t="s">
        <v>1520</v>
      </c>
      <c r="M984" s="2" t="s">
        <v>8</v>
      </c>
      <c r="N984" s="2">
        <v>1</v>
      </c>
      <c r="O984" s="2">
        <v>5</v>
      </c>
      <c r="P984" s="2" t="s">
        <v>1527</v>
      </c>
      <c r="Q984" s="25" t="s">
        <v>3462</v>
      </c>
      <c r="R984" s="2"/>
      <c r="S984" s="2"/>
      <c r="T984" s="2"/>
      <c r="U984" s="2"/>
      <c r="V984" s="2"/>
      <c r="W984" s="2"/>
      <c r="X984" s="2"/>
      <c r="Y984" s="2"/>
      <c r="Z984" s="2"/>
      <c r="AA984" s="2"/>
      <c r="AB984" s="2"/>
      <c r="AC984" s="2"/>
      <c r="AD984" s="2"/>
      <c r="AE984" s="2"/>
      <c r="AF984" s="2"/>
      <c r="AG984" s="2"/>
      <c r="AH984" s="2"/>
      <c r="AI984" s="2"/>
      <c r="AJ984" s="2"/>
    </row>
    <row r="985" spans="1:36" ht="17.25" customHeight="1" x14ac:dyDescent="0.2">
      <c r="A985" s="3" t="s">
        <v>0</v>
      </c>
      <c r="B985" s="3" t="s">
        <v>181</v>
      </c>
      <c r="C985" s="3" t="s">
        <v>4182</v>
      </c>
      <c r="D985" s="3" t="s">
        <v>1637</v>
      </c>
      <c r="E985" s="3" t="s">
        <v>1776</v>
      </c>
      <c r="F985" s="2">
        <v>28</v>
      </c>
      <c r="G985" s="4" t="s">
        <v>46</v>
      </c>
      <c r="H985" s="2">
        <v>2011</v>
      </c>
      <c r="I985" s="2" t="s">
        <v>1797</v>
      </c>
      <c r="J985" s="2" t="s">
        <v>1778</v>
      </c>
      <c r="K985" s="2" t="s">
        <v>1779</v>
      </c>
      <c r="L985" s="2" t="s">
        <v>1520</v>
      </c>
      <c r="M985" s="2" t="s">
        <v>8</v>
      </c>
      <c r="N985" s="2">
        <v>1</v>
      </c>
      <c r="O985" s="2">
        <v>5</v>
      </c>
      <c r="P985" s="2" t="s">
        <v>1527</v>
      </c>
      <c r="Q985" s="25" t="s">
        <v>3462</v>
      </c>
      <c r="R985" s="2"/>
      <c r="S985" s="2"/>
      <c r="T985" s="2"/>
      <c r="U985" s="2"/>
      <c r="V985" s="2"/>
      <c r="W985" s="2"/>
      <c r="X985" s="2"/>
      <c r="Y985" s="2"/>
      <c r="Z985" s="2"/>
      <c r="AA985" s="2"/>
      <c r="AB985" s="2"/>
      <c r="AC985" s="2"/>
      <c r="AD985" s="2"/>
      <c r="AE985" s="2"/>
      <c r="AF985" s="2"/>
      <c r="AG985" s="2"/>
      <c r="AH985" s="2"/>
      <c r="AI985" s="2"/>
      <c r="AJ985" s="2"/>
    </row>
    <row r="986" spans="1:36" ht="17.25" customHeight="1" x14ac:dyDescent="0.2">
      <c r="A986" s="3" t="s">
        <v>0</v>
      </c>
      <c r="B986" s="3" t="s">
        <v>183</v>
      </c>
      <c r="C986" s="3" t="s">
        <v>4182</v>
      </c>
      <c r="D986" s="3" t="s">
        <v>1637</v>
      </c>
      <c r="E986" s="3" t="s">
        <v>1776</v>
      </c>
      <c r="F986" s="2">
        <v>29</v>
      </c>
      <c r="G986" s="4" t="s">
        <v>61</v>
      </c>
      <c r="H986" s="2">
        <v>2012</v>
      </c>
      <c r="I986" s="2" t="s">
        <v>1798</v>
      </c>
      <c r="J986" s="2" t="s">
        <v>1778</v>
      </c>
      <c r="K986" s="2" t="s">
        <v>1779</v>
      </c>
      <c r="L986" s="2" t="s">
        <v>1520</v>
      </c>
      <c r="M986" s="2" t="s">
        <v>8</v>
      </c>
      <c r="N986" s="2">
        <v>1</v>
      </c>
      <c r="O986" s="2">
        <v>5</v>
      </c>
      <c r="P986" s="2" t="s">
        <v>1527</v>
      </c>
      <c r="Q986" s="25" t="s">
        <v>3462</v>
      </c>
      <c r="R986" s="2"/>
      <c r="S986" s="2"/>
      <c r="T986" s="2"/>
      <c r="U986" s="2"/>
      <c r="V986" s="2"/>
      <c r="W986" s="2"/>
      <c r="X986" s="2"/>
      <c r="Y986" s="2"/>
      <c r="Z986" s="2"/>
      <c r="AA986" s="2"/>
      <c r="AB986" s="2"/>
      <c r="AC986" s="2"/>
      <c r="AD986" s="2"/>
      <c r="AE986" s="2"/>
      <c r="AF986" s="2"/>
      <c r="AG986" s="2"/>
      <c r="AH986" s="2"/>
      <c r="AI986" s="2"/>
      <c r="AJ986" s="2"/>
    </row>
    <row r="987" spans="1:36" ht="17.25" customHeight="1" x14ac:dyDescent="0.2">
      <c r="A987" s="3" t="s">
        <v>0</v>
      </c>
      <c r="B987" s="3" t="s">
        <v>185</v>
      </c>
      <c r="C987" s="3" t="s">
        <v>4182</v>
      </c>
      <c r="D987" s="3" t="s">
        <v>1637</v>
      </c>
      <c r="E987" s="3" t="s">
        <v>1776</v>
      </c>
      <c r="F987" s="2">
        <v>30</v>
      </c>
      <c r="G987" s="4" t="s">
        <v>86</v>
      </c>
      <c r="H987" s="2">
        <v>2013</v>
      </c>
      <c r="I987" s="2" t="s">
        <v>1799</v>
      </c>
      <c r="J987" s="2" t="s">
        <v>1778</v>
      </c>
      <c r="K987" s="2" t="s">
        <v>1779</v>
      </c>
      <c r="L987" s="2" t="s">
        <v>1520</v>
      </c>
      <c r="M987" s="2" t="s">
        <v>8</v>
      </c>
      <c r="N987" s="2">
        <v>1</v>
      </c>
      <c r="O987" s="2">
        <v>5</v>
      </c>
      <c r="P987" s="2" t="s">
        <v>1527</v>
      </c>
      <c r="Q987" s="25" t="s">
        <v>3462</v>
      </c>
      <c r="R987" s="2"/>
      <c r="S987" s="2"/>
      <c r="T987" s="2"/>
      <c r="U987" s="2"/>
      <c r="V987" s="2"/>
      <c r="W987" s="2"/>
      <c r="X987" s="2"/>
      <c r="Y987" s="2"/>
      <c r="Z987" s="2"/>
      <c r="AA987" s="2"/>
      <c r="AB987" s="2"/>
      <c r="AC987" s="2"/>
      <c r="AD987" s="2"/>
      <c r="AE987" s="2"/>
      <c r="AF987" s="2"/>
      <c r="AG987" s="2"/>
      <c r="AH987" s="2"/>
      <c r="AI987" s="2"/>
      <c r="AJ987" s="2"/>
    </row>
    <row r="988" spans="1:36" ht="17.25" customHeight="1" x14ac:dyDescent="0.2">
      <c r="A988" s="3" t="s">
        <v>0</v>
      </c>
      <c r="B988" s="3" t="s">
        <v>187</v>
      </c>
      <c r="C988" s="3" t="s">
        <v>4182</v>
      </c>
      <c r="D988" s="3" t="s">
        <v>1637</v>
      </c>
      <c r="E988" s="3" t="s">
        <v>1776</v>
      </c>
      <c r="F988" s="2">
        <v>31</v>
      </c>
      <c r="G988" s="4" t="s">
        <v>22</v>
      </c>
      <c r="H988" s="2">
        <v>2014</v>
      </c>
      <c r="I988" s="2" t="s">
        <v>1800</v>
      </c>
      <c r="J988" s="2" t="s">
        <v>1778</v>
      </c>
      <c r="K988" s="2" t="s">
        <v>1779</v>
      </c>
      <c r="L988" s="2" t="s">
        <v>1520</v>
      </c>
      <c r="M988" s="2" t="s">
        <v>8</v>
      </c>
      <c r="N988" s="2">
        <v>1</v>
      </c>
      <c r="O988" s="2">
        <v>5</v>
      </c>
      <c r="P988" s="2" t="s">
        <v>1527</v>
      </c>
      <c r="Q988" s="25" t="s">
        <v>3462</v>
      </c>
      <c r="R988" s="2"/>
      <c r="S988" s="2"/>
      <c r="T988" s="2"/>
      <c r="U988" s="2"/>
      <c r="V988" s="2"/>
      <c r="W988" s="2"/>
      <c r="X988" s="2"/>
      <c r="Y988" s="2"/>
      <c r="Z988" s="2"/>
      <c r="AA988" s="2"/>
      <c r="AB988" s="2"/>
      <c r="AC988" s="2"/>
      <c r="AD988" s="2"/>
      <c r="AE988" s="2"/>
      <c r="AF988" s="2"/>
      <c r="AG988" s="2"/>
      <c r="AH988" s="2"/>
      <c r="AI988" s="2"/>
      <c r="AJ988" s="2"/>
    </row>
    <row r="989" spans="1:36" ht="17.25" customHeight="1" x14ac:dyDescent="0.2">
      <c r="A989" s="3" t="s">
        <v>0</v>
      </c>
      <c r="B989" s="3" t="s">
        <v>189</v>
      </c>
      <c r="C989" s="3" t="s">
        <v>4182</v>
      </c>
      <c r="D989" s="3" t="s">
        <v>1637</v>
      </c>
      <c r="E989" s="3" t="s">
        <v>1776</v>
      </c>
      <c r="F989" s="2">
        <v>32</v>
      </c>
      <c r="G989" s="4" t="s">
        <v>28</v>
      </c>
      <c r="H989" s="2">
        <v>2015</v>
      </c>
      <c r="I989" s="2" t="s">
        <v>1801</v>
      </c>
      <c r="J989" s="2" t="s">
        <v>1778</v>
      </c>
      <c r="K989" s="2" t="s">
        <v>1779</v>
      </c>
      <c r="L989" s="2" t="s">
        <v>1520</v>
      </c>
      <c r="M989" s="2" t="s">
        <v>8</v>
      </c>
      <c r="N989" s="2">
        <v>1</v>
      </c>
      <c r="O989" s="2">
        <v>5</v>
      </c>
      <c r="P989" s="2" t="s">
        <v>1527</v>
      </c>
      <c r="Q989" s="25" t="s">
        <v>3462</v>
      </c>
      <c r="R989" s="2"/>
      <c r="S989" s="2"/>
      <c r="T989" s="2"/>
      <c r="U989" s="2"/>
      <c r="V989" s="2"/>
      <c r="W989" s="2"/>
      <c r="X989" s="2"/>
      <c r="Y989" s="2"/>
      <c r="Z989" s="2"/>
      <c r="AA989" s="2"/>
      <c r="AB989" s="2"/>
      <c r="AC989" s="2"/>
      <c r="AD989" s="2"/>
      <c r="AE989" s="2"/>
      <c r="AF989" s="2"/>
      <c r="AG989" s="2"/>
      <c r="AH989" s="2"/>
      <c r="AI989" s="2"/>
      <c r="AJ989" s="2"/>
    </row>
    <row r="990" spans="1:36" ht="17.25" customHeight="1" x14ac:dyDescent="0.2">
      <c r="A990" s="3" t="s">
        <v>0</v>
      </c>
      <c r="B990" s="3" t="s">
        <v>1224</v>
      </c>
      <c r="C990" s="3" t="s">
        <v>4182</v>
      </c>
      <c r="D990" s="3" t="s">
        <v>1637</v>
      </c>
      <c r="E990" s="3" t="s">
        <v>1776</v>
      </c>
      <c r="F990" s="2">
        <v>33</v>
      </c>
      <c r="G990" s="4" t="s">
        <v>76</v>
      </c>
      <c r="H990" s="2">
        <v>2016</v>
      </c>
      <c r="I990" s="2" t="s">
        <v>1802</v>
      </c>
      <c r="J990" s="2" t="s">
        <v>1778</v>
      </c>
      <c r="K990" s="2" t="s">
        <v>1779</v>
      </c>
      <c r="L990" s="2" t="s">
        <v>1520</v>
      </c>
      <c r="M990" s="2" t="s">
        <v>8</v>
      </c>
      <c r="N990" s="2">
        <v>1</v>
      </c>
      <c r="O990" s="2">
        <v>5</v>
      </c>
      <c r="P990" s="2" t="s">
        <v>1527</v>
      </c>
      <c r="Q990" s="25" t="s">
        <v>3462</v>
      </c>
      <c r="R990" s="2"/>
      <c r="S990" s="2"/>
      <c r="T990" s="2"/>
      <c r="U990" s="2"/>
      <c r="V990" s="2"/>
      <c r="W990" s="2"/>
      <c r="X990" s="2"/>
      <c r="Y990" s="2"/>
      <c r="Z990" s="2"/>
      <c r="AA990" s="2"/>
      <c r="AB990" s="2"/>
      <c r="AC990" s="2"/>
      <c r="AD990" s="2"/>
      <c r="AE990" s="2"/>
      <c r="AF990" s="2"/>
      <c r="AG990" s="2"/>
      <c r="AH990" s="2"/>
      <c r="AI990" s="2"/>
      <c r="AJ990" s="2"/>
    </row>
    <row r="991" spans="1:36" ht="17.25" customHeight="1" x14ac:dyDescent="0.2">
      <c r="A991" s="3" t="s">
        <v>0</v>
      </c>
      <c r="B991" s="3" t="s">
        <v>39</v>
      </c>
      <c r="C991" s="3" t="s">
        <v>4182</v>
      </c>
      <c r="D991" s="3" t="s">
        <v>1637</v>
      </c>
      <c r="E991" s="3" t="s">
        <v>1637</v>
      </c>
      <c r="F991" s="2">
        <v>1</v>
      </c>
      <c r="G991" s="4" t="s">
        <v>40</v>
      </c>
      <c r="H991" s="2">
        <v>1984</v>
      </c>
      <c r="I991" s="2" t="s">
        <v>1803</v>
      </c>
      <c r="J991" s="2" t="s">
        <v>1804</v>
      </c>
      <c r="K991" s="2" t="s">
        <v>1805</v>
      </c>
      <c r="L991" s="2" t="s">
        <v>1520</v>
      </c>
      <c r="M991" s="2" t="s">
        <v>8</v>
      </c>
      <c r="N991" s="2">
        <v>1</v>
      </c>
      <c r="O991" s="2">
        <v>5</v>
      </c>
      <c r="P991" s="2" t="s">
        <v>1527</v>
      </c>
      <c r="Q991" s="25" t="s">
        <v>3462</v>
      </c>
      <c r="R991" s="2"/>
      <c r="S991" s="2"/>
      <c r="T991" s="2"/>
      <c r="U991" s="2"/>
      <c r="V991" s="2"/>
      <c r="W991" s="2"/>
      <c r="X991" s="2"/>
      <c r="Y991" s="2"/>
      <c r="Z991" s="2"/>
      <c r="AA991" s="2"/>
      <c r="AB991" s="2"/>
      <c r="AC991" s="2"/>
      <c r="AD991" s="2"/>
      <c r="AE991" s="2"/>
      <c r="AF991" s="2"/>
      <c r="AG991" s="2"/>
      <c r="AH991" s="2"/>
      <c r="AI991" s="2"/>
      <c r="AJ991" s="2"/>
    </row>
    <row r="992" spans="1:36" ht="17.25" customHeight="1" x14ac:dyDescent="0.2">
      <c r="A992" s="3" t="s">
        <v>0</v>
      </c>
      <c r="B992" s="3" t="s">
        <v>36</v>
      </c>
      <c r="C992" s="3" t="s">
        <v>4182</v>
      </c>
      <c r="D992" s="3" t="s">
        <v>1637</v>
      </c>
      <c r="E992" s="3" t="s">
        <v>1637</v>
      </c>
      <c r="F992" s="2">
        <v>2</v>
      </c>
      <c r="G992" s="4" t="s">
        <v>37</v>
      </c>
      <c r="H992" s="2">
        <v>1985</v>
      </c>
      <c r="I992" s="2" t="s">
        <v>1806</v>
      </c>
      <c r="J992" s="2" t="s">
        <v>1804</v>
      </c>
      <c r="K992" s="2" t="s">
        <v>1805</v>
      </c>
      <c r="L992" s="2" t="s">
        <v>1520</v>
      </c>
      <c r="M992" s="2" t="s">
        <v>8</v>
      </c>
      <c r="N992" s="2">
        <v>1</v>
      </c>
      <c r="O992" s="2">
        <v>5</v>
      </c>
      <c r="P992" s="2" t="s">
        <v>1527</v>
      </c>
      <c r="Q992" s="25" t="s">
        <v>3462</v>
      </c>
      <c r="R992" s="2"/>
      <c r="S992" s="2"/>
      <c r="T992" s="2"/>
      <c r="U992" s="2"/>
      <c r="V992" s="2"/>
      <c r="W992" s="2"/>
      <c r="X992" s="2"/>
      <c r="Y992" s="2"/>
      <c r="Z992" s="2"/>
      <c r="AA992" s="2"/>
      <c r="AB992" s="2"/>
      <c r="AC992" s="2"/>
      <c r="AD992" s="2"/>
      <c r="AE992" s="2"/>
      <c r="AF992" s="2"/>
      <c r="AG992" s="2"/>
      <c r="AH992" s="2"/>
      <c r="AI992" s="2"/>
      <c r="AJ992" s="2"/>
    </row>
    <row r="993" spans="1:36" ht="17.25" customHeight="1" x14ac:dyDescent="0.2">
      <c r="A993" s="3" t="s">
        <v>0</v>
      </c>
      <c r="B993" s="3" t="s">
        <v>79</v>
      </c>
      <c r="C993" s="3" t="s">
        <v>4182</v>
      </c>
      <c r="D993" s="3" t="s">
        <v>1637</v>
      </c>
      <c r="E993" s="3" t="s">
        <v>1637</v>
      </c>
      <c r="F993" s="2">
        <v>3</v>
      </c>
      <c r="G993" s="4" t="s">
        <v>80</v>
      </c>
      <c r="H993" s="2">
        <v>1986</v>
      </c>
      <c r="I993" s="2" t="s">
        <v>1807</v>
      </c>
      <c r="J993" s="2" t="s">
        <v>1804</v>
      </c>
      <c r="K993" s="2" t="s">
        <v>1805</v>
      </c>
      <c r="L993" s="2" t="s">
        <v>1520</v>
      </c>
      <c r="M993" s="2" t="s">
        <v>8</v>
      </c>
      <c r="N993" s="2">
        <v>1</v>
      </c>
      <c r="O993" s="2">
        <v>5</v>
      </c>
      <c r="P993" s="2" t="s">
        <v>1527</v>
      </c>
      <c r="Q993" s="25" t="s">
        <v>3462</v>
      </c>
      <c r="R993" s="2"/>
      <c r="S993" s="2"/>
      <c r="T993" s="2"/>
      <c r="U993" s="2"/>
      <c r="V993" s="2"/>
      <c r="W993" s="2"/>
      <c r="X993" s="2"/>
      <c r="Y993" s="2"/>
      <c r="Z993" s="2"/>
      <c r="AA993" s="2"/>
      <c r="AB993" s="2"/>
      <c r="AC993" s="2"/>
      <c r="AD993" s="2"/>
      <c r="AE993" s="2"/>
      <c r="AF993" s="2"/>
      <c r="AG993" s="2"/>
      <c r="AH993" s="2"/>
      <c r="AI993" s="2"/>
      <c r="AJ993" s="2"/>
    </row>
    <row r="994" spans="1:36" ht="17.25" customHeight="1" x14ac:dyDescent="0.2">
      <c r="A994" s="3" t="s">
        <v>0</v>
      </c>
      <c r="B994" s="3" t="s">
        <v>30</v>
      </c>
      <c r="C994" s="3" t="s">
        <v>4182</v>
      </c>
      <c r="D994" s="3" t="s">
        <v>1637</v>
      </c>
      <c r="E994" s="3" t="s">
        <v>1637</v>
      </c>
      <c r="F994" s="2">
        <v>4</v>
      </c>
      <c r="G994" s="4" t="s">
        <v>31</v>
      </c>
      <c r="H994" s="2">
        <v>1987</v>
      </c>
      <c r="I994" s="2" t="s">
        <v>1808</v>
      </c>
      <c r="J994" s="2" t="s">
        <v>1804</v>
      </c>
      <c r="K994" s="2" t="s">
        <v>1805</v>
      </c>
      <c r="L994" s="2" t="s">
        <v>1520</v>
      </c>
      <c r="M994" s="2" t="s">
        <v>8</v>
      </c>
      <c r="N994" s="2">
        <v>1</v>
      </c>
      <c r="O994" s="2">
        <v>5</v>
      </c>
      <c r="P994" s="2" t="s">
        <v>1527</v>
      </c>
      <c r="Q994" s="25" t="s">
        <v>3462</v>
      </c>
      <c r="R994" s="2"/>
      <c r="S994" s="2"/>
      <c r="T994" s="2"/>
      <c r="U994" s="2"/>
      <c r="V994" s="2"/>
      <c r="W994" s="2"/>
      <c r="X994" s="2"/>
      <c r="Y994" s="2"/>
      <c r="Z994" s="2"/>
      <c r="AA994" s="2"/>
      <c r="AB994" s="2"/>
      <c r="AC994" s="2"/>
      <c r="AD994" s="2"/>
      <c r="AE994" s="2"/>
      <c r="AF994" s="2"/>
      <c r="AG994" s="2"/>
      <c r="AH994" s="2"/>
      <c r="AI994" s="2"/>
      <c r="AJ994" s="2"/>
    </row>
    <row r="995" spans="1:36" ht="17.25" customHeight="1" x14ac:dyDescent="0.2">
      <c r="A995" s="3" t="s">
        <v>0</v>
      </c>
      <c r="B995" s="3" t="s">
        <v>12</v>
      </c>
      <c r="C995" s="3" t="s">
        <v>4182</v>
      </c>
      <c r="D995" s="3" t="s">
        <v>1637</v>
      </c>
      <c r="E995" s="3" t="s">
        <v>1637</v>
      </c>
      <c r="F995" s="2">
        <v>5</v>
      </c>
      <c r="G995" s="4" t="s">
        <v>13</v>
      </c>
      <c r="H995" s="2">
        <v>1988</v>
      </c>
      <c r="I995" s="2" t="s">
        <v>1809</v>
      </c>
      <c r="J995" s="2" t="s">
        <v>1804</v>
      </c>
      <c r="K995" s="2" t="s">
        <v>1805</v>
      </c>
      <c r="L995" s="2" t="s">
        <v>1520</v>
      </c>
      <c r="M995" s="2" t="s">
        <v>8</v>
      </c>
      <c r="N995" s="2">
        <v>1</v>
      </c>
      <c r="O995" s="2">
        <v>5</v>
      </c>
      <c r="P995" s="2" t="s">
        <v>1527</v>
      </c>
      <c r="Q995" s="25" t="s">
        <v>3462</v>
      </c>
      <c r="R995" s="2"/>
      <c r="S995" s="2"/>
      <c r="T995" s="2"/>
      <c r="U995" s="2"/>
      <c r="V995" s="2"/>
      <c r="W995" s="2"/>
      <c r="X995" s="2"/>
      <c r="Y995" s="2"/>
      <c r="Z995" s="2"/>
      <c r="AA995" s="2"/>
      <c r="AB995" s="2"/>
      <c r="AC995" s="2"/>
      <c r="AD995" s="2"/>
      <c r="AE995" s="2"/>
      <c r="AF995" s="2"/>
      <c r="AG995" s="2"/>
      <c r="AH995" s="2"/>
      <c r="AI995" s="2"/>
      <c r="AJ995" s="2"/>
    </row>
    <row r="996" spans="1:36" ht="17.25" customHeight="1" x14ac:dyDescent="0.2">
      <c r="A996" s="3" t="s">
        <v>0</v>
      </c>
      <c r="B996" s="3" t="s">
        <v>48</v>
      </c>
      <c r="C996" s="3" t="s">
        <v>4182</v>
      </c>
      <c r="D996" s="3" t="s">
        <v>1637</v>
      </c>
      <c r="E996" s="3" t="s">
        <v>1637</v>
      </c>
      <c r="F996" s="2">
        <v>6</v>
      </c>
      <c r="G996" s="4" t="s">
        <v>49</v>
      </c>
      <c r="H996" s="2">
        <v>1989</v>
      </c>
      <c r="I996" s="2" t="s">
        <v>1810</v>
      </c>
      <c r="J996" s="2" t="s">
        <v>1804</v>
      </c>
      <c r="K996" s="2" t="s">
        <v>1805</v>
      </c>
      <c r="L996" s="2" t="s">
        <v>1520</v>
      </c>
      <c r="M996" s="2" t="s">
        <v>8</v>
      </c>
      <c r="N996" s="2">
        <v>1</v>
      </c>
      <c r="O996" s="2">
        <v>5</v>
      </c>
      <c r="P996" s="2" t="s">
        <v>1527</v>
      </c>
      <c r="Q996" s="25" t="s">
        <v>3462</v>
      </c>
      <c r="R996" s="2"/>
      <c r="S996" s="2"/>
      <c r="T996" s="2"/>
      <c r="U996" s="2"/>
      <c r="V996" s="2"/>
      <c r="W996" s="2"/>
      <c r="X996" s="2"/>
      <c r="Y996" s="2"/>
      <c r="Z996" s="2"/>
      <c r="AA996" s="2"/>
      <c r="AB996" s="2"/>
      <c r="AC996" s="2"/>
      <c r="AD996" s="2"/>
      <c r="AE996" s="2"/>
      <c r="AF996" s="2"/>
      <c r="AG996" s="2"/>
      <c r="AH996" s="2"/>
      <c r="AI996" s="2"/>
      <c r="AJ996" s="2"/>
    </row>
    <row r="997" spans="1:36" ht="17.25" customHeight="1" x14ac:dyDescent="0.2">
      <c r="A997" s="3" t="s">
        <v>0</v>
      </c>
      <c r="B997" s="3" t="s">
        <v>100</v>
      </c>
      <c r="C997" s="3" t="s">
        <v>4182</v>
      </c>
      <c r="D997" s="3" t="s">
        <v>1637</v>
      </c>
      <c r="E997" s="3" t="s">
        <v>1637</v>
      </c>
      <c r="F997" s="2">
        <v>7</v>
      </c>
      <c r="G997" s="4" t="s">
        <v>101</v>
      </c>
      <c r="H997" s="2">
        <v>1990</v>
      </c>
      <c r="I997" s="2" t="s">
        <v>1811</v>
      </c>
      <c r="J997" s="2" t="s">
        <v>1804</v>
      </c>
      <c r="K997" s="2" t="s">
        <v>1805</v>
      </c>
      <c r="L997" s="2" t="s">
        <v>1520</v>
      </c>
      <c r="M997" s="2" t="s">
        <v>8</v>
      </c>
      <c r="N997" s="2">
        <v>1</v>
      </c>
      <c r="O997" s="2">
        <v>5</v>
      </c>
      <c r="P997" s="2" t="s">
        <v>1527</v>
      </c>
      <c r="Q997" s="25" t="s">
        <v>3462</v>
      </c>
      <c r="R997" s="2"/>
      <c r="S997" s="2"/>
      <c r="T997" s="2"/>
      <c r="U997" s="2"/>
      <c r="V997" s="2"/>
      <c r="W997" s="2"/>
      <c r="X997" s="2"/>
      <c r="Y997" s="2"/>
      <c r="Z997" s="2"/>
      <c r="AA997" s="2"/>
      <c r="AB997" s="2"/>
      <c r="AC997" s="2"/>
      <c r="AD997" s="2"/>
      <c r="AE997" s="2"/>
      <c r="AF997" s="2"/>
      <c r="AG997" s="2"/>
      <c r="AH997" s="2"/>
      <c r="AI997" s="2"/>
      <c r="AJ997" s="2"/>
    </row>
    <row r="998" spans="1:36" ht="17.25" customHeight="1" x14ac:dyDescent="0.2">
      <c r="A998" s="3" t="s">
        <v>0</v>
      </c>
      <c r="B998" s="3" t="s">
        <v>9</v>
      </c>
      <c r="C998" s="3" t="s">
        <v>4182</v>
      </c>
      <c r="D998" s="3" t="s">
        <v>1637</v>
      </c>
      <c r="E998" s="3" t="s">
        <v>1637</v>
      </c>
      <c r="F998" s="2">
        <v>8</v>
      </c>
      <c r="G998" s="4" t="s">
        <v>10</v>
      </c>
      <c r="H998" s="2">
        <v>1991</v>
      </c>
      <c r="I998" s="2" t="s">
        <v>1812</v>
      </c>
      <c r="J998" s="2" t="s">
        <v>1804</v>
      </c>
      <c r="K998" s="2" t="s">
        <v>1805</v>
      </c>
      <c r="L998" s="2" t="s">
        <v>1520</v>
      </c>
      <c r="M998" s="2" t="s">
        <v>8</v>
      </c>
      <c r="N998" s="2">
        <v>1</v>
      </c>
      <c r="O998" s="2">
        <v>5</v>
      </c>
      <c r="P998" s="2" t="s">
        <v>1527</v>
      </c>
      <c r="Q998" s="25" t="s">
        <v>3462</v>
      </c>
      <c r="R998" s="2"/>
      <c r="S998" s="2"/>
      <c r="T998" s="2"/>
      <c r="U998" s="2"/>
      <c r="V998" s="2"/>
      <c r="W998" s="2"/>
      <c r="X998" s="2"/>
      <c r="Y998" s="2"/>
      <c r="Z998" s="2"/>
      <c r="AA998" s="2"/>
      <c r="AB998" s="2"/>
      <c r="AC998" s="2"/>
      <c r="AD998" s="2"/>
      <c r="AE998" s="2"/>
      <c r="AF998" s="2"/>
      <c r="AG998" s="2"/>
      <c r="AH998" s="2"/>
      <c r="AI998" s="2"/>
      <c r="AJ998" s="2"/>
    </row>
    <row r="999" spans="1:36" ht="17.25" customHeight="1" x14ac:dyDescent="0.2">
      <c r="A999" s="3" t="s">
        <v>0</v>
      </c>
      <c r="B999" s="3" t="s">
        <v>54</v>
      </c>
      <c r="C999" s="3" t="s">
        <v>4182</v>
      </c>
      <c r="D999" s="3" t="s">
        <v>1637</v>
      </c>
      <c r="E999" s="3" t="s">
        <v>1637</v>
      </c>
      <c r="F999" s="2">
        <v>9</v>
      </c>
      <c r="G999" s="4" t="s">
        <v>55</v>
      </c>
      <c r="H999" s="2">
        <v>1992</v>
      </c>
      <c r="I999" s="2" t="s">
        <v>1813</v>
      </c>
      <c r="J999" s="2" t="s">
        <v>1804</v>
      </c>
      <c r="K999" s="2" t="s">
        <v>1805</v>
      </c>
      <c r="L999" s="2" t="s">
        <v>1520</v>
      </c>
      <c r="M999" s="2" t="s">
        <v>8</v>
      </c>
      <c r="N999" s="2">
        <v>1</v>
      </c>
      <c r="O999" s="2">
        <v>5</v>
      </c>
      <c r="P999" s="2" t="s">
        <v>1527</v>
      </c>
      <c r="Q999" s="25" t="s">
        <v>3462</v>
      </c>
      <c r="R999" s="2"/>
      <c r="S999" s="2"/>
      <c r="T999" s="2"/>
      <c r="U999" s="2"/>
      <c r="V999" s="2"/>
      <c r="W999" s="2"/>
      <c r="X999" s="2"/>
      <c r="Y999" s="2"/>
      <c r="Z999" s="2"/>
      <c r="AA999" s="2"/>
      <c r="AB999" s="2"/>
      <c r="AC999" s="2"/>
      <c r="AD999" s="2"/>
      <c r="AE999" s="2"/>
      <c r="AF999" s="2"/>
      <c r="AG999" s="2"/>
      <c r="AH999" s="2"/>
      <c r="AI999" s="2"/>
      <c r="AJ999" s="2"/>
    </row>
    <row r="1000" spans="1:36" ht="17.25" customHeight="1" x14ac:dyDescent="0.2">
      <c r="A1000" s="3" t="s">
        <v>0</v>
      </c>
      <c r="B1000" s="3" t="s">
        <v>97</v>
      </c>
      <c r="C1000" s="3" t="s">
        <v>4182</v>
      </c>
      <c r="D1000" s="3" t="s">
        <v>1637</v>
      </c>
      <c r="E1000" s="3" t="s">
        <v>1637</v>
      </c>
      <c r="F1000" s="2">
        <v>10</v>
      </c>
      <c r="G1000" s="4" t="s">
        <v>98</v>
      </c>
      <c r="H1000" s="2">
        <v>1993</v>
      </c>
      <c r="I1000" s="2" t="s">
        <v>1814</v>
      </c>
      <c r="J1000" s="2" t="s">
        <v>1804</v>
      </c>
      <c r="K1000" s="2" t="s">
        <v>1805</v>
      </c>
      <c r="L1000" s="2" t="s">
        <v>1520</v>
      </c>
      <c r="M1000" s="2" t="s">
        <v>8</v>
      </c>
      <c r="N1000" s="2">
        <v>1</v>
      </c>
      <c r="O1000" s="2">
        <v>5</v>
      </c>
      <c r="P1000" s="2" t="s">
        <v>1527</v>
      </c>
      <c r="Q1000" s="25" t="s">
        <v>3462</v>
      </c>
      <c r="R1000" s="2"/>
      <c r="S1000" s="2"/>
      <c r="T1000" s="2"/>
      <c r="U1000" s="2"/>
      <c r="V1000" s="2"/>
      <c r="W1000" s="2"/>
      <c r="X1000" s="2"/>
      <c r="Y1000" s="2"/>
      <c r="Z1000" s="2"/>
      <c r="AA1000" s="2"/>
      <c r="AB1000" s="2"/>
      <c r="AC1000" s="2"/>
      <c r="AD1000" s="2"/>
      <c r="AE1000" s="2"/>
      <c r="AF1000" s="2"/>
      <c r="AG1000" s="2"/>
      <c r="AH1000" s="2"/>
      <c r="AI1000" s="2"/>
      <c r="AJ1000" s="2"/>
    </row>
    <row r="1001" spans="1:36" ht="17.25" customHeight="1" x14ac:dyDescent="0.2">
      <c r="A1001" s="3" t="s">
        <v>0</v>
      </c>
      <c r="B1001" s="3" t="s">
        <v>103</v>
      </c>
      <c r="C1001" s="3" t="s">
        <v>4182</v>
      </c>
      <c r="D1001" s="3" t="s">
        <v>1637</v>
      </c>
      <c r="E1001" s="3" t="s">
        <v>1637</v>
      </c>
      <c r="F1001" s="2">
        <v>11</v>
      </c>
      <c r="G1001" s="4" t="s">
        <v>104</v>
      </c>
      <c r="H1001" s="2">
        <v>1994</v>
      </c>
      <c r="I1001" s="2" t="s">
        <v>1815</v>
      </c>
      <c r="J1001" s="2" t="s">
        <v>1804</v>
      </c>
      <c r="K1001" s="2" t="s">
        <v>1805</v>
      </c>
      <c r="L1001" s="2" t="s">
        <v>1520</v>
      </c>
      <c r="M1001" s="2" t="s">
        <v>8</v>
      </c>
      <c r="N1001" s="2">
        <v>1</v>
      </c>
      <c r="O1001" s="2">
        <v>5</v>
      </c>
      <c r="P1001" s="2" t="s">
        <v>1527</v>
      </c>
      <c r="Q1001" s="25" t="s">
        <v>3462</v>
      </c>
      <c r="R1001" s="2"/>
      <c r="S1001" s="2"/>
      <c r="T1001" s="2"/>
      <c r="U1001" s="2"/>
      <c r="V1001" s="2"/>
      <c r="W1001" s="2"/>
      <c r="X1001" s="2"/>
      <c r="Y1001" s="2"/>
      <c r="Z1001" s="2"/>
      <c r="AA1001" s="2"/>
      <c r="AB1001" s="2"/>
      <c r="AC1001" s="2"/>
      <c r="AD1001" s="2"/>
      <c r="AE1001" s="2"/>
      <c r="AF1001" s="2"/>
      <c r="AG1001" s="2"/>
      <c r="AH1001" s="2"/>
      <c r="AI1001" s="2"/>
      <c r="AJ1001" s="2"/>
    </row>
    <row r="1002" spans="1:36" ht="17.25" customHeight="1" x14ac:dyDescent="0.2">
      <c r="A1002" s="3" t="s">
        <v>0</v>
      </c>
      <c r="B1002" s="3" t="s">
        <v>88</v>
      </c>
      <c r="C1002" s="3" t="s">
        <v>4182</v>
      </c>
      <c r="D1002" s="3" t="s">
        <v>1637</v>
      </c>
      <c r="E1002" s="3" t="s">
        <v>1637</v>
      </c>
      <c r="F1002" s="2">
        <v>12</v>
      </c>
      <c r="G1002" s="4" t="s">
        <v>89</v>
      </c>
      <c r="H1002" s="2">
        <v>1995</v>
      </c>
      <c r="I1002" s="2" t="s">
        <v>1816</v>
      </c>
      <c r="J1002" s="2" t="s">
        <v>1804</v>
      </c>
      <c r="K1002" s="2" t="s">
        <v>1805</v>
      </c>
      <c r="L1002" s="2" t="s">
        <v>1520</v>
      </c>
      <c r="M1002" s="2" t="s">
        <v>8</v>
      </c>
      <c r="N1002" s="2">
        <v>1</v>
      </c>
      <c r="O1002" s="2">
        <v>5</v>
      </c>
      <c r="P1002" s="2" t="s">
        <v>1527</v>
      </c>
      <c r="Q1002" s="25" t="s">
        <v>3462</v>
      </c>
      <c r="R1002" s="2"/>
      <c r="S1002" s="2"/>
      <c r="T1002" s="2"/>
      <c r="U1002" s="2"/>
      <c r="V1002" s="2"/>
      <c r="W1002" s="2"/>
      <c r="X1002" s="2"/>
      <c r="Y1002" s="2"/>
      <c r="Z1002" s="2"/>
      <c r="AA1002" s="2"/>
      <c r="AB1002" s="2"/>
      <c r="AC1002" s="2"/>
      <c r="AD1002" s="2"/>
      <c r="AE1002" s="2"/>
      <c r="AF1002" s="2"/>
      <c r="AG1002" s="2"/>
      <c r="AH1002" s="2"/>
      <c r="AI1002" s="2"/>
      <c r="AJ1002" s="2"/>
    </row>
    <row r="1003" spans="1:36" ht="17.25" customHeight="1" x14ac:dyDescent="0.2">
      <c r="A1003" s="3" t="s">
        <v>0</v>
      </c>
      <c r="B1003" s="3" t="s">
        <v>106</v>
      </c>
      <c r="C1003" s="3" t="s">
        <v>4182</v>
      </c>
      <c r="D1003" s="3" t="s">
        <v>1637</v>
      </c>
      <c r="E1003" s="3" t="s">
        <v>1637</v>
      </c>
      <c r="F1003" s="2">
        <v>13</v>
      </c>
      <c r="G1003" s="4" t="s">
        <v>107</v>
      </c>
      <c r="H1003" s="2">
        <v>1996</v>
      </c>
      <c r="I1003" s="2" t="s">
        <v>1817</v>
      </c>
      <c r="J1003" s="2" t="s">
        <v>1804</v>
      </c>
      <c r="K1003" s="2" t="s">
        <v>1805</v>
      </c>
      <c r="L1003" s="2" t="s">
        <v>1520</v>
      </c>
      <c r="M1003" s="2" t="s">
        <v>8</v>
      </c>
      <c r="N1003" s="2">
        <v>1</v>
      </c>
      <c r="O1003" s="2">
        <v>5</v>
      </c>
      <c r="P1003" s="2" t="s">
        <v>1527</v>
      </c>
      <c r="Q1003" s="25" t="s">
        <v>3462</v>
      </c>
      <c r="R1003" s="2"/>
      <c r="S1003" s="2"/>
      <c r="T1003" s="2"/>
      <c r="U1003" s="2"/>
      <c r="V1003" s="2"/>
      <c r="W1003" s="2"/>
      <c r="X1003" s="2"/>
      <c r="Y1003" s="2"/>
      <c r="Z1003" s="2"/>
      <c r="AA1003" s="2"/>
      <c r="AB1003" s="2"/>
      <c r="AC1003" s="2"/>
      <c r="AD1003" s="2"/>
      <c r="AE1003" s="2"/>
      <c r="AF1003" s="2"/>
      <c r="AG1003" s="2"/>
      <c r="AH1003" s="2"/>
      <c r="AI1003" s="2"/>
      <c r="AJ1003" s="2"/>
    </row>
    <row r="1004" spans="1:36" ht="17.25" customHeight="1" x14ac:dyDescent="0.2">
      <c r="A1004" s="3" t="s">
        <v>0</v>
      </c>
      <c r="B1004" s="3" t="s">
        <v>42</v>
      </c>
      <c r="C1004" s="3" t="s">
        <v>4182</v>
      </c>
      <c r="D1004" s="3" t="s">
        <v>1637</v>
      </c>
      <c r="E1004" s="3" t="s">
        <v>1637</v>
      </c>
      <c r="F1004" s="2">
        <v>14</v>
      </c>
      <c r="G1004" s="4" t="s">
        <v>43</v>
      </c>
      <c r="H1004" s="2">
        <v>1997</v>
      </c>
      <c r="I1004" s="2" t="s">
        <v>1818</v>
      </c>
      <c r="J1004" s="2" t="s">
        <v>1804</v>
      </c>
      <c r="K1004" s="2" t="s">
        <v>1805</v>
      </c>
      <c r="L1004" s="2" t="s">
        <v>1520</v>
      </c>
      <c r="M1004" s="2" t="s">
        <v>8</v>
      </c>
      <c r="N1004" s="2">
        <v>1</v>
      </c>
      <c r="O1004" s="2">
        <v>5</v>
      </c>
      <c r="P1004" s="2" t="s">
        <v>1527</v>
      </c>
      <c r="Q1004" s="25" t="s">
        <v>3462</v>
      </c>
      <c r="R1004" s="2"/>
      <c r="S1004" s="2"/>
      <c r="T1004" s="2"/>
      <c r="U1004" s="2"/>
      <c r="V1004" s="2"/>
      <c r="W1004" s="2"/>
      <c r="X1004" s="2"/>
      <c r="Y1004" s="2"/>
      <c r="Z1004" s="2"/>
      <c r="AA1004" s="2"/>
      <c r="AB1004" s="2"/>
      <c r="AC1004" s="2"/>
      <c r="AD1004" s="2"/>
      <c r="AE1004" s="2"/>
      <c r="AF1004" s="2"/>
      <c r="AG1004" s="2"/>
      <c r="AH1004" s="2"/>
      <c r="AI1004" s="2"/>
      <c r="AJ1004" s="2"/>
    </row>
    <row r="1005" spans="1:36" ht="17.25" customHeight="1" x14ac:dyDescent="0.2">
      <c r="A1005" s="3" t="s">
        <v>0</v>
      </c>
      <c r="B1005" s="3" t="s">
        <v>18</v>
      </c>
      <c r="C1005" s="3" t="s">
        <v>4182</v>
      </c>
      <c r="D1005" s="3" t="s">
        <v>1637</v>
      </c>
      <c r="E1005" s="3" t="s">
        <v>1637</v>
      </c>
      <c r="F1005" s="2">
        <v>15</v>
      </c>
      <c r="G1005" s="4" t="s">
        <v>19</v>
      </c>
      <c r="H1005" s="2">
        <v>1998</v>
      </c>
      <c r="I1005" s="2" t="s">
        <v>1819</v>
      </c>
      <c r="J1005" s="2" t="s">
        <v>1804</v>
      </c>
      <c r="K1005" s="2" t="s">
        <v>1805</v>
      </c>
      <c r="L1005" s="2" t="s">
        <v>1520</v>
      </c>
      <c r="M1005" s="2" t="s">
        <v>8</v>
      </c>
      <c r="N1005" s="2">
        <v>1</v>
      </c>
      <c r="O1005" s="2">
        <v>5</v>
      </c>
      <c r="P1005" s="2" t="s">
        <v>1527</v>
      </c>
      <c r="Q1005" s="25" t="s">
        <v>3462</v>
      </c>
      <c r="R1005" s="2"/>
      <c r="S1005" s="2"/>
      <c r="T1005" s="2"/>
      <c r="U1005" s="2"/>
      <c r="V1005" s="2"/>
      <c r="W1005" s="2"/>
      <c r="X1005" s="2"/>
      <c r="Y1005" s="2"/>
      <c r="Z1005" s="2"/>
      <c r="AA1005" s="2"/>
      <c r="AB1005" s="2"/>
      <c r="AC1005" s="2"/>
      <c r="AD1005" s="2"/>
      <c r="AE1005" s="2"/>
      <c r="AF1005" s="2"/>
      <c r="AG1005" s="2"/>
      <c r="AH1005" s="2"/>
      <c r="AI1005" s="2"/>
      <c r="AJ1005" s="2"/>
    </row>
    <row r="1006" spans="1:36" ht="17.25" customHeight="1" x14ac:dyDescent="0.2">
      <c r="A1006" s="3" t="s">
        <v>0</v>
      </c>
      <c r="B1006" s="3" t="s">
        <v>24</v>
      </c>
      <c r="C1006" s="3" t="s">
        <v>4182</v>
      </c>
      <c r="D1006" s="3" t="s">
        <v>1637</v>
      </c>
      <c r="E1006" s="3" t="s">
        <v>1637</v>
      </c>
      <c r="F1006" s="2">
        <v>16</v>
      </c>
      <c r="G1006" s="4" t="s">
        <v>25</v>
      </c>
      <c r="H1006" s="2">
        <v>1999</v>
      </c>
      <c r="I1006" s="2" t="s">
        <v>1820</v>
      </c>
      <c r="J1006" s="2" t="s">
        <v>1804</v>
      </c>
      <c r="K1006" s="2" t="s">
        <v>1805</v>
      </c>
      <c r="L1006" s="2" t="s">
        <v>1520</v>
      </c>
      <c r="M1006" s="2" t="s">
        <v>8</v>
      </c>
      <c r="N1006" s="2">
        <v>1</v>
      </c>
      <c r="O1006" s="2">
        <v>5</v>
      </c>
      <c r="P1006" s="2" t="s">
        <v>1527</v>
      </c>
      <c r="Q1006" s="25" t="s">
        <v>3462</v>
      </c>
      <c r="R1006" s="2"/>
      <c r="S1006" s="2"/>
      <c r="T1006" s="2"/>
      <c r="U1006" s="2"/>
      <c r="V1006" s="2"/>
      <c r="W1006" s="2"/>
      <c r="X1006" s="2"/>
      <c r="Y1006" s="2"/>
      <c r="Z1006" s="2"/>
      <c r="AA1006" s="2"/>
      <c r="AB1006" s="2"/>
      <c r="AC1006" s="2"/>
      <c r="AD1006" s="2"/>
      <c r="AE1006" s="2"/>
      <c r="AF1006" s="2"/>
      <c r="AG1006" s="2"/>
      <c r="AH1006" s="2"/>
      <c r="AI1006" s="2"/>
      <c r="AJ1006" s="2"/>
    </row>
    <row r="1007" spans="1:36" ht="17.25" customHeight="1" x14ac:dyDescent="0.2">
      <c r="A1007" s="3" t="s">
        <v>0</v>
      </c>
      <c r="B1007" s="3" t="s">
        <v>72</v>
      </c>
      <c r="C1007" s="3" t="s">
        <v>4182</v>
      </c>
      <c r="D1007" s="3" t="s">
        <v>1637</v>
      </c>
      <c r="E1007" s="3" t="s">
        <v>1637</v>
      </c>
      <c r="F1007" s="2">
        <v>17</v>
      </c>
      <c r="G1007" s="4" t="s">
        <v>73</v>
      </c>
      <c r="H1007" s="2">
        <v>2000</v>
      </c>
      <c r="I1007" s="2" t="s">
        <v>1821</v>
      </c>
      <c r="J1007" s="2" t="s">
        <v>1804</v>
      </c>
      <c r="K1007" s="2" t="s">
        <v>1805</v>
      </c>
      <c r="L1007" s="2" t="s">
        <v>1520</v>
      </c>
      <c r="M1007" s="2" t="s">
        <v>8</v>
      </c>
      <c r="N1007" s="2">
        <v>1</v>
      </c>
      <c r="O1007" s="2">
        <v>5</v>
      </c>
      <c r="P1007" s="2" t="s">
        <v>1527</v>
      </c>
      <c r="Q1007" s="25" t="s">
        <v>3462</v>
      </c>
      <c r="R1007" s="2"/>
      <c r="S1007" s="2"/>
      <c r="T1007" s="2"/>
      <c r="U1007" s="2"/>
      <c r="V1007" s="2"/>
      <c r="W1007" s="2"/>
      <c r="X1007" s="2"/>
      <c r="Y1007" s="2"/>
      <c r="Z1007" s="2"/>
      <c r="AA1007" s="2"/>
      <c r="AB1007" s="2"/>
      <c r="AC1007" s="2"/>
      <c r="AD1007" s="2"/>
      <c r="AE1007" s="2"/>
      <c r="AF1007" s="2"/>
      <c r="AG1007" s="2"/>
      <c r="AH1007" s="2"/>
      <c r="AI1007" s="2"/>
      <c r="AJ1007" s="2"/>
    </row>
    <row r="1008" spans="1:36" ht="17.25" customHeight="1" x14ac:dyDescent="0.2">
      <c r="A1008" s="3" t="s">
        <v>0</v>
      </c>
      <c r="B1008" s="3" t="s">
        <v>57</v>
      </c>
      <c r="C1008" s="3" t="s">
        <v>4182</v>
      </c>
      <c r="D1008" s="3" t="s">
        <v>1637</v>
      </c>
      <c r="E1008" s="3" t="s">
        <v>1637</v>
      </c>
      <c r="F1008" s="2">
        <v>18</v>
      </c>
      <c r="G1008" s="4" t="s">
        <v>58</v>
      </c>
      <c r="H1008" s="2">
        <v>2001</v>
      </c>
      <c r="I1008" s="2" t="s">
        <v>1822</v>
      </c>
      <c r="J1008" s="2" t="s">
        <v>1804</v>
      </c>
      <c r="K1008" s="2" t="s">
        <v>1805</v>
      </c>
      <c r="L1008" s="2" t="s">
        <v>1520</v>
      </c>
      <c r="M1008" s="2" t="s">
        <v>8</v>
      </c>
      <c r="N1008" s="2">
        <v>1</v>
      </c>
      <c r="O1008" s="2">
        <v>5</v>
      </c>
      <c r="P1008" s="2" t="s">
        <v>1527</v>
      </c>
      <c r="Q1008" s="25" t="s">
        <v>3462</v>
      </c>
      <c r="R1008" s="2"/>
      <c r="S1008" s="2"/>
      <c r="T1008" s="2"/>
      <c r="U1008" s="2"/>
      <c r="V1008" s="2"/>
      <c r="W1008" s="2"/>
      <c r="X1008" s="2"/>
      <c r="Y1008" s="2"/>
      <c r="Z1008" s="2"/>
      <c r="AA1008" s="2"/>
      <c r="AB1008" s="2"/>
      <c r="AC1008" s="2"/>
      <c r="AD1008" s="2"/>
      <c r="AE1008" s="2"/>
      <c r="AF1008" s="2"/>
      <c r="AG1008" s="2"/>
      <c r="AH1008" s="2"/>
      <c r="AI1008" s="2"/>
      <c r="AJ1008" s="2"/>
    </row>
    <row r="1009" spans="1:36" ht="17.25" customHeight="1" x14ac:dyDescent="0.2">
      <c r="A1009" s="3" t="s">
        <v>0</v>
      </c>
      <c r="B1009" s="3" t="s">
        <v>1</v>
      </c>
      <c r="C1009" s="3" t="s">
        <v>4182</v>
      </c>
      <c r="D1009" s="3" t="s">
        <v>1637</v>
      </c>
      <c r="E1009" s="3" t="s">
        <v>1637</v>
      </c>
      <c r="F1009" s="2">
        <v>19</v>
      </c>
      <c r="G1009" s="4" t="s">
        <v>4</v>
      </c>
      <c r="H1009" s="2">
        <v>2002</v>
      </c>
      <c r="I1009" s="2" t="s">
        <v>1823</v>
      </c>
      <c r="J1009" s="2" t="s">
        <v>1804</v>
      </c>
      <c r="K1009" s="2" t="s">
        <v>1805</v>
      </c>
      <c r="L1009" s="2" t="s">
        <v>1520</v>
      </c>
      <c r="M1009" s="2" t="s">
        <v>8</v>
      </c>
      <c r="N1009" s="2">
        <v>1</v>
      </c>
      <c r="O1009" s="2">
        <v>5</v>
      </c>
      <c r="P1009" s="2" t="s">
        <v>1527</v>
      </c>
      <c r="Q1009" s="25" t="s">
        <v>3462</v>
      </c>
      <c r="R1009" s="2"/>
      <c r="S1009" s="2"/>
      <c r="T1009" s="2"/>
      <c r="U1009" s="2"/>
      <c r="V1009" s="2"/>
      <c r="W1009" s="2"/>
      <c r="X1009" s="2"/>
      <c r="Y1009" s="2"/>
      <c r="Z1009" s="2"/>
      <c r="AA1009" s="2"/>
      <c r="AB1009" s="2"/>
      <c r="AC1009" s="2"/>
      <c r="AD1009" s="2"/>
      <c r="AE1009" s="2"/>
      <c r="AF1009" s="2"/>
      <c r="AG1009" s="2"/>
      <c r="AH1009" s="2"/>
      <c r="AI1009" s="2"/>
      <c r="AJ1009" s="2"/>
    </row>
    <row r="1010" spans="1:36" ht="17.25" customHeight="1" x14ac:dyDescent="0.2">
      <c r="A1010" s="3" t="s">
        <v>0</v>
      </c>
      <c r="B1010" s="3" t="s">
        <v>82</v>
      </c>
      <c r="C1010" s="3" t="s">
        <v>4182</v>
      </c>
      <c r="D1010" s="3" t="s">
        <v>1637</v>
      </c>
      <c r="E1010" s="3" t="s">
        <v>1637</v>
      </c>
      <c r="F1010" s="2">
        <v>20</v>
      </c>
      <c r="G1010" s="4" t="s">
        <v>83</v>
      </c>
      <c r="H1010" s="2">
        <v>2003</v>
      </c>
      <c r="I1010" s="2" t="s">
        <v>1824</v>
      </c>
      <c r="J1010" s="2" t="s">
        <v>1804</v>
      </c>
      <c r="K1010" s="2" t="s">
        <v>1805</v>
      </c>
      <c r="L1010" s="2" t="s">
        <v>1520</v>
      </c>
      <c r="M1010" s="2" t="s">
        <v>8</v>
      </c>
      <c r="N1010" s="2">
        <v>1</v>
      </c>
      <c r="O1010" s="2">
        <v>5</v>
      </c>
      <c r="P1010" s="2" t="s">
        <v>1527</v>
      </c>
      <c r="Q1010" s="25" t="s">
        <v>3462</v>
      </c>
      <c r="R1010" s="2"/>
      <c r="S1010" s="2"/>
      <c r="T1010" s="2"/>
      <c r="U1010" s="2"/>
      <c r="V1010" s="2"/>
      <c r="W1010" s="2"/>
      <c r="X1010" s="2"/>
      <c r="Y1010" s="2"/>
      <c r="Z1010" s="2"/>
      <c r="AA1010" s="2"/>
      <c r="AB1010" s="2"/>
      <c r="AC1010" s="2"/>
      <c r="AD1010" s="2"/>
      <c r="AE1010" s="2"/>
      <c r="AF1010" s="2"/>
      <c r="AG1010" s="2"/>
      <c r="AH1010" s="2"/>
      <c r="AI1010" s="2"/>
      <c r="AJ1010" s="2"/>
    </row>
    <row r="1011" spans="1:36" ht="17.25" customHeight="1" x14ac:dyDescent="0.2">
      <c r="A1011" s="3" t="s">
        <v>0</v>
      </c>
      <c r="B1011" s="3" t="s">
        <v>63</v>
      </c>
      <c r="C1011" s="3" t="s">
        <v>4182</v>
      </c>
      <c r="D1011" s="3" t="s">
        <v>1637</v>
      </c>
      <c r="E1011" s="3" t="s">
        <v>1637</v>
      </c>
      <c r="F1011" s="2">
        <v>21</v>
      </c>
      <c r="G1011" s="4" t="s">
        <v>64</v>
      </c>
      <c r="H1011" s="2">
        <v>2004</v>
      </c>
      <c r="I1011" s="2" t="s">
        <v>1825</v>
      </c>
      <c r="J1011" s="2" t="s">
        <v>1804</v>
      </c>
      <c r="K1011" s="2" t="s">
        <v>1805</v>
      </c>
      <c r="L1011" s="2" t="s">
        <v>1520</v>
      </c>
      <c r="M1011" s="2" t="s">
        <v>8</v>
      </c>
      <c r="N1011" s="2">
        <v>1</v>
      </c>
      <c r="O1011" s="2">
        <v>5</v>
      </c>
      <c r="P1011" s="2" t="s">
        <v>1527</v>
      </c>
      <c r="Q1011" s="25" t="s">
        <v>3462</v>
      </c>
      <c r="R1011" s="2"/>
      <c r="S1011" s="2"/>
      <c r="T1011" s="2"/>
      <c r="U1011" s="2"/>
      <c r="V1011" s="2"/>
      <c r="W1011" s="2"/>
      <c r="X1011" s="2"/>
      <c r="Y1011" s="2"/>
      <c r="Z1011" s="2"/>
      <c r="AA1011" s="2"/>
      <c r="AB1011" s="2"/>
      <c r="AC1011" s="2"/>
      <c r="AD1011" s="2"/>
      <c r="AE1011" s="2"/>
      <c r="AF1011" s="2"/>
      <c r="AG1011" s="2"/>
      <c r="AH1011" s="2"/>
      <c r="AI1011" s="2"/>
      <c r="AJ1011" s="2"/>
    </row>
    <row r="1012" spans="1:36" ht="17.25" customHeight="1" x14ac:dyDescent="0.2">
      <c r="A1012" s="3" t="s">
        <v>0</v>
      </c>
      <c r="B1012" s="3" t="s">
        <v>91</v>
      </c>
      <c r="C1012" s="3" t="s">
        <v>4182</v>
      </c>
      <c r="D1012" s="3" t="s">
        <v>1637</v>
      </c>
      <c r="E1012" s="3" t="s">
        <v>1637</v>
      </c>
      <c r="F1012" s="2">
        <v>22</v>
      </c>
      <c r="G1012" s="4" t="s">
        <v>92</v>
      </c>
      <c r="H1012" s="2">
        <v>2005</v>
      </c>
      <c r="I1012" s="2" t="s">
        <v>1826</v>
      </c>
      <c r="J1012" s="2" t="s">
        <v>1804</v>
      </c>
      <c r="K1012" s="2" t="s">
        <v>1805</v>
      </c>
      <c r="L1012" s="2" t="s">
        <v>1520</v>
      </c>
      <c r="M1012" s="2" t="s">
        <v>8</v>
      </c>
      <c r="N1012" s="2">
        <v>1</v>
      </c>
      <c r="O1012" s="2">
        <v>5</v>
      </c>
      <c r="P1012" s="2" t="s">
        <v>1527</v>
      </c>
      <c r="Q1012" s="25" t="s">
        <v>3462</v>
      </c>
      <c r="R1012" s="2"/>
      <c r="S1012" s="2"/>
      <c r="T1012" s="2"/>
      <c r="U1012" s="2"/>
      <c r="V1012" s="2"/>
      <c r="W1012" s="2"/>
      <c r="X1012" s="2"/>
      <c r="Y1012" s="2"/>
      <c r="Z1012" s="2"/>
      <c r="AA1012" s="2"/>
      <c r="AB1012" s="2"/>
      <c r="AC1012" s="2"/>
      <c r="AD1012" s="2"/>
      <c r="AE1012" s="2"/>
      <c r="AF1012" s="2"/>
      <c r="AG1012" s="2"/>
      <c r="AH1012" s="2"/>
      <c r="AI1012" s="2"/>
      <c r="AJ1012" s="2"/>
    </row>
    <row r="1013" spans="1:36" ht="17.25" customHeight="1" x14ac:dyDescent="0.2">
      <c r="A1013" s="3" t="s">
        <v>0</v>
      </c>
      <c r="B1013" s="3" t="s">
        <v>51</v>
      </c>
      <c r="C1013" s="3" t="s">
        <v>4182</v>
      </c>
      <c r="D1013" s="3" t="s">
        <v>1637</v>
      </c>
      <c r="E1013" s="3" t="s">
        <v>1637</v>
      </c>
      <c r="F1013" s="2">
        <v>23</v>
      </c>
      <c r="G1013" s="4" t="s">
        <v>52</v>
      </c>
      <c r="H1013" s="2">
        <v>2006</v>
      </c>
      <c r="I1013" s="2" t="s">
        <v>1827</v>
      </c>
      <c r="J1013" s="2" t="s">
        <v>1804</v>
      </c>
      <c r="K1013" s="2" t="s">
        <v>1805</v>
      </c>
      <c r="L1013" s="2" t="s">
        <v>1520</v>
      </c>
      <c r="M1013" s="2" t="s">
        <v>8</v>
      </c>
      <c r="N1013" s="2">
        <v>1</v>
      </c>
      <c r="O1013" s="2">
        <v>5</v>
      </c>
      <c r="P1013" s="2" t="s">
        <v>1527</v>
      </c>
      <c r="Q1013" s="25" t="s">
        <v>3462</v>
      </c>
      <c r="R1013" s="2"/>
      <c r="S1013" s="2"/>
      <c r="T1013" s="2"/>
      <c r="U1013" s="2"/>
      <c r="V1013" s="2"/>
      <c r="W1013" s="2"/>
      <c r="X1013" s="2"/>
      <c r="Y1013" s="2"/>
      <c r="Z1013" s="2"/>
      <c r="AA1013" s="2"/>
      <c r="AB1013" s="2"/>
      <c r="AC1013" s="2"/>
      <c r="AD1013" s="2"/>
      <c r="AE1013" s="2"/>
      <c r="AF1013" s="2"/>
      <c r="AG1013" s="2"/>
      <c r="AH1013" s="2"/>
      <c r="AI1013" s="2"/>
      <c r="AJ1013" s="2"/>
    </row>
    <row r="1014" spans="1:36" ht="17.25" customHeight="1" x14ac:dyDescent="0.2">
      <c r="A1014" s="3" t="s">
        <v>0</v>
      </c>
      <c r="B1014" s="3" t="s">
        <v>94</v>
      </c>
      <c r="C1014" s="3" t="s">
        <v>4182</v>
      </c>
      <c r="D1014" s="3" t="s">
        <v>1637</v>
      </c>
      <c r="E1014" s="3" t="s">
        <v>1637</v>
      </c>
      <c r="F1014" s="2">
        <v>24</v>
      </c>
      <c r="G1014" s="4" t="s">
        <v>95</v>
      </c>
      <c r="H1014" s="2">
        <v>2007</v>
      </c>
      <c r="I1014" s="2" t="s">
        <v>1828</v>
      </c>
      <c r="J1014" s="2" t="s">
        <v>1804</v>
      </c>
      <c r="K1014" s="2" t="s">
        <v>1805</v>
      </c>
      <c r="L1014" s="2" t="s">
        <v>1520</v>
      </c>
      <c r="M1014" s="2" t="s">
        <v>8</v>
      </c>
      <c r="N1014" s="2">
        <v>1</v>
      </c>
      <c r="O1014" s="2">
        <v>5</v>
      </c>
      <c r="P1014" s="2" t="s">
        <v>1527</v>
      </c>
      <c r="Q1014" s="25" t="s">
        <v>3462</v>
      </c>
      <c r="R1014" s="2"/>
      <c r="S1014" s="2"/>
      <c r="T1014" s="2"/>
      <c r="U1014" s="2"/>
      <c r="V1014" s="2"/>
      <c r="W1014" s="2"/>
      <c r="X1014" s="2"/>
      <c r="Y1014" s="2"/>
      <c r="Z1014" s="2"/>
      <c r="AA1014" s="2"/>
      <c r="AB1014" s="2"/>
      <c r="AC1014" s="2"/>
      <c r="AD1014" s="2"/>
      <c r="AE1014" s="2"/>
      <c r="AF1014" s="2"/>
      <c r="AG1014" s="2"/>
      <c r="AH1014" s="2"/>
      <c r="AI1014" s="2"/>
      <c r="AJ1014" s="2"/>
    </row>
    <row r="1015" spans="1:36" ht="17.25" customHeight="1" x14ac:dyDescent="0.2">
      <c r="A1015" s="3" t="s">
        <v>0</v>
      </c>
      <c r="B1015" s="3" t="s">
        <v>69</v>
      </c>
      <c r="C1015" s="3" t="s">
        <v>4182</v>
      </c>
      <c r="D1015" s="3" t="s">
        <v>1637</v>
      </c>
      <c r="E1015" s="3" t="s">
        <v>1637</v>
      </c>
      <c r="F1015" s="2">
        <v>25</v>
      </c>
      <c r="G1015" s="4" t="s">
        <v>70</v>
      </c>
      <c r="H1015" s="2">
        <v>2008</v>
      </c>
      <c r="I1015" s="2" t="s">
        <v>1829</v>
      </c>
      <c r="J1015" s="2" t="s">
        <v>1804</v>
      </c>
      <c r="K1015" s="2" t="s">
        <v>1805</v>
      </c>
      <c r="L1015" s="2" t="s">
        <v>1520</v>
      </c>
      <c r="M1015" s="2" t="s">
        <v>8</v>
      </c>
      <c r="N1015" s="2">
        <v>1</v>
      </c>
      <c r="O1015" s="2">
        <v>5</v>
      </c>
      <c r="P1015" s="2" t="s">
        <v>1527</v>
      </c>
      <c r="Q1015" s="25" t="s">
        <v>3462</v>
      </c>
      <c r="R1015" s="2"/>
      <c r="S1015" s="2"/>
      <c r="T1015" s="2"/>
      <c r="U1015" s="2"/>
      <c r="V1015" s="2"/>
      <c r="W1015" s="2"/>
      <c r="X1015" s="2"/>
      <c r="Y1015" s="2"/>
      <c r="Z1015" s="2"/>
      <c r="AA1015" s="2"/>
      <c r="AB1015" s="2"/>
      <c r="AC1015" s="2"/>
      <c r="AD1015" s="2"/>
      <c r="AE1015" s="2"/>
      <c r="AF1015" s="2"/>
      <c r="AG1015" s="2"/>
      <c r="AH1015" s="2"/>
      <c r="AI1015" s="2"/>
      <c r="AJ1015" s="2"/>
    </row>
    <row r="1016" spans="1:36" ht="17.25" customHeight="1" x14ac:dyDescent="0.2">
      <c r="A1016" s="3" t="s">
        <v>0</v>
      </c>
      <c r="B1016" s="3" t="s">
        <v>15</v>
      </c>
      <c r="C1016" s="3" t="s">
        <v>4182</v>
      </c>
      <c r="D1016" s="3" t="s">
        <v>1637</v>
      </c>
      <c r="E1016" s="3" t="s">
        <v>1637</v>
      </c>
      <c r="F1016" s="2">
        <v>26</v>
      </c>
      <c r="G1016" s="4" t="s">
        <v>16</v>
      </c>
      <c r="H1016" s="2">
        <v>2009</v>
      </c>
      <c r="I1016" s="2" t="s">
        <v>1830</v>
      </c>
      <c r="J1016" s="2" t="s">
        <v>1804</v>
      </c>
      <c r="K1016" s="2" t="s">
        <v>1805</v>
      </c>
      <c r="L1016" s="2" t="s">
        <v>1520</v>
      </c>
      <c r="M1016" s="2" t="s">
        <v>8</v>
      </c>
      <c r="N1016" s="2">
        <v>1</v>
      </c>
      <c r="O1016" s="2">
        <v>5</v>
      </c>
      <c r="P1016" s="2" t="s">
        <v>1527</v>
      </c>
      <c r="Q1016" s="25" t="s">
        <v>3462</v>
      </c>
      <c r="R1016" s="2"/>
      <c r="S1016" s="2"/>
      <c r="T1016" s="2"/>
      <c r="U1016" s="2"/>
      <c r="V1016" s="2"/>
      <c r="W1016" s="2"/>
      <c r="X1016" s="2"/>
      <c r="Y1016" s="2"/>
      <c r="Z1016" s="2"/>
      <c r="AA1016" s="2"/>
      <c r="AB1016" s="2"/>
      <c r="AC1016" s="2"/>
      <c r="AD1016" s="2"/>
      <c r="AE1016" s="2"/>
      <c r="AF1016" s="2"/>
      <c r="AG1016" s="2"/>
      <c r="AH1016" s="2"/>
      <c r="AI1016" s="2"/>
      <c r="AJ1016" s="2"/>
    </row>
    <row r="1017" spans="1:36" ht="17.25" customHeight="1" x14ac:dyDescent="0.2">
      <c r="A1017" s="3" t="s">
        <v>0</v>
      </c>
      <c r="B1017" s="3" t="s">
        <v>33</v>
      </c>
      <c r="C1017" s="3" t="s">
        <v>4182</v>
      </c>
      <c r="D1017" s="3" t="s">
        <v>1637</v>
      </c>
      <c r="E1017" s="3" t="s">
        <v>1637</v>
      </c>
      <c r="F1017" s="2">
        <v>27</v>
      </c>
      <c r="G1017" s="4" t="s">
        <v>34</v>
      </c>
      <c r="H1017" s="2">
        <v>2010</v>
      </c>
      <c r="I1017" s="2" t="s">
        <v>1831</v>
      </c>
      <c r="J1017" s="2" t="s">
        <v>1804</v>
      </c>
      <c r="K1017" s="2" t="s">
        <v>1805</v>
      </c>
      <c r="L1017" s="2" t="s">
        <v>1520</v>
      </c>
      <c r="M1017" s="2" t="s">
        <v>8</v>
      </c>
      <c r="N1017" s="2">
        <v>1</v>
      </c>
      <c r="O1017" s="2">
        <v>5</v>
      </c>
      <c r="P1017" s="2" t="s">
        <v>1527</v>
      </c>
      <c r="Q1017" s="25" t="s">
        <v>3462</v>
      </c>
      <c r="R1017" s="2"/>
      <c r="S1017" s="2"/>
      <c r="T1017" s="2"/>
      <c r="U1017" s="2"/>
      <c r="V1017" s="2"/>
      <c r="W1017" s="2"/>
      <c r="X1017" s="2"/>
      <c r="Y1017" s="2"/>
      <c r="Z1017" s="2"/>
      <c r="AA1017" s="2"/>
      <c r="AB1017" s="2"/>
      <c r="AC1017" s="2"/>
      <c r="AD1017" s="2"/>
      <c r="AE1017" s="2"/>
      <c r="AF1017" s="2"/>
      <c r="AG1017" s="2"/>
      <c r="AH1017" s="2"/>
      <c r="AI1017" s="2"/>
      <c r="AJ1017" s="2"/>
    </row>
    <row r="1018" spans="1:36" ht="17.25" customHeight="1" x14ac:dyDescent="0.2">
      <c r="A1018" s="3" t="s">
        <v>0</v>
      </c>
      <c r="B1018" s="3" t="s">
        <v>45</v>
      </c>
      <c r="C1018" s="3" t="s">
        <v>4182</v>
      </c>
      <c r="D1018" s="3" t="s">
        <v>1637</v>
      </c>
      <c r="E1018" s="3" t="s">
        <v>1637</v>
      </c>
      <c r="F1018" s="2">
        <v>28</v>
      </c>
      <c r="G1018" s="4" t="s">
        <v>46</v>
      </c>
      <c r="H1018" s="2">
        <v>2011</v>
      </c>
      <c r="I1018" s="2" t="s">
        <v>1832</v>
      </c>
      <c r="J1018" s="2" t="s">
        <v>1804</v>
      </c>
      <c r="K1018" s="2" t="s">
        <v>1805</v>
      </c>
      <c r="L1018" s="2" t="s">
        <v>1520</v>
      </c>
      <c r="M1018" s="2" t="s">
        <v>8</v>
      </c>
      <c r="N1018" s="2">
        <v>1</v>
      </c>
      <c r="O1018" s="2">
        <v>5</v>
      </c>
      <c r="P1018" s="2" t="s">
        <v>1527</v>
      </c>
      <c r="Q1018" s="25" t="s">
        <v>3462</v>
      </c>
      <c r="R1018" s="2"/>
      <c r="S1018" s="2"/>
      <c r="T1018" s="2"/>
      <c r="U1018" s="2"/>
      <c r="V1018" s="2"/>
      <c r="W1018" s="2"/>
      <c r="X1018" s="2"/>
      <c r="Y1018" s="2"/>
      <c r="Z1018" s="2"/>
      <c r="AA1018" s="2"/>
      <c r="AB1018" s="2"/>
      <c r="AC1018" s="2"/>
      <c r="AD1018" s="2"/>
      <c r="AE1018" s="2"/>
      <c r="AF1018" s="2"/>
      <c r="AG1018" s="2"/>
      <c r="AH1018" s="2"/>
      <c r="AI1018" s="2"/>
      <c r="AJ1018" s="2"/>
    </row>
    <row r="1019" spans="1:36" ht="17.25" customHeight="1" x14ac:dyDescent="0.2">
      <c r="A1019" s="3" t="s">
        <v>0</v>
      </c>
      <c r="B1019" s="3" t="s">
        <v>60</v>
      </c>
      <c r="C1019" s="3" t="s">
        <v>4182</v>
      </c>
      <c r="D1019" s="3" t="s">
        <v>1637</v>
      </c>
      <c r="E1019" s="3" t="s">
        <v>1637</v>
      </c>
      <c r="F1019" s="2">
        <v>29</v>
      </c>
      <c r="G1019" s="4" t="s">
        <v>61</v>
      </c>
      <c r="H1019" s="2">
        <v>2012</v>
      </c>
      <c r="I1019" s="2" t="s">
        <v>1833</v>
      </c>
      <c r="J1019" s="2" t="s">
        <v>1804</v>
      </c>
      <c r="K1019" s="2" t="s">
        <v>1805</v>
      </c>
      <c r="L1019" s="2" t="s">
        <v>1520</v>
      </c>
      <c r="M1019" s="2" t="s">
        <v>8</v>
      </c>
      <c r="N1019" s="2">
        <v>1</v>
      </c>
      <c r="O1019" s="2">
        <v>5</v>
      </c>
      <c r="P1019" s="2" t="s">
        <v>1527</v>
      </c>
      <c r="Q1019" s="25" t="s">
        <v>3462</v>
      </c>
      <c r="R1019" s="2"/>
      <c r="S1019" s="2"/>
      <c r="T1019" s="2"/>
      <c r="U1019" s="2"/>
      <c r="V1019" s="2"/>
      <c r="W1019" s="2"/>
      <c r="X1019" s="2"/>
      <c r="Y1019" s="2"/>
      <c r="Z1019" s="2"/>
      <c r="AA1019" s="2"/>
      <c r="AB1019" s="2"/>
      <c r="AC1019" s="2"/>
      <c r="AD1019" s="2"/>
      <c r="AE1019" s="2"/>
      <c r="AF1019" s="2"/>
      <c r="AG1019" s="2"/>
      <c r="AH1019" s="2"/>
      <c r="AI1019" s="2"/>
      <c r="AJ1019" s="2"/>
    </row>
    <row r="1020" spans="1:36" ht="17.25" customHeight="1" x14ac:dyDescent="0.2">
      <c r="A1020" s="3" t="s">
        <v>0</v>
      </c>
      <c r="B1020" s="3" t="s">
        <v>85</v>
      </c>
      <c r="C1020" s="3" t="s">
        <v>4182</v>
      </c>
      <c r="D1020" s="3" t="s">
        <v>1637</v>
      </c>
      <c r="E1020" s="3" t="s">
        <v>1637</v>
      </c>
      <c r="F1020" s="2">
        <v>30</v>
      </c>
      <c r="G1020" s="4" t="s">
        <v>86</v>
      </c>
      <c r="H1020" s="2">
        <v>2013</v>
      </c>
      <c r="I1020" s="2" t="s">
        <v>1834</v>
      </c>
      <c r="J1020" s="2" t="s">
        <v>1804</v>
      </c>
      <c r="K1020" s="2" t="s">
        <v>1805</v>
      </c>
      <c r="L1020" s="2" t="s">
        <v>1520</v>
      </c>
      <c r="M1020" s="2" t="s">
        <v>8</v>
      </c>
      <c r="N1020" s="2">
        <v>1</v>
      </c>
      <c r="O1020" s="2">
        <v>5</v>
      </c>
      <c r="P1020" s="2" t="s">
        <v>1527</v>
      </c>
      <c r="Q1020" s="25" t="s">
        <v>3462</v>
      </c>
      <c r="R1020" s="2"/>
      <c r="S1020" s="2"/>
      <c r="T1020" s="2"/>
      <c r="U1020" s="2"/>
      <c r="V1020" s="2"/>
      <c r="W1020" s="2"/>
      <c r="X1020" s="2"/>
      <c r="Y1020" s="2"/>
      <c r="Z1020" s="2"/>
      <c r="AA1020" s="2"/>
      <c r="AB1020" s="2"/>
      <c r="AC1020" s="2"/>
      <c r="AD1020" s="2"/>
      <c r="AE1020" s="2"/>
      <c r="AF1020" s="2"/>
      <c r="AG1020" s="2"/>
      <c r="AH1020" s="2"/>
      <c r="AI1020" s="2"/>
      <c r="AJ1020" s="2"/>
    </row>
    <row r="1021" spans="1:36" ht="17.25" customHeight="1" x14ac:dyDescent="0.2">
      <c r="A1021" s="3" t="s">
        <v>0</v>
      </c>
      <c r="B1021" s="3" t="s">
        <v>21</v>
      </c>
      <c r="C1021" s="3" t="s">
        <v>4182</v>
      </c>
      <c r="D1021" s="3" t="s">
        <v>1637</v>
      </c>
      <c r="E1021" s="3" t="s">
        <v>1637</v>
      </c>
      <c r="F1021" s="2">
        <v>31</v>
      </c>
      <c r="G1021" s="4" t="s">
        <v>22</v>
      </c>
      <c r="H1021" s="2">
        <v>2014</v>
      </c>
      <c r="I1021" s="2" t="s">
        <v>1835</v>
      </c>
      <c r="J1021" s="2" t="s">
        <v>1804</v>
      </c>
      <c r="K1021" s="2" t="s">
        <v>1805</v>
      </c>
      <c r="L1021" s="2" t="s">
        <v>1520</v>
      </c>
      <c r="M1021" s="2" t="s">
        <v>8</v>
      </c>
      <c r="N1021" s="2">
        <v>1</v>
      </c>
      <c r="O1021" s="2">
        <v>5</v>
      </c>
      <c r="P1021" s="2" t="s">
        <v>1527</v>
      </c>
      <c r="Q1021" s="25" t="s">
        <v>3462</v>
      </c>
      <c r="R1021" s="2"/>
      <c r="S1021" s="2"/>
      <c r="T1021" s="2"/>
      <c r="U1021" s="2"/>
      <c r="V1021" s="2"/>
      <c r="W1021" s="2"/>
      <c r="X1021" s="2"/>
      <c r="Y1021" s="2"/>
      <c r="Z1021" s="2"/>
      <c r="AA1021" s="2"/>
      <c r="AB1021" s="2"/>
      <c r="AC1021" s="2"/>
      <c r="AD1021" s="2"/>
      <c r="AE1021" s="2"/>
      <c r="AF1021" s="2"/>
      <c r="AG1021" s="2"/>
      <c r="AH1021" s="2"/>
      <c r="AI1021" s="2"/>
      <c r="AJ1021" s="2"/>
    </row>
    <row r="1022" spans="1:36" ht="17.25" customHeight="1" x14ac:dyDescent="0.2">
      <c r="A1022" s="3" t="s">
        <v>0</v>
      </c>
      <c r="B1022" s="3" t="s">
        <v>27</v>
      </c>
      <c r="C1022" s="3" t="s">
        <v>4182</v>
      </c>
      <c r="D1022" s="3" t="s">
        <v>1637</v>
      </c>
      <c r="E1022" s="3" t="s">
        <v>1637</v>
      </c>
      <c r="F1022" s="2">
        <v>32</v>
      </c>
      <c r="G1022" s="4" t="s">
        <v>28</v>
      </c>
      <c r="H1022" s="2">
        <v>2015</v>
      </c>
      <c r="I1022" s="2" t="s">
        <v>1836</v>
      </c>
      <c r="J1022" s="2" t="s">
        <v>1804</v>
      </c>
      <c r="K1022" s="2" t="s">
        <v>1805</v>
      </c>
      <c r="L1022" s="2" t="s">
        <v>1520</v>
      </c>
      <c r="M1022" s="2" t="s">
        <v>8</v>
      </c>
      <c r="N1022" s="2">
        <v>1</v>
      </c>
      <c r="O1022" s="2">
        <v>5</v>
      </c>
      <c r="P1022" s="2" t="s">
        <v>1527</v>
      </c>
      <c r="Q1022" s="25" t="s">
        <v>3462</v>
      </c>
      <c r="R1022" s="2"/>
      <c r="S1022" s="2"/>
      <c r="T1022" s="2"/>
      <c r="U1022" s="2"/>
      <c r="V1022" s="2"/>
      <c r="W1022" s="2"/>
      <c r="X1022" s="2"/>
      <c r="Y1022" s="2"/>
      <c r="Z1022" s="2"/>
      <c r="AA1022" s="2"/>
      <c r="AB1022" s="2"/>
      <c r="AC1022" s="2"/>
      <c r="AD1022" s="2"/>
      <c r="AE1022" s="2"/>
      <c r="AF1022" s="2"/>
      <c r="AG1022" s="2"/>
      <c r="AH1022" s="2"/>
      <c r="AI1022" s="2"/>
      <c r="AJ1022" s="2"/>
    </row>
    <row r="1023" spans="1:36" ht="17.25" customHeight="1" x14ac:dyDescent="0.2">
      <c r="A1023" s="3" t="s">
        <v>0</v>
      </c>
      <c r="B1023" s="3" t="s">
        <v>75</v>
      </c>
      <c r="C1023" s="3" t="s">
        <v>4182</v>
      </c>
      <c r="D1023" s="3" t="s">
        <v>1637</v>
      </c>
      <c r="E1023" s="3" t="s">
        <v>1637</v>
      </c>
      <c r="F1023" s="2">
        <v>33</v>
      </c>
      <c r="G1023" s="4" t="s">
        <v>76</v>
      </c>
      <c r="H1023" s="2">
        <v>2016</v>
      </c>
      <c r="I1023" s="2" t="s">
        <v>1837</v>
      </c>
      <c r="J1023" s="2" t="s">
        <v>1804</v>
      </c>
      <c r="K1023" s="2" t="s">
        <v>1805</v>
      </c>
      <c r="L1023" s="2" t="s">
        <v>1520</v>
      </c>
      <c r="M1023" s="2" t="s">
        <v>8</v>
      </c>
      <c r="N1023" s="2">
        <v>1</v>
      </c>
      <c r="O1023" s="2">
        <v>5</v>
      </c>
      <c r="P1023" s="2" t="s">
        <v>1527</v>
      </c>
      <c r="Q1023" s="25" t="s">
        <v>3462</v>
      </c>
      <c r="R1023" s="2"/>
      <c r="S1023" s="2"/>
      <c r="T1023" s="2"/>
      <c r="U1023" s="2"/>
      <c r="V1023" s="2"/>
      <c r="W1023" s="2"/>
      <c r="X1023" s="2"/>
      <c r="Y1023" s="2"/>
      <c r="Z1023" s="2"/>
      <c r="AA1023" s="2"/>
      <c r="AB1023" s="2"/>
      <c r="AC1023" s="2"/>
      <c r="AD1023" s="2"/>
      <c r="AE1023" s="2"/>
      <c r="AF1023" s="2"/>
      <c r="AG1023" s="2"/>
      <c r="AH1023" s="2"/>
      <c r="AI1023" s="2"/>
      <c r="AJ1023" s="2"/>
    </row>
    <row r="1024" spans="1:36" ht="16.5" customHeight="1" x14ac:dyDescent="0.2">
      <c r="A1024" s="3" t="s">
        <v>0</v>
      </c>
      <c r="B1024" t="s">
        <v>39</v>
      </c>
      <c r="C1024" s="3" t="s">
        <v>4182</v>
      </c>
      <c r="D1024" s="26" t="s">
        <v>1838</v>
      </c>
      <c r="E1024" s="26" t="s">
        <v>1839</v>
      </c>
      <c r="F1024" s="4">
        <v>1</v>
      </c>
      <c r="G1024" s="4" t="str">
        <f t="shared" ref="G1024:G1049" si="8">LEFT(B1024,1)</f>
        <v>a</v>
      </c>
      <c r="H1024">
        <v>1984</v>
      </c>
      <c r="I1024" t="s">
        <v>1840</v>
      </c>
      <c r="J1024" s="4" t="s">
        <v>1841</v>
      </c>
      <c r="K1024" s="4" t="s">
        <v>1842</v>
      </c>
      <c r="L1024" s="2"/>
      <c r="M1024" s="4" t="s">
        <v>8</v>
      </c>
      <c r="N1024" s="2"/>
      <c r="O1024" s="2"/>
      <c r="P1024" s="4" t="s">
        <v>1843</v>
      </c>
      <c r="Q1024" s="31" t="s">
        <v>1127</v>
      </c>
    </row>
    <row r="1025" spans="1:17" ht="16.5" customHeight="1" x14ac:dyDescent="0.2">
      <c r="A1025" s="3" t="s">
        <v>0</v>
      </c>
      <c r="B1025" t="s">
        <v>36</v>
      </c>
      <c r="C1025" s="3" t="s">
        <v>4182</v>
      </c>
      <c r="D1025" s="26" t="s">
        <v>1838</v>
      </c>
      <c r="E1025" s="26" t="s">
        <v>1839</v>
      </c>
      <c r="F1025" s="4">
        <v>2</v>
      </c>
      <c r="G1025" s="4" t="str">
        <f t="shared" si="8"/>
        <v>b</v>
      </c>
      <c r="H1025">
        <v>1985</v>
      </c>
      <c r="I1025" t="s">
        <v>1844</v>
      </c>
      <c r="J1025" s="4" t="s">
        <v>1841</v>
      </c>
      <c r="K1025" s="4" t="s">
        <v>1842</v>
      </c>
      <c r="L1025" s="2"/>
      <c r="M1025" s="4" t="s">
        <v>8</v>
      </c>
      <c r="N1025" s="2"/>
      <c r="O1025" s="2"/>
      <c r="P1025" s="4" t="s">
        <v>1843</v>
      </c>
      <c r="Q1025" s="31" t="s">
        <v>1127</v>
      </c>
    </row>
    <row r="1026" spans="1:17" ht="16.5" customHeight="1" x14ac:dyDescent="0.2">
      <c r="A1026" s="3" t="s">
        <v>0</v>
      </c>
      <c r="B1026" t="s">
        <v>79</v>
      </c>
      <c r="C1026" s="3" t="s">
        <v>4182</v>
      </c>
      <c r="D1026" s="26" t="s">
        <v>1838</v>
      </c>
      <c r="E1026" s="26" t="s">
        <v>1839</v>
      </c>
      <c r="F1026" s="4">
        <v>3</v>
      </c>
      <c r="G1026" s="4" t="str">
        <f t="shared" si="8"/>
        <v>c</v>
      </c>
      <c r="H1026">
        <v>1986</v>
      </c>
      <c r="I1026" t="s">
        <v>1845</v>
      </c>
      <c r="J1026" s="4" t="s">
        <v>1841</v>
      </c>
      <c r="K1026" s="4" t="s">
        <v>1842</v>
      </c>
      <c r="L1026" s="2"/>
      <c r="M1026" s="4" t="s">
        <v>8</v>
      </c>
      <c r="N1026" s="2"/>
      <c r="O1026" s="2"/>
      <c r="P1026" s="4" t="s">
        <v>1843</v>
      </c>
      <c r="Q1026" s="31" t="s">
        <v>1127</v>
      </c>
    </row>
    <row r="1027" spans="1:17" ht="16.5" customHeight="1" x14ac:dyDescent="0.2">
      <c r="A1027" s="3" t="s">
        <v>0</v>
      </c>
      <c r="B1027" t="s">
        <v>30</v>
      </c>
      <c r="C1027" s="3" t="s">
        <v>4182</v>
      </c>
      <c r="D1027" s="26" t="s">
        <v>1838</v>
      </c>
      <c r="E1027" s="26" t="s">
        <v>1839</v>
      </c>
      <c r="F1027" s="4">
        <v>4</v>
      </c>
      <c r="G1027" s="4" t="str">
        <f t="shared" si="8"/>
        <v>d</v>
      </c>
      <c r="H1027">
        <v>1987</v>
      </c>
      <c r="I1027" t="s">
        <v>1846</v>
      </c>
      <c r="J1027" s="4" t="s">
        <v>1841</v>
      </c>
      <c r="K1027" s="4" t="s">
        <v>1842</v>
      </c>
      <c r="L1027" s="2"/>
      <c r="M1027" s="4" t="s">
        <v>8</v>
      </c>
      <c r="N1027" s="2"/>
      <c r="O1027" s="2"/>
      <c r="P1027" s="4" t="s">
        <v>1843</v>
      </c>
      <c r="Q1027" s="31" t="s">
        <v>1127</v>
      </c>
    </row>
    <row r="1028" spans="1:17" ht="16.5" customHeight="1" x14ac:dyDescent="0.2">
      <c r="A1028" s="3" t="s">
        <v>0</v>
      </c>
      <c r="B1028" t="s">
        <v>12</v>
      </c>
      <c r="C1028" s="3" t="s">
        <v>4182</v>
      </c>
      <c r="D1028" s="26" t="s">
        <v>1838</v>
      </c>
      <c r="E1028" s="26" t="s">
        <v>1839</v>
      </c>
      <c r="F1028" s="4">
        <v>5</v>
      </c>
      <c r="G1028" s="4" t="str">
        <f t="shared" si="8"/>
        <v>e</v>
      </c>
      <c r="H1028">
        <v>1988</v>
      </c>
      <c r="I1028" t="s">
        <v>1847</v>
      </c>
      <c r="J1028" s="4" t="s">
        <v>1841</v>
      </c>
      <c r="K1028" s="4" t="s">
        <v>1842</v>
      </c>
      <c r="L1028" s="2"/>
      <c r="M1028" s="4" t="s">
        <v>8</v>
      </c>
      <c r="N1028" s="2"/>
      <c r="O1028" s="2"/>
      <c r="P1028" s="4" t="s">
        <v>1843</v>
      </c>
      <c r="Q1028" s="31" t="s">
        <v>1127</v>
      </c>
    </row>
    <row r="1029" spans="1:17" ht="16.5" customHeight="1" x14ac:dyDescent="0.2">
      <c r="A1029" s="3" t="s">
        <v>0</v>
      </c>
      <c r="B1029" t="s">
        <v>48</v>
      </c>
      <c r="C1029" s="3" t="s">
        <v>4182</v>
      </c>
      <c r="D1029" s="26" t="s">
        <v>1838</v>
      </c>
      <c r="E1029" s="26" t="s">
        <v>1839</v>
      </c>
      <c r="F1029" s="4">
        <v>6</v>
      </c>
      <c r="G1029" s="4" t="str">
        <f t="shared" si="8"/>
        <v>f</v>
      </c>
      <c r="H1029">
        <v>1989</v>
      </c>
      <c r="I1029" t="s">
        <v>1848</v>
      </c>
      <c r="J1029" s="4" t="s">
        <v>1841</v>
      </c>
      <c r="K1029" s="4" t="s">
        <v>1842</v>
      </c>
      <c r="L1029" s="2"/>
      <c r="M1029" s="4" t="s">
        <v>8</v>
      </c>
      <c r="N1029" s="2"/>
      <c r="O1029" s="2"/>
      <c r="P1029" s="4" t="s">
        <v>1843</v>
      </c>
      <c r="Q1029" s="31" t="s">
        <v>1127</v>
      </c>
    </row>
    <row r="1030" spans="1:17" ht="16.5" customHeight="1" x14ac:dyDescent="0.2">
      <c r="A1030" s="3" t="s">
        <v>0</v>
      </c>
      <c r="B1030" t="s">
        <v>100</v>
      </c>
      <c r="C1030" s="3" t="s">
        <v>4182</v>
      </c>
      <c r="D1030" s="26" t="s">
        <v>1838</v>
      </c>
      <c r="E1030" s="26" t="s">
        <v>1839</v>
      </c>
      <c r="F1030" s="4">
        <v>7</v>
      </c>
      <c r="G1030" s="4" t="str">
        <f t="shared" si="8"/>
        <v>g</v>
      </c>
      <c r="H1030">
        <v>1990</v>
      </c>
      <c r="I1030" t="s">
        <v>1849</v>
      </c>
      <c r="J1030" s="4" t="s">
        <v>1841</v>
      </c>
      <c r="K1030" s="4" t="s">
        <v>1842</v>
      </c>
      <c r="L1030" s="2"/>
      <c r="M1030" s="4" t="s">
        <v>8</v>
      </c>
      <c r="N1030" s="2"/>
      <c r="O1030" s="2"/>
      <c r="P1030" s="4" t="s">
        <v>1843</v>
      </c>
      <c r="Q1030" s="31" t="s">
        <v>1127</v>
      </c>
    </row>
    <row r="1031" spans="1:17" ht="16.5" customHeight="1" x14ac:dyDescent="0.2">
      <c r="A1031" s="3" t="s">
        <v>0</v>
      </c>
      <c r="B1031" t="s">
        <v>9</v>
      </c>
      <c r="C1031" s="3" t="s">
        <v>4182</v>
      </c>
      <c r="D1031" s="26" t="s">
        <v>1838</v>
      </c>
      <c r="E1031" s="26" t="s">
        <v>1839</v>
      </c>
      <c r="F1031" s="4">
        <v>8</v>
      </c>
      <c r="G1031" s="4" t="str">
        <f t="shared" si="8"/>
        <v>h</v>
      </c>
      <c r="H1031">
        <v>1991</v>
      </c>
      <c r="I1031" t="s">
        <v>1850</v>
      </c>
      <c r="J1031" s="4" t="s">
        <v>1841</v>
      </c>
      <c r="K1031" s="4" t="s">
        <v>1842</v>
      </c>
      <c r="L1031" s="2"/>
      <c r="M1031" s="4" t="s">
        <v>8</v>
      </c>
      <c r="N1031" s="2"/>
      <c r="O1031" s="2"/>
      <c r="P1031" s="4" t="s">
        <v>1843</v>
      </c>
      <c r="Q1031" s="31" t="s">
        <v>1127</v>
      </c>
    </row>
    <row r="1032" spans="1:17" ht="16.5" customHeight="1" x14ac:dyDescent="0.2">
      <c r="A1032" s="3" t="s">
        <v>0</v>
      </c>
      <c r="B1032" t="s">
        <v>54</v>
      </c>
      <c r="C1032" s="3" t="s">
        <v>4182</v>
      </c>
      <c r="D1032" s="26" t="s">
        <v>1838</v>
      </c>
      <c r="E1032" s="26" t="s">
        <v>1839</v>
      </c>
      <c r="F1032" s="4">
        <v>9</v>
      </c>
      <c r="G1032" s="4" t="str">
        <f t="shared" si="8"/>
        <v>i</v>
      </c>
      <c r="H1032">
        <v>1992</v>
      </c>
      <c r="I1032" t="s">
        <v>1851</v>
      </c>
      <c r="J1032" s="4" t="s">
        <v>1841</v>
      </c>
      <c r="K1032" s="4" t="s">
        <v>1842</v>
      </c>
      <c r="L1032" s="2"/>
      <c r="M1032" s="4" t="s">
        <v>8</v>
      </c>
      <c r="N1032" s="2"/>
      <c r="O1032" s="2"/>
      <c r="P1032" s="4" t="s">
        <v>1843</v>
      </c>
      <c r="Q1032" s="31" t="s">
        <v>1127</v>
      </c>
    </row>
    <row r="1033" spans="1:17" ht="16.5" customHeight="1" x14ac:dyDescent="0.2">
      <c r="A1033" s="3" t="s">
        <v>0</v>
      </c>
      <c r="B1033" t="s">
        <v>97</v>
      </c>
      <c r="C1033" s="3" t="s">
        <v>4182</v>
      </c>
      <c r="D1033" s="26" t="s">
        <v>1838</v>
      </c>
      <c r="E1033" s="26" t="s">
        <v>1839</v>
      </c>
      <c r="F1033" s="4">
        <v>10</v>
      </c>
      <c r="G1033" s="4" t="str">
        <f t="shared" si="8"/>
        <v>j</v>
      </c>
      <c r="H1033">
        <v>1993</v>
      </c>
      <c r="I1033" t="s">
        <v>1852</v>
      </c>
      <c r="J1033" s="4" t="s">
        <v>1841</v>
      </c>
      <c r="K1033" s="4" t="s">
        <v>1842</v>
      </c>
      <c r="L1033" s="2"/>
      <c r="M1033" s="4" t="s">
        <v>8</v>
      </c>
      <c r="N1033" s="2"/>
      <c r="O1033" s="2"/>
      <c r="P1033" s="4" t="s">
        <v>1843</v>
      </c>
      <c r="Q1033" s="31" t="s">
        <v>1127</v>
      </c>
    </row>
    <row r="1034" spans="1:17" ht="16.5" customHeight="1" x14ac:dyDescent="0.2">
      <c r="A1034" s="3" t="s">
        <v>0</v>
      </c>
      <c r="B1034" t="s">
        <v>103</v>
      </c>
      <c r="C1034" s="3" t="s">
        <v>4182</v>
      </c>
      <c r="D1034" s="26" t="s">
        <v>1838</v>
      </c>
      <c r="E1034" s="26" t="s">
        <v>1839</v>
      </c>
      <c r="F1034" s="4">
        <v>11</v>
      </c>
      <c r="G1034" s="4" t="str">
        <f t="shared" si="8"/>
        <v>k</v>
      </c>
      <c r="H1034">
        <v>1994</v>
      </c>
      <c r="I1034" t="s">
        <v>1853</v>
      </c>
      <c r="J1034" s="4" t="s">
        <v>1841</v>
      </c>
      <c r="K1034" s="4" t="s">
        <v>1842</v>
      </c>
      <c r="L1034" s="2"/>
      <c r="M1034" s="4" t="s">
        <v>8</v>
      </c>
      <c r="N1034" s="2"/>
      <c r="O1034" s="2"/>
      <c r="P1034" s="4" t="s">
        <v>1843</v>
      </c>
      <c r="Q1034" s="31" t="s">
        <v>1127</v>
      </c>
    </row>
    <row r="1035" spans="1:17" ht="16.5" customHeight="1" x14ac:dyDescent="0.2">
      <c r="A1035" s="3" t="s">
        <v>0</v>
      </c>
      <c r="B1035" t="s">
        <v>88</v>
      </c>
      <c r="C1035" s="3" t="s">
        <v>4182</v>
      </c>
      <c r="D1035" s="26" t="s">
        <v>1838</v>
      </c>
      <c r="E1035" s="26" t="s">
        <v>1839</v>
      </c>
      <c r="F1035" s="4">
        <v>12</v>
      </c>
      <c r="G1035" s="4" t="str">
        <f t="shared" si="8"/>
        <v>l</v>
      </c>
      <c r="H1035">
        <v>1995</v>
      </c>
      <c r="I1035" t="s">
        <v>1854</v>
      </c>
      <c r="J1035" s="4" t="s">
        <v>1841</v>
      </c>
      <c r="K1035" s="4" t="s">
        <v>1842</v>
      </c>
      <c r="L1035" s="2"/>
      <c r="M1035" s="4" t="s">
        <v>8</v>
      </c>
      <c r="N1035" s="2"/>
      <c r="O1035" s="2"/>
      <c r="P1035" s="4" t="s">
        <v>1843</v>
      </c>
      <c r="Q1035" s="31" t="s">
        <v>1127</v>
      </c>
    </row>
    <row r="1036" spans="1:17" ht="16.5" customHeight="1" x14ac:dyDescent="0.2">
      <c r="A1036" s="3" t="s">
        <v>0</v>
      </c>
      <c r="B1036" t="s">
        <v>106</v>
      </c>
      <c r="C1036" s="3" t="s">
        <v>4182</v>
      </c>
      <c r="D1036" s="26" t="s">
        <v>1838</v>
      </c>
      <c r="E1036" s="26" t="s">
        <v>1839</v>
      </c>
      <c r="F1036" s="4">
        <v>13</v>
      </c>
      <c r="G1036" s="4" t="str">
        <f t="shared" si="8"/>
        <v>m</v>
      </c>
      <c r="H1036">
        <v>1996</v>
      </c>
      <c r="I1036" t="s">
        <v>1855</v>
      </c>
      <c r="J1036" s="4" t="s">
        <v>1841</v>
      </c>
      <c r="K1036" s="4" t="s">
        <v>1842</v>
      </c>
      <c r="L1036" s="2"/>
      <c r="M1036" s="4" t="s">
        <v>8</v>
      </c>
      <c r="N1036" s="2"/>
      <c r="O1036" s="2"/>
      <c r="P1036" s="4" t="s">
        <v>1843</v>
      </c>
      <c r="Q1036" s="31" t="s">
        <v>1127</v>
      </c>
    </row>
    <row r="1037" spans="1:17" ht="16.5" customHeight="1" x14ac:dyDescent="0.2">
      <c r="A1037" s="3" t="s">
        <v>0</v>
      </c>
      <c r="B1037" t="s">
        <v>42</v>
      </c>
      <c r="C1037" s="3" t="s">
        <v>4182</v>
      </c>
      <c r="D1037" s="26" t="s">
        <v>1838</v>
      </c>
      <c r="E1037" s="26" t="s">
        <v>1839</v>
      </c>
      <c r="F1037" s="4">
        <v>14</v>
      </c>
      <c r="G1037" s="4" t="str">
        <f t="shared" si="8"/>
        <v>n</v>
      </c>
      <c r="H1037">
        <v>1997</v>
      </c>
      <c r="I1037" t="s">
        <v>1856</v>
      </c>
      <c r="J1037" s="4" t="s">
        <v>1841</v>
      </c>
      <c r="K1037" s="4" t="s">
        <v>1842</v>
      </c>
      <c r="L1037" s="2"/>
      <c r="M1037" s="4" t="s">
        <v>8</v>
      </c>
      <c r="N1037" s="2"/>
      <c r="O1037" s="2"/>
      <c r="P1037" s="4" t="s">
        <v>1843</v>
      </c>
      <c r="Q1037" s="31" t="s">
        <v>1127</v>
      </c>
    </row>
    <row r="1038" spans="1:17" ht="16.5" customHeight="1" x14ac:dyDescent="0.2">
      <c r="A1038" s="3" t="s">
        <v>0</v>
      </c>
      <c r="B1038" t="s">
        <v>18</v>
      </c>
      <c r="C1038" s="3" t="s">
        <v>4182</v>
      </c>
      <c r="D1038" s="26" t="s">
        <v>1838</v>
      </c>
      <c r="E1038" s="26" t="s">
        <v>1839</v>
      </c>
      <c r="F1038" s="4">
        <v>15</v>
      </c>
      <c r="G1038" s="4" t="str">
        <f t="shared" si="8"/>
        <v>o</v>
      </c>
      <c r="H1038">
        <v>1998</v>
      </c>
      <c r="I1038" t="s">
        <v>1857</v>
      </c>
      <c r="J1038" s="4" t="s">
        <v>1841</v>
      </c>
      <c r="K1038" s="4" t="s">
        <v>1842</v>
      </c>
      <c r="L1038" s="2"/>
      <c r="M1038" s="4" t="s">
        <v>8</v>
      </c>
      <c r="N1038" s="2"/>
      <c r="O1038" s="2"/>
      <c r="P1038" s="4" t="s">
        <v>1843</v>
      </c>
      <c r="Q1038" s="31" t="s">
        <v>1127</v>
      </c>
    </row>
    <row r="1039" spans="1:17" ht="16.5" customHeight="1" x14ac:dyDescent="0.2">
      <c r="A1039" s="3" t="s">
        <v>0</v>
      </c>
      <c r="B1039" t="s">
        <v>24</v>
      </c>
      <c r="C1039" s="3" t="s">
        <v>4182</v>
      </c>
      <c r="D1039" s="26" t="s">
        <v>1838</v>
      </c>
      <c r="E1039" s="26" t="s">
        <v>1839</v>
      </c>
      <c r="F1039" s="4">
        <v>16</v>
      </c>
      <c r="G1039" s="4" t="str">
        <f t="shared" si="8"/>
        <v>p</v>
      </c>
      <c r="H1039">
        <v>1999</v>
      </c>
      <c r="I1039" t="s">
        <v>1858</v>
      </c>
      <c r="J1039" s="4" t="s">
        <v>1841</v>
      </c>
      <c r="K1039" s="4" t="s">
        <v>1842</v>
      </c>
      <c r="L1039" s="2"/>
      <c r="M1039" s="4" t="s">
        <v>8</v>
      </c>
      <c r="N1039" s="2"/>
      <c r="O1039" s="2"/>
      <c r="P1039" s="4" t="s">
        <v>1843</v>
      </c>
      <c r="Q1039" s="31" t="s">
        <v>1127</v>
      </c>
    </row>
    <row r="1040" spans="1:17" ht="16.5" customHeight="1" x14ac:dyDescent="0.2">
      <c r="A1040" s="3" t="s">
        <v>0</v>
      </c>
      <c r="B1040" t="s">
        <v>72</v>
      </c>
      <c r="C1040" s="3" t="s">
        <v>4182</v>
      </c>
      <c r="D1040" s="26" t="s">
        <v>1838</v>
      </c>
      <c r="E1040" s="26" t="s">
        <v>1839</v>
      </c>
      <c r="F1040" s="4">
        <v>17</v>
      </c>
      <c r="G1040" s="4" t="str">
        <f t="shared" si="8"/>
        <v>q</v>
      </c>
      <c r="H1040">
        <v>2000</v>
      </c>
      <c r="I1040" t="s">
        <v>1859</v>
      </c>
      <c r="J1040" s="4" t="s">
        <v>1841</v>
      </c>
      <c r="K1040" s="4" t="s">
        <v>1842</v>
      </c>
      <c r="L1040" s="2"/>
      <c r="M1040" s="4" t="s">
        <v>8</v>
      </c>
      <c r="N1040" s="2"/>
      <c r="O1040" s="2"/>
      <c r="P1040" s="4" t="s">
        <v>1843</v>
      </c>
      <c r="Q1040" s="31" t="s">
        <v>1127</v>
      </c>
    </row>
    <row r="1041" spans="1:17" ht="16.5" customHeight="1" x14ac:dyDescent="0.2">
      <c r="A1041" s="3" t="s">
        <v>0</v>
      </c>
      <c r="B1041" t="s">
        <v>57</v>
      </c>
      <c r="C1041" s="3" t="s">
        <v>4182</v>
      </c>
      <c r="D1041" s="26" t="s">
        <v>1838</v>
      </c>
      <c r="E1041" s="26" t="s">
        <v>1839</v>
      </c>
      <c r="F1041" s="4">
        <v>18</v>
      </c>
      <c r="G1041" s="4" t="str">
        <f t="shared" si="8"/>
        <v>r</v>
      </c>
      <c r="H1041">
        <v>2001</v>
      </c>
      <c r="I1041" t="s">
        <v>1860</v>
      </c>
      <c r="J1041" s="4" t="s">
        <v>1841</v>
      </c>
      <c r="K1041" s="4" t="s">
        <v>1842</v>
      </c>
      <c r="L1041" s="2"/>
      <c r="M1041" s="4" t="s">
        <v>8</v>
      </c>
      <c r="N1041" s="2"/>
      <c r="O1041" s="2"/>
      <c r="P1041" s="4" t="s">
        <v>1843</v>
      </c>
      <c r="Q1041" s="31" t="s">
        <v>1127</v>
      </c>
    </row>
    <row r="1042" spans="1:17" ht="16.5" customHeight="1" x14ac:dyDescent="0.2">
      <c r="A1042" s="3" t="s">
        <v>0</v>
      </c>
      <c r="B1042" t="s">
        <v>1</v>
      </c>
      <c r="C1042" s="3" t="s">
        <v>4182</v>
      </c>
      <c r="D1042" s="26" t="s">
        <v>1838</v>
      </c>
      <c r="E1042" s="26" t="s">
        <v>1839</v>
      </c>
      <c r="F1042" s="4">
        <v>19</v>
      </c>
      <c r="G1042" s="4" t="str">
        <f t="shared" si="8"/>
        <v>s</v>
      </c>
      <c r="H1042">
        <v>2002</v>
      </c>
      <c r="I1042" t="s">
        <v>1861</v>
      </c>
      <c r="J1042" s="4" t="s">
        <v>1841</v>
      </c>
      <c r="K1042" s="4" t="s">
        <v>1842</v>
      </c>
      <c r="L1042" s="2"/>
      <c r="M1042" s="4" t="s">
        <v>8</v>
      </c>
      <c r="N1042" s="2"/>
      <c r="O1042" s="2"/>
      <c r="P1042" s="4" t="s">
        <v>1843</v>
      </c>
      <c r="Q1042" s="31" t="s">
        <v>1127</v>
      </c>
    </row>
    <row r="1043" spans="1:17" ht="16.5" customHeight="1" x14ac:dyDescent="0.2">
      <c r="A1043" s="3" t="s">
        <v>0</v>
      </c>
      <c r="B1043" t="s">
        <v>82</v>
      </c>
      <c r="C1043" s="3" t="s">
        <v>4182</v>
      </c>
      <c r="D1043" s="26" t="s">
        <v>1838</v>
      </c>
      <c r="E1043" s="26" t="s">
        <v>1839</v>
      </c>
      <c r="F1043" s="4">
        <v>20</v>
      </c>
      <c r="G1043" s="4" t="str">
        <f t="shared" si="8"/>
        <v>t</v>
      </c>
      <c r="H1043">
        <v>2003</v>
      </c>
      <c r="I1043" t="s">
        <v>1862</v>
      </c>
      <c r="J1043" s="4" t="s">
        <v>1841</v>
      </c>
      <c r="K1043" s="4" t="s">
        <v>1842</v>
      </c>
      <c r="L1043" s="2"/>
      <c r="M1043" s="4" t="s">
        <v>8</v>
      </c>
      <c r="N1043" s="2"/>
      <c r="O1043" s="2"/>
      <c r="P1043" s="4" t="s">
        <v>1843</v>
      </c>
      <c r="Q1043" s="31" t="s">
        <v>1127</v>
      </c>
    </row>
    <row r="1044" spans="1:17" ht="16.5" customHeight="1" x14ac:dyDescent="0.2">
      <c r="A1044" s="3" t="s">
        <v>0</v>
      </c>
      <c r="B1044" t="s">
        <v>63</v>
      </c>
      <c r="C1044" s="3" t="s">
        <v>4182</v>
      </c>
      <c r="D1044" s="26" t="s">
        <v>1838</v>
      </c>
      <c r="E1044" s="26" t="s">
        <v>1839</v>
      </c>
      <c r="F1044" s="4">
        <v>21</v>
      </c>
      <c r="G1044" s="4" t="str">
        <f t="shared" si="8"/>
        <v>u</v>
      </c>
      <c r="H1044">
        <v>2004</v>
      </c>
      <c r="I1044" t="s">
        <v>1863</v>
      </c>
      <c r="J1044" s="4" t="s">
        <v>1841</v>
      </c>
      <c r="K1044" s="4" t="s">
        <v>1842</v>
      </c>
      <c r="L1044" s="2"/>
      <c r="M1044" s="4" t="s">
        <v>8</v>
      </c>
      <c r="N1044" s="2"/>
      <c r="O1044" s="2"/>
      <c r="P1044" s="4" t="s">
        <v>1843</v>
      </c>
      <c r="Q1044" s="31" t="s">
        <v>1127</v>
      </c>
    </row>
    <row r="1045" spans="1:17" ht="16.5" customHeight="1" x14ac:dyDescent="0.2">
      <c r="A1045" s="3" t="s">
        <v>0</v>
      </c>
      <c r="B1045" t="s">
        <v>91</v>
      </c>
      <c r="C1045" s="3" t="s">
        <v>4182</v>
      </c>
      <c r="D1045" s="26" t="s">
        <v>1838</v>
      </c>
      <c r="E1045" s="26" t="s">
        <v>1839</v>
      </c>
      <c r="F1045" s="4">
        <v>22</v>
      </c>
      <c r="G1045" s="4" t="str">
        <f t="shared" si="8"/>
        <v>v</v>
      </c>
      <c r="H1045">
        <v>2005</v>
      </c>
      <c r="I1045" t="s">
        <v>1864</v>
      </c>
      <c r="J1045" s="4" t="s">
        <v>1841</v>
      </c>
      <c r="K1045" s="4" t="s">
        <v>1842</v>
      </c>
      <c r="L1045" s="2"/>
      <c r="M1045" s="4" t="s">
        <v>8</v>
      </c>
      <c r="N1045" s="2"/>
      <c r="O1045" s="2"/>
      <c r="P1045" s="4" t="s">
        <v>1843</v>
      </c>
      <c r="Q1045" s="31" t="s">
        <v>1127</v>
      </c>
    </row>
    <row r="1046" spans="1:17" ht="16.5" customHeight="1" x14ac:dyDescent="0.2">
      <c r="A1046" s="3" t="s">
        <v>0</v>
      </c>
      <c r="B1046" t="s">
        <v>51</v>
      </c>
      <c r="C1046" s="3" t="s">
        <v>4182</v>
      </c>
      <c r="D1046" s="26" t="s">
        <v>1838</v>
      </c>
      <c r="E1046" s="26" t="s">
        <v>1839</v>
      </c>
      <c r="F1046" s="4">
        <v>23</v>
      </c>
      <c r="G1046" s="4" t="str">
        <f t="shared" si="8"/>
        <v>w</v>
      </c>
      <c r="H1046">
        <v>2006</v>
      </c>
      <c r="I1046" t="s">
        <v>1865</v>
      </c>
      <c r="J1046" s="4" t="s">
        <v>1841</v>
      </c>
      <c r="K1046" s="4" t="s">
        <v>1842</v>
      </c>
      <c r="L1046" s="2"/>
      <c r="M1046" s="4" t="s">
        <v>8</v>
      </c>
      <c r="N1046" s="2"/>
      <c r="O1046" s="2"/>
      <c r="P1046" s="4" t="s">
        <v>1843</v>
      </c>
      <c r="Q1046" s="31" t="s">
        <v>1127</v>
      </c>
    </row>
    <row r="1047" spans="1:17" ht="16.5" customHeight="1" x14ac:dyDescent="0.2">
      <c r="A1047" s="3" t="s">
        <v>0</v>
      </c>
      <c r="B1047" t="s">
        <v>94</v>
      </c>
      <c r="C1047" s="3" t="s">
        <v>4182</v>
      </c>
      <c r="D1047" s="26" t="s">
        <v>1838</v>
      </c>
      <c r="E1047" s="26" t="s">
        <v>1839</v>
      </c>
      <c r="F1047" s="4">
        <v>24</v>
      </c>
      <c r="G1047" s="4" t="str">
        <f t="shared" si="8"/>
        <v>x</v>
      </c>
      <c r="H1047">
        <v>2007</v>
      </c>
      <c r="I1047" t="s">
        <v>1866</v>
      </c>
      <c r="J1047" s="4" t="s">
        <v>1841</v>
      </c>
      <c r="K1047" s="4" t="s">
        <v>1842</v>
      </c>
      <c r="L1047" s="2"/>
      <c r="M1047" s="4" t="s">
        <v>8</v>
      </c>
      <c r="N1047" s="2"/>
      <c r="O1047" s="2"/>
      <c r="P1047" s="4" t="s">
        <v>1843</v>
      </c>
      <c r="Q1047" s="31" t="s">
        <v>1127</v>
      </c>
    </row>
    <row r="1048" spans="1:17" ht="16.5" customHeight="1" x14ac:dyDescent="0.2">
      <c r="A1048" s="3" t="s">
        <v>0</v>
      </c>
      <c r="B1048" t="s">
        <v>69</v>
      </c>
      <c r="C1048" s="3" t="s">
        <v>4182</v>
      </c>
      <c r="D1048" s="26" t="s">
        <v>1838</v>
      </c>
      <c r="E1048" s="26" t="s">
        <v>1839</v>
      </c>
      <c r="F1048" s="4">
        <v>25</v>
      </c>
      <c r="G1048" s="4" t="str">
        <f t="shared" si="8"/>
        <v>y</v>
      </c>
      <c r="H1048">
        <v>2008</v>
      </c>
      <c r="I1048" t="s">
        <v>1867</v>
      </c>
      <c r="J1048" s="4" t="s">
        <v>1841</v>
      </c>
      <c r="K1048" s="4" t="s">
        <v>1842</v>
      </c>
      <c r="L1048" s="2"/>
      <c r="M1048" s="4" t="s">
        <v>8</v>
      </c>
      <c r="N1048" s="2"/>
      <c r="O1048" s="2"/>
      <c r="P1048" s="4" t="s">
        <v>1843</v>
      </c>
      <c r="Q1048" s="31" t="s">
        <v>1127</v>
      </c>
    </row>
    <row r="1049" spans="1:17" ht="16.5" customHeight="1" x14ac:dyDescent="0.2">
      <c r="A1049" s="3" t="s">
        <v>0</v>
      </c>
      <c r="B1049" t="s">
        <v>15</v>
      </c>
      <c r="C1049" s="3" t="s">
        <v>4182</v>
      </c>
      <c r="D1049" s="26" t="s">
        <v>1838</v>
      </c>
      <c r="E1049" s="26" t="s">
        <v>1839</v>
      </c>
      <c r="F1049" s="4">
        <v>26</v>
      </c>
      <c r="G1049" s="4" t="str">
        <f t="shared" si="8"/>
        <v>z</v>
      </c>
      <c r="H1049">
        <v>2009</v>
      </c>
      <c r="I1049" t="s">
        <v>1868</v>
      </c>
      <c r="J1049" s="4" t="s">
        <v>1841</v>
      </c>
      <c r="K1049" s="4" t="s">
        <v>1842</v>
      </c>
      <c r="L1049" s="2"/>
      <c r="M1049" s="4" t="s">
        <v>8</v>
      </c>
      <c r="N1049" s="2"/>
      <c r="O1049" s="2"/>
      <c r="P1049" s="4" t="s">
        <v>1843</v>
      </c>
      <c r="Q1049" s="31" t="s">
        <v>1127</v>
      </c>
    </row>
    <row r="1050" spans="1:17" ht="16.5" customHeight="1" x14ac:dyDescent="0.2">
      <c r="A1050" s="3" t="s">
        <v>0</v>
      </c>
      <c r="B1050" t="s">
        <v>33</v>
      </c>
      <c r="C1050" s="3" t="s">
        <v>4182</v>
      </c>
      <c r="D1050" s="26" t="s">
        <v>1838</v>
      </c>
      <c r="E1050" s="26" t="s">
        <v>1839</v>
      </c>
      <c r="F1050" s="4">
        <v>27</v>
      </c>
      <c r="G1050" s="4" t="str">
        <f t="shared" ref="G1050:G1057" si="9">LEFT(B1050,2)</f>
        <v>ba</v>
      </c>
      <c r="H1050">
        <v>2010</v>
      </c>
      <c r="I1050" t="s">
        <v>1869</v>
      </c>
      <c r="J1050" s="4" t="s">
        <v>1841</v>
      </c>
      <c r="K1050" s="4" t="s">
        <v>1842</v>
      </c>
      <c r="L1050" s="2"/>
      <c r="M1050" s="4" t="s">
        <v>8</v>
      </c>
      <c r="N1050" s="2"/>
      <c r="O1050" s="2"/>
      <c r="P1050" s="4" t="s">
        <v>1843</v>
      </c>
      <c r="Q1050" s="31" t="s">
        <v>1127</v>
      </c>
    </row>
    <row r="1051" spans="1:17" ht="16.5" customHeight="1" x14ac:dyDescent="0.2">
      <c r="A1051" s="3" t="s">
        <v>0</v>
      </c>
      <c r="B1051" t="s">
        <v>45</v>
      </c>
      <c r="C1051" s="3" t="s">
        <v>4182</v>
      </c>
      <c r="D1051" s="26" t="s">
        <v>1838</v>
      </c>
      <c r="E1051" s="26" t="s">
        <v>1839</v>
      </c>
      <c r="F1051" s="4">
        <v>28</v>
      </c>
      <c r="G1051" s="4" t="str">
        <f t="shared" si="9"/>
        <v>bb</v>
      </c>
      <c r="H1051">
        <v>2011</v>
      </c>
      <c r="I1051" t="s">
        <v>1870</v>
      </c>
      <c r="J1051" s="4" t="s">
        <v>1841</v>
      </c>
      <c r="K1051" s="4" t="s">
        <v>1842</v>
      </c>
      <c r="L1051" s="2"/>
      <c r="M1051" s="4" t="s">
        <v>8</v>
      </c>
      <c r="N1051" s="2"/>
      <c r="O1051" s="2"/>
      <c r="P1051" s="4" t="s">
        <v>1843</v>
      </c>
      <c r="Q1051" s="31" t="s">
        <v>1127</v>
      </c>
    </row>
    <row r="1052" spans="1:17" ht="16.5" customHeight="1" x14ac:dyDescent="0.2">
      <c r="A1052" s="3" t="s">
        <v>0</v>
      </c>
      <c r="B1052" t="s">
        <v>60</v>
      </c>
      <c r="C1052" s="3" t="s">
        <v>4182</v>
      </c>
      <c r="D1052" s="26" t="s">
        <v>1838</v>
      </c>
      <c r="E1052" s="26" t="s">
        <v>1839</v>
      </c>
      <c r="F1052" s="4">
        <v>29</v>
      </c>
      <c r="G1052" s="4" t="str">
        <f t="shared" si="9"/>
        <v>bc</v>
      </c>
      <c r="H1052">
        <v>2012</v>
      </c>
      <c r="I1052" t="s">
        <v>1871</v>
      </c>
      <c r="J1052" s="4" t="s">
        <v>1841</v>
      </c>
      <c r="K1052" s="4" t="s">
        <v>1842</v>
      </c>
      <c r="L1052" s="2"/>
      <c r="M1052" s="4" t="s">
        <v>8</v>
      </c>
      <c r="N1052" s="2"/>
      <c r="O1052" s="2"/>
      <c r="P1052" s="4" t="s">
        <v>1843</v>
      </c>
      <c r="Q1052" s="31" t="s">
        <v>1127</v>
      </c>
    </row>
    <row r="1053" spans="1:17" ht="16.5" customHeight="1" x14ac:dyDescent="0.2">
      <c r="A1053" s="3" t="s">
        <v>0</v>
      </c>
      <c r="B1053" t="s">
        <v>85</v>
      </c>
      <c r="C1053" s="3" t="s">
        <v>4182</v>
      </c>
      <c r="D1053" s="26" t="s">
        <v>1838</v>
      </c>
      <c r="E1053" s="26" t="s">
        <v>1839</v>
      </c>
      <c r="F1053" s="4">
        <v>30</v>
      </c>
      <c r="G1053" s="4" t="str">
        <f t="shared" si="9"/>
        <v>bd</v>
      </c>
      <c r="H1053">
        <v>2013</v>
      </c>
      <c r="I1053" t="s">
        <v>1872</v>
      </c>
      <c r="J1053" s="4" t="s">
        <v>1841</v>
      </c>
      <c r="K1053" s="4" t="s">
        <v>1842</v>
      </c>
      <c r="L1053" s="2"/>
      <c r="M1053" s="4" t="s">
        <v>8</v>
      </c>
      <c r="N1053" s="2"/>
      <c r="O1053" s="2"/>
      <c r="P1053" s="4" t="s">
        <v>1843</v>
      </c>
      <c r="Q1053" s="31" t="s">
        <v>1127</v>
      </c>
    </row>
    <row r="1054" spans="1:17" ht="16.5" customHeight="1" x14ac:dyDescent="0.2">
      <c r="A1054" s="3" t="s">
        <v>0</v>
      </c>
      <c r="B1054" t="s">
        <v>21</v>
      </c>
      <c r="C1054" s="3" t="s">
        <v>4182</v>
      </c>
      <c r="D1054" s="26" t="s">
        <v>1838</v>
      </c>
      <c r="E1054" s="26" t="s">
        <v>1839</v>
      </c>
      <c r="F1054" s="4">
        <v>31</v>
      </c>
      <c r="G1054" s="4" t="str">
        <f t="shared" si="9"/>
        <v>be</v>
      </c>
      <c r="H1054">
        <v>2014</v>
      </c>
      <c r="I1054" t="s">
        <v>1873</v>
      </c>
      <c r="J1054" s="4" t="s">
        <v>1841</v>
      </c>
      <c r="K1054" s="4" t="s">
        <v>1842</v>
      </c>
      <c r="L1054" s="2"/>
      <c r="M1054" s="4" t="s">
        <v>8</v>
      </c>
      <c r="N1054" s="2"/>
      <c r="O1054" s="2"/>
      <c r="P1054" s="4" t="s">
        <v>1843</v>
      </c>
      <c r="Q1054" s="31" t="s">
        <v>1127</v>
      </c>
    </row>
    <row r="1055" spans="1:17" ht="16.5" customHeight="1" x14ac:dyDescent="0.2">
      <c r="A1055" s="3" t="s">
        <v>0</v>
      </c>
      <c r="B1055" t="s">
        <v>27</v>
      </c>
      <c r="C1055" s="3" t="s">
        <v>4182</v>
      </c>
      <c r="D1055" s="26" t="s">
        <v>1838</v>
      </c>
      <c r="E1055" s="26" t="s">
        <v>1839</v>
      </c>
      <c r="F1055" s="4">
        <v>32</v>
      </c>
      <c r="G1055" s="4" t="str">
        <f t="shared" si="9"/>
        <v>bf</v>
      </c>
      <c r="H1055">
        <v>2015</v>
      </c>
      <c r="I1055" t="s">
        <v>1874</v>
      </c>
      <c r="J1055" s="4" t="s">
        <v>1841</v>
      </c>
      <c r="K1055" s="4" t="s">
        <v>1842</v>
      </c>
      <c r="L1055" s="2"/>
      <c r="M1055" s="4" t="s">
        <v>8</v>
      </c>
      <c r="N1055" s="2"/>
      <c r="O1055" s="2"/>
      <c r="P1055" s="4" t="s">
        <v>1843</v>
      </c>
      <c r="Q1055" s="31" t="s">
        <v>1127</v>
      </c>
    </row>
    <row r="1056" spans="1:17" ht="16.5" customHeight="1" x14ac:dyDescent="0.2">
      <c r="A1056" s="3" t="s">
        <v>0</v>
      </c>
      <c r="B1056" t="s">
        <v>75</v>
      </c>
      <c r="C1056" s="3" t="s">
        <v>4182</v>
      </c>
      <c r="D1056" s="26" t="s">
        <v>1838</v>
      </c>
      <c r="E1056" s="26" t="s">
        <v>1839</v>
      </c>
      <c r="F1056" s="4">
        <v>33</v>
      </c>
      <c r="G1056" s="4" t="str">
        <f t="shared" si="9"/>
        <v>bg</v>
      </c>
      <c r="H1056">
        <v>2016</v>
      </c>
      <c r="I1056" t="s">
        <v>1875</v>
      </c>
      <c r="J1056" s="4" t="s">
        <v>1841</v>
      </c>
      <c r="K1056" s="4" t="s">
        <v>1842</v>
      </c>
      <c r="L1056" s="2"/>
      <c r="M1056" s="4" t="s">
        <v>8</v>
      </c>
      <c r="N1056" s="2"/>
      <c r="O1056" s="2"/>
      <c r="P1056" s="4" t="s">
        <v>1843</v>
      </c>
      <c r="Q1056" s="31" t="s">
        <v>1127</v>
      </c>
    </row>
    <row r="1057" spans="1:17" ht="16.5" customHeight="1" x14ac:dyDescent="0.2">
      <c r="A1057" s="3" t="s">
        <v>0</v>
      </c>
      <c r="B1057" t="s">
        <v>66</v>
      </c>
      <c r="C1057" s="3" t="s">
        <v>4182</v>
      </c>
      <c r="D1057" s="26" t="s">
        <v>1838</v>
      </c>
      <c r="E1057" s="26" t="s">
        <v>1839</v>
      </c>
      <c r="F1057" s="4">
        <v>34</v>
      </c>
      <c r="G1057" s="4" t="str">
        <f t="shared" si="9"/>
        <v>bh</v>
      </c>
      <c r="H1057">
        <v>2017</v>
      </c>
      <c r="I1057" t="s">
        <v>1876</v>
      </c>
      <c r="J1057" s="4" t="s">
        <v>1841</v>
      </c>
      <c r="K1057" s="4" t="s">
        <v>1842</v>
      </c>
      <c r="L1057" s="2"/>
      <c r="M1057" s="4" t="s">
        <v>8</v>
      </c>
      <c r="N1057" s="2"/>
      <c r="O1057" s="2"/>
      <c r="P1057" s="4" t="s">
        <v>1843</v>
      </c>
      <c r="Q1057" s="31" t="s">
        <v>1127</v>
      </c>
    </row>
    <row r="1058" spans="1:17" ht="16.5" customHeight="1" x14ac:dyDescent="0.2">
      <c r="A1058" s="3" t="s">
        <v>0</v>
      </c>
      <c r="B1058" s="2" t="s">
        <v>39</v>
      </c>
      <c r="C1058" s="3" t="s">
        <v>4182</v>
      </c>
      <c r="D1058" s="26" t="s">
        <v>1838</v>
      </c>
      <c r="E1058" s="26" t="s">
        <v>1877</v>
      </c>
      <c r="F1058" s="4">
        <v>1</v>
      </c>
      <c r="G1058" s="4" t="str">
        <f>LEFT(B1058,1)</f>
        <v>a</v>
      </c>
      <c r="H1058" s="4">
        <v>1984</v>
      </c>
      <c r="I1058" s="2" t="s">
        <v>1878</v>
      </c>
      <c r="J1058" s="2" t="s">
        <v>1879</v>
      </c>
      <c r="K1058" s="4" t="s">
        <v>1842</v>
      </c>
      <c r="L1058" s="2"/>
      <c r="M1058" s="4" t="s">
        <v>8</v>
      </c>
      <c r="N1058" s="2"/>
      <c r="O1058" s="2"/>
      <c r="P1058" s="4" t="s">
        <v>1843</v>
      </c>
      <c r="Q1058" s="31" t="s">
        <v>1127</v>
      </c>
    </row>
    <row r="1059" spans="1:17" ht="16.5" customHeight="1" x14ac:dyDescent="0.2">
      <c r="A1059" s="3" t="s">
        <v>0</v>
      </c>
      <c r="B1059" s="2" t="s">
        <v>33</v>
      </c>
      <c r="C1059" s="3" t="s">
        <v>4182</v>
      </c>
      <c r="D1059" s="26" t="s">
        <v>1838</v>
      </c>
      <c r="E1059" s="26" t="s">
        <v>1877</v>
      </c>
      <c r="F1059" s="4">
        <v>27</v>
      </c>
      <c r="G1059" s="4" t="str">
        <f t="shared" ref="G1059:G1066" si="10">LEFT(B1059,2)</f>
        <v>ba</v>
      </c>
      <c r="H1059" s="4">
        <v>2010</v>
      </c>
      <c r="I1059" s="2" t="s">
        <v>1880</v>
      </c>
      <c r="J1059" s="2" t="s">
        <v>1879</v>
      </c>
      <c r="K1059" s="4" t="s">
        <v>1842</v>
      </c>
      <c r="L1059" s="2"/>
      <c r="M1059" s="4" t="s">
        <v>8</v>
      </c>
      <c r="N1059" s="2"/>
      <c r="O1059" s="2"/>
      <c r="P1059" s="4" t="s">
        <v>1843</v>
      </c>
      <c r="Q1059" s="31" t="s">
        <v>1127</v>
      </c>
    </row>
    <row r="1060" spans="1:17" ht="16.5" customHeight="1" x14ac:dyDescent="0.2">
      <c r="A1060" s="3" t="s">
        <v>0</v>
      </c>
      <c r="B1060" s="2" t="s">
        <v>45</v>
      </c>
      <c r="C1060" s="3" t="s">
        <v>4182</v>
      </c>
      <c r="D1060" s="26" t="s">
        <v>1838</v>
      </c>
      <c r="E1060" s="26" t="s">
        <v>1877</v>
      </c>
      <c r="F1060" s="4">
        <v>28</v>
      </c>
      <c r="G1060" s="4" t="str">
        <f t="shared" si="10"/>
        <v>bb</v>
      </c>
      <c r="H1060" s="4">
        <v>2011</v>
      </c>
      <c r="I1060" s="2" t="s">
        <v>1881</v>
      </c>
      <c r="J1060" s="2" t="s">
        <v>1879</v>
      </c>
      <c r="K1060" s="4" t="s">
        <v>1842</v>
      </c>
      <c r="L1060" s="2"/>
      <c r="M1060" s="4" t="s">
        <v>8</v>
      </c>
      <c r="N1060" s="2"/>
      <c r="O1060" s="2"/>
      <c r="P1060" s="4" t="s">
        <v>1843</v>
      </c>
      <c r="Q1060" s="31" t="s">
        <v>1127</v>
      </c>
    </row>
    <row r="1061" spans="1:17" ht="16.5" customHeight="1" x14ac:dyDescent="0.2">
      <c r="A1061" s="3" t="s">
        <v>0</v>
      </c>
      <c r="B1061" s="2" t="s">
        <v>60</v>
      </c>
      <c r="C1061" s="3" t="s">
        <v>4182</v>
      </c>
      <c r="D1061" s="26" t="s">
        <v>1838</v>
      </c>
      <c r="E1061" s="26" t="s">
        <v>1877</v>
      </c>
      <c r="F1061" s="4">
        <v>29</v>
      </c>
      <c r="G1061" s="4" t="str">
        <f t="shared" si="10"/>
        <v>bc</v>
      </c>
      <c r="H1061" s="4">
        <v>2012</v>
      </c>
      <c r="I1061" s="2" t="s">
        <v>1882</v>
      </c>
      <c r="J1061" s="2" t="s">
        <v>1879</v>
      </c>
      <c r="K1061" s="4" t="s">
        <v>1842</v>
      </c>
      <c r="L1061" s="2"/>
      <c r="M1061" s="4" t="s">
        <v>8</v>
      </c>
      <c r="N1061" s="2"/>
      <c r="O1061" s="2"/>
      <c r="P1061" s="4" t="s">
        <v>1843</v>
      </c>
      <c r="Q1061" s="31" t="s">
        <v>1127</v>
      </c>
    </row>
    <row r="1062" spans="1:17" ht="16.5" customHeight="1" x14ac:dyDescent="0.2">
      <c r="A1062" s="3" t="s">
        <v>0</v>
      </c>
      <c r="B1062" s="2" t="s">
        <v>85</v>
      </c>
      <c r="C1062" s="3" t="s">
        <v>4182</v>
      </c>
      <c r="D1062" s="26" t="s">
        <v>1838</v>
      </c>
      <c r="E1062" s="26" t="s">
        <v>1877</v>
      </c>
      <c r="F1062" s="4">
        <v>30</v>
      </c>
      <c r="G1062" s="4" t="str">
        <f t="shared" si="10"/>
        <v>bd</v>
      </c>
      <c r="H1062" s="4">
        <v>2013</v>
      </c>
      <c r="I1062" s="2" t="s">
        <v>1883</v>
      </c>
      <c r="J1062" s="2" t="s">
        <v>1879</v>
      </c>
      <c r="K1062" s="4" t="s">
        <v>1842</v>
      </c>
      <c r="L1062" s="2"/>
      <c r="M1062" s="4" t="s">
        <v>8</v>
      </c>
      <c r="N1062" s="2"/>
      <c r="O1062" s="2"/>
      <c r="P1062" s="4" t="s">
        <v>1843</v>
      </c>
      <c r="Q1062" s="31" t="s">
        <v>1127</v>
      </c>
    </row>
    <row r="1063" spans="1:17" ht="16.5" customHeight="1" x14ac:dyDescent="0.2">
      <c r="A1063" s="3" t="s">
        <v>0</v>
      </c>
      <c r="B1063" s="2" t="s">
        <v>21</v>
      </c>
      <c r="C1063" s="3" t="s">
        <v>4182</v>
      </c>
      <c r="D1063" s="26" t="s">
        <v>1838</v>
      </c>
      <c r="E1063" s="26" t="s">
        <v>1877</v>
      </c>
      <c r="F1063" s="4">
        <v>31</v>
      </c>
      <c r="G1063" s="4" t="str">
        <f t="shared" si="10"/>
        <v>be</v>
      </c>
      <c r="H1063" s="4">
        <v>2014</v>
      </c>
      <c r="I1063" s="2" t="s">
        <v>1884</v>
      </c>
      <c r="J1063" s="2" t="s">
        <v>1879</v>
      </c>
      <c r="K1063" s="4" t="s">
        <v>1842</v>
      </c>
      <c r="L1063" s="2"/>
      <c r="M1063" s="4" t="s">
        <v>8</v>
      </c>
      <c r="N1063" s="2"/>
      <c r="O1063" s="2"/>
      <c r="P1063" s="4" t="s">
        <v>1843</v>
      </c>
      <c r="Q1063" s="31" t="s">
        <v>1127</v>
      </c>
    </row>
    <row r="1064" spans="1:17" ht="16.5" customHeight="1" x14ac:dyDescent="0.2">
      <c r="A1064" s="3" t="s">
        <v>0</v>
      </c>
      <c r="B1064" s="2" t="s">
        <v>27</v>
      </c>
      <c r="C1064" s="3" t="s">
        <v>4182</v>
      </c>
      <c r="D1064" s="26" t="s">
        <v>1838</v>
      </c>
      <c r="E1064" s="26" t="s">
        <v>1877</v>
      </c>
      <c r="F1064" s="4">
        <v>32</v>
      </c>
      <c r="G1064" s="4" t="str">
        <f t="shared" si="10"/>
        <v>bf</v>
      </c>
      <c r="H1064" s="4">
        <v>2015</v>
      </c>
      <c r="I1064" s="2" t="s">
        <v>1885</v>
      </c>
      <c r="J1064" s="2" t="s">
        <v>1879</v>
      </c>
      <c r="K1064" s="4" t="s">
        <v>1842</v>
      </c>
      <c r="L1064" s="2"/>
      <c r="M1064" s="4" t="s">
        <v>8</v>
      </c>
      <c r="N1064" s="2"/>
      <c r="O1064" s="2"/>
      <c r="P1064" s="4" t="s">
        <v>1843</v>
      </c>
      <c r="Q1064" s="31" t="s">
        <v>1127</v>
      </c>
    </row>
    <row r="1065" spans="1:17" ht="16.5" customHeight="1" x14ac:dyDescent="0.2">
      <c r="A1065" s="3" t="s">
        <v>0</v>
      </c>
      <c r="B1065" s="2" t="s">
        <v>75</v>
      </c>
      <c r="C1065" s="3" t="s">
        <v>4182</v>
      </c>
      <c r="D1065" s="26" t="s">
        <v>1838</v>
      </c>
      <c r="E1065" s="26" t="s">
        <v>1877</v>
      </c>
      <c r="F1065" s="4">
        <v>33</v>
      </c>
      <c r="G1065" s="4" t="str">
        <f t="shared" si="10"/>
        <v>bg</v>
      </c>
      <c r="H1065" s="4">
        <v>2016</v>
      </c>
      <c r="I1065" s="2" t="s">
        <v>1886</v>
      </c>
      <c r="J1065" s="2" t="s">
        <v>1879</v>
      </c>
      <c r="K1065" s="4" t="s">
        <v>1842</v>
      </c>
      <c r="L1065" s="2"/>
      <c r="M1065" s="4" t="s">
        <v>8</v>
      </c>
      <c r="N1065" s="2"/>
      <c r="O1065" s="2"/>
      <c r="P1065" s="4" t="s">
        <v>1843</v>
      </c>
      <c r="Q1065" s="31" t="s">
        <v>1127</v>
      </c>
    </row>
    <row r="1066" spans="1:17" ht="16.5" customHeight="1" x14ac:dyDescent="0.2">
      <c r="A1066" s="3" t="s">
        <v>0</v>
      </c>
      <c r="B1066" s="2" t="s">
        <v>66</v>
      </c>
      <c r="C1066" s="3" t="s">
        <v>4182</v>
      </c>
      <c r="D1066" s="26" t="s">
        <v>1838</v>
      </c>
      <c r="E1066" s="26" t="s">
        <v>1877</v>
      </c>
      <c r="F1066" s="4">
        <v>34</v>
      </c>
      <c r="G1066" s="4" t="str">
        <f t="shared" si="10"/>
        <v>bh</v>
      </c>
      <c r="H1066" s="4">
        <v>2017</v>
      </c>
      <c r="I1066" s="2" t="s">
        <v>1887</v>
      </c>
      <c r="J1066" s="2" t="s">
        <v>1879</v>
      </c>
      <c r="K1066" s="4" t="s">
        <v>1842</v>
      </c>
      <c r="L1066" s="2"/>
      <c r="M1066" s="4" t="s">
        <v>8</v>
      </c>
      <c r="N1066" s="2"/>
      <c r="O1066" s="2"/>
      <c r="P1066" s="4" t="s">
        <v>1843</v>
      </c>
      <c r="Q1066" s="31" t="s">
        <v>1127</v>
      </c>
    </row>
    <row r="1067" spans="1:17" ht="16.5" customHeight="1" x14ac:dyDescent="0.2">
      <c r="A1067" s="3" t="s">
        <v>0</v>
      </c>
      <c r="B1067" s="2" t="s">
        <v>36</v>
      </c>
      <c r="C1067" s="3" t="s">
        <v>4182</v>
      </c>
      <c r="D1067" s="26" t="s">
        <v>1838</v>
      </c>
      <c r="E1067" s="26" t="s">
        <v>1877</v>
      </c>
      <c r="F1067" s="4">
        <v>2</v>
      </c>
      <c r="G1067" s="4" t="str">
        <f t="shared" ref="G1067:G1092" si="11">LEFT(B1067,1)</f>
        <v>b</v>
      </c>
      <c r="H1067" s="4">
        <v>1985</v>
      </c>
      <c r="I1067" s="2" t="s">
        <v>1888</v>
      </c>
      <c r="J1067" s="2" t="s">
        <v>1879</v>
      </c>
      <c r="K1067" s="4" t="s">
        <v>1842</v>
      </c>
      <c r="L1067" s="2"/>
      <c r="M1067" s="4" t="s">
        <v>8</v>
      </c>
      <c r="N1067" s="2"/>
      <c r="O1067" s="2"/>
      <c r="P1067" s="4" t="s">
        <v>1843</v>
      </c>
      <c r="Q1067" s="31" t="s">
        <v>1127</v>
      </c>
    </row>
    <row r="1068" spans="1:17" ht="16.5" customHeight="1" x14ac:dyDescent="0.2">
      <c r="A1068" s="3" t="s">
        <v>0</v>
      </c>
      <c r="B1068" s="2" t="s">
        <v>79</v>
      </c>
      <c r="C1068" s="3" t="s">
        <v>4182</v>
      </c>
      <c r="D1068" s="26" t="s">
        <v>1838</v>
      </c>
      <c r="E1068" s="26" t="s">
        <v>1877</v>
      </c>
      <c r="F1068" s="4">
        <v>3</v>
      </c>
      <c r="G1068" s="4" t="str">
        <f t="shared" si="11"/>
        <v>c</v>
      </c>
      <c r="H1068" s="4">
        <v>1986</v>
      </c>
      <c r="I1068" s="2" t="s">
        <v>1889</v>
      </c>
      <c r="J1068" s="2" t="s">
        <v>1879</v>
      </c>
      <c r="K1068" s="4" t="s">
        <v>1842</v>
      </c>
      <c r="L1068" s="2"/>
      <c r="M1068" s="4" t="s">
        <v>8</v>
      </c>
      <c r="N1068" s="2"/>
      <c r="O1068" s="2"/>
      <c r="P1068" s="4" t="s">
        <v>1843</v>
      </c>
      <c r="Q1068" s="31" t="s">
        <v>1127</v>
      </c>
    </row>
    <row r="1069" spans="1:17" ht="16.5" customHeight="1" x14ac:dyDescent="0.2">
      <c r="A1069" s="3" t="s">
        <v>0</v>
      </c>
      <c r="B1069" s="2" t="s">
        <v>30</v>
      </c>
      <c r="C1069" s="3" t="s">
        <v>4182</v>
      </c>
      <c r="D1069" s="26" t="s">
        <v>1838</v>
      </c>
      <c r="E1069" s="26" t="s">
        <v>1877</v>
      </c>
      <c r="F1069" s="4">
        <v>4</v>
      </c>
      <c r="G1069" s="4" t="str">
        <f t="shared" si="11"/>
        <v>d</v>
      </c>
      <c r="H1069" s="4">
        <v>1987</v>
      </c>
      <c r="I1069" s="2" t="s">
        <v>1890</v>
      </c>
      <c r="J1069" s="2" t="s">
        <v>1879</v>
      </c>
      <c r="K1069" s="4" t="s">
        <v>1842</v>
      </c>
      <c r="L1069" s="2"/>
      <c r="M1069" s="4" t="s">
        <v>8</v>
      </c>
      <c r="N1069" s="2"/>
      <c r="O1069" s="2"/>
      <c r="P1069" s="4" t="s">
        <v>1843</v>
      </c>
      <c r="Q1069" s="31" t="s">
        <v>1127</v>
      </c>
    </row>
    <row r="1070" spans="1:17" ht="16.5" customHeight="1" x14ac:dyDescent="0.2">
      <c r="A1070" s="3" t="s">
        <v>0</v>
      </c>
      <c r="B1070" s="2" t="s">
        <v>12</v>
      </c>
      <c r="C1070" s="3" t="s">
        <v>4182</v>
      </c>
      <c r="D1070" s="26" t="s">
        <v>1838</v>
      </c>
      <c r="E1070" s="26" t="s">
        <v>1877</v>
      </c>
      <c r="F1070" s="4">
        <v>5</v>
      </c>
      <c r="G1070" s="4" t="str">
        <f t="shared" si="11"/>
        <v>e</v>
      </c>
      <c r="H1070" s="4">
        <v>1988</v>
      </c>
      <c r="I1070" s="2" t="s">
        <v>1891</v>
      </c>
      <c r="J1070" s="2" t="s">
        <v>1879</v>
      </c>
      <c r="K1070" s="4" t="s">
        <v>1842</v>
      </c>
      <c r="L1070" s="2"/>
      <c r="M1070" s="4" t="s">
        <v>8</v>
      </c>
      <c r="N1070" s="2"/>
      <c r="O1070" s="2"/>
      <c r="P1070" s="4" t="s">
        <v>1843</v>
      </c>
      <c r="Q1070" s="31" t="s">
        <v>1127</v>
      </c>
    </row>
    <row r="1071" spans="1:17" ht="16.5" customHeight="1" x14ac:dyDescent="0.2">
      <c r="A1071" s="3" t="s">
        <v>0</v>
      </c>
      <c r="B1071" s="2" t="s">
        <v>48</v>
      </c>
      <c r="C1071" s="3" t="s">
        <v>4182</v>
      </c>
      <c r="D1071" s="26" t="s">
        <v>1838</v>
      </c>
      <c r="E1071" s="26" t="s">
        <v>1877</v>
      </c>
      <c r="F1071" s="4">
        <v>6</v>
      </c>
      <c r="G1071" s="4" t="str">
        <f t="shared" si="11"/>
        <v>f</v>
      </c>
      <c r="H1071" s="4">
        <v>1989</v>
      </c>
      <c r="I1071" s="2" t="s">
        <v>1892</v>
      </c>
      <c r="J1071" s="2" t="s">
        <v>1879</v>
      </c>
      <c r="K1071" s="4" t="s">
        <v>1842</v>
      </c>
      <c r="L1071" s="2"/>
      <c r="M1071" s="4" t="s">
        <v>8</v>
      </c>
      <c r="N1071" s="2"/>
      <c r="O1071" s="2"/>
      <c r="P1071" s="4" t="s">
        <v>1843</v>
      </c>
      <c r="Q1071" s="31" t="s">
        <v>1127</v>
      </c>
    </row>
    <row r="1072" spans="1:17" ht="16.5" customHeight="1" x14ac:dyDescent="0.2">
      <c r="A1072" s="3" t="s">
        <v>0</v>
      </c>
      <c r="B1072" s="2" t="s">
        <v>100</v>
      </c>
      <c r="C1072" s="3" t="s">
        <v>4182</v>
      </c>
      <c r="D1072" s="26" t="s">
        <v>1838</v>
      </c>
      <c r="E1072" s="26" t="s">
        <v>1877</v>
      </c>
      <c r="F1072" s="4">
        <v>7</v>
      </c>
      <c r="G1072" s="4" t="str">
        <f t="shared" si="11"/>
        <v>g</v>
      </c>
      <c r="H1072" s="4">
        <v>1990</v>
      </c>
      <c r="I1072" s="2" t="s">
        <v>1893</v>
      </c>
      <c r="J1072" s="2" t="s">
        <v>1879</v>
      </c>
      <c r="K1072" s="4" t="s">
        <v>1842</v>
      </c>
      <c r="L1072" s="2"/>
      <c r="M1072" s="4" t="s">
        <v>8</v>
      </c>
      <c r="N1072" s="2"/>
      <c r="O1072" s="2"/>
      <c r="P1072" s="4" t="s">
        <v>1843</v>
      </c>
      <c r="Q1072" s="31" t="s">
        <v>1127</v>
      </c>
    </row>
    <row r="1073" spans="1:17" ht="16.5" customHeight="1" x14ac:dyDescent="0.2">
      <c r="A1073" s="3" t="s">
        <v>0</v>
      </c>
      <c r="B1073" s="2" t="s">
        <v>9</v>
      </c>
      <c r="C1073" s="3" t="s">
        <v>4182</v>
      </c>
      <c r="D1073" s="26" t="s">
        <v>1838</v>
      </c>
      <c r="E1073" s="26" t="s">
        <v>1877</v>
      </c>
      <c r="F1073" s="4">
        <v>8</v>
      </c>
      <c r="G1073" s="4" t="str">
        <f t="shared" si="11"/>
        <v>h</v>
      </c>
      <c r="H1073" s="4">
        <v>1991</v>
      </c>
      <c r="I1073" s="2" t="s">
        <v>1894</v>
      </c>
      <c r="J1073" s="2" t="s">
        <v>1879</v>
      </c>
      <c r="K1073" s="4" t="s">
        <v>1842</v>
      </c>
      <c r="L1073" s="2"/>
      <c r="M1073" s="4" t="s">
        <v>8</v>
      </c>
      <c r="N1073" s="2"/>
      <c r="O1073" s="2"/>
      <c r="P1073" s="4" t="s">
        <v>1843</v>
      </c>
      <c r="Q1073" s="31" t="s">
        <v>1127</v>
      </c>
    </row>
    <row r="1074" spans="1:17" ht="16.5" customHeight="1" x14ac:dyDescent="0.2">
      <c r="A1074" s="3" t="s">
        <v>0</v>
      </c>
      <c r="B1074" s="2" t="s">
        <v>54</v>
      </c>
      <c r="C1074" s="3" t="s">
        <v>4182</v>
      </c>
      <c r="D1074" s="26" t="s">
        <v>1838</v>
      </c>
      <c r="E1074" s="26" t="s">
        <v>1877</v>
      </c>
      <c r="F1074" s="4">
        <v>9</v>
      </c>
      <c r="G1074" s="4" t="str">
        <f t="shared" si="11"/>
        <v>i</v>
      </c>
      <c r="H1074" s="4">
        <v>1992</v>
      </c>
      <c r="I1074" s="2" t="s">
        <v>1895</v>
      </c>
      <c r="J1074" s="2" t="s">
        <v>1879</v>
      </c>
      <c r="K1074" s="4" t="s">
        <v>1842</v>
      </c>
      <c r="L1074" s="2"/>
      <c r="M1074" s="4" t="s">
        <v>8</v>
      </c>
      <c r="N1074" s="2"/>
      <c r="O1074" s="2"/>
      <c r="P1074" s="4" t="s">
        <v>1843</v>
      </c>
      <c r="Q1074" s="31" t="s">
        <v>1127</v>
      </c>
    </row>
    <row r="1075" spans="1:17" ht="16.5" customHeight="1" x14ac:dyDescent="0.2">
      <c r="A1075" s="3" t="s">
        <v>0</v>
      </c>
      <c r="B1075" s="2" t="s">
        <v>97</v>
      </c>
      <c r="C1075" s="3" t="s">
        <v>4182</v>
      </c>
      <c r="D1075" s="26" t="s">
        <v>1838</v>
      </c>
      <c r="E1075" s="26" t="s">
        <v>1877</v>
      </c>
      <c r="F1075" s="4">
        <v>10</v>
      </c>
      <c r="G1075" s="4" t="str">
        <f t="shared" si="11"/>
        <v>j</v>
      </c>
      <c r="H1075" s="4">
        <v>1993</v>
      </c>
      <c r="I1075" s="2" t="s">
        <v>1896</v>
      </c>
      <c r="J1075" s="2" t="s">
        <v>1879</v>
      </c>
      <c r="K1075" s="4" t="s">
        <v>1842</v>
      </c>
      <c r="L1075" s="2"/>
      <c r="M1075" s="4" t="s">
        <v>8</v>
      </c>
      <c r="N1075" s="2"/>
      <c r="O1075" s="2"/>
      <c r="P1075" s="4" t="s">
        <v>1843</v>
      </c>
      <c r="Q1075" s="31" t="s">
        <v>1127</v>
      </c>
    </row>
    <row r="1076" spans="1:17" ht="16.5" customHeight="1" x14ac:dyDescent="0.2">
      <c r="A1076" s="3" t="s">
        <v>0</v>
      </c>
      <c r="B1076" s="2" t="s">
        <v>103</v>
      </c>
      <c r="C1076" s="3" t="s">
        <v>4182</v>
      </c>
      <c r="D1076" s="26" t="s">
        <v>1838</v>
      </c>
      <c r="E1076" s="26" t="s">
        <v>1877</v>
      </c>
      <c r="F1076" s="4">
        <v>11</v>
      </c>
      <c r="G1076" s="4" t="str">
        <f t="shared" si="11"/>
        <v>k</v>
      </c>
      <c r="H1076" s="4">
        <v>1994</v>
      </c>
      <c r="I1076" s="2" t="s">
        <v>1897</v>
      </c>
      <c r="J1076" s="2" t="s">
        <v>1879</v>
      </c>
      <c r="K1076" s="4" t="s">
        <v>1842</v>
      </c>
      <c r="L1076" s="2"/>
      <c r="M1076" s="4" t="s">
        <v>8</v>
      </c>
      <c r="N1076" s="2"/>
      <c r="O1076" s="2"/>
      <c r="P1076" s="4" t="s">
        <v>1843</v>
      </c>
      <c r="Q1076" s="31" t="s">
        <v>1127</v>
      </c>
    </row>
    <row r="1077" spans="1:17" ht="16.5" customHeight="1" x14ac:dyDescent="0.2">
      <c r="A1077" s="3" t="s">
        <v>0</v>
      </c>
      <c r="B1077" s="2" t="s">
        <v>88</v>
      </c>
      <c r="C1077" s="3" t="s">
        <v>4182</v>
      </c>
      <c r="D1077" s="26" t="s">
        <v>1838</v>
      </c>
      <c r="E1077" s="26" t="s">
        <v>1877</v>
      </c>
      <c r="F1077" s="4">
        <v>12</v>
      </c>
      <c r="G1077" s="4" t="str">
        <f t="shared" si="11"/>
        <v>l</v>
      </c>
      <c r="H1077" s="4">
        <v>1995</v>
      </c>
      <c r="I1077" s="2" t="s">
        <v>1898</v>
      </c>
      <c r="J1077" s="2" t="s">
        <v>1879</v>
      </c>
      <c r="K1077" s="4" t="s">
        <v>1842</v>
      </c>
      <c r="L1077" s="2"/>
      <c r="M1077" s="4" t="s">
        <v>8</v>
      </c>
      <c r="N1077" s="2"/>
      <c r="O1077" s="2"/>
      <c r="P1077" s="4" t="s">
        <v>1843</v>
      </c>
      <c r="Q1077" s="31" t="s">
        <v>1127</v>
      </c>
    </row>
    <row r="1078" spans="1:17" ht="16.5" customHeight="1" x14ac:dyDescent="0.2">
      <c r="A1078" s="3" t="s">
        <v>0</v>
      </c>
      <c r="B1078" s="2" t="s">
        <v>106</v>
      </c>
      <c r="C1078" s="3" t="s">
        <v>4182</v>
      </c>
      <c r="D1078" s="26" t="s">
        <v>1838</v>
      </c>
      <c r="E1078" s="26" t="s">
        <v>1877</v>
      </c>
      <c r="F1078" s="4">
        <v>13</v>
      </c>
      <c r="G1078" s="4" t="str">
        <f t="shared" si="11"/>
        <v>m</v>
      </c>
      <c r="H1078" s="4">
        <v>1996</v>
      </c>
      <c r="I1078" s="2" t="s">
        <v>1899</v>
      </c>
      <c r="J1078" s="2" t="s">
        <v>1879</v>
      </c>
      <c r="K1078" s="4" t="s">
        <v>1842</v>
      </c>
      <c r="L1078" s="2"/>
      <c r="M1078" s="4" t="s">
        <v>8</v>
      </c>
      <c r="N1078" s="2"/>
      <c r="O1078" s="2"/>
      <c r="P1078" s="4" t="s">
        <v>1843</v>
      </c>
      <c r="Q1078" s="31" t="s">
        <v>1127</v>
      </c>
    </row>
    <row r="1079" spans="1:17" ht="16.5" customHeight="1" x14ac:dyDescent="0.2">
      <c r="A1079" s="3" t="s">
        <v>0</v>
      </c>
      <c r="B1079" s="2" t="s">
        <v>42</v>
      </c>
      <c r="C1079" s="3" t="s">
        <v>4182</v>
      </c>
      <c r="D1079" s="26" t="s">
        <v>1838</v>
      </c>
      <c r="E1079" s="26" t="s">
        <v>1877</v>
      </c>
      <c r="F1079" s="4">
        <v>14</v>
      </c>
      <c r="G1079" s="4" t="str">
        <f t="shared" si="11"/>
        <v>n</v>
      </c>
      <c r="H1079" s="4">
        <v>1997</v>
      </c>
      <c r="I1079" s="2" t="s">
        <v>1900</v>
      </c>
      <c r="J1079" s="2" t="s">
        <v>1879</v>
      </c>
      <c r="K1079" s="4" t="s">
        <v>1842</v>
      </c>
      <c r="L1079" s="2"/>
      <c r="M1079" s="4" t="s">
        <v>8</v>
      </c>
      <c r="N1079" s="2"/>
      <c r="O1079" s="2"/>
      <c r="P1079" s="4" t="s">
        <v>1843</v>
      </c>
      <c r="Q1079" s="31" t="s">
        <v>1127</v>
      </c>
    </row>
    <row r="1080" spans="1:17" ht="16.5" customHeight="1" x14ac:dyDescent="0.2">
      <c r="A1080" s="3" t="s">
        <v>0</v>
      </c>
      <c r="B1080" s="2" t="s">
        <v>18</v>
      </c>
      <c r="C1080" s="3" t="s">
        <v>4182</v>
      </c>
      <c r="D1080" s="26" t="s">
        <v>1838</v>
      </c>
      <c r="E1080" s="26" t="s">
        <v>1877</v>
      </c>
      <c r="F1080" s="4">
        <v>15</v>
      </c>
      <c r="G1080" s="4" t="str">
        <f t="shared" si="11"/>
        <v>o</v>
      </c>
      <c r="H1080" s="4">
        <v>1998</v>
      </c>
      <c r="I1080" s="2" t="s">
        <v>1901</v>
      </c>
      <c r="J1080" s="2" t="s">
        <v>1879</v>
      </c>
      <c r="K1080" s="4" t="s">
        <v>1842</v>
      </c>
      <c r="L1080" s="2"/>
      <c r="M1080" s="4" t="s">
        <v>8</v>
      </c>
      <c r="N1080" s="2"/>
      <c r="O1080" s="2"/>
      <c r="P1080" s="4" t="s">
        <v>1843</v>
      </c>
      <c r="Q1080" s="31" t="s">
        <v>1127</v>
      </c>
    </row>
    <row r="1081" spans="1:17" ht="16.5" customHeight="1" x14ac:dyDescent="0.2">
      <c r="A1081" s="3" t="s">
        <v>0</v>
      </c>
      <c r="B1081" s="2" t="s">
        <v>24</v>
      </c>
      <c r="C1081" s="3" t="s">
        <v>4182</v>
      </c>
      <c r="D1081" s="26" t="s">
        <v>1838</v>
      </c>
      <c r="E1081" s="26" t="s">
        <v>1877</v>
      </c>
      <c r="F1081" s="4">
        <v>16</v>
      </c>
      <c r="G1081" s="4" t="str">
        <f t="shared" si="11"/>
        <v>p</v>
      </c>
      <c r="H1081" s="4">
        <v>1999</v>
      </c>
      <c r="I1081" s="2" t="s">
        <v>1902</v>
      </c>
      <c r="J1081" s="2" t="s">
        <v>1879</v>
      </c>
      <c r="K1081" s="4" t="s">
        <v>1842</v>
      </c>
      <c r="L1081" s="2"/>
      <c r="M1081" s="4" t="s">
        <v>8</v>
      </c>
      <c r="N1081" s="2"/>
      <c r="O1081" s="2"/>
      <c r="P1081" s="4" t="s">
        <v>1843</v>
      </c>
      <c r="Q1081" s="31" t="s">
        <v>1127</v>
      </c>
    </row>
    <row r="1082" spans="1:17" ht="16.5" customHeight="1" x14ac:dyDescent="0.2">
      <c r="A1082" s="3" t="s">
        <v>0</v>
      </c>
      <c r="B1082" s="2" t="s">
        <v>72</v>
      </c>
      <c r="C1082" s="3" t="s">
        <v>4182</v>
      </c>
      <c r="D1082" s="26" t="s">
        <v>1838</v>
      </c>
      <c r="E1082" s="26" t="s">
        <v>1877</v>
      </c>
      <c r="F1082" s="4">
        <v>17</v>
      </c>
      <c r="G1082" s="4" t="str">
        <f t="shared" si="11"/>
        <v>q</v>
      </c>
      <c r="H1082" s="4">
        <v>2000</v>
      </c>
      <c r="I1082" s="2" t="s">
        <v>1903</v>
      </c>
      <c r="J1082" s="2" t="s">
        <v>1879</v>
      </c>
      <c r="K1082" s="4" t="s">
        <v>1842</v>
      </c>
      <c r="L1082" s="2"/>
      <c r="M1082" s="4" t="s">
        <v>8</v>
      </c>
      <c r="N1082" s="2"/>
      <c r="O1082" s="2"/>
      <c r="P1082" s="4" t="s">
        <v>1843</v>
      </c>
      <c r="Q1082" s="31" t="s">
        <v>1127</v>
      </c>
    </row>
    <row r="1083" spans="1:17" ht="16.5" customHeight="1" x14ac:dyDescent="0.2">
      <c r="A1083" s="3" t="s">
        <v>0</v>
      </c>
      <c r="B1083" s="2" t="s">
        <v>57</v>
      </c>
      <c r="C1083" s="3" t="s">
        <v>4182</v>
      </c>
      <c r="D1083" s="26" t="s">
        <v>1838</v>
      </c>
      <c r="E1083" s="26" t="s">
        <v>1877</v>
      </c>
      <c r="F1083" s="4">
        <v>18</v>
      </c>
      <c r="G1083" s="4" t="str">
        <f t="shared" si="11"/>
        <v>r</v>
      </c>
      <c r="H1083" s="4">
        <v>2001</v>
      </c>
      <c r="I1083" s="2" t="s">
        <v>1904</v>
      </c>
      <c r="J1083" s="2" t="s">
        <v>1879</v>
      </c>
      <c r="K1083" s="4" t="s">
        <v>1842</v>
      </c>
      <c r="L1083" s="2"/>
      <c r="M1083" s="4" t="s">
        <v>8</v>
      </c>
      <c r="N1083" s="2"/>
      <c r="O1083" s="2"/>
      <c r="P1083" s="4" t="s">
        <v>1843</v>
      </c>
      <c r="Q1083" s="31" t="s">
        <v>1127</v>
      </c>
    </row>
    <row r="1084" spans="1:17" ht="16.5" customHeight="1" x14ac:dyDescent="0.2">
      <c r="A1084" s="3" t="s">
        <v>0</v>
      </c>
      <c r="B1084" s="2" t="s">
        <v>1</v>
      </c>
      <c r="C1084" s="3" t="s">
        <v>4182</v>
      </c>
      <c r="D1084" s="26" t="s">
        <v>1838</v>
      </c>
      <c r="E1084" s="26" t="s">
        <v>1877</v>
      </c>
      <c r="F1084" s="4">
        <v>19</v>
      </c>
      <c r="G1084" s="4" t="str">
        <f t="shared" si="11"/>
        <v>s</v>
      </c>
      <c r="H1084" s="4">
        <v>2002</v>
      </c>
      <c r="I1084" s="2" t="s">
        <v>1905</v>
      </c>
      <c r="J1084" s="2" t="s">
        <v>1879</v>
      </c>
      <c r="K1084" s="4" t="s">
        <v>1842</v>
      </c>
      <c r="L1084" s="2"/>
      <c r="M1084" s="4" t="s">
        <v>8</v>
      </c>
      <c r="N1084" s="2"/>
      <c r="O1084" s="2"/>
      <c r="P1084" s="4" t="s">
        <v>1843</v>
      </c>
      <c r="Q1084" s="31" t="s">
        <v>1127</v>
      </c>
    </row>
    <row r="1085" spans="1:17" ht="16.5" customHeight="1" x14ac:dyDescent="0.2">
      <c r="A1085" s="3" t="s">
        <v>0</v>
      </c>
      <c r="B1085" s="2" t="s">
        <v>82</v>
      </c>
      <c r="C1085" s="3" t="s">
        <v>4182</v>
      </c>
      <c r="D1085" s="26" t="s">
        <v>1838</v>
      </c>
      <c r="E1085" s="26" t="s">
        <v>1877</v>
      </c>
      <c r="F1085" s="4">
        <v>20</v>
      </c>
      <c r="G1085" s="4" t="str">
        <f t="shared" si="11"/>
        <v>t</v>
      </c>
      <c r="H1085" s="4">
        <v>2003</v>
      </c>
      <c r="I1085" s="2" t="s">
        <v>1906</v>
      </c>
      <c r="J1085" s="2" t="s">
        <v>1879</v>
      </c>
      <c r="K1085" s="4" t="s">
        <v>1842</v>
      </c>
      <c r="L1085" s="2"/>
      <c r="M1085" s="4" t="s">
        <v>8</v>
      </c>
      <c r="N1085" s="2"/>
      <c r="O1085" s="2"/>
      <c r="P1085" s="4" t="s">
        <v>1843</v>
      </c>
      <c r="Q1085" s="31" t="s">
        <v>1127</v>
      </c>
    </row>
    <row r="1086" spans="1:17" ht="16.5" customHeight="1" x14ac:dyDescent="0.2">
      <c r="A1086" s="3" t="s">
        <v>0</v>
      </c>
      <c r="B1086" s="2" t="s">
        <v>63</v>
      </c>
      <c r="C1086" s="3" t="s">
        <v>4182</v>
      </c>
      <c r="D1086" s="26" t="s">
        <v>1838</v>
      </c>
      <c r="E1086" s="26" t="s">
        <v>1877</v>
      </c>
      <c r="F1086" s="4">
        <v>21</v>
      </c>
      <c r="G1086" s="4" t="str">
        <f t="shared" si="11"/>
        <v>u</v>
      </c>
      <c r="H1086" s="4">
        <v>2004</v>
      </c>
      <c r="I1086" s="2" t="s">
        <v>1907</v>
      </c>
      <c r="J1086" s="2" t="s">
        <v>1879</v>
      </c>
      <c r="K1086" s="4" t="s">
        <v>1842</v>
      </c>
      <c r="L1086" s="2"/>
      <c r="M1086" s="4" t="s">
        <v>8</v>
      </c>
      <c r="N1086" s="2"/>
      <c r="O1086" s="2"/>
      <c r="P1086" s="4" t="s">
        <v>1843</v>
      </c>
      <c r="Q1086" s="31" t="s">
        <v>1127</v>
      </c>
    </row>
    <row r="1087" spans="1:17" ht="16.5" customHeight="1" x14ac:dyDescent="0.2">
      <c r="A1087" s="3" t="s">
        <v>0</v>
      </c>
      <c r="B1087" s="2" t="s">
        <v>91</v>
      </c>
      <c r="C1087" s="3" t="s">
        <v>4182</v>
      </c>
      <c r="D1087" s="26" t="s">
        <v>1838</v>
      </c>
      <c r="E1087" s="26" t="s">
        <v>1877</v>
      </c>
      <c r="F1087" s="4">
        <v>22</v>
      </c>
      <c r="G1087" s="4" t="str">
        <f t="shared" si="11"/>
        <v>v</v>
      </c>
      <c r="H1087" s="4">
        <v>2005</v>
      </c>
      <c r="I1087" s="2" t="s">
        <v>1908</v>
      </c>
      <c r="J1087" s="2" t="s">
        <v>1879</v>
      </c>
      <c r="K1087" s="4" t="s">
        <v>1842</v>
      </c>
      <c r="L1087" s="2"/>
      <c r="M1087" s="4" t="s">
        <v>8</v>
      </c>
      <c r="N1087" s="2"/>
      <c r="O1087" s="2"/>
      <c r="P1087" s="4" t="s">
        <v>1843</v>
      </c>
      <c r="Q1087" s="31" t="s">
        <v>1127</v>
      </c>
    </row>
    <row r="1088" spans="1:17" ht="16.5" customHeight="1" x14ac:dyDescent="0.2">
      <c r="A1088" s="3" t="s">
        <v>0</v>
      </c>
      <c r="B1088" s="2" t="s">
        <v>51</v>
      </c>
      <c r="C1088" s="3" t="s">
        <v>4182</v>
      </c>
      <c r="D1088" s="26" t="s">
        <v>1838</v>
      </c>
      <c r="E1088" s="26" t="s">
        <v>1877</v>
      </c>
      <c r="F1088" s="4">
        <v>23</v>
      </c>
      <c r="G1088" s="4" t="str">
        <f t="shared" si="11"/>
        <v>w</v>
      </c>
      <c r="H1088" s="4">
        <v>2006</v>
      </c>
      <c r="I1088" s="2" t="s">
        <v>1909</v>
      </c>
      <c r="J1088" s="2" t="s">
        <v>1879</v>
      </c>
      <c r="K1088" s="4" t="s">
        <v>1842</v>
      </c>
      <c r="L1088" s="2"/>
      <c r="M1088" s="4" t="s">
        <v>8</v>
      </c>
      <c r="N1088" s="2"/>
      <c r="O1088" s="2"/>
      <c r="P1088" s="4" t="s">
        <v>1843</v>
      </c>
      <c r="Q1088" s="31" t="s">
        <v>1127</v>
      </c>
    </row>
    <row r="1089" spans="1:17" ht="16.5" customHeight="1" x14ac:dyDescent="0.2">
      <c r="A1089" s="3" t="s">
        <v>0</v>
      </c>
      <c r="B1089" s="2" t="s">
        <v>94</v>
      </c>
      <c r="C1089" s="3" t="s">
        <v>4182</v>
      </c>
      <c r="D1089" s="26" t="s">
        <v>1838</v>
      </c>
      <c r="E1089" s="26" t="s">
        <v>1877</v>
      </c>
      <c r="F1089" s="4">
        <v>24</v>
      </c>
      <c r="G1089" s="4" t="str">
        <f t="shared" si="11"/>
        <v>x</v>
      </c>
      <c r="H1089" s="4">
        <v>2007</v>
      </c>
      <c r="I1089" s="2" t="s">
        <v>1910</v>
      </c>
      <c r="J1089" s="2" t="s">
        <v>1879</v>
      </c>
      <c r="K1089" s="4" t="s">
        <v>1842</v>
      </c>
      <c r="L1089" s="2"/>
      <c r="M1089" s="4" t="s">
        <v>8</v>
      </c>
      <c r="N1089" s="2"/>
      <c r="O1089" s="2"/>
      <c r="P1089" s="4" t="s">
        <v>1843</v>
      </c>
      <c r="Q1089" s="31" t="s">
        <v>1127</v>
      </c>
    </row>
    <row r="1090" spans="1:17" ht="16.5" customHeight="1" x14ac:dyDescent="0.2">
      <c r="A1090" s="3" t="s">
        <v>0</v>
      </c>
      <c r="B1090" s="2" t="s">
        <v>69</v>
      </c>
      <c r="C1090" s="3" t="s">
        <v>4182</v>
      </c>
      <c r="D1090" s="26" t="s">
        <v>1838</v>
      </c>
      <c r="E1090" s="26" t="s">
        <v>1877</v>
      </c>
      <c r="F1090" s="4">
        <v>25</v>
      </c>
      <c r="G1090" s="4" t="str">
        <f t="shared" si="11"/>
        <v>y</v>
      </c>
      <c r="H1090" s="4">
        <v>2008</v>
      </c>
      <c r="I1090" s="2" t="s">
        <v>1911</v>
      </c>
      <c r="J1090" s="2" t="s">
        <v>1879</v>
      </c>
      <c r="K1090" s="4" t="s">
        <v>1842</v>
      </c>
      <c r="L1090" s="2"/>
      <c r="M1090" s="4" t="s">
        <v>8</v>
      </c>
      <c r="N1090" s="2"/>
      <c r="O1090" s="2"/>
      <c r="P1090" s="4" t="s">
        <v>1843</v>
      </c>
      <c r="Q1090" s="31" t="s">
        <v>1127</v>
      </c>
    </row>
    <row r="1091" spans="1:17" ht="16.5" customHeight="1" x14ac:dyDescent="0.2">
      <c r="A1091" s="3" t="s">
        <v>0</v>
      </c>
      <c r="B1091" s="2" t="s">
        <v>15</v>
      </c>
      <c r="C1091" s="3" t="s">
        <v>4182</v>
      </c>
      <c r="D1091" s="26" t="s">
        <v>1838</v>
      </c>
      <c r="E1091" s="26" t="s">
        <v>1877</v>
      </c>
      <c r="F1091" s="4">
        <v>26</v>
      </c>
      <c r="G1091" s="4" t="str">
        <f t="shared" si="11"/>
        <v>z</v>
      </c>
      <c r="H1091" s="4">
        <v>2009</v>
      </c>
      <c r="I1091" s="2" t="s">
        <v>1912</v>
      </c>
      <c r="J1091" s="2" t="s">
        <v>1879</v>
      </c>
      <c r="K1091" s="4" t="s">
        <v>1842</v>
      </c>
      <c r="L1091" s="2"/>
      <c r="M1091" s="4" t="s">
        <v>8</v>
      </c>
      <c r="N1091" s="2"/>
      <c r="O1091" s="2"/>
      <c r="P1091" s="4" t="s">
        <v>1843</v>
      </c>
      <c r="Q1091" s="31" t="s">
        <v>1127</v>
      </c>
    </row>
    <row r="1092" spans="1:17" ht="16.5" customHeight="1" x14ac:dyDescent="0.2">
      <c r="A1092" s="3" t="s">
        <v>0</v>
      </c>
      <c r="B1092" s="2" t="s">
        <v>39</v>
      </c>
      <c r="C1092" s="3" t="s">
        <v>4182</v>
      </c>
      <c r="D1092" s="26" t="s">
        <v>1838</v>
      </c>
      <c r="E1092" s="26" t="s">
        <v>1913</v>
      </c>
      <c r="F1092" s="4">
        <v>1</v>
      </c>
      <c r="G1092" s="4" t="str">
        <f t="shared" si="11"/>
        <v>a</v>
      </c>
      <c r="H1092" s="4">
        <v>1984</v>
      </c>
      <c r="I1092" s="2" t="s">
        <v>1914</v>
      </c>
      <c r="J1092" s="2" t="s">
        <v>1915</v>
      </c>
      <c r="K1092" s="4" t="s">
        <v>1842</v>
      </c>
      <c r="L1092" s="2"/>
      <c r="M1092" s="4" t="s">
        <v>8</v>
      </c>
      <c r="N1092" s="2"/>
      <c r="O1092" s="2"/>
      <c r="P1092" s="4" t="s">
        <v>1843</v>
      </c>
      <c r="Q1092" s="31" t="s">
        <v>1127</v>
      </c>
    </row>
    <row r="1093" spans="1:17" ht="16.5" customHeight="1" x14ac:dyDescent="0.2">
      <c r="A1093" s="3" t="s">
        <v>0</v>
      </c>
      <c r="B1093" s="2" t="s">
        <v>33</v>
      </c>
      <c r="C1093" s="3" t="s">
        <v>4182</v>
      </c>
      <c r="D1093" s="26" t="s">
        <v>1838</v>
      </c>
      <c r="E1093" s="26" t="s">
        <v>1913</v>
      </c>
      <c r="F1093" s="4">
        <v>27</v>
      </c>
      <c r="G1093" s="4" t="str">
        <f t="shared" ref="G1093:G1100" si="12">LEFT(B1093,2)</f>
        <v>ba</v>
      </c>
      <c r="H1093" s="4">
        <v>2010</v>
      </c>
      <c r="I1093" s="2" t="s">
        <v>1916</v>
      </c>
      <c r="J1093" s="2" t="s">
        <v>1915</v>
      </c>
      <c r="K1093" s="4" t="s">
        <v>1842</v>
      </c>
      <c r="L1093" s="2"/>
      <c r="M1093" s="4" t="s">
        <v>8</v>
      </c>
      <c r="N1093" s="2"/>
      <c r="O1093" s="2"/>
      <c r="P1093" s="4" t="s">
        <v>1843</v>
      </c>
      <c r="Q1093" s="31" t="s">
        <v>1127</v>
      </c>
    </row>
    <row r="1094" spans="1:17" ht="16.5" customHeight="1" x14ac:dyDescent="0.2">
      <c r="A1094" s="3" t="s">
        <v>0</v>
      </c>
      <c r="B1094" s="2" t="s">
        <v>45</v>
      </c>
      <c r="C1094" s="3" t="s">
        <v>4182</v>
      </c>
      <c r="D1094" s="26" t="s">
        <v>1838</v>
      </c>
      <c r="E1094" s="26" t="s">
        <v>1913</v>
      </c>
      <c r="F1094" s="4">
        <v>28</v>
      </c>
      <c r="G1094" s="4" t="str">
        <f t="shared" si="12"/>
        <v>bb</v>
      </c>
      <c r="H1094" s="4">
        <v>2011</v>
      </c>
      <c r="I1094" s="2" t="s">
        <v>1917</v>
      </c>
      <c r="J1094" s="2" t="s">
        <v>1915</v>
      </c>
      <c r="K1094" s="4" t="s">
        <v>1842</v>
      </c>
      <c r="L1094" s="2"/>
      <c r="M1094" s="4" t="s">
        <v>8</v>
      </c>
      <c r="N1094" s="2"/>
      <c r="O1094" s="2"/>
      <c r="P1094" s="4" t="s">
        <v>1843</v>
      </c>
      <c r="Q1094" s="31" t="s">
        <v>1127</v>
      </c>
    </row>
    <row r="1095" spans="1:17" ht="16.5" customHeight="1" x14ac:dyDescent="0.2">
      <c r="A1095" s="3" t="s">
        <v>0</v>
      </c>
      <c r="B1095" s="2" t="s">
        <v>60</v>
      </c>
      <c r="C1095" s="3" t="s">
        <v>4182</v>
      </c>
      <c r="D1095" s="26" t="s">
        <v>1838</v>
      </c>
      <c r="E1095" s="26" t="s">
        <v>1913</v>
      </c>
      <c r="F1095" s="4">
        <v>29</v>
      </c>
      <c r="G1095" s="4" t="str">
        <f t="shared" si="12"/>
        <v>bc</v>
      </c>
      <c r="H1095" s="4">
        <v>2012</v>
      </c>
      <c r="I1095" s="2" t="s">
        <v>1918</v>
      </c>
      <c r="J1095" s="2" t="s">
        <v>1915</v>
      </c>
      <c r="K1095" s="4" t="s">
        <v>1842</v>
      </c>
      <c r="L1095" s="2"/>
      <c r="M1095" s="4" t="s">
        <v>8</v>
      </c>
      <c r="N1095" s="2"/>
      <c r="O1095" s="2"/>
      <c r="P1095" s="4" t="s">
        <v>1843</v>
      </c>
      <c r="Q1095" s="31" t="s">
        <v>1127</v>
      </c>
    </row>
    <row r="1096" spans="1:17" ht="16.5" customHeight="1" x14ac:dyDescent="0.2">
      <c r="A1096" s="3" t="s">
        <v>0</v>
      </c>
      <c r="B1096" s="2" t="s">
        <v>85</v>
      </c>
      <c r="C1096" s="3" t="s">
        <v>4182</v>
      </c>
      <c r="D1096" s="26" t="s">
        <v>1838</v>
      </c>
      <c r="E1096" s="26" t="s">
        <v>1913</v>
      </c>
      <c r="F1096" s="4">
        <v>30</v>
      </c>
      <c r="G1096" s="4" t="str">
        <f t="shared" si="12"/>
        <v>bd</v>
      </c>
      <c r="H1096" s="4">
        <v>2013</v>
      </c>
      <c r="I1096" s="2" t="s">
        <v>1919</v>
      </c>
      <c r="J1096" s="2" t="s">
        <v>1915</v>
      </c>
      <c r="K1096" s="4" t="s">
        <v>1842</v>
      </c>
      <c r="L1096" s="2"/>
      <c r="M1096" s="4" t="s">
        <v>8</v>
      </c>
      <c r="N1096" s="2"/>
      <c r="O1096" s="2"/>
      <c r="P1096" s="4" t="s">
        <v>1843</v>
      </c>
      <c r="Q1096" s="31" t="s">
        <v>1127</v>
      </c>
    </row>
    <row r="1097" spans="1:17" ht="16.5" customHeight="1" x14ac:dyDescent="0.2">
      <c r="A1097" s="3" t="s">
        <v>0</v>
      </c>
      <c r="B1097" s="2" t="s">
        <v>21</v>
      </c>
      <c r="C1097" s="3" t="s">
        <v>4182</v>
      </c>
      <c r="D1097" s="26" t="s">
        <v>1838</v>
      </c>
      <c r="E1097" s="26" t="s">
        <v>1913</v>
      </c>
      <c r="F1097" s="4">
        <v>31</v>
      </c>
      <c r="G1097" s="4" t="str">
        <f t="shared" si="12"/>
        <v>be</v>
      </c>
      <c r="H1097" s="4">
        <v>2014</v>
      </c>
      <c r="I1097" s="2" t="s">
        <v>1920</v>
      </c>
      <c r="J1097" s="2" t="s">
        <v>1915</v>
      </c>
      <c r="K1097" s="4" t="s">
        <v>1842</v>
      </c>
      <c r="L1097" s="2"/>
      <c r="M1097" s="4" t="s">
        <v>8</v>
      </c>
      <c r="N1097" s="2"/>
      <c r="O1097" s="2"/>
      <c r="P1097" s="4" t="s">
        <v>1843</v>
      </c>
      <c r="Q1097" s="31" t="s">
        <v>1127</v>
      </c>
    </row>
    <row r="1098" spans="1:17" ht="16.5" customHeight="1" x14ac:dyDescent="0.2">
      <c r="A1098" s="3" t="s">
        <v>0</v>
      </c>
      <c r="B1098" s="2" t="s">
        <v>27</v>
      </c>
      <c r="C1098" s="3" t="s">
        <v>4182</v>
      </c>
      <c r="D1098" s="26" t="s">
        <v>1838</v>
      </c>
      <c r="E1098" s="26" t="s">
        <v>1913</v>
      </c>
      <c r="F1098" s="4">
        <v>32</v>
      </c>
      <c r="G1098" s="4" t="str">
        <f t="shared" si="12"/>
        <v>bf</v>
      </c>
      <c r="H1098" s="4">
        <v>2015</v>
      </c>
      <c r="I1098" s="2" t="s">
        <v>1921</v>
      </c>
      <c r="J1098" s="2" t="s">
        <v>1915</v>
      </c>
      <c r="K1098" s="4" t="s">
        <v>1842</v>
      </c>
      <c r="L1098" s="2"/>
      <c r="M1098" s="4" t="s">
        <v>8</v>
      </c>
      <c r="N1098" s="2"/>
      <c r="O1098" s="2"/>
      <c r="P1098" s="4" t="s">
        <v>1843</v>
      </c>
      <c r="Q1098" s="31" t="s">
        <v>1127</v>
      </c>
    </row>
    <row r="1099" spans="1:17" ht="16.5" customHeight="1" x14ac:dyDescent="0.2">
      <c r="A1099" s="3" t="s">
        <v>0</v>
      </c>
      <c r="B1099" s="2" t="s">
        <v>75</v>
      </c>
      <c r="C1099" s="3" t="s">
        <v>4182</v>
      </c>
      <c r="D1099" s="26" t="s">
        <v>1838</v>
      </c>
      <c r="E1099" s="26" t="s">
        <v>1913</v>
      </c>
      <c r="F1099" s="4">
        <v>33</v>
      </c>
      <c r="G1099" s="4" t="str">
        <f t="shared" si="12"/>
        <v>bg</v>
      </c>
      <c r="H1099" s="4">
        <v>2016</v>
      </c>
      <c r="I1099" s="2" t="s">
        <v>1922</v>
      </c>
      <c r="J1099" s="2" t="s">
        <v>1915</v>
      </c>
      <c r="K1099" s="4" t="s">
        <v>1842</v>
      </c>
      <c r="L1099" s="2"/>
      <c r="M1099" s="4" t="s">
        <v>8</v>
      </c>
      <c r="N1099" s="2"/>
      <c r="O1099" s="2"/>
      <c r="P1099" s="4" t="s">
        <v>1843</v>
      </c>
      <c r="Q1099" s="31" t="s">
        <v>1127</v>
      </c>
    </row>
    <row r="1100" spans="1:17" ht="16.5" customHeight="1" x14ac:dyDescent="0.2">
      <c r="A1100" s="3" t="s">
        <v>0</v>
      </c>
      <c r="B1100" s="2" t="s">
        <v>66</v>
      </c>
      <c r="C1100" s="3" t="s">
        <v>4182</v>
      </c>
      <c r="D1100" s="26" t="s">
        <v>1838</v>
      </c>
      <c r="E1100" s="26" t="s">
        <v>1913</v>
      </c>
      <c r="F1100" s="4">
        <v>34</v>
      </c>
      <c r="G1100" s="4" t="str">
        <f t="shared" si="12"/>
        <v>bh</v>
      </c>
      <c r="H1100" s="4">
        <v>2017</v>
      </c>
      <c r="I1100" s="2" t="s">
        <v>1923</v>
      </c>
      <c r="J1100" s="2" t="s">
        <v>1915</v>
      </c>
      <c r="K1100" s="4" t="s">
        <v>1842</v>
      </c>
      <c r="L1100" s="2"/>
      <c r="M1100" s="4" t="s">
        <v>8</v>
      </c>
      <c r="N1100" s="2"/>
      <c r="O1100" s="2"/>
      <c r="P1100" s="4" t="s">
        <v>1843</v>
      </c>
      <c r="Q1100" s="31" t="s">
        <v>1127</v>
      </c>
    </row>
    <row r="1101" spans="1:17" ht="16.5" customHeight="1" x14ac:dyDescent="0.2">
      <c r="A1101" s="3" t="s">
        <v>0</v>
      </c>
      <c r="B1101" s="2" t="s">
        <v>36</v>
      </c>
      <c r="C1101" s="3" t="s">
        <v>4182</v>
      </c>
      <c r="D1101" s="26" t="s">
        <v>1838</v>
      </c>
      <c r="E1101" s="26" t="s">
        <v>1913</v>
      </c>
      <c r="F1101" s="4">
        <v>2</v>
      </c>
      <c r="G1101" s="4" t="str">
        <f t="shared" ref="G1101:G1126" si="13">LEFT(B1101,1)</f>
        <v>b</v>
      </c>
      <c r="H1101" s="4">
        <v>1985</v>
      </c>
      <c r="I1101" s="2" t="s">
        <v>1924</v>
      </c>
      <c r="J1101" s="2" t="s">
        <v>1915</v>
      </c>
      <c r="K1101" s="4" t="s">
        <v>1842</v>
      </c>
      <c r="L1101" s="2"/>
      <c r="M1101" s="4" t="s">
        <v>8</v>
      </c>
      <c r="N1101" s="2"/>
      <c r="O1101" s="2"/>
      <c r="P1101" s="4" t="s">
        <v>1843</v>
      </c>
      <c r="Q1101" s="31" t="s">
        <v>1127</v>
      </c>
    </row>
    <row r="1102" spans="1:17" ht="16.5" customHeight="1" x14ac:dyDescent="0.2">
      <c r="A1102" s="3" t="s">
        <v>0</v>
      </c>
      <c r="B1102" s="2" t="s">
        <v>79</v>
      </c>
      <c r="C1102" s="3" t="s">
        <v>4182</v>
      </c>
      <c r="D1102" s="26" t="s">
        <v>1838</v>
      </c>
      <c r="E1102" s="26" t="s">
        <v>1913</v>
      </c>
      <c r="F1102" s="4">
        <v>3</v>
      </c>
      <c r="G1102" s="4" t="str">
        <f t="shared" si="13"/>
        <v>c</v>
      </c>
      <c r="H1102" s="4">
        <v>1986</v>
      </c>
      <c r="I1102" s="2" t="s">
        <v>1925</v>
      </c>
      <c r="J1102" s="2" t="s">
        <v>1915</v>
      </c>
      <c r="K1102" s="4" t="s">
        <v>1842</v>
      </c>
      <c r="L1102" s="2"/>
      <c r="M1102" s="4" t="s">
        <v>8</v>
      </c>
      <c r="N1102" s="2"/>
      <c r="O1102" s="2"/>
      <c r="P1102" s="4" t="s">
        <v>1843</v>
      </c>
      <c r="Q1102" s="31" t="s">
        <v>1127</v>
      </c>
    </row>
    <row r="1103" spans="1:17" ht="16.5" customHeight="1" x14ac:dyDescent="0.2">
      <c r="A1103" s="3" t="s">
        <v>0</v>
      </c>
      <c r="B1103" s="2" t="s">
        <v>30</v>
      </c>
      <c r="C1103" s="3" t="s">
        <v>4182</v>
      </c>
      <c r="D1103" s="26" t="s">
        <v>1838</v>
      </c>
      <c r="E1103" s="26" t="s">
        <v>1913</v>
      </c>
      <c r="F1103" s="4">
        <v>4</v>
      </c>
      <c r="G1103" s="4" t="str">
        <f t="shared" si="13"/>
        <v>d</v>
      </c>
      <c r="H1103" s="4">
        <v>1987</v>
      </c>
      <c r="I1103" s="2" t="s">
        <v>1926</v>
      </c>
      <c r="J1103" s="2" t="s">
        <v>1915</v>
      </c>
      <c r="K1103" s="4" t="s">
        <v>1842</v>
      </c>
      <c r="L1103" s="2"/>
      <c r="M1103" s="4" t="s">
        <v>8</v>
      </c>
      <c r="N1103" s="2"/>
      <c r="O1103" s="2"/>
      <c r="P1103" s="4" t="s">
        <v>1843</v>
      </c>
      <c r="Q1103" s="31" t="s">
        <v>1127</v>
      </c>
    </row>
    <row r="1104" spans="1:17" ht="16.5" customHeight="1" x14ac:dyDescent="0.2">
      <c r="A1104" s="3" t="s">
        <v>0</v>
      </c>
      <c r="B1104" s="2" t="s">
        <v>12</v>
      </c>
      <c r="C1104" s="3" t="s">
        <v>4182</v>
      </c>
      <c r="D1104" s="26" t="s">
        <v>1838</v>
      </c>
      <c r="E1104" s="26" t="s">
        <v>1913</v>
      </c>
      <c r="F1104" s="4">
        <v>5</v>
      </c>
      <c r="G1104" s="4" t="str">
        <f t="shared" si="13"/>
        <v>e</v>
      </c>
      <c r="H1104" s="4">
        <v>1988</v>
      </c>
      <c r="I1104" s="2" t="s">
        <v>1927</v>
      </c>
      <c r="J1104" s="2" t="s">
        <v>1915</v>
      </c>
      <c r="K1104" s="4" t="s">
        <v>1842</v>
      </c>
      <c r="L1104" s="2"/>
      <c r="M1104" s="4" t="s">
        <v>8</v>
      </c>
      <c r="N1104" s="2"/>
      <c r="O1104" s="2"/>
      <c r="P1104" s="4" t="s">
        <v>1843</v>
      </c>
      <c r="Q1104" s="31" t="s">
        <v>1127</v>
      </c>
    </row>
    <row r="1105" spans="1:17" ht="16.5" customHeight="1" x14ac:dyDescent="0.2">
      <c r="A1105" s="3" t="s">
        <v>0</v>
      </c>
      <c r="B1105" s="2" t="s">
        <v>48</v>
      </c>
      <c r="C1105" s="3" t="s">
        <v>4182</v>
      </c>
      <c r="D1105" s="26" t="s">
        <v>1838</v>
      </c>
      <c r="E1105" s="26" t="s">
        <v>1913</v>
      </c>
      <c r="F1105" s="4">
        <v>6</v>
      </c>
      <c r="G1105" s="4" t="str">
        <f t="shared" si="13"/>
        <v>f</v>
      </c>
      <c r="H1105" s="4">
        <v>1989</v>
      </c>
      <c r="I1105" s="2" t="s">
        <v>1928</v>
      </c>
      <c r="J1105" s="2" t="s">
        <v>1915</v>
      </c>
      <c r="K1105" s="4" t="s">
        <v>1842</v>
      </c>
      <c r="L1105" s="2"/>
      <c r="M1105" s="4" t="s">
        <v>8</v>
      </c>
      <c r="N1105" s="2"/>
      <c r="O1105" s="2"/>
      <c r="P1105" s="4" t="s">
        <v>1843</v>
      </c>
      <c r="Q1105" s="31" t="s">
        <v>1127</v>
      </c>
    </row>
    <row r="1106" spans="1:17" ht="16.5" customHeight="1" x14ac:dyDescent="0.2">
      <c r="A1106" s="3" t="s">
        <v>0</v>
      </c>
      <c r="B1106" s="2" t="s">
        <v>100</v>
      </c>
      <c r="C1106" s="3" t="s">
        <v>4182</v>
      </c>
      <c r="D1106" s="26" t="s">
        <v>1838</v>
      </c>
      <c r="E1106" s="26" t="s">
        <v>1913</v>
      </c>
      <c r="F1106" s="4">
        <v>7</v>
      </c>
      <c r="G1106" s="4" t="str">
        <f t="shared" si="13"/>
        <v>g</v>
      </c>
      <c r="H1106" s="4">
        <v>1990</v>
      </c>
      <c r="I1106" s="2" t="s">
        <v>1929</v>
      </c>
      <c r="J1106" s="2" t="s">
        <v>1915</v>
      </c>
      <c r="K1106" s="4" t="s">
        <v>1842</v>
      </c>
      <c r="L1106" s="2"/>
      <c r="M1106" s="4" t="s">
        <v>8</v>
      </c>
      <c r="N1106" s="2"/>
      <c r="O1106" s="2"/>
      <c r="P1106" s="4" t="s">
        <v>1843</v>
      </c>
      <c r="Q1106" s="31" t="s">
        <v>1127</v>
      </c>
    </row>
    <row r="1107" spans="1:17" ht="16.5" customHeight="1" x14ac:dyDescent="0.2">
      <c r="A1107" s="3" t="s">
        <v>0</v>
      </c>
      <c r="B1107" s="2" t="s">
        <v>9</v>
      </c>
      <c r="C1107" s="3" t="s">
        <v>4182</v>
      </c>
      <c r="D1107" s="26" t="s">
        <v>1838</v>
      </c>
      <c r="E1107" s="26" t="s">
        <v>1913</v>
      </c>
      <c r="F1107" s="4">
        <v>8</v>
      </c>
      <c r="G1107" s="4" t="str">
        <f t="shared" si="13"/>
        <v>h</v>
      </c>
      <c r="H1107" s="4">
        <v>1991</v>
      </c>
      <c r="I1107" s="2" t="s">
        <v>1930</v>
      </c>
      <c r="J1107" s="2" t="s">
        <v>1915</v>
      </c>
      <c r="K1107" s="4" t="s">
        <v>1842</v>
      </c>
      <c r="L1107" s="2"/>
      <c r="M1107" s="4" t="s">
        <v>8</v>
      </c>
      <c r="N1107" s="2"/>
      <c r="O1107" s="2"/>
      <c r="P1107" s="4" t="s">
        <v>1843</v>
      </c>
      <c r="Q1107" s="31" t="s">
        <v>1127</v>
      </c>
    </row>
    <row r="1108" spans="1:17" ht="16.5" customHeight="1" x14ac:dyDescent="0.2">
      <c r="A1108" s="3" t="s">
        <v>0</v>
      </c>
      <c r="B1108" s="2" t="s">
        <v>54</v>
      </c>
      <c r="C1108" s="3" t="s">
        <v>4182</v>
      </c>
      <c r="D1108" s="26" t="s">
        <v>1838</v>
      </c>
      <c r="E1108" s="26" t="s">
        <v>1913</v>
      </c>
      <c r="F1108" s="4">
        <v>9</v>
      </c>
      <c r="G1108" s="4" t="str">
        <f t="shared" si="13"/>
        <v>i</v>
      </c>
      <c r="H1108" s="4">
        <v>1992</v>
      </c>
      <c r="I1108" s="2" t="s">
        <v>1931</v>
      </c>
      <c r="J1108" s="2" t="s">
        <v>1915</v>
      </c>
      <c r="K1108" s="4" t="s">
        <v>1842</v>
      </c>
      <c r="L1108" s="2"/>
      <c r="M1108" s="4" t="s">
        <v>8</v>
      </c>
      <c r="N1108" s="2"/>
      <c r="O1108" s="2"/>
      <c r="P1108" s="4" t="s">
        <v>1843</v>
      </c>
      <c r="Q1108" s="31" t="s">
        <v>1127</v>
      </c>
    </row>
    <row r="1109" spans="1:17" ht="16.5" customHeight="1" x14ac:dyDescent="0.2">
      <c r="A1109" s="3" t="s">
        <v>0</v>
      </c>
      <c r="B1109" s="2" t="s">
        <v>97</v>
      </c>
      <c r="C1109" s="3" t="s">
        <v>4182</v>
      </c>
      <c r="D1109" s="26" t="s">
        <v>1838</v>
      </c>
      <c r="E1109" s="26" t="s">
        <v>1913</v>
      </c>
      <c r="F1109" s="4">
        <v>10</v>
      </c>
      <c r="G1109" s="4" t="str">
        <f t="shared" si="13"/>
        <v>j</v>
      </c>
      <c r="H1109" s="4">
        <v>1993</v>
      </c>
      <c r="I1109" t="s">
        <v>1932</v>
      </c>
      <c r="J1109" s="2" t="s">
        <v>1915</v>
      </c>
      <c r="K1109" s="4" t="s">
        <v>1842</v>
      </c>
      <c r="L1109" s="2"/>
      <c r="M1109" s="4" t="s">
        <v>8</v>
      </c>
      <c r="N1109" s="2"/>
      <c r="O1109" s="2"/>
      <c r="P1109" s="4" t="s">
        <v>1843</v>
      </c>
      <c r="Q1109" s="31" t="s">
        <v>1127</v>
      </c>
    </row>
    <row r="1110" spans="1:17" ht="16.5" customHeight="1" x14ac:dyDescent="0.2">
      <c r="A1110" s="3" t="s">
        <v>0</v>
      </c>
      <c r="B1110" s="2" t="s">
        <v>103</v>
      </c>
      <c r="C1110" s="3" t="s">
        <v>4182</v>
      </c>
      <c r="D1110" s="26" t="s">
        <v>1838</v>
      </c>
      <c r="E1110" s="26" t="s">
        <v>1913</v>
      </c>
      <c r="F1110" s="4">
        <v>11</v>
      </c>
      <c r="G1110" s="4" t="str">
        <f t="shared" si="13"/>
        <v>k</v>
      </c>
      <c r="H1110" s="4">
        <v>1994</v>
      </c>
      <c r="I1110" s="2" t="s">
        <v>1933</v>
      </c>
      <c r="J1110" s="2" t="s">
        <v>1915</v>
      </c>
      <c r="K1110" s="4" t="s">
        <v>1842</v>
      </c>
      <c r="L1110" s="2"/>
      <c r="M1110" s="4" t="s">
        <v>8</v>
      </c>
      <c r="N1110" s="2"/>
      <c r="O1110" s="2"/>
      <c r="P1110" s="4" t="s">
        <v>1843</v>
      </c>
      <c r="Q1110" s="31" t="s">
        <v>1127</v>
      </c>
    </row>
    <row r="1111" spans="1:17" ht="16.5" customHeight="1" x14ac:dyDescent="0.2">
      <c r="A1111" s="3" t="s">
        <v>0</v>
      </c>
      <c r="B1111" s="2" t="s">
        <v>88</v>
      </c>
      <c r="C1111" s="3" t="s">
        <v>4182</v>
      </c>
      <c r="D1111" s="26" t="s">
        <v>1838</v>
      </c>
      <c r="E1111" s="26" t="s">
        <v>1913</v>
      </c>
      <c r="F1111" s="4">
        <v>12</v>
      </c>
      <c r="G1111" s="4" t="str">
        <f t="shared" si="13"/>
        <v>l</v>
      </c>
      <c r="H1111" s="4">
        <v>1995</v>
      </c>
      <c r="I1111" s="2" t="s">
        <v>1934</v>
      </c>
      <c r="J1111" s="2" t="s">
        <v>1915</v>
      </c>
      <c r="K1111" s="4" t="s">
        <v>1842</v>
      </c>
      <c r="L1111" s="2"/>
      <c r="M1111" s="4" t="s">
        <v>8</v>
      </c>
      <c r="N1111" s="2"/>
      <c r="O1111" s="2"/>
      <c r="P1111" s="4" t="s">
        <v>1843</v>
      </c>
      <c r="Q1111" s="31" t="s">
        <v>1127</v>
      </c>
    </row>
    <row r="1112" spans="1:17" ht="16.5" customHeight="1" x14ac:dyDescent="0.2">
      <c r="A1112" s="3" t="s">
        <v>0</v>
      </c>
      <c r="B1112" s="2" t="s">
        <v>106</v>
      </c>
      <c r="C1112" s="3" t="s">
        <v>4182</v>
      </c>
      <c r="D1112" s="26" t="s">
        <v>1838</v>
      </c>
      <c r="E1112" s="26" t="s">
        <v>1913</v>
      </c>
      <c r="F1112" s="4">
        <v>13</v>
      </c>
      <c r="G1112" s="4" t="str">
        <f t="shared" si="13"/>
        <v>m</v>
      </c>
      <c r="H1112" s="4">
        <v>1996</v>
      </c>
      <c r="I1112" s="2" t="s">
        <v>1935</v>
      </c>
      <c r="J1112" s="2" t="s">
        <v>1915</v>
      </c>
      <c r="K1112" s="4" t="s">
        <v>1842</v>
      </c>
      <c r="L1112" s="2"/>
      <c r="M1112" s="4" t="s">
        <v>8</v>
      </c>
      <c r="N1112" s="2"/>
      <c r="O1112" s="2"/>
      <c r="P1112" s="4" t="s">
        <v>1843</v>
      </c>
      <c r="Q1112" s="31" t="s">
        <v>1127</v>
      </c>
    </row>
    <row r="1113" spans="1:17" ht="16.5" customHeight="1" x14ac:dyDescent="0.2">
      <c r="A1113" s="3" t="s">
        <v>0</v>
      </c>
      <c r="B1113" s="2" t="s">
        <v>42</v>
      </c>
      <c r="C1113" s="3" t="s">
        <v>4182</v>
      </c>
      <c r="D1113" s="26" t="s">
        <v>1838</v>
      </c>
      <c r="E1113" s="26" t="s">
        <v>1913</v>
      </c>
      <c r="F1113" s="4">
        <v>14</v>
      </c>
      <c r="G1113" s="4" t="str">
        <f t="shared" si="13"/>
        <v>n</v>
      </c>
      <c r="H1113" s="4">
        <v>1997</v>
      </c>
      <c r="I1113" s="2" t="s">
        <v>1936</v>
      </c>
      <c r="J1113" s="2" t="s">
        <v>1915</v>
      </c>
      <c r="K1113" s="4" t="s">
        <v>1842</v>
      </c>
      <c r="L1113" s="2"/>
      <c r="M1113" s="4" t="s">
        <v>8</v>
      </c>
      <c r="N1113" s="2"/>
      <c r="O1113" s="2"/>
      <c r="P1113" s="4" t="s">
        <v>1843</v>
      </c>
      <c r="Q1113" s="31" t="s">
        <v>1127</v>
      </c>
    </row>
    <row r="1114" spans="1:17" ht="16.5" customHeight="1" x14ac:dyDescent="0.2">
      <c r="A1114" s="3" t="s">
        <v>0</v>
      </c>
      <c r="B1114" s="2" t="s">
        <v>18</v>
      </c>
      <c r="C1114" s="3" t="s">
        <v>4182</v>
      </c>
      <c r="D1114" s="26" t="s">
        <v>1838</v>
      </c>
      <c r="E1114" s="26" t="s">
        <v>1913</v>
      </c>
      <c r="F1114" s="4">
        <v>15</v>
      </c>
      <c r="G1114" s="4" t="str">
        <f t="shared" si="13"/>
        <v>o</v>
      </c>
      <c r="H1114" s="4">
        <v>1998</v>
      </c>
      <c r="I1114" s="2" t="s">
        <v>1937</v>
      </c>
      <c r="J1114" s="2" t="s">
        <v>1915</v>
      </c>
      <c r="K1114" s="4" t="s">
        <v>1842</v>
      </c>
      <c r="L1114" s="2"/>
      <c r="M1114" s="4" t="s">
        <v>8</v>
      </c>
      <c r="N1114" s="2"/>
      <c r="O1114" s="2"/>
      <c r="P1114" s="4" t="s">
        <v>1843</v>
      </c>
      <c r="Q1114" s="31" t="s">
        <v>1127</v>
      </c>
    </row>
    <row r="1115" spans="1:17" ht="16.5" customHeight="1" x14ac:dyDescent="0.2">
      <c r="A1115" s="3" t="s">
        <v>0</v>
      </c>
      <c r="B1115" s="2" t="s">
        <v>24</v>
      </c>
      <c r="C1115" s="3" t="s">
        <v>4182</v>
      </c>
      <c r="D1115" s="26" t="s">
        <v>1838</v>
      </c>
      <c r="E1115" s="26" t="s">
        <v>1913</v>
      </c>
      <c r="F1115" s="4">
        <v>16</v>
      </c>
      <c r="G1115" s="4" t="str">
        <f t="shared" si="13"/>
        <v>p</v>
      </c>
      <c r="H1115" s="4">
        <v>1999</v>
      </c>
      <c r="I1115" s="2" t="s">
        <v>1938</v>
      </c>
      <c r="J1115" s="2" t="s">
        <v>1915</v>
      </c>
      <c r="K1115" s="4" t="s">
        <v>1842</v>
      </c>
      <c r="L1115" s="2"/>
      <c r="M1115" s="4" t="s">
        <v>8</v>
      </c>
      <c r="N1115" s="2"/>
      <c r="O1115" s="2"/>
      <c r="P1115" s="4" t="s">
        <v>1843</v>
      </c>
      <c r="Q1115" s="31" t="s">
        <v>1127</v>
      </c>
    </row>
    <row r="1116" spans="1:17" ht="16.5" customHeight="1" x14ac:dyDescent="0.2">
      <c r="A1116" s="3" t="s">
        <v>0</v>
      </c>
      <c r="B1116" s="2" t="s">
        <v>72</v>
      </c>
      <c r="C1116" s="3" t="s">
        <v>4182</v>
      </c>
      <c r="D1116" s="26" t="s">
        <v>1838</v>
      </c>
      <c r="E1116" s="26" t="s">
        <v>1913</v>
      </c>
      <c r="F1116" s="4">
        <v>17</v>
      </c>
      <c r="G1116" s="4" t="str">
        <f t="shared" si="13"/>
        <v>q</v>
      </c>
      <c r="H1116" s="4">
        <v>2000</v>
      </c>
      <c r="I1116" s="2" t="s">
        <v>1939</v>
      </c>
      <c r="J1116" s="2" t="s">
        <v>1915</v>
      </c>
      <c r="K1116" s="4" t="s">
        <v>1842</v>
      </c>
      <c r="L1116" s="2"/>
      <c r="M1116" s="4" t="s">
        <v>8</v>
      </c>
      <c r="N1116" s="2"/>
      <c r="O1116" s="2"/>
      <c r="P1116" s="4" t="s">
        <v>1843</v>
      </c>
      <c r="Q1116" s="31" t="s">
        <v>1127</v>
      </c>
    </row>
    <row r="1117" spans="1:17" ht="16.5" customHeight="1" x14ac:dyDescent="0.2">
      <c r="A1117" s="3" t="s">
        <v>0</v>
      </c>
      <c r="B1117" s="2" t="s">
        <v>57</v>
      </c>
      <c r="C1117" s="3" t="s">
        <v>4182</v>
      </c>
      <c r="D1117" s="26" t="s">
        <v>1838</v>
      </c>
      <c r="E1117" s="26" t="s">
        <v>1913</v>
      </c>
      <c r="F1117" s="4">
        <v>18</v>
      </c>
      <c r="G1117" s="4" t="str">
        <f t="shared" si="13"/>
        <v>r</v>
      </c>
      <c r="H1117" s="4">
        <v>2001</v>
      </c>
      <c r="I1117" s="2" t="s">
        <v>1940</v>
      </c>
      <c r="J1117" s="2" t="s">
        <v>1915</v>
      </c>
      <c r="K1117" s="4" t="s">
        <v>1842</v>
      </c>
      <c r="L1117" s="2"/>
      <c r="M1117" s="4" t="s">
        <v>8</v>
      </c>
      <c r="N1117" s="2"/>
      <c r="O1117" s="2"/>
      <c r="P1117" s="4" t="s">
        <v>1843</v>
      </c>
      <c r="Q1117" s="31" t="s">
        <v>1127</v>
      </c>
    </row>
    <row r="1118" spans="1:17" ht="16.5" customHeight="1" x14ac:dyDescent="0.2">
      <c r="A1118" s="3" t="s">
        <v>0</v>
      </c>
      <c r="B1118" s="2" t="s">
        <v>1</v>
      </c>
      <c r="C1118" s="3" t="s">
        <v>4182</v>
      </c>
      <c r="D1118" s="26" t="s">
        <v>1838</v>
      </c>
      <c r="E1118" s="26" t="s">
        <v>1913</v>
      </c>
      <c r="F1118" s="4">
        <v>19</v>
      </c>
      <c r="G1118" s="4" t="str">
        <f t="shared" si="13"/>
        <v>s</v>
      </c>
      <c r="H1118" s="4">
        <v>2002</v>
      </c>
      <c r="I1118" s="2" t="s">
        <v>1941</v>
      </c>
      <c r="J1118" s="2" t="s">
        <v>1915</v>
      </c>
      <c r="K1118" s="4" t="s">
        <v>1842</v>
      </c>
      <c r="L1118" s="2"/>
      <c r="M1118" s="4" t="s">
        <v>8</v>
      </c>
      <c r="N1118" s="2"/>
      <c r="O1118" s="2"/>
      <c r="P1118" s="4" t="s">
        <v>1843</v>
      </c>
      <c r="Q1118" s="31" t="s">
        <v>1127</v>
      </c>
    </row>
    <row r="1119" spans="1:17" ht="16.5" customHeight="1" x14ac:dyDescent="0.2">
      <c r="A1119" s="3" t="s">
        <v>0</v>
      </c>
      <c r="B1119" s="2" t="s">
        <v>82</v>
      </c>
      <c r="C1119" s="3" t="s">
        <v>4182</v>
      </c>
      <c r="D1119" s="26" t="s">
        <v>1838</v>
      </c>
      <c r="E1119" s="26" t="s">
        <v>1913</v>
      </c>
      <c r="F1119" s="4">
        <v>20</v>
      </c>
      <c r="G1119" s="4" t="str">
        <f t="shared" si="13"/>
        <v>t</v>
      </c>
      <c r="H1119" s="4">
        <v>2003</v>
      </c>
      <c r="I1119" s="2" t="s">
        <v>1942</v>
      </c>
      <c r="J1119" s="2" t="s">
        <v>1915</v>
      </c>
      <c r="K1119" s="4" t="s">
        <v>1842</v>
      </c>
      <c r="L1119" s="2"/>
      <c r="M1119" s="4" t="s">
        <v>8</v>
      </c>
      <c r="N1119" s="2"/>
      <c r="O1119" s="2"/>
      <c r="P1119" s="4" t="s">
        <v>1843</v>
      </c>
      <c r="Q1119" s="31" t="s">
        <v>1127</v>
      </c>
    </row>
    <row r="1120" spans="1:17" ht="16.5" customHeight="1" x14ac:dyDescent="0.2">
      <c r="A1120" s="3" t="s">
        <v>0</v>
      </c>
      <c r="B1120" s="2" t="s">
        <v>63</v>
      </c>
      <c r="C1120" s="3" t="s">
        <v>4182</v>
      </c>
      <c r="D1120" s="26" t="s">
        <v>1838</v>
      </c>
      <c r="E1120" s="26" t="s">
        <v>1913</v>
      </c>
      <c r="F1120" s="4">
        <v>21</v>
      </c>
      <c r="G1120" s="4" t="str">
        <f t="shared" si="13"/>
        <v>u</v>
      </c>
      <c r="H1120" s="4">
        <v>2004</v>
      </c>
      <c r="I1120" s="2" t="s">
        <v>1943</v>
      </c>
      <c r="J1120" s="2" t="s">
        <v>1915</v>
      </c>
      <c r="K1120" s="4" t="s">
        <v>1842</v>
      </c>
      <c r="L1120" s="2"/>
      <c r="M1120" s="4" t="s">
        <v>8</v>
      </c>
      <c r="N1120" s="2"/>
      <c r="O1120" s="2"/>
      <c r="P1120" s="4" t="s">
        <v>1843</v>
      </c>
      <c r="Q1120" s="31" t="s">
        <v>1127</v>
      </c>
    </row>
    <row r="1121" spans="1:17" ht="16.5" customHeight="1" x14ac:dyDescent="0.2">
      <c r="A1121" s="3" t="s">
        <v>0</v>
      </c>
      <c r="B1121" s="2" t="s">
        <v>91</v>
      </c>
      <c r="C1121" s="3" t="s">
        <v>4182</v>
      </c>
      <c r="D1121" s="26" t="s">
        <v>1838</v>
      </c>
      <c r="E1121" s="26" t="s">
        <v>1913</v>
      </c>
      <c r="F1121" s="4">
        <v>22</v>
      </c>
      <c r="G1121" s="4" t="str">
        <f t="shared" si="13"/>
        <v>v</v>
      </c>
      <c r="H1121" s="4">
        <v>2005</v>
      </c>
      <c r="I1121" s="2" t="s">
        <v>1944</v>
      </c>
      <c r="J1121" s="2" t="s">
        <v>1915</v>
      </c>
      <c r="K1121" s="4" t="s">
        <v>1842</v>
      </c>
      <c r="L1121" s="2"/>
      <c r="M1121" s="4" t="s">
        <v>8</v>
      </c>
      <c r="N1121" s="2"/>
      <c r="O1121" s="2"/>
      <c r="P1121" s="4" t="s">
        <v>1843</v>
      </c>
      <c r="Q1121" s="31" t="s">
        <v>1127</v>
      </c>
    </row>
    <row r="1122" spans="1:17" ht="16.5" customHeight="1" x14ac:dyDescent="0.2">
      <c r="A1122" s="3" t="s">
        <v>0</v>
      </c>
      <c r="B1122" s="2" t="s">
        <v>51</v>
      </c>
      <c r="C1122" s="3" t="s">
        <v>4182</v>
      </c>
      <c r="D1122" s="26" t="s">
        <v>1838</v>
      </c>
      <c r="E1122" s="26" t="s">
        <v>1913</v>
      </c>
      <c r="F1122" s="4">
        <v>23</v>
      </c>
      <c r="G1122" s="4" t="str">
        <f t="shared" si="13"/>
        <v>w</v>
      </c>
      <c r="H1122" s="4">
        <v>2006</v>
      </c>
      <c r="I1122" s="2" t="s">
        <v>1945</v>
      </c>
      <c r="J1122" s="2" t="s">
        <v>1915</v>
      </c>
      <c r="K1122" s="4" t="s">
        <v>1842</v>
      </c>
      <c r="L1122" s="2"/>
      <c r="M1122" s="4" t="s">
        <v>8</v>
      </c>
      <c r="N1122" s="2"/>
      <c r="O1122" s="2"/>
      <c r="P1122" s="4" t="s">
        <v>1843</v>
      </c>
      <c r="Q1122" s="31" t="s">
        <v>1127</v>
      </c>
    </row>
    <row r="1123" spans="1:17" ht="16.5" customHeight="1" x14ac:dyDescent="0.2">
      <c r="A1123" s="3" t="s">
        <v>0</v>
      </c>
      <c r="B1123" s="2" t="s">
        <v>94</v>
      </c>
      <c r="C1123" s="3" t="s">
        <v>4182</v>
      </c>
      <c r="D1123" s="26" t="s">
        <v>1838</v>
      </c>
      <c r="E1123" s="26" t="s">
        <v>1913</v>
      </c>
      <c r="F1123" s="4">
        <v>24</v>
      </c>
      <c r="G1123" s="4" t="str">
        <f t="shared" si="13"/>
        <v>x</v>
      </c>
      <c r="H1123" s="4">
        <v>2007</v>
      </c>
      <c r="I1123" s="2" t="s">
        <v>1946</v>
      </c>
      <c r="J1123" s="2" t="s">
        <v>1915</v>
      </c>
      <c r="K1123" s="4" t="s">
        <v>1842</v>
      </c>
      <c r="L1123" s="2"/>
      <c r="M1123" s="4" t="s">
        <v>8</v>
      </c>
      <c r="N1123" s="2"/>
      <c r="O1123" s="2"/>
      <c r="P1123" s="4" t="s">
        <v>1843</v>
      </c>
      <c r="Q1123" s="31" t="s">
        <v>1127</v>
      </c>
    </row>
    <row r="1124" spans="1:17" ht="16.5" customHeight="1" x14ac:dyDescent="0.2">
      <c r="A1124" s="3" t="s">
        <v>0</v>
      </c>
      <c r="B1124" s="2" t="s">
        <v>69</v>
      </c>
      <c r="C1124" s="3" t="s">
        <v>4182</v>
      </c>
      <c r="D1124" s="26" t="s">
        <v>1838</v>
      </c>
      <c r="E1124" s="26" t="s">
        <v>1913</v>
      </c>
      <c r="F1124" s="4">
        <v>25</v>
      </c>
      <c r="G1124" s="4" t="str">
        <f t="shared" si="13"/>
        <v>y</v>
      </c>
      <c r="H1124" s="4">
        <v>2008</v>
      </c>
      <c r="I1124" s="2" t="s">
        <v>1947</v>
      </c>
      <c r="J1124" s="2" t="s">
        <v>1915</v>
      </c>
      <c r="K1124" s="4" t="s">
        <v>1842</v>
      </c>
      <c r="L1124" s="2"/>
      <c r="M1124" s="4" t="s">
        <v>8</v>
      </c>
      <c r="N1124" s="2"/>
      <c r="O1124" s="2"/>
      <c r="P1124" s="4" t="s">
        <v>1843</v>
      </c>
      <c r="Q1124" s="31" t="s">
        <v>1127</v>
      </c>
    </row>
    <row r="1125" spans="1:17" ht="16.5" customHeight="1" x14ac:dyDescent="0.2">
      <c r="A1125" s="3" t="s">
        <v>0</v>
      </c>
      <c r="B1125" s="2" t="s">
        <v>15</v>
      </c>
      <c r="C1125" s="3" t="s">
        <v>4182</v>
      </c>
      <c r="D1125" s="26" t="s">
        <v>1838</v>
      </c>
      <c r="E1125" s="26" t="s">
        <v>1913</v>
      </c>
      <c r="F1125" s="4">
        <v>26</v>
      </c>
      <c r="G1125" s="4" t="str">
        <f t="shared" si="13"/>
        <v>z</v>
      </c>
      <c r="H1125" s="4">
        <v>2009</v>
      </c>
      <c r="I1125" s="2" t="s">
        <v>1948</v>
      </c>
      <c r="J1125" s="2" t="s">
        <v>1915</v>
      </c>
      <c r="K1125" s="4" t="s">
        <v>1842</v>
      </c>
      <c r="L1125" s="2"/>
      <c r="M1125" s="4" t="s">
        <v>8</v>
      </c>
      <c r="N1125" s="2"/>
      <c r="O1125" s="2"/>
      <c r="P1125" s="4" t="s">
        <v>1843</v>
      </c>
      <c r="Q1125" s="31" t="s">
        <v>1127</v>
      </c>
    </row>
    <row r="1126" spans="1:17" ht="16.5" customHeight="1" x14ac:dyDescent="0.2">
      <c r="A1126" s="3" t="s">
        <v>0</v>
      </c>
      <c r="B1126" s="4" t="s">
        <v>39</v>
      </c>
      <c r="C1126" s="3" t="s">
        <v>4182</v>
      </c>
      <c r="D1126" s="26" t="s">
        <v>1838</v>
      </c>
      <c r="E1126" s="26" t="s">
        <v>1949</v>
      </c>
      <c r="F1126" s="4">
        <v>1</v>
      </c>
      <c r="G1126" s="4" t="str">
        <f t="shared" si="13"/>
        <v>a</v>
      </c>
      <c r="H1126" s="4">
        <v>1984</v>
      </c>
      <c r="I1126" s="4" t="s">
        <v>1950</v>
      </c>
      <c r="J1126" s="4" t="s">
        <v>1951</v>
      </c>
      <c r="K1126" s="4" t="s">
        <v>1842</v>
      </c>
      <c r="L1126" s="2"/>
      <c r="M1126" s="4" t="s">
        <v>8</v>
      </c>
      <c r="N1126" s="2"/>
      <c r="O1126" s="2"/>
      <c r="P1126" s="4" t="s">
        <v>1843</v>
      </c>
      <c r="Q1126" s="31" t="s">
        <v>1127</v>
      </c>
    </row>
    <row r="1127" spans="1:17" ht="16.5" customHeight="1" x14ac:dyDescent="0.2">
      <c r="A1127" s="3" t="s">
        <v>0</v>
      </c>
      <c r="B1127" s="4" t="s">
        <v>33</v>
      </c>
      <c r="C1127" s="3" t="s">
        <v>4182</v>
      </c>
      <c r="D1127" s="26" t="s">
        <v>1838</v>
      </c>
      <c r="E1127" s="26" t="s">
        <v>1949</v>
      </c>
      <c r="F1127" s="4">
        <v>27</v>
      </c>
      <c r="G1127" s="4" t="str">
        <f t="shared" ref="G1127:G1134" si="14">LEFT(B1127,2)</f>
        <v>ba</v>
      </c>
      <c r="H1127" s="4">
        <v>2010</v>
      </c>
      <c r="I1127" s="4" t="s">
        <v>1952</v>
      </c>
      <c r="J1127" s="4" t="s">
        <v>1951</v>
      </c>
      <c r="K1127" s="4" t="s">
        <v>1842</v>
      </c>
      <c r="L1127" s="2"/>
      <c r="M1127" s="4" t="s">
        <v>8</v>
      </c>
      <c r="N1127" s="2"/>
      <c r="O1127" s="2"/>
      <c r="P1127" s="4" t="s">
        <v>1843</v>
      </c>
      <c r="Q1127" s="31" t="s">
        <v>1127</v>
      </c>
    </row>
    <row r="1128" spans="1:17" ht="16.5" customHeight="1" x14ac:dyDescent="0.2">
      <c r="A1128" s="3" t="s">
        <v>0</v>
      </c>
      <c r="B1128" s="4" t="s">
        <v>45</v>
      </c>
      <c r="C1128" s="3" t="s">
        <v>4182</v>
      </c>
      <c r="D1128" s="26" t="s">
        <v>1838</v>
      </c>
      <c r="E1128" s="26" t="s">
        <v>1949</v>
      </c>
      <c r="F1128" s="4">
        <v>28</v>
      </c>
      <c r="G1128" s="4" t="str">
        <f t="shared" si="14"/>
        <v>bb</v>
      </c>
      <c r="H1128" s="4">
        <v>2011</v>
      </c>
      <c r="I1128" s="4" t="s">
        <v>1953</v>
      </c>
      <c r="J1128" s="4" t="s">
        <v>1951</v>
      </c>
      <c r="K1128" s="4" t="s">
        <v>1842</v>
      </c>
      <c r="L1128" s="2"/>
      <c r="M1128" s="4" t="s">
        <v>8</v>
      </c>
      <c r="N1128" s="2"/>
      <c r="O1128" s="2"/>
      <c r="P1128" s="4" t="s">
        <v>1843</v>
      </c>
      <c r="Q1128" s="31" t="s">
        <v>1127</v>
      </c>
    </row>
    <row r="1129" spans="1:17" ht="16.5" customHeight="1" x14ac:dyDescent="0.2">
      <c r="A1129" s="3" t="s">
        <v>0</v>
      </c>
      <c r="B1129" s="4" t="s">
        <v>60</v>
      </c>
      <c r="C1129" s="3" t="s">
        <v>4182</v>
      </c>
      <c r="D1129" s="26" t="s">
        <v>1838</v>
      </c>
      <c r="E1129" s="26" t="s">
        <v>1949</v>
      </c>
      <c r="F1129" s="4">
        <v>29</v>
      </c>
      <c r="G1129" s="4" t="str">
        <f t="shared" si="14"/>
        <v>bc</v>
      </c>
      <c r="H1129" s="4">
        <v>2012</v>
      </c>
      <c r="I1129" s="4" t="s">
        <v>1954</v>
      </c>
      <c r="J1129" s="4" t="s">
        <v>1951</v>
      </c>
      <c r="K1129" s="4" t="s">
        <v>1842</v>
      </c>
      <c r="L1129" s="2"/>
      <c r="M1129" s="4" t="s">
        <v>8</v>
      </c>
      <c r="N1129" s="2"/>
      <c r="O1129" s="2"/>
      <c r="P1129" s="4" t="s">
        <v>1843</v>
      </c>
      <c r="Q1129" s="31" t="s">
        <v>1127</v>
      </c>
    </row>
    <row r="1130" spans="1:17" ht="16.5" customHeight="1" x14ac:dyDescent="0.2">
      <c r="A1130" s="3" t="s">
        <v>0</v>
      </c>
      <c r="B1130" s="4" t="s">
        <v>85</v>
      </c>
      <c r="C1130" s="3" t="s">
        <v>4182</v>
      </c>
      <c r="D1130" s="26" t="s">
        <v>1838</v>
      </c>
      <c r="E1130" s="26" t="s">
        <v>1949</v>
      </c>
      <c r="F1130" s="4">
        <v>30</v>
      </c>
      <c r="G1130" s="4" t="str">
        <f t="shared" si="14"/>
        <v>bd</v>
      </c>
      <c r="H1130" s="4">
        <v>2013</v>
      </c>
      <c r="I1130" s="4" t="s">
        <v>1955</v>
      </c>
      <c r="J1130" s="4" t="s">
        <v>1951</v>
      </c>
      <c r="K1130" s="4" t="s">
        <v>1842</v>
      </c>
      <c r="L1130" s="2"/>
      <c r="M1130" s="4" t="s">
        <v>8</v>
      </c>
      <c r="N1130" s="2"/>
      <c r="O1130" s="2"/>
      <c r="P1130" s="4" t="s">
        <v>1843</v>
      </c>
      <c r="Q1130" s="31" t="s">
        <v>1127</v>
      </c>
    </row>
    <row r="1131" spans="1:17" ht="16.5" customHeight="1" x14ac:dyDescent="0.2">
      <c r="A1131" s="3" t="s">
        <v>0</v>
      </c>
      <c r="B1131" s="4" t="s">
        <v>21</v>
      </c>
      <c r="C1131" s="3" t="s">
        <v>4182</v>
      </c>
      <c r="D1131" s="26" t="s">
        <v>1838</v>
      </c>
      <c r="E1131" s="26" t="s">
        <v>1949</v>
      </c>
      <c r="F1131" s="4">
        <v>31</v>
      </c>
      <c r="G1131" s="4" t="str">
        <f t="shared" si="14"/>
        <v>be</v>
      </c>
      <c r="H1131" s="4">
        <v>2014</v>
      </c>
      <c r="I1131" s="4" t="s">
        <v>1956</v>
      </c>
      <c r="J1131" s="4" t="s">
        <v>1951</v>
      </c>
      <c r="K1131" s="4" t="s">
        <v>1842</v>
      </c>
      <c r="L1131" s="2"/>
      <c r="M1131" s="4" t="s">
        <v>8</v>
      </c>
      <c r="N1131" s="2"/>
      <c r="O1131" s="2"/>
      <c r="P1131" s="4" t="s">
        <v>1843</v>
      </c>
      <c r="Q1131" s="31" t="s">
        <v>1127</v>
      </c>
    </row>
    <row r="1132" spans="1:17" ht="16.5" customHeight="1" x14ac:dyDescent="0.2">
      <c r="A1132" s="3" t="s">
        <v>0</v>
      </c>
      <c r="B1132" s="4" t="s">
        <v>27</v>
      </c>
      <c r="C1132" s="3" t="s">
        <v>4182</v>
      </c>
      <c r="D1132" s="26" t="s">
        <v>1838</v>
      </c>
      <c r="E1132" s="26" t="s">
        <v>1949</v>
      </c>
      <c r="F1132" s="4">
        <v>32</v>
      </c>
      <c r="G1132" s="4" t="str">
        <f t="shared" si="14"/>
        <v>bf</v>
      </c>
      <c r="H1132" s="4">
        <v>2015</v>
      </c>
      <c r="I1132" s="4" t="s">
        <v>1957</v>
      </c>
      <c r="J1132" s="4" t="s">
        <v>1951</v>
      </c>
      <c r="K1132" s="4" t="s">
        <v>1842</v>
      </c>
      <c r="L1132" s="2"/>
      <c r="M1132" s="4" t="s">
        <v>8</v>
      </c>
      <c r="N1132" s="2"/>
      <c r="O1132" s="2"/>
      <c r="P1132" s="4" t="s">
        <v>1843</v>
      </c>
      <c r="Q1132" s="31" t="s">
        <v>1127</v>
      </c>
    </row>
    <row r="1133" spans="1:17" ht="16.5" customHeight="1" x14ac:dyDescent="0.2">
      <c r="A1133" s="3" t="s">
        <v>0</v>
      </c>
      <c r="B1133" s="4" t="s">
        <v>75</v>
      </c>
      <c r="C1133" s="3" t="s">
        <v>4182</v>
      </c>
      <c r="D1133" s="26" t="s">
        <v>1838</v>
      </c>
      <c r="E1133" s="26" t="s">
        <v>1949</v>
      </c>
      <c r="F1133" s="4">
        <v>33</v>
      </c>
      <c r="G1133" s="4" t="str">
        <f t="shared" si="14"/>
        <v>bg</v>
      </c>
      <c r="H1133" s="4">
        <v>2016</v>
      </c>
      <c r="I1133" s="4" t="s">
        <v>1958</v>
      </c>
      <c r="J1133" s="4" t="s">
        <v>1951</v>
      </c>
      <c r="K1133" s="4" t="s">
        <v>1842</v>
      </c>
      <c r="L1133" s="2"/>
      <c r="M1133" s="4" t="s">
        <v>8</v>
      </c>
      <c r="N1133" s="2"/>
      <c r="O1133" s="2"/>
      <c r="P1133" s="4" t="s">
        <v>1843</v>
      </c>
      <c r="Q1133" s="31" t="s">
        <v>1127</v>
      </c>
    </row>
    <row r="1134" spans="1:17" ht="16.5" customHeight="1" x14ac:dyDescent="0.2">
      <c r="A1134" s="3" t="s">
        <v>0</v>
      </c>
      <c r="B1134" s="4" t="s">
        <v>66</v>
      </c>
      <c r="C1134" s="3" t="s">
        <v>4182</v>
      </c>
      <c r="D1134" s="26" t="s">
        <v>1838</v>
      </c>
      <c r="E1134" s="26" t="s">
        <v>1949</v>
      </c>
      <c r="F1134" s="4">
        <v>34</v>
      </c>
      <c r="G1134" s="4" t="str">
        <f t="shared" si="14"/>
        <v>bh</v>
      </c>
      <c r="H1134" s="4">
        <v>2017</v>
      </c>
      <c r="I1134" s="4" t="s">
        <v>1959</v>
      </c>
      <c r="J1134" s="4" t="s">
        <v>1951</v>
      </c>
      <c r="K1134" s="4" t="s">
        <v>1842</v>
      </c>
      <c r="L1134" s="2"/>
      <c r="M1134" s="4" t="s">
        <v>8</v>
      </c>
      <c r="N1134" s="2"/>
      <c r="O1134" s="2"/>
      <c r="P1134" s="4" t="s">
        <v>1843</v>
      </c>
      <c r="Q1134" s="31" t="s">
        <v>1127</v>
      </c>
    </row>
    <row r="1135" spans="1:17" ht="16.5" customHeight="1" x14ac:dyDescent="0.2">
      <c r="A1135" s="3" t="s">
        <v>0</v>
      </c>
      <c r="B1135" s="4" t="s">
        <v>36</v>
      </c>
      <c r="C1135" s="3" t="s">
        <v>4182</v>
      </c>
      <c r="D1135" s="26" t="s">
        <v>1838</v>
      </c>
      <c r="E1135" s="26" t="s">
        <v>1949</v>
      </c>
      <c r="F1135" s="4">
        <v>2</v>
      </c>
      <c r="G1135" s="4" t="str">
        <f t="shared" ref="G1135:G1160" si="15">LEFT(B1135,1)</f>
        <v>b</v>
      </c>
      <c r="H1135" s="4">
        <v>1985</v>
      </c>
      <c r="I1135" s="4" t="s">
        <v>1960</v>
      </c>
      <c r="J1135" s="4" t="s">
        <v>1951</v>
      </c>
      <c r="K1135" s="4" t="s">
        <v>1842</v>
      </c>
      <c r="L1135" s="2"/>
      <c r="M1135" s="4" t="s">
        <v>8</v>
      </c>
      <c r="N1135" s="2"/>
      <c r="O1135" s="2"/>
      <c r="P1135" s="4" t="s">
        <v>1843</v>
      </c>
      <c r="Q1135" s="31" t="s">
        <v>1127</v>
      </c>
    </row>
    <row r="1136" spans="1:17" ht="16.5" customHeight="1" x14ac:dyDescent="0.2">
      <c r="A1136" s="3" t="s">
        <v>0</v>
      </c>
      <c r="B1136" s="4" t="s">
        <v>79</v>
      </c>
      <c r="C1136" s="3" t="s">
        <v>4182</v>
      </c>
      <c r="D1136" s="26" t="s">
        <v>1838</v>
      </c>
      <c r="E1136" s="26" t="s">
        <v>1949</v>
      </c>
      <c r="F1136" s="4">
        <v>3</v>
      </c>
      <c r="G1136" s="4" t="str">
        <f t="shared" si="15"/>
        <v>c</v>
      </c>
      <c r="H1136" s="4">
        <v>1986</v>
      </c>
      <c r="I1136" s="4" t="s">
        <v>1961</v>
      </c>
      <c r="J1136" s="4" t="s">
        <v>1951</v>
      </c>
      <c r="K1136" s="4" t="s">
        <v>1842</v>
      </c>
      <c r="L1136" s="2"/>
      <c r="M1136" s="4" t="s">
        <v>8</v>
      </c>
      <c r="N1136" s="2"/>
      <c r="O1136" s="2"/>
      <c r="P1136" s="4" t="s">
        <v>1843</v>
      </c>
      <c r="Q1136" s="31" t="s">
        <v>1127</v>
      </c>
    </row>
    <row r="1137" spans="1:17" ht="16.5" customHeight="1" x14ac:dyDescent="0.2">
      <c r="A1137" s="3" t="s">
        <v>0</v>
      </c>
      <c r="B1137" s="4" t="s">
        <v>30</v>
      </c>
      <c r="C1137" s="3" t="s">
        <v>4182</v>
      </c>
      <c r="D1137" s="26" t="s">
        <v>1838</v>
      </c>
      <c r="E1137" s="26" t="s">
        <v>1949</v>
      </c>
      <c r="F1137" s="4">
        <v>4</v>
      </c>
      <c r="G1137" s="4" t="str">
        <f t="shared" si="15"/>
        <v>d</v>
      </c>
      <c r="H1137" s="4">
        <v>1987</v>
      </c>
      <c r="I1137" s="4" t="s">
        <v>1962</v>
      </c>
      <c r="J1137" s="4" t="s">
        <v>1951</v>
      </c>
      <c r="K1137" s="4" t="s">
        <v>1842</v>
      </c>
      <c r="L1137" s="2"/>
      <c r="M1137" s="4" t="s">
        <v>8</v>
      </c>
      <c r="N1137" s="2"/>
      <c r="O1137" s="2"/>
      <c r="P1137" s="4" t="s">
        <v>1843</v>
      </c>
      <c r="Q1137" s="31" t="s">
        <v>1127</v>
      </c>
    </row>
    <row r="1138" spans="1:17" ht="16.5" customHeight="1" x14ac:dyDescent="0.2">
      <c r="A1138" s="3" t="s">
        <v>0</v>
      </c>
      <c r="B1138" s="4" t="s">
        <v>12</v>
      </c>
      <c r="C1138" s="3" t="s">
        <v>4182</v>
      </c>
      <c r="D1138" s="26" t="s">
        <v>1838</v>
      </c>
      <c r="E1138" s="26" t="s">
        <v>1949</v>
      </c>
      <c r="F1138" s="4">
        <v>5</v>
      </c>
      <c r="G1138" s="4" t="str">
        <f t="shared" si="15"/>
        <v>e</v>
      </c>
      <c r="H1138" s="4">
        <v>1988</v>
      </c>
      <c r="I1138" s="4" t="s">
        <v>1963</v>
      </c>
      <c r="J1138" s="4" t="s">
        <v>1951</v>
      </c>
      <c r="K1138" s="4" t="s">
        <v>1842</v>
      </c>
      <c r="L1138" s="2"/>
      <c r="M1138" s="4" t="s">
        <v>8</v>
      </c>
      <c r="N1138" s="2"/>
      <c r="O1138" s="2"/>
      <c r="P1138" s="4" t="s">
        <v>1843</v>
      </c>
      <c r="Q1138" s="31" t="s">
        <v>1127</v>
      </c>
    </row>
    <row r="1139" spans="1:17" ht="16.5" customHeight="1" x14ac:dyDescent="0.2">
      <c r="A1139" s="3" t="s">
        <v>0</v>
      </c>
      <c r="B1139" s="4" t="s">
        <v>48</v>
      </c>
      <c r="C1139" s="3" t="s">
        <v>4182</v>
      </c>
      <c r="D1139" s="26" t="s">
        <v>1838</v>
      </c>
      <c r="E1139" s="26" t="s">
        <v>1949</v>
      </c>
      <c r="F1139" s="4">
        <v>6</v>
      </c>
      <c r="G1139" s="4" t="str">
        <f t="shared" si="15"/>
        <v>f</v>
      </c>
      <c r="H1139" s="4">
        <v>1989</v>
      </c>
      <c r="I1139" s="4" t="s">
        <v>1964</v>
      </c>
      <c r="J1139" s="4" t="s">
        <v>1951</v>
      </c>
      <c r="K1139" s="4" t="s">
        <v>1842</v>
      </c>
      <c r="L1139" s="2"/>
      <c r="M1139" s="4" t="s">
        <v>8</v>
      </c>
      <c r="N1139" s="2"/>
      <c r="O1139" s="2"/>
      <c r="P1139" s="4" t="s">
        <v>1843</v>
      </c>
      <c r="Q1139" s="31" t="s">
        <v>1127</v>
      </c>
    </row>
    <row r="1140" spans="1:17" ht="16.5" customHeight="1" x14ac:dyDescent="0.2">
      <c r="A1140" s="3" t="s">
        <v>0</v>
      </c>
      <c r="B1140" s="4" t="s">
        <v>100</v>
      </c>
      <c r="C1140" s="3" t="s">
        <v>4182</v>
      </c>
      <c r="D1140" s="26" t="s">
        <v>1838</v>
      </c>
      <c r="E1140" s="26" t="s">
        <v>1949</v>
      </c>
      <c r="F1140" s="4">
        <v>7</v>
      </c>
      <c r="G1140" s="4" t="str">
        <f t="shared" si="15"/>
        <v>g</v>
      </c>
      <c r="H1140" s="4">
        <v>1990</v>
      </c>
      <c r="I1140" s="4" t="s">
        <v>1965</v>
      </c>
      <c r="J1140" s="4" t="s">
        <v>1951</v>
      </c>
      <c r="K1140" s="4" t="s">
        <v>1842</v>
      </c>
      <c r="L1140" s="2"/>
      <c r="M1140" s="4" t="s">
        <v>8</v>
      </c>
      <c r="N1140" s="2"/>
      <c r="O1140" s="2"/>
      <c r="P1140" s="4" t="s">
        <v>1843</v>
      </c>
      <c r="Q1140" s="31" t="s">
        <v>1127</v>
      </c>
    </row>
    <row r="1141" spans="1:17" ht="16.5" customHeight="1" x14ac:dyDescent="0.2">
      <c r="A1141" s="3" t="s">
        <v>0</v>
      </c>
      <c r="B1141" s="4" t="s">
        <v>9</v>
      </c>
      <c r="C1141" s="3" t="s">
        <v>4182</v>
      </c>
      <c r="D1141" s="26" t="s">
        <v>1838</v>
      </c>
      <c r="E1141" s="26" t="s">
        <v>1949</v>
      </c>
      <c r="F1141" s="4">
        <v>8</v>
      </c>
      <c r="G1141" s="4" t="str">
        <f t="shared" si="15"/>
        <v>h</v>
      </c>
      <c r="H1141" s="4">
        <v>1991</v>
      </c>
      <c r="I1141" s="4" t="s">
        <v>1966</v>
      </c>
      <c r="J1141" s="4" t="s">
        <v>1951</v>
      </c>
      <c r="K1141" s="4" t="s">
        <v>1842</v>
      </c>
      <c r="L1141" s="2"/>
      <c r="M1141" s="4" t="s">
        <v>8</v>
      </c>
      <c r="N1141" s="2"/>
      <c r="O1141" s="2"/>
      <c r="P1141" s="4" t="s">
        <v>1843</v>
      </c>
      <c r="Q1141" s="31" t="s">
        <v>1127</v>
      </c>
    </row>
    <row r="1142" spans="1:17" ht="16.5" customHeight="1" x14ac:dyDescent="0.2">
      <c r="A1142" s="3" t="s">
        <v>0</v>
      </c>
      <c r="B1142" s="4" t="s">
        <v>54</v>
      </c>
      <c r="C1142" s="3" t="s">
        <v>4182</v>
      </c>
      <c r="D1142" s="26" t="s">
        <v>1838</v>
      </c>
      <c r="E1142" s="26" t="s">
        <v>1949</v>
      </c>
      <c r="F1142" s="4">
        <v>9</v>
      </c>
      <c r="G1142" s="4" t="str">
        <f t="shared" si="15"/>
        <v>i</v>
      </c>
      <c r="H1142" s="4">
        <v>1992</v>
      </c>
      <c r="I1142" s="4" t="s">
        <v>1967</v>
      </c>
      <c r="J1142" s="4" t="s">
        <v>1951</v>
      </c>
      <c r="K1142" s="4" t="s">
        <v>1842</v>
      </c>
      <c r="L1142" s="2"/>
      <c r="M1142" s="4" t="s">
        <v>8</v>
      </c>
      <c r="N1142" s="2"/>
      <c r="O1142" s="2"/>
      <c r="P1142" s="4" t="s">
        <v>1843</v>
      </c>
      <c r="Q1142" s="31" t="s">
        <v>1127</v>
      </c>
    </row>
    <row r="1143" spans="1:17" ht="16.5" customHeight="1" x14ac:dyDescent="0.2">
      <c r="A1143" s="3" t="s">
        <v>0</v>
      </c>
      <c r="B1143" s="4" t="s">
        <v>97</v>
      </c>
      <c r="C1143" s="3" t="s">
        <v>4182</v>
      </c>
      <c r="D1143" s="26" t="s">
        <v>1838</v>
      </c>
      <c r="E1143" s="26" t="s">
        <v>1949</v>
      </c>
      <c r="F1143" s="4">
        <v>10</v>
      </c>
      <c r="G1143" s="4" t="str">
        <f t="shared" si="15"/>
        <v>j</v>
      </c>
      <c r="H1143" s="4">
        <v>1993</v>
      </c>
      <c r="I1143" s="4" t="s">
        <v>1968</v>
      </c>
      <c r="J1143" s="4" t="s">
        <v>1951</v>
      </c>
      <c r="K1143" s="4" t="s">
        <v>1842</v>
      </c>
      <c r="L1143" s="2"/>
      <c r="M1143" s="4" t="s">
        <v>8</v>
      </c>
      <c r="N1143" s="2"/>
      <c r="O1143" s="2"/>
      <c r="P1143" s="4" t="s">
        <v>1843</v>
      </c>
      <c r="Q1143" s="31" t="s">
        <v>1127</v>
      </c>
    </row>
    <row r="1144" spans="1:17" ht="16.5" customHeight="1" x14ac:dyDescent="0.2">
      <c r="A1144" s="3" t="s">
        <v>0</v>
      </c>
      <c r="B1144" s="4" t="s">
        <v>103</v>
      </c>
      <c r="C1144" s="3" t="s">
        <v>4182</v>
      </c>
      <c r="D1144" s="26" t="s">
        <v>1838</v>
      </c>
      <c r="E1144" s="26" t="s">
        <v>1949</v>
      </c>
      <c r="F1144" s="4">
        <v>11</v>
      </c>
      <c r="G1144" s="4" t="str">
        <f t="shared" si="15"/>
        <v>k</v>
      </c>
      <c r="H1144" s="4">
        <v>1994</v>
      </c>
      <c r="I1144" s="4" t="s">
        <v>1969</v>
      </c>
      <c r="J1144" s="4" t="s">
        <v>1951</v>
      </c>
      <c r="K1144" s="4" t="s">
        <v>1842</v>
      </c>
      <c r="L1144" s="2"/>
      <c r="M1144" s="4" t="s">
        <v>8</v>
      </c>
      <c r="N1144" s="2"/>
      <c r="O1144" s="2"/>
      <c r="P1144" s="4" t="s">
        <v>1843</v>
      </c>
      <c r="Q1144" s="31" t="s">
        <v>1127</v>
      </c>
    </row>
    <row r="1145" spans="1:17" ht="16.5" customHeight="1" x14ac:dyDescent="0.2">
      <c r="A1145" s="3" t="s">
        <v>0</v>
      </c>
      <c r="B1145" s="4" t="s">
        <v>88</v>
      </c>
      <c r="C1145" s="3" t="s">
        <v>4182</v>
      </c>
      <c r="D1145" s="26" t="s">
        <v>1838</v>
      </c>
      <c r="E1145" s="26" t="s">
        <v>1949</v>
      </c>
      <c r="F1145" s="4">
        <v>12</v>
      </c>
      <c r="G1145" s="4" t="str">
        <f t="shared" si="15"/>
        <v>l</v>
      </c>
      <c r="H1145" s="4">
        <v>1995</v>
      </c>
      <c r="I1145" s="4" t="s">
        <v>1970</v>
      </c>
      <c r="J1145" s="4" t="s">
        <v>1951</v>
      </c>
      <c r="K1145" s="4" t="s">
        <v>1842</v>
      </c>
      <c r="L1145" s="2"/>
      <c r="M1145" s="4" t="s">
        <v>8</v>
      </c>
      <c r="N1145" s="2"/>
      <c r="O1145" s="2"/>
      <c r="P1145" s="4" t="s">
        <v>1843</v>
      </c>
      <c r="Q1145" s="31" t="s">
        <v>1127</v>
      </c>
    </row>
    <row r="1146" spans="1:17" ht="16.5" customHeight="1" x14ac:dyDescent="0.2">
      <c r="A1146" s="3" t="s">
        <v>0</v>
      </c>
      <c r="B1146" s="4" t="s">
        <v>106</v>
      </c>
      <c r="C1146" s="3" t="s">
        <v>4182</v>
      </c>
      <c r="D1146" s="26" t="s">
        <v>1838</v>
      </c>
      <c r="E1146" s="26" t="s">
        <v>1949</v>
      </c>
      <c r="F1146" s="4">
        <v>13</v>
      </c>
      <c r="G1146" s="4" t="str">
        <f t="shared" si="15"/>
        <v>m</v>
      </c>
      <c r="H1146" s="4">
        <v>1996</v>
      </c>
      <c r="I1146" s="4" t="s">
        <v>1971</v>
      </c>
      <c r="J1146" s="4" t="s">
        <v>1951</v>
      </c>
      <c r="K1146" s="4" t="s">
        <v>1842</v>
      </c>
      <c r="L1146" s="2"/>
      <c r="M1146" s="4" t="s">
        <v>8</v>
      </c>
      <c r="N1146" s="2"/>
      <c r="O1146" s="2"/>
      <c r="P1146" s="4" t="s">
        <v>1843</v>
      </c>
      <c r="Q1146" s="31" t="s">
        <v>1127</v>
      </c>
    </row>
    <row r="1147" spans="1:17" ht="16.5" customHeight="1" x14ac:dyDescent="0.2">
      <c r="A1147" s="3" t="s">
        <v>0</v>
      </c>
      <c r="B1147" s="4" t="s">
        <v>42</v>
      </c>
      <c r="C1147" s="3" t="s">
        <v>4182</v>
      </c>
      <c r="D1147" s="26" t="s">
        <v>1838</v>
      </c>
      <c r="E1147" s="26" t="s">
        <v>1949</v>
      </c>
      <c r="F1147" s="4">
        <v>14</v>
      </c>
      <c r="G1147" s="4" t="str">
        <f t="shared" si="15"/>
        <v>n</v>
      </c>
      <c r="H1147" s="4">
        <v>1997</v>
      </c>
      <c r="I1147" s="4" t="s">
        <v>1972</v>
      </c>
      <c r="J1147" s="4" t="s">
        <v>1951</v>
      </c>
      <c r="K1147" s="4" t="s">
        <v>1842</v>
      </c>
      <c r="L1147" s="2"/>
      <c r="M1147" s="4" t="s">
        <v>8</v>
      </c>
      <c r="N1147" s="2"/>
      <c r="O1147" s="2"/>
      <c r="P1147" s="4" t="s">
        <v>1843</v>
      </c>
      <c r="Q1147" s="31" t="s">
        <v>1127</v>
      </c>
    </row>
    <row r="1148" spans="1:17" ht="16.5" customHeight="1" x14ac:dyDescent="0.2">
      <c r="A1148" s="3" t="s">
        <v>0</v>
      </c>
      <c r="B1148" s="4" t="s">
        <v>18</v>
      </c>
      <c r="C1148" s="3" t="s">
        <v>4182</v>
      </c>
      <c r="D1148" s="26" t="s">
        <v>1838</v>
      </c>
      <c r="E1148" s="26" t="s">
        <v>1949</v>
      </c>
      <c r="F1148" s="4">
        <v>15</v>
      </c>
      <c r="G1148" s="4" t="str">
        <f t="shared" si="15"/>
        <v>o</v>
      </c>
      <c r="H1148" s="4">
        <v>1998</v>
      </c>
      <c r="I1148" s="4" t="s">
        <v>1973</v>
      </c>
      <c r="J1148" s="4" t="s">
        <v>1951</v>
      </c>
      <c r="K1148" s="4" t="s">
        <v>1842</v>
      </c>
      <c r="L1148" s="2"/>
      <c r="M1148" s="4" t="s">
        <v>8</v>
      </c>
      <c r="N1148" s="2"/>
      <c r="O1148" s="2"/>
      <c r="P1148" s="4" t="s">
        <v>1843</v>
      </c>
      <c r="Q1148" s="31" t="s">
        <v>1127</v>
      </c>
    </row>
    <row r="1149" spans="1:17" ht="16.5" customHeight="1" x14ac:dyDescent="0.2">
      <c r="A1149" s="3" t="s">
        <v>0</v>
      </c>
      <c r="B1149" s="4" t="s">
        <v>24</v>
      </c>
      <c r="C1149" s="3" t="s">
        <v>4182</v>
      </c>
      <c r="D1149" s="26" t="s">
        <v>1838</v>
      </c>
      <c r="E1149" s="26" t="s">
        <v>1949</v>
      </c>
      <c r="F1149" s="4">
        <v>16</v>
      </c>
      <c r="G1149" s="4" t="str">
        <f t="shared" si="15"/>
        <v>p</v>
      </c>
      <c r="H1149" s="4">
        <v>1999</v>
      </c>
      <c r="I1149" s="4" t="s">
        <v>1974</v>
      </c>
      <c r="J1149" s="4" t="s">
        <v>1951</v>
      </c>
      <c r="K1149" s="4" t="s">
        <v>1842</v>
      </c>
      <c r="L1149" s="2"/>
      <c r="M1149" s="4" t="s">
        <v>8</v>
      </c>
      <c r="N1149" s="2"/>
      <c r="O1149" s="2"/>
      <c r="P1149" s="4" t="s">
        <v>1843</v>
      </c>
      <c r="Q1149" s="31" t="s">
        <v>1127</v>
      </c>
    </row>
    <row r="1150" spans="1:17" ht="16.5" customHeight="1" x14ac:dyDescent="0.2">
      <c r="A1150" s="3" t="s">
        <v>0</v>
      </c>
      <c r="B1150" s="4" t="s">
        <v>72</v>
      </c>
      <c r="C1150" s="3" t="s">
        <v>4182</v>
      </c>
      <c r="D1150" s="26" t="s">
        <v>1838</v>
      </c>
      <c r="E1150" s="26" t="s">
        <v>1949</v>
      </c>
      <c r="F1150" s="4">
        <v>17</v>
      </c>
      <c r="G1150" s="4" t="str">
        <f t="shared" si="15"/>
        <v>q</v>
      </c>
      <c r="H1150" s="4">
        <v>2000</v>
      </c>
      <c r="I1150" s="4" t="s">
        <v>1975</v>
      </c>
      <c r="J1150" s="4" t="s">
        <v>1951</v>
      </c>
      <c r="K1150" s="4" t="s">
        <v>1842</v>
      </c>
      <c r="L1150" s="2"/>
      <c r="M1150" s="4" t="s">
        <v>8</v>
      </c>
      <c r="N1150" s="2"/>
      <c r="O1150" s="2"/>
      <c r="P1150" s="4" t="s">
        <v>1843</v>
      </c>
      <c r="Q1150" s="31" t="s">
        <v>1127</v>
      </c>
    </row>
    <row r="1151" spans="1:17" ht="16.5" customHeight="1" x14ac:dyDescent="0.2">
      <c r="A1151" s="3" t="s">
        <v>0</v>
      </c>
      <c r="B1151" s="4" t="s">
        <v>57</v>
      </c>
      <c r="C1151" s="3" t="s">
        <v>4182</v>
      </c>
      <c r="D1151" s="26" t="s">
        <v>1838</v>
      </c>
      <c r="E1151" s="26" t="s">
        <v>1949</v>
      </c>
      <c r="F1151" s="4">
        <v>18</v>
      </c>
      <c r="G1151" s="4" t="str">
        <f t="shared" si="15"/>
        <v>r</v>
      </c>
      <c r="H1151" s="4">
        <v>2001</v>
      </c>
      <c r="I1151" s="4" t="s">
        <v>1976</v>
      </c>
      <c r="J1151" s="4" t="s">
        <v>1951</v>
      </c>
      <c r="K1151" s="4" t="s">
        <v>1842</v>
      </c>
      <c r="L1151" s="2"/>
      <c r="M1151" s="4" t="s">
        <v>8</v>
      </c>
      <c r="N1151" s="2"/>
      <c r="O1151" s="2"/>
      <c r="P1151" s="4" t="s">
        <v>1843</v>
      </c>
      <c r="Q1151" s="31" t="s">
        <v>1127</v>
      </c>
    </row>
    <row r="1152" spans="1:17" ht="16.5" customHeight="1" x14ac:dyDescent="0.2">
      <c r="A1152" s="3" t="s">
        <v>0</v>
      </c>
      <c r="B1152" s="4" t="s">
        <v>1</v>
      </c>
      <c r="C1152" s="3" t="s">
        <v>4182</v>
      </c>
      <c r="D1152" s="26" t="s">
        <v>1838</v>
      </c>
      <c r="E1152" s="26" t="s">
        <v>1949</v>
      </c>
      <c r="F1152" s="4">
        <v>19</v>
      </c>
      <c r="G1152" s="4" t="str">
        <f t="shared" si="15"/>
        <v>s</v>
      </c>
      <c r="H1152" s="4">
        <v>2002</v>
      </c>
      <c r="I1152" s="4" t="s">
        <v>1977</v>
      </c>
      <c r="J1152" s="4" t="s">
        <v>1951</v>
      </c>
      <c r="K1152" s="4" t="s">
        <v>1842</v>
      </c>
      <c r="L1152" s="2"/>
      <c r="M1152" s="4" t="s">
        <v>8</v>
      </c>
      <c r="N1152" s="2"/>
      <c r="O1152" s="2"/>
      <c r="P1152" s="4" t="s">
        <v>1843</v>
      </c>
      <c r="Q1152" s="31" t="s">
        <v>1127</v>
      </c>
    </row>
    <row r="1153" spans="1:17" ht="16.5" customHeight="1" x14ac:dyDescent="0.2">
      <c r="A1153" s="3" t="s">
        <v>0</v>
      </c>
      <c r="B1153" s="4" t="s">
        <v>82</v>
      </c>
      <c r="C1153" s="3" t="s">
        <v>4182</v>
      </c>
      <c r="D1153" s="26" t="s">
        <v>1838</v>
      </c>
      <c r="E1153" s="26" t="s">
        <v>1949</v>
      </c>
      <c r="F1153" s="4">
        <v>20</v>
      </c>
      <c r="G1153" s="4" t="str">
        <f t="shared" si="15"/>
        <v>t</v>
      </c>
      <c r="H1153" s="4">
        <v>2003</v>
      </c>
      <c r="I1153" s="4" t="s">
        <v>1978</v>
      </c>
      <c r="J1153" s="4" t="s">
        <v>1951</v>
      </c>
      <c r="K1153" s="4" t="s">
        <v>1842</v>
      </c>
      <c r="L1153" s="2"/>
      <c r="M1153" s="4" t="s">
        <v>8</v>
      </c>
      <c r="N1153" s="2"/>
      <c r="O1153" s="2"/>
      <c r="P1153" s="4" t="s">
        <v>1843</v>
      </c>
      <c r="Q1153" s="31" t="s">
        <v>1127</v>
      </c>
    </row>
    <row r="1154" spans="1:17" ht="16.5" customHeight="1" x14ac:dyDescent="0.2">
      <c r="A1154" s="3" t="s">
        <v>0</v>
      </c>
      <c r="B1154" s="4" t="s">
        <v>63</v>
      </c>
      <c r="C1154" s="3" t="s">
        <v>4182</v>
      </c>
      <c r="D1154" s="26" t="s">
        <v>1838</v>
      </c>
      <c r="E1154" s="26" t="s">
        <v>1949</v>
      </c>
      <c r="F1154" s="4">
        <v>21</v>
      </c>
      <c r="G1154" s="4" t="str">
        <f t="shared" si="15"/>
        <v>u</v>
      </c>
      <c r="H1154" s="4">
        <v>2004</v>
      </c>
      <c r="I1154" s="4" t="s">
        <v>1979</v>
      </c>
      <c r="J1154" s="4" t="s">
        <v>1951</v>
      </c>
      <c r="K1154" s="4" t="s">
        <v>1842</v>
      </c>
      <c r="L1154" s="2"/>
      <c r="M1154" s="4" t="s">
        <v>8</v>
      </c>
      <c r="N1154" s="2"/>
      <c r="O1154" s="2"/>
      <c r="P1154" s="4" t="s">
        <v>1843</v>
      </c>
      <c r="Q1154" s="31" t="s">
        <v>1127</v>
      </c>
    </row>
    <row r="1155" spans="1:17" ht="16.5" customHeight="1" x14ac:dyDescent="0.2">
      <c r="A1155" s="3" t="s">
        <v>0</v>
      </c>
      <c r="B1155" s="4" t="s">
        <v>91</v>
      </c>
      <c r="C1155" s="3" t="s">
        <v>4182</v>
      </c>
      <c r="D1155" s="26" t="s">
        <v>1838</v>
      </c>
      <c r="E1155" s="26" t="s">
        <v>1949</v>
      </c>
      <c r="F1155" s="4">
        <v>22</v>
      </c>
      <c r="G1155" s="4" t="str">
        <f t="shared" si="15"/>
        <v>v</v>
      </c>
      <c r="H1155" s="4">
        <v>2005</v>
      </c>
      <c r="I1155" s="4" t="s">
        <v>1980</v>
      </c>
      <c r="J1155" s="4" t="s">
        <v>1951</v>
      </c>
      <c r="K1155" s="4" t="s">
        <v>1842</v>
      </c>
      <c r="L1155" s="2"/>
      <c r="M1155" s="4" t="s">
        <v>8</v>
      </c>
      <c r="N1155" s="2"/>
      <c r="O1155" s="2"/>
      <c r="P1155" s="4" t="s">
        <v>1843</v>
      </c>
      <c r="Q1155" s="31" t="s">
        <v>1127</v>
      </c>
    </row>
    <row r="1156" spans="1:17" ht="16.5" customHeight="1" x14ac:dyDescent="0.2">
      <c r="A1156" s="3" t="s">
        <v>0</v>
      </c>
      <c r="B1156" s="4" t="s">
        <v>51</v>
      </c>
      <c r="C1156" s="3" t="s">
        <v>4182</v>
      </c>
      <c r="D1156" s="26" t="s">
        <v>1838</v>
      </c>
      <c r="E1156" s="26" t="s">
        <v>1949</v>
      </c>
      <c r="F1156" s="4">
        <v>23</v>
      </c>
      <c r="G1156" s="4" t="str">
        <f t="shared" si="15"/>
        <v>w</v>
      </c>
      <c r="H1156" s="4">
        <v>2006</v>
      </c>
      <c r="I1156" s="4" t="s">
        <v>1981</v>
      </c>
      <c r="J1156" s="4" t="s">
        <v>1951</v>
      </c>
      <c r="K1156" s="4" t="s">
        <v>1842</v>
      </c>
      <c r="L1156" s="2"/>
      <c r="M1156" s="4" t="s">
        <v>8</v>
      </c>
      <c r="N1156" s="2"/>
      <c r="O1156" s="2"/>
      <c r="P1156" s="4" t="s">
        <v>1843</v>
      </c>
      <c r="Q1156" s="31" t="s">
        <v>1127</v>
      </c>
    </row>
    <row r="1157" spans="1:17" ht="16.5" customHeight="1" x14ac:dyDescent="0.2">
      <c r="A1157" s="3" t="s">
        <v>0</v>
      </c>
      <c r="B1157" s="4" t="s">
        <v>94</v>
      </c>
      <c r="C1157" s="3" t="s">
        <v>4182</v>
      </c>
      <c r="D1157" s="26" t="s">
        <v>1838</v>
      </c>
      <c r="E1157" s="26" t="s">
        <v>1949</v>
      </c>
      <c r="F1157" s="4">
        <v>24</v>
      </c>
      <c r="G1157" s="4" t="str">
        <f t="shared" si="15"/>
        <v>x</v>
      </c>
      <c r="H1157" s="4">
        <v>2007</v>
      </c>
      <c r="I1157" s="4" t="s">
        <v>1982</v>
      </c>
      <c r="J1157" s="4" t="s">
        <v>1951</v>
      </c>
      <c r="K1157" s="4" t="s">
        <v>1842</v>
      </c>
      <c r="L1157" s="2"/>
      <c r="M1157" s="4" t="s">
        <v>8</v>
      </c>
      <c r="N1157" s="2"/>
      <c r="O1157" s="2"/>
      <c r="P1157" s="4" t="s">
        <v>1843</v>
      </c>
      <c r="Q1157" s="31" t="s">
        <v>1127</v>
      </c>
    </row>
    <row r="1158" spans="1:17" ht="16.5" customHeight="1" x14ac:dyDescent="0.2">
      <c r="A1158" s="3" t="s">
        <v>0</v>
      </c>
      <c r="B1158" s="4" t="s">
        <v>69</v>
      </c>
      <c r="C1158" s="3" t="s">
        <v>4182</v>
      </c>
      <c r="D1158" s="26" t="s">
        <v>1838</v>
      </c>
      <c r="E1158" s="26" t="s">
        <v>1949</v>
      </c>
      <c r="F1158" s="4">
        <v>25</v>
      </c>
      <c r="G1158" s="4" t="str">
        <f t="shared" si="15"/>
        <v>y</v>
      </c>
      <c r="H1158" s="4">
        <v>2008</v>
      </c>
      <c r="I1158" s="4" t="s">
        <v>1983</v>
      </c>
      <c r="J1158" s="4" t="s">
        <v>1951</v>
      </c>
      <c r="K1158" s="4" t="s">
        <v>1842</v>
      </c>
      <c r="L1158" s="2"/>
      <c r="M1158" s="4" t="s">
        <v>8</v>
      </c>
      <c r="N1158" s="2"/>
      <c r="O1158" s="2"/>
      <c r="P1158" s="4" t="s">
        <v>1843</v>
      </c>
      <c r="Q1158" s="31" t="s">
        <v>1127</v>
      </c>
    </row>
    <row r="1159" spans="1:17" ht="16.5" customHeight="1" x14ac:dyDescent="0.2">
      <c r="A1159" s="3" t="s">
        <v>0</v>
      </c>
      <c r="B1159" s="4" t="s">
        <v>15</v>
      </c>
      <c r="C1159" s="3" t="s">
        <v>4182</v>
      </c>
      <c r="D1159" s="26" t="s">
        <v>1838</v>
      </c>
      <c r="E1159" s="26" t="s">
        <v>1949</v>
      </c>
      <c r="F1159" s="4">
        <v>26</v>
      </c>
      <c r="G1159" s="4" t="str">
        <f t="shared" si="15"/>
        <v>z</v>
      </c>
      <c r="H1159" s="4">
        <v>2009</v>
      </c>
      <c r="I1159" s="4" t="s">
        <v>1984</v>
      </c>
      <c r="J1159" s="4" t="s">
        <v>1951</v>
      </c>
      <c r="K1159" s="4" t="s">
        <v>1842</v>
      </c>
      <c r="L1159" s="2"/>
      <c r="M1159" s="4" t="s">
        <v>8</v>
      </c>
      <c r="N1159" s="2"/>
      <c r="O1159" s="2"/>
      <c r="P1159" s="4" t="s">
        <v>1843</v>
      </c>
      <c r="Q1159" s="31" t="s">
        <v>1127</v>
      </c>
    </row>
    <row r="1160" spans="1:17" ht="16.5" customHeight="1" x14ac:dyDescent="0.2">
      <c r="A1160" s="3" t="s">
        <v>0</v>
      </c>
      <c r="B1160" s="4" t="s">
        <v>39</v>
      </c>
      <c r="C1160" s="3" t="s">
        <v>4182</v>
      </c>
      <c r="D1160" s="26" t="s">
        <v>1838</v>
      </c>
      <c r="E1160" s="26" t="s">
        <v>1839</v>
      </c>
      <c r="F1160" s="4">
        <v>1</v>
      </c>
      <c r="G1160" s="4" t="str">
        <f t="shared" si="15"/>
        <v>a</v>
      </c>
      <c r="H1160" s="4">
        <v>1984</v>
      </c>
      <c r="I1160" s="4" t="s">
        <v>1840</v>
      </c>
      <c r="J1160" s="4" t="s">
        <v>1841</v>
      </c>
      <c r="K1160" s="4" t="s">
        <v>1842</v>
      </c>
      <c r="L1160" s="2"/>
      <c r="M1160" s="4" t="s">
        <v>8</v>
      </c>
      <c r="N1160" s="2"/>
      <c r="O1160" s="2"/>
      <c r="P1160" s="4" t="s">
        <v>1843</v>
      </c>
      <c r="Q1160" s="31" t="s">
        <v>1127</v>
      </c>
    </row>
    <row r="1161" spans="1:17" ht="16.5" customHeight="1" x14ac:dyDescent="0.2">
      <c r="A1161" s="3" t="s">
        <v>0</v>
      </c>
      <c r="B1161" s="4" t="s">
        <v>33</v>
      </c>
      <c r="C1161" s="3" t="s">
        <v>4182</v>
      </c>
      <c r="D1161" s="26" t="s">
        <v>1838</v>
      </c>
      <c r="E1161" s="26" t="s">
        <v>1839</v>
      </c>
      <c r="F1161" s="4">
        <v>27</v>
      </c>
      <c r="G1161" s="4" t="str">
        <f t="shared" ref="G1161:G1168" si="16">LEFT(B1161,2)</f>
        <v>ba</v>
      </c>
      <c r="H1161" s="4">
        <v>2010</v>
      </c>
      <c r="I1161" s="4" t="s">
        <v>1869</v>
      </c>
      <c r="J1161" s="4" t="s">
        <v>1841</v>
      </c>
      <c r="K1161" s="4" t="s">
        <v>1842</v>
      </c>
      <c r="L1161" s="2"/>
      <c r="M1161" s="4" t="s">
        <v>8</v>
      </c>
      <c r="N1161" s="2"/>
      <c r="O1161" s="2"/>
      <c r="P1161" s="4" t="s">
        <v>1843</v>
      </c>
      <c r="Q1161" s="31" t="s">
        <v>1127</v>
      </c>
    </row>
    <row r="1162" spans="1:17" ht="16.5" customHeight="1" x14ac:dyDescent="0.2">
      <c r="A1162" s="3" t="s">
        <v>0</v>
      </c>
      <c r="B1162" s="4" t="s">
        <v>45</v>
      </c>
      <c r="C1162" s="3" t="s">
        <v>4182</v>
      </c>
      <c r="D1162" s="26" t="s">
        <v>1838</v>
      </c>
      <c r="E1162" s="26" t="s">
        <v>1839</v>
      </c>
      <c r="F1162" s="4">
        <v>28</v>
      </c>
      <c r="G1162" s="4" t="str">
        <f t="shared" si="16"/>
        <v>bb</v>
      </c>
      <c r="H1162" s="4">
        <v>2011</v>
      </c>
      <c r="I1162" s="4" t="s">
        <v>1870</v>
      </c>
      <c r="J1162" s="4" t="s">
        <v>1841</v>
      </c>
      <c r="K1162" s="4" t="s">
        <v>1842</v>
      </c>
      <c r="L1162" s="2"/>
      <c r="M1162" s="4" t="s">
        <v>8</v>
      </c>
      <c r="N1162" s="2"/>
      <c r="O1162" s="2"/>
      <c r="P1162" s="4" t="s">
        <v>1843</v>
      </c>
      <c r="Q1162" s="31" t="s">
        <v>1127</v>
      </c>
    </row>
    <row r="1163" spans="1:17" ht="16.5" customHeight="1" x14ac:dyDescent="0.2">
      <c r="A1163" s="3" t="s">
        <v>0</v>
      </c>
      <c r="B1163" s="4" t="s">
        <v>60</v>
      </c>
      <c r="C1163" s="3" t="s">
        <v>4182</v>
      </c>
      <c r="D1163" s="26" t="s">
        <v>1838</v>
      </c>
      <c r="E1163" s="26" t="s">
        <v>1839</v>
      </c>
      <c r="F1163" s="4">
        <v>29</v>
      </c>
      <c r="G1163" s="4" t="str">
        <f t="shared" si="16"/>
        <v>bc</v>
      </c>
      <c r="H1163" s="4">
        <v>2012</v>
      </c>
      <c r="I1163" s="4" t="s">
        <v>1871</v>
      </c>
      <c r="J1163" s="4" t="s">
        <v>1841</v>
      </c>
      <c r="K1163" s="4" t="s">
        <v>1842</v>
      </c>
      <c r="L1163" s="2"/>
      <c r="M1163" s="4" t="s">
        <v>8</v>
      </c>
      <c r="N1163" s="2"/>
      <c r="O1163" s="2"/>
      <c r="P1163" s="4" t="s">
        <v>1843</v>
      </c>
      <c r="Q1163" s="31" t="s">
        <v>1127</v>
      </c>
    </row>
    <row r="1164" spans="1:17" ht="16.5" customHeight="1" x14ac:dyDescent="0.2">
      <c r="A1164" s="3" t="s">
        <v>0</v>
      </c>
      <c r="B1164" s="4" t="s">
        <v>85</v>
      </c>
      <c r="C1164" s="3" t="s">
        <v>4182</v>
      </c>
      <c r="D1164" s="26" t="s">
        <v>1838</v>
      </c>
      <c r="E1164" s="26" t="s">
        <v>1839</v>
      </c>
      <c r="F1164" s="4">
        <v>30</v>
      </c>
      <c r="G1164" s="4" t="str">
        <f t="shared" si="16"/>
        <v>bd</v>
      </c>
      <c r="H1164" s="4">
        <v>2013</v>
      </c>
      <c r="I1164" s="4" t="s">
        <v>1872</v>
      </c>
      <c r="J1164" s="4" t="s">
        <v>1841</v>
      </c>
      <c r="K1164" s="4" t="s">
        <v>1842</v>
      </c>
      <c r="L1164" s="2"/>
      <c r="M1164" s="4" t="s">
        <v>8</v>
      </c>
      <c r="N1164" s="2"/>
      <c r="O1164" s="2"/>
      <c r="P1164" s="4" t="s">
        <v>1843</v>
      </c>
      <c r="Q1164" s="31" t="s">
        <v>1127</v>
      </c>
    </row>
    <row r="1165" spans="1:17" ht="16.5" customHeight="1" x14ac:dyDescent="0.2">
      <c r="A1165" s="3" t="s">
        <v>0</v>
      </c>
      <c r="B1165" s="4" t="s">
        <v>21</v>
      </c>
      <c r="C1165" s="3" t="s">
        <v>4182</v>
      </c>
      <c r="D1165" s="26" t="s">
        <v>1838</v>
      </c>
      <c r="E1165" s="26" t="s">
        <v>1839</v>
      </c>
      <c r="F1165" s="4">
        <v>31</v>
      </c>
      <c r="G1165" s="4" t="str">
        <f t="shared" si="16"/>
        <v>be</v>
      </c>
      <c r="H1165" s="4">
        <v>2014</v>
      </c>
      <c r="I1165" s="4" t="s">
        <v>1873</v>
      </c>
      <c r="J1165" s="4" t="s">
        <v>1841</v>
      </c>
      <c r="K1165" s="4" t="s">
        <v>1842</v>
      </c>
      <c r="L1165" s="2"/>
      <c r="M1165" s="4" t="s">
        <v>8</v>
      </c>
      <c r="N1165" s="2"/>
      <c r="O1165" s="2"/>
      <c r="P1165" s="4" t="s">
        <v>1843</v>
      </c>
      <c r="Q1165" s="31" t="s">
        <v>1127</v>
      </c>
    </row>
    <row r="1166" spans="1:17" ht="16.5" customHeight="1" x14ac:dyDescent="0.2">
      <c r="A1166" s="3" t="s">
        <v>0</v>
      </c>
      <c r="B1166" s="4" t="s">
        <v>27</v>
      </c>
      <c r="C1166" s="3" t="s">
        <v>4182</v>
      </c>
      <c r="D1166" s="26" t="s">
        <v>1838</v>
      </c>
      <c r="E1166" s="26" t="s">
        <v>1839</v>
      </c>
      <c r="F1166" s="4">
        <v>32</v>
      </c>
      <c r="G1166" s="4" t="str">
        <f t="shared" si="16"/>
        <v>bf</v>
      </c>
      <c r="H1166" s="4">
        <v>2015</v>
      </c>
      <c r="I1166" s="4" t="s">
        <v>1874</v>
      </c>
      <c r="J1166" s="4" t="s">
        <v>1841</v>
      </c>
      <c r="K1166" s="4" t="s">
        <v>1842</v>
      </c>
      <c r="L1166" s="2"/>
      <c r="M1166" s="4" t="s">
        <v>8</v>
      </c>
      <c r="N1166" s="2"/>
      <c r="O1166" s="2"/>
      <c r="P1166" s="4" t="s">
        <v>1843</v>
      </c>
      <c r="Q1166" s="31" t="s">
        <v>1127</v>
      </c>
    </row>
    <row r="1167" spans="1:17" ht="16.5" customHeight="1" x14ac:dyDescent="0.2">
      <c r="A1167" s="3" t="s">
        <v>0</v>
      </c>
      <c r="B1167" s="4" t="s">
        <v>75</v>
      </c>
      <c r="C1167" s="3" t="s">
        <v>4182</v>
      </c>
      <c r="D1167" s="26" t="s">
        <v>1838</v>
      </c>
      <c r="E1167" s="26" t="s">
        <v>1839</v>
      </c>
      <c r="F1167" s="4">
        <v>33</v>
      </c>
      <c r="G1167" s="4" t="str">
        <f t="shared" si="16"/>
        <v>bg</v>
      </c>
      <c r="H1167" s="4">
        <v>2016</v>
      </c>
      <c r="I1167" s="4" t="s">
        <v>1875</v>
      </c>
      <c r="J1167" s="4" t="s">
        <v>1841</v>
      </c>
      <c r="K1167" s="4" t="s">
        <v>1842</v>
      </c>
      <c r="L1167" s="2"/>
      <c r="M1167" s="4" t="s">
        <v>8</v>
      </c>
      <c r="N1167" s="2"/>
      <c r="O1167" s="2"/>
      <c r="P1167" s="4" t="s">
        <v>1843</v>
      </c>
      <c r="Q1167" s="31" t="s">
        <v>1127</v>
      </c>
    </row>
    <row r="1168" spans="1:17" ht="16.5" customHeight="1" x14ac:dyDescent="0.2">
      <c r="A1168" s="3" t="s">
        <v>0</v>
      </c>
      <c r="B1168" s="4" t="s">
        <v>66</v>
      </c>
      <c r="C1168" s="3" t="s">
        <v>4182</v>
      </c>
      <c r="D1168" s="26" t="s">
        <v>1838</v>
      </c>
      <c r="E1168" s="26" t="s">
        <v>1839</v>
      </c>
      <c r="F1168" s="4">
        <v>34</v>
      </c>
      <c r="G1168" s="4" t="str">
        <f t="shared" si="16"/>
        <v>bh</v>
      </c>
      <c r="H1168" s="4">
        <v>2017</v>
      </c>
      <c r="I1168" s="4" t="s">
        <v>1876</v>
      </c>
      <c r="J1168" s="4" t="s">
        <v>1841</v>
      </c>
      <c r="K1168" s="4" t="s">
        <v>1842</v>
      </c>
      <c r="L1168" s="2"/>
      <c r="M1168" s="4" t="s">
        <v>8</v>
      </c>
      <c r="N1168" s="2"/>
      <c r="O1168" s="2"/>
      <c r="P1168" s="4" t="s">
        <v>1843</v>
      </c>
      <c r="Q1168" s="31" t="s">
        <v>1127</v>
      </c>
    </row>
    <row r="1169" spans="1:17" ht="16.5" customHeight="1" x14ac:dyDescent="0.2">
      <c r="A1169" s="3" t="s">
        <v>0</v>
      </c>
      <c r="B1169" s="4" t="s">
        <v>36</v>
      </c>
      <c r="C1169" s="3" t="s">
        <v>4182</v>
      </c>
      <c r="D1169" s="26" t="s">
        <v>1838</v>
      </c>
      <c r="E1169" s="26" t="s">
        <v>1839</v>
      </c>
      <c r="F1169" s="4">
        <v>2</v>
      </c>
      <c r="G1169" s="4" t="str">
        <f t="shared" ref="G1169:G1194" si="17">LEFT(B1169,1)</f>
        <v>b</v>
      </c>
      <c r="H1169" s="4">
        <v>1985</v>
      </c>
      <c r="I1169" s="4" t="s">
        <v>1844</v>
      </c>
      <c r="J1169" s="4" t="s">
        <v>1841</v>
      </c>
      <c r="K1169" s="4" t="s">
        <v>1842</v>
      </c>
      <c r="L1169" s="2"/>
      <c r="M1169" s="4" t="s">
        <v>8</v>
      </c>
      <c r="N1169" s="2"/>
      <c r="O1169" s="2"/>
      <c r="P1169" s="4" t="s">
        <v>1843</v>
      </c>
      <c r="Q1169" s="31" t="s">
        <v>1127</v>
      </c>
    </row>
    <row r="1170" spans="1:17" ht="16.5" customHeight="1" x14ac:dyDescent="0.2">
      <c r="A1170" s="3" t="s">
        <v>0</v>
      </c>
      <c r="B1170" s="4" t="s">
        <v>79</v>
      </c>
      <c r="C1170" s="3" t="s">
        <v>4182</v>
      </c>
      <c r="D1170" s="26" t="s">
        <v>1838</v>
      </c>
      <c r="E1170" s="26" t="s">
        <v>1839</v>
      </c>
      <c r="F1170" s="4">
        <v>3</v>
      </c>
      <c r="G1170" s="4" t="str">
        <f t="shared" si="17"/>
        <v>c</v>
      </c>
      <c r="H1170" s="4">
        <v>1986</v>
      </c>
      <c r="I1170" s="4" t="s">
        <v>1845</v>
      </c>
      <c r="J1170" s="4" t="s">
        <v>1841</v>
      </c>
      <c r="K1170" s="4" t="s">
        <v>1842</v>
      </c>
      <c r="L1170" s="2"/>
      <c r="M1170" s="4" t="s">
        <v>8</v>
      </c>
      <c r="N1170" s="2"/>
      <c r="O1170" s="2"/>
      <c r="P1170" s="4" t="s">
        <v>1843</v>
      </c>
      <c r="Q1170" s="31" t="s">
        <v>1127</v>
      </c>
    </row>
    <row r="1171" spans="1:17" ht="16.5" customHeight="1" x14ac:dyDescent="0.2">
      <c r="A1171" s="3" t="s">
        <v>0</v>
      </c>
      <c r="B1171" s="4" t="s">
        <v>30</v>
      </c>
      <c r="C1171" s="3" t="s">
        <v>4182</v>
      </c>
      <c r="D1171" s="26" t="s">
        <v>1838</v>
      </c>
      <c r="E1171" s="26" t="s">
        <v>1839</v>
      </c>
      <c r="F1171" s="4">
        <v>4</v>
      </c>
      <c r="G1171" s="4" t="str">
        <f t="shared" si="17"/>
        <v>d</v>
      </c>
      <c r="H1171" s="4">
        <v>1987</v>
      </c>
      <c r="I1171" s="4" t="s">
        <v>1846</v>
      </c>
      <c r="J1171" s="4" t="s">
        <v>1841</v>
      </c>
      <c r="K1171" s="4" t="s">
        <v>1842</v>
      </c>
      <c r="L1171" s="2"/>
      <c r="M1171" s="4" t="s">
        <v>8</v>
      </c>
      <c r="N1171" s="2"/>
      <c r="O1171" s="2"/>
      <c r="P1171" s="4" t="s">
        <v>1843</v>
      </c>
      <c r="Q1171" s="31" t="s">
        <v>1127</v>
      </c>
    </row>
    <row r="1172" spans="1:17" ht="16.5" customHeight="1" x14ac:dyDescent="0.2">
      <c r="A1172" s="3" t="s">
        <v>0</v>
      </c>
      <c r="B1172" s="4" t="s">
        <v>12</v>
      </c>
      <c r="C1172" s="3" t="s">
        <v>4182</v>
      </c>
      <c r="D1172" s="26" t="s">
        <v>1838</v>
      </c>
      <c r="E1172" s="26" t="s">
        <v>1839</v>
      </c>
      <c r="F1172" s="4">
        <v>5</v>
      </c>
      <c r="G1172" s="4" t="str">
        <f t="shared" si="17"/>
        <v>e</v>
      </c>
      <c r="H1172" s="4">
        <v>1988</v>
      </c>
      <c r="I1172" s="4" t="s">
        <v>1847</v>
      </c>
      <c r="J1172" s="4" t="s">
        <v>1841</v>
      </c>
      <c r="K1172" s="4" t="s">
        <v>1842</v>
      </c>
      <c r="L1172" s="2"/>
      <c r="M1172" s="4" t="s">
        <v>8</v>
      </c>
      <c r="N1172" s="2"/>
      <c r="O1172" s="2"/>
      <c r="P1172" s="4" t="s">
        <v>1843</v>
      </c>
      <c r="Q1172" s="31" t="s">
        <v>1127</v>
      </c>
    </row>
    <row r="1173" spans="1:17" ht="16.5" customHeight="1" x14ac:dyDescent="0.2">
      <c r="A1173" s="3" t="s">
        <v>0</v>
      </c>
      <c r="B1173" s="4" t="s">
        <v>48</v>
      </c>
      <c r="C1173" s="3" t="s">
        <v>4182</v>
      </c>
      <c r="D1173" s="26" t="s">
        <v>1838</v>
      </c>
      <c r="E1173" s="26" t="s">
        <v>1839</v>
      </c>
      <c r="F1173" s="4">
        <v>6</v>
      </c>
      <c r="G1173" s="4" t="str">
        <f t="shared" si="17"/>
        <v>f</v>
      </c>
      <c r="H1173" s="4">
        <v>1989</v>
      </c>
      <c r="I1173" s="4" t="s">
        <v>1848</v>
      </c>
      <c r="J1173" s="4" t="s">
        <v>1841</v>
      </c>
      <c r="K1173" s="4" t="s">
        <v>1842</v>
      </c>
      <c r="L1173" s="2"/>
      <c r="M1173" s="4" t="s">
        <v>8</v>
      </c>
      <c r="N1173" s="2"/>
      <c r="O1173" s="2"/>
      <c r="P1173" s="4" t="s">
        <v>1843</v>
      </c>
      <c r="Q1173" s="31" t="s">
        <v>1127</v>
      </c>
    </row>
    <row r="1174" spans="1:17" ht="16.5" customHeight="1" x14ac:dyDescent="0.2">
      <c r="A1174" s="3" t="s">
        <v>0</v>
      </c>
      <c r="B1174" s="4" t="s">
        <v>100</v>
      </c>
      <c r="C1174" s="3" t="s">
        <v>4182</v>
      </c>
      <c r="D1174" s="26" t="s">
        <v>1838</v>
      </c>
      <c r="E1174" s="26" t="s">
        <v>1839</v>
      </c>
      <c r="F1174" s="4">
        <v>7</v>
      </c>
      <c r="G1174" s="4" t="str">
        <f t="shared" si="17"/>
        <v>g</v>
      </c>
      <c r="H1174" s="4">
        <v>1990</v>
      </c>
      <c r="I1174" s="4" t="s">
        <v>1849</v>
      </c>
      <c r="J1174" s="4" t="s">
        <v>1841</v>
      </c>
      <c r="K1174" s="4" t="s">
        <v>1842</v>
      </c>
      <c r="L1174" s="2"/>
      <c r="M1174" s="4" t="s">
        <v>8</v>
      </c>
      <c r="N1174" s="2"/>
      <c r="O1174" s="2"/>
      <c r="P1174" s="4" t="s">
        <v>1843</v>
      </c>
      <c r="Q1174" s="31" t="s">
        <v>1127</v>
      </c>
    </row>
    <row r="1175" spans="1:17" ht="16.5" customHeight="1" x14ac:dyDescent="0.2">
      <c r="A1175" s="3" t="s">
        <v>0</v>
      </c>
      <c r="B1175" s="4" t="s">
        <v>9</v>
      </c>
      <c r="C1175" s="3" t="s">
        <v>4182</v>
      </c>
      <c r="D1175" s="26" t="s">
        <v>1838</v>
      </c>
      <c r="E1175" s="26" t="s">
        <v>1839</v>
      </c>
      <c r="F1175" s="4">
        <v>8</v>
      </c>
      <c r="G1175" s="4" t="str">
        <f t="shared" si="17"/>
        <v>h</v>
      </c>
      <c r="H1175" s="4">
        <v>1991</v>
      </c>
      <c r="I1175" s="4" t="s">
        <v>1850</v>
      </c>
      <c r="J1175" s="4" t="s">
        <v>1841</v>
      </c>
      <c r="K1175" s="4" t="s">
        <v>1842</v>
      </c>
      <c r="L1175" s="2"/>
      <c r="M1175" s="4" t="s">
        <v>8</v>
      </c>
      <c r="N1175" s="2"/>
      <c r="O1175" s="2"/>
      <c r="P1175" s="4" t="s">
        <v>1843</v>
      </c>
      <c r="Q1175" s="31" t="s">
        <v>1127</v>
      </c>
    </row>
    <row r="1176" spans="1:17" ht="16.5" customHeight="1" x14ac:dyDescent="0.2">
      <c r="A1176" s="3" t="s">
        <v>0</v>
      </c>
      <c r="B1176" s="4" t="s">
        <v>54</v>
      </c>
      <c r="C1176" s="3" t="s">
        <v>4182</v>
      </c>
      <c r="D1176" s="26" t="s">
        <v>1838</v>
      </c>
      <c r="E1176" s="26" t="s">
        <v>1839</v>
      </c>
      <c r="F1176" s="4">
        <v>9</v>
      </c>
      <c r="G1176" s="4" t="str">
        <f t="shared" si="17"/>
        <v>i</v>
      </c>
      <c r="H1176" s="4">
        <v>1992</v>
      </c>
      <c r="I1176" s="4" t="s">
        <v>1851</v>
      </c>
      <c r="J1176" s="4" t="s">
        <v>1841</v>
      </c>
      <c r="K1176" s="4" t="s">
        <v>1842</v>
      </c>
      <c r="L1176" s="2"/>
      <c r="M1176" s="4" t="s">
        <v>8</v>
      </c>
      <c r="N1176" s="2"/>
      <c r="O1176" s="2"/>
      <c r="P1176" s="4" t="s">
        <v>1843</v>
      </c>
      <c r="Q1176" s="31" t="s">
        <v>1127</v>
      </c>
    </row>
    <row r="1177" spans="1:17" ht="16.5" customHeight="1" x14ac:dyDescent="0.2">
      <c r="A1177" s="3" t="s">
        <v>0</v>
      </c>
      <c r="B1177" s="4" t="s">
        <v>97</v>
      </c>
      <c r="C1177" s="3" t="s">
        <v>4182</v>
      </c>
      <c r="D1177" s="26" t="s">
        <v>1838</v>
      </c>
      <c r="E1177" s="26" t="s">
        <v>1839</v>
      </c>
      <c r="F1177" s="4">
        <v>10</v>
      </c>
      <c r="G1177" s="4" t="str">
        <f t="shared" si="17"/>
        <v>j</v>
      </c>
      <c r="H1177" s="4">
        <v>1993</v>
      </c>
      <c r="I1177" s="4" t="s">
        <v>1852</v>
      </c>
      <c r="J1177" s="4" t="s">
        <v>1841</v>
      </c>
      <c r="K1177" s="4" t="s">
        <v>1842</v>
      </c>
      <c r="L1177" s="2"/>
      <c r="M1177" s="4" t="s">
        <v>8</v>
      </c>
      <c r="N1177" s="2"/>
      <c r="O1177" s="2"/>
      <c r="P1177" s="4" t="s">
        <v>1843</v>
      </c>
      <c r="Q1177" s="31" t="s">
        <v>1127</v>
      </c>
    </row>
    <row r="1178" spans="1:17" ht="16.5" customHeight="1" x14ac:dyDescent="0.2">
      <c r="A1178" s="3" t="s">
        <v>0</v>
      </c>
      <c r="B1178" s="4" t="s">
        <v>103</v>
      </c>
      <c r="C1178" s="3" t="s">
        <v>4182</v>
      </c>
      <c r="D1178" s="26" t="s">
        <v>1838</v>
      </c>
      <c r="E1178" s="26" t="s">
        <v>1839</v>
      </c>
      <c r="F1178" s="4">
        <v>11</v>
      </c>
      <c r="G1178" s="4" t="str">
        <f t="shared" si="17"/>
        <v>k</v>
      </c>
      <c r="H1178" s="4">
        <v>1994</v>
      </c>
      <c r="I1178" s="4" t="s">
        <v>1853</v>
      </c>
      <c r="J1178" s="4" t="s">
        <v>1841</v>
      </c>
      <c r="K1178" s="4" t="s">
        <v>1842</v>
      </c>
      <c r="L1178" s="2"/>
      <c r="M1178" s="4" t="s">
        <v>8</v>
      </c>
      <c r="N1178" s="2"/>
      <c r="O1178" s="2"/>
      <c r="P1178" s="4" t="s">
        <v>1843</v>
      </c>
      <c r="Q1178" s="31" t="s">
        <v>1127</v>
      </c>
    </row>
    <row r="1179" spans="1:17" ht="16.5" customHeight="1" x14ac:dyDescent="0.2">
      <c r="A1179" s="3" t="s">
        <v>0</v>
      </c>
      <c r="B1179" s="4" t="s">
        <v>88</v>
      </c>
      <c r="C1179" s="3" t="s">
        <v>4182</v>
      </c>
      <c r="D1179" s="26" t="s">
        <v>1838</v>
      </c>
      <c r="E1179" s="26" t="s">
        <v>1839</v>
      </c>
      <c r="F1179" s="4">
        <v>12</v>
      </c>
      <c r="G1179" s="4" t="str">
        <f t="shared" si="17"/>
        <v>l</v>
      </c>
      <c r="H1179" s="4">
        <v>1995</v>
      </c>
      <c r="I1179" s="4" t="s">
        <v>1854</v>
      </c>
      <c r="J1179" s="4" t="s">
        <v>1841</v>
      </c>
      <c r="K1179" s="4" t="s">
        <v>1842</v>
      </c>
      <c r="L1179" s="2"/>
      <c r="M1179" s="4" t="s">
        <v>8</v>
      </c>
      <c r="N1179" s="2"/>
      <c r="O1179" s="2"/>
      <c r="P1179" s="4" t="s">
        <v>1843</v>
      </c>
      <c r="Q1179" s="31" t="s">
        <v>1127</v>
      </c>
    </row>
    <row r="1180" spans="1:17" ht="16.5" customHeight="1" x14ac:dyDescent="0.2">
      <c r="A1180" s="3" t="s">
        <v>0</v>
      </c>
      <c r="B1180" s="4" t="s">
        <v>106</v>
      </c>
      <c r="C1180" s="3" t="s">
        <v>4182</v>
      </c>
      <c r="D1180" s="26" t="s">
        <v>1838</v>
      </c>
      <c r="E1180" s="26" t="s">
        <v>1839</v>
      </c>
      <c r="F1180" s="4">
        <v>13</v>
      </c>
      <c r="G1180" s="4" t="str">
        <f t="shared" si="17"/>
        <v>m</v>
      </c>
      <c r="H1180" s="4">
        <v>1996</v>
      </c>
      <c r="I1180" s="4" t="s">
        <v>1855</v>
      </c>
      <c r="J1180" s="4" t="s">
        <v>1841</v>
      </c>
      <c r="K1180" s="4" t="s">
        <v>1842</v>
      </c>
      <c r="L1180" s="2"/>
      <c r="M1180" s="4" t="s">
        <v>8</v>
      </c>
      <c r="N1180" s="2"/>
      <c r="O1180" s="2"/>
      <c r="P1180" s="4" t="s">
        <v>1843</v>
      </c>
      <c r="Q1180" s="31" t="s">
        <v>1127</v>
      </c>
    </row>
    <row r="1181" spans="1:17" ht="16.5" customHeight="1" x14ac:dyDescent="0.2">
      <c r="A1181" s="3" t="s">
        <v>0</v>
      </c>
      <c r="B1181" s="4" t="s">
        <v>42</v>
      </c>
      <c r="C1181" s="3" t="s">
        <v>4182</v>
      </c>
      <c r="D1181" s="26" t="s">
        <v>1838</v>
      </c>
      <c r="E1181" s="26" t="s">
        <v>1839</v>
      </c>
      <c r="F1181" s="4">
        <v>14</v>
      </c>
      <c r="G1181" s="4" t="str">
        <f t="shared" si="17"/>
        <v>n</v>
      </c>
      <c r="H1181" s="4">
        <v>1997</v>
      </c>
      <c r="I1181" s="4" t="s">
        <v>1856</v>
      </c>
      <c r="J1181" s="4" t="s">
        <v>1841</v>
      </c>
      <c r="K1181" s="4" t="s">
        <v>1842</v>
      </c>
      <c r="L1181" s="2"/>
      <c r="M1181" s="4" t="s">
        <v>8</v>
      </c>
      <c r="N1181" s="2"/>
      <c r="O1181" s="2"/>
      <c r="P1181" s="4" t="s">
        <v>1843</v>
      </c>
      <c r="Q1181" s="31" t="s">
        <v>1127</v>
      </c>
    </row>
    <row r="1182" spans="1:17" ht="16.5" customHeight="1" x14ac:dyDescent="0.2">
      <c r="A1182" s="3" t="s">
        <v>0</v>
      </c>
      <c r="B1182" s="4" t="s">
        <v>18</v>
      </c>
      <c r="C1182" s="3" t="s">
        <v>4182</v>
      </c>
      <c r="D1182" s="26" t="s">
        <v>1838</v>
      </c>
      <c r="E1182" s="26" t="s">
        <v>1839</v>
      </c>
      <c r="F1182" s="4">
        <v>15</v>
      </c>
      <c r="G1182" s="4" t="str">
        <f t="shared" si="17"/>
        <v>o</v>
      </c>
      <c r="H1182" s="4">
        <v>1998</v>
      </c>
      <c r="I1182" s="4" t="s">
        <v>1857</v>
      </c>
      <c r="J1182" s="4" t="s">
        <v>1841</v>
      </c>
      <c r="K1182" s="4" t="s">
        <v>1842</v>
      </c>
      <c r="L1182" s="2"/>
      <c r="M1182" s="4" t="s">
        <v>8</v>
      </c>
      <c r="N1182" s="2"/>
      <c r="O1182" s="2"/>
      <c r="P1182" s="4" t="s">
        <v>1843</v>
      </c>
      <c r="Q1182" s="31" t="s">
        <v>1127</v>
      </c>
    </row>
    <row r="1183" spans="1:17" ht="16.5" customHeight="1" x14ac:dyDescent="0.2">
      <c r="A1183" s="3" t="s">
        <v>0</v>
      </c>
      <c r="B1183" s="4" t="s">
        <v>24</v>
      </c>
      <c r="C1183" s="3" t="s">
        <v>4182</v>
      </c>
      <c r="D1183" s="26" t="s">
        <v>1838</v>
      </c>
      <c r="E1183" s="26" t="s">
        <v>1839</v>
      </c>
      <c r="F1183" s="4">
        <v>16</v>
      </c>
      <c r="G1183" s="4" t="str">
        <f t="shared" si="17"/>
        <v>p</v>
      </c>
      <c r="H1183" s="4">
        <v>1999</v>
      </c>
      <c r="I1183" s="4" t="s">
        <v>1858</v>
      </c>
      <c r="J1183" s="4" t="s">
        <v>1841</v>
      </c>
      <c r="K1183" s="4" t="s">
        <v>1842</v>
      </c>
      <c r="L1183" s="2"/>
      <c r="M1183" s="4" t="s">
        <v>8</v>
      </c>
      <c r="N1183" s="2"/>
      <c r="O1183" s="2"/>
      <c r="P1183" s="4" t="s">
        <v>1843</v>
      </c>
      <c r="Q1183" s="31" t="s">
        <v>1127</v>
      </c>
    </row>
    <row r="1184" spans="1:17" ht="16.5" customHeight="1" x14ac:dyDescent="0.2">
      <c r="A1184" s="3" t="s">
        <v>0</v>
      </c>
      <c r="B1184" s="4" t="s">
        <v>72</v>
      </c>
      <c r="C1184" s="3" t="s">
        <v>4182</v>
      </c>
      <c r="D1184" s="26" t="s">
        <v>1838</v>
      </c>
      <c r="E1184" s="26" t="s">
        <v>1839</v>
      </c>
      <c r="F1184" s="4">
        <v>17</v>
      </c>
      <c r="G1184" s="4" t="str">
        <f t="shared" si="17"/>
        <v>q</v>
      </c>
      <c r="H1184" s="4">
        <v>2000</v>
      </c>
      <c r="I1184" s="4" t="s">
        <v>1859</v>
      </c>
      <c r="J1184" s="4" t="s">
        <v>1841</v>
      </c>
      <c r="K1184" s="4" t="s">
        <v>1842</v>
      </c>
      <c r="L1184" s="2"/>
      <c r="M1184" s="4" t="s">
        <v>8</v>
      </c>
      <c r="N1184" s="2"/>
      <c r="O1184" s="2"/>
      <c r="P1184" s="4" t="s">
        <v>1843</v>
      </c>
      <c r="Q1184" s="31" t="s">
        <v>1127</v>
      </c>
    </row>
    <row r="1185" spans="1:17" ht="16.5" customHeight="1" x14ac:dyDescent="0.2">
      <c r="A1185" s="3" t="s">
        <v>0</v>
      </c>
      <c r="B1185" s="4" t="s">
        <v>57</v>
      </c>
      <c r="C1185" s="3" t="s">
        <v>4182</v>
      </c>
      <c r="D1185" s="26" t="s">
        <v>1838</v>
      </c>
      <c r="E1185" s="26" t="s">
        <v>1839</v>
      </c>
      <c r="F1185" s="4">
        <v>18</v>
      </c>
      <c r="G1185" s="4" t="str">
        <f t="shared" si="17"/>
        <v>r</v>
      </c>
      <c r="H1185" s="4">
        <v>2001</v>
      </c>
      <c r="I1185" s="4" t="s">
        <v>1860</v>
      </c>
      <c r="J1185" s="4" t="s">
        <v>1841</v>
      </c>
      <c r="K1185" s="4" t="s">
        <v>1842</v>
      </c>
      <c r="L1185" s="2"/>
      <c r="M1185" s="4" t="s">
        <v>8</v>
      </c>
      <c r="N1185" s="2"/>
      <c r="O1185" s="2"/>
      <c r="P1185" s="4" t="s">
        <v>1843</v>
      </c>
      <c r="Q1185" s="31" t="s">
        <v>1127</v>
      </c>
    </row>
    <row r="1186" spans="1:17" ht="16.5" customHeight="1" x14ac:dyDescent="0.2">
      <c r="A1186" s="3" t="s">
        <v>0</v>
      </c>
      <c r="B1186" s="4" t="s">
        <v>1</v>
      </c>
      <c r="C1186" s="3" t="s">
        <v>4182</v>
      </c>
      <c r="D1186" s="26" t="s">
        <v>1838</v>
      </c>
      <c r="E1186" s="26" t="s">
        <v>1839</v>
      </c>
      <c r="F1186" s="4">
        <v>19</v>
      </c>
      <c r="G1186" s="4" t="str">
        <f t="shared" si="17"/>
        <v>s</v>
      </c>
      <c r="H1186" s="4">
        <v>2002</v>
      </c>
      <c r="I1186" s="4" t="s">
        <v>1861</v>
      </c>
      <c r="J1186" s="4" t="s">
        <v>1841</v>
      </c>
      <c r="K1186" s="4" t="s">
        <v>1842</v>
      </c>
      <c r="L1186" s="2"/>
      <c r="M1186" s="4" t="s">
        <v>8</v>
      </c>
      <c r="N1186" s="2"/>
      <c r="O1186" s="2"/>
      <c r="P1186" s="4" t="s">
        <v>1843</v>
      </c>
      <c r="Q1186" s="31" t="s">
        <v>1127</v>
      </c>
    </row>
    <row r="1187" spans="1:17" ht="16.5" customHeight="1" x14ac:dyDescent="0.2">
      <c r="A1187" s="3" t="s">
        <v>0</v>
      </c>
      <c r="B1187" s="4" t="s">
        <v>82</v>
      </c>
      <c r="C1187" s="3" t="s">
        <v>4182</v>
      </c>
      <c r="D1187" s="26" t="s">
        <v>1838</v>
      </c>
      <c r="E1187" s="26" t="s">
        <v>1839</v>
      </c>
      <c r="F1187" s="4">
        <v>20</v>
      </c>
      <c r="G1187" s="4" t="str">
        <f t="shared" si="17"/>
        <v>t</v>
      </c>
      <c r="H1187" s="4">
        <v>2003</v>
      </c>
      <c r="I1187" s="4" t="s">
        <v>1862</v>
      </c>
      <c r="J1187" s="4" t="s">
        <v>1841</v>
      </c>
      <c r="K1187" s="4" t="s">
        <v>1842</v>
      </c>
      <c r="L1187" s="2"/>
      <c r="M1187" s="4" t="s">
        <v>8</v>
      </c>
      <c r="N1187" s="2"/>
      <c r="O1187" s="2"/>
      <c r="P1187" s="4" t="s">
        <v>1843</v>
      </c>
      <c r="Q1187" s="31" t="s">
        <v>1127</v>
      </c>
    </row>
    <row r="1188" spans="1:17" ht="16.5" customHeight="1" x14ac:dyDescent="0.2">
      <c r="A1188" s="3" t="s">
        <v>0</v>
      </c>
      <c r="B1188" s="4" t="s">
        <v>63</v>
      </c>
      <c r="C1188" s="3" t="s">
        <v>4182</v>
      </c>
      <c r="D1188" s="26" t="s">
        <v>1838</v>
      </c>
      <c r="E1188" s="26" t="s">
        <v>1839</v>
      </c>
      <c r="F1188" s="4">
        <v>21</v>
      </c>
      <c r="G1188" s="4" t="str">
        <f t="shared" si="17"/>
        <v>u</v>
      </c>
      <c r="H1188" s="4">
        <v>2004</v>
      </c>
      <c r="I1188" s="4" t="s">
        <v>1863</v>
      </c>
      <c r="J1188" s="4" t="s">
        <v>1841</v>
      </c>
      <c r="K1188" s="4" t="s">
        <v>1842</v>
      </c>
      <c r="L1188" s="2"/>
      <c r="M1188" s="4" t="s">
        <v>8</v>
      </c>
      <c r="N1188" s="2"/>
      <c r="O1188" s="2"/>
      <c r="P1188" s="4" t="s">
        <v>1843</v>
      </c>
      <c r="Q1188" s="31" t="s">
        <v>1127</v>
      </c>
    </row>
    <row r="1189" spans="1:17" ht="16.5" customHeight="1" x14ac:dyDescent="0.2">
      <c r="A1189" s="3" t="s">
        <v>0</v>
      </c>
      <c r="B1189" s="4" t="s">
        <v>91</v>
      </c>
      <c r="C1189" s="3" t="s">
        <v>4182</v>
      </c>
      <c r="D1189" s="26" t="s">
        <v>1838</v>
      </c>
      <c r="E1189" s="26" t="s">
        <v>1839</v>
      </c>
      <c r="F1189" s="4">
        <v>22</v>
      </c>
      <c r="G1189" s="4" t="str">
        <f t="shared" si="17"/>
        <v>v</v>
      </c>
      <c r="H1189" s="4">
        <v>2005</v>
      </c>
      <c r="I1189" s="4" t="s">
        <v>1864</v>
      </c>
      <c r="J1189" s="4" t="s">
        <v>1841</v>
      </c>
      <c r="K1189" s="4" t="s">
        <v>1842</v>
      </c>
      <c r="L1189" s="2"/>
      <c r="M1189" s="4" t="s">
        <v>8</v>
      </c>
      <c r="N1189" s="2"/>
      <c r="O1189" s="2"/>
      <c r="P1189" s="4" t="s">
        <v>1843</v>
      </c>
      <c r="Q1189" s="31" t="s">
        <v>1127</v>
      </c>
    </row>
    <row r="1190" spans="1:17" ht="16.5" customHeight="1" x14ac:dyDescent="0.2">
      <c r="A1190" s="3" t="s">
        <v>0</v>
      </c>
      <c r="B1190" s="4" t="s">
        <v>51</v>
      </c>
      <c r="C1190" s="3" t="s">
        <v>4182</v>
      </c>
      <c r="D1190" s="26" t="s">
        <v>1838</v>
      </c>
      <c r="E1190" s="26" t="s">
        <v>1839</v>
      </c>
      <c r="F1190" s="4">
        <v>23</v>
      </c>
      <c r="G1190" s="4" t="str">
        <f t="shared" si="17"/>
        <v>w</v>
      </c>
      <c r="H1190" s="4">
        <v>2006</v>
      </c>
      <c r="I1190" s="4" t="s">
        <v>1865</v>
      </c>
      <c r="J1190" s="4" t="s">
        <v>1841</v>
      </c>
      <c r="K1190" s="4" t="s">
        <v>1842</v>
      </c>
      <c r="L1190" s="2"/>
      <c r="M1190" s="4" t="s">
        <v>8</v>
      </c>
      <c r="N1190" s="2"/>
      <c r="O1190" s="2"/>
      <c r="P1190" s="4" t="s">
        <v>1843</v>
      </c>
      <c r="Q1190" s="31" t="s">
        <v>1127</v>
      </c>
    </row>
    <row r="1191" spans="1:17" ht="16.5" customHeight="1" x14ac:dyDescent="0.2">
      <c r="A1191" s="3" t="s">
        <v>0</v>
      </c>
      <c r="B1191" s="4" t="s">
        <v>94</v>
      </c>
      <c r="C1191" s="3" t="s">
        <v>4182</v>
      </c>
      <c r="D1191" s="26" t="s">
        <v>1838</v>
      </c>
      <c r="E1191" s="26" t="s">
        <v>1839</v>
      </c>
      <c r="F1191" s="4">
        <v>24</v>
      </c>
      <c r="G1191" s="4" t="str">
        <f t="shared" si="17"/>
        <v>x</v>
      </c>
      <c r="H1191" s="4">
        <v>2007</v>
      </c>
      <c r="I1191" s="4" t="s">
        <v>1866</v>
      </c>
      <c r="J1191" s="4" t="s">
        <v>1841</v>
      </c>
      <c r="K1191" s="4" t="s">
        <v>1842</v>
      </c>
      <c r="L1191" s="2"/>
      <c r="M1191" s="4" t="s">
        <v>8</v>
      </c>
      <c r="N1191" s="2"/>
      <c r="O1191" s="2"/>
      <c r="P1191" s="4" t="s">
        <v>1843</v>
      </c>
      <c r="Q1191" s="31" t="s">
        <v>1127</v>
      </c>
    </row>
    <row r="1192" spans="1:17" ht="16.5" customHeight="1" x14ac:dyDescent="0.2">
      <c r="A1192" s="3" t="s">
        <v>0</v>
      </c>
      <c r="B1192" s="4" t="s">
        <v>69</v>
      </c>
      <c r="C1192" s="3" t="s">
        <v>4182</v>
      </c>
      <c r="D1192" s="26" t="s">
        <v>1838</v>
      </c>
      <c r="E1192" s="26" t="s">
        <v>1839</v>
      </c>
      <c r="F1192" s="4">
        <v>25</v>
      </c>
      <c r="G1192" s="4" t="str">
        <f t="shared" si="17"/>
        <v>y</v>
      </c>
      <c r="H1192" s="4">
        <v>2008</v>
      </c>
      <c r="I1192" s="4" t="s">
        <v>1867</v>
      </c>
      <c r="J1192" s="4" t="s">
        <v>1841</v>
      </c>
      <c r="K1192" s="4" t="s">
        <v>1842</v>
      </c>
      <c r="L1192" s="2"/>
      <c r="M1192" s="4" t="s">
        <v>8</v>
      </c>
      <c r="N1192" s="2"/>
      <c r="O1192" s="2"/>
      <c r="P1192" s="4" t="s">
        <v>1843</v>
      </c>
      <c r="Q1192" s="31" t="s">
        <v>1127</v>
      </c>
    </row>
    <row r="1193" spans="1:17" ht="16.5" customHeight="1" x14ac:dyDescent="0.2">
      <c r="A1193" s="3" t="s">
        <v>0</v>
      </c>
      <c r="B1193" s="4" t="s">
        <v>15</v>
      </c>
      <c r="C1193" s="3" t="s">
        <v>4182</v>
      </c>
      <c r="D1193" s="26" t="s">
        <v>1838</v>
      </c>
      <c r="E1193" s="26" t="s">
        <v>1839</v>
      </c>
      <c r="F1193" s="4">
        <v>26</v>
      </c>
      <c r="G1193" s="4" t="str">
        <f t="shared" si="17"/>
        <v>z</v>
      </c>
      <c r="H1193" s="4">
        <v>2009</v>
      </c>
      <c r="I1193" s="4" t="s">
        <v>1868</v>
      </c>
      <c r="J1193" s="4" t="s">
        <v>1841</v>
      </c>
      <c r="K1193" s="4" t="s">
        <v>1842</v>
      </c>
      <c r="L1193" s="2"/>
      <c r="M1193" s="4" t="s">
        <v>8</v>
      </c>
      <c r="N1193" s="2"/>
      <c r="O1193" s="2"/>
      <c r="P1193" s="4" t="s">
        <v>1843</v>
      </c>
      <c r="Q1193" s="31" t="s">
        <v>1127</v>
      </c>
    </row>
    <row r="1194" spans="1:17" ht="16.5" customHeight="1" x14ac:dyDescent="0.2">
      <c r="A1194" s="3" t="s">
        <v>0</v>
      </c>
      <c r="B1194" s="4" t="s">
        <v>39</v>
      </c>
      <c r="C1194" s="3" t="s">
        <v>4182</v>
      </c>
      <c r="D1194" s="26" t="s">
        <v>1838</v>
      </c>
      <c r="E1194" s="26" t="s">
        <v>1985</v>
      </c>
      <c r="F1194" s="4">
        <v>1</v>
      </c>
      <c r="G1194" s="4" t="str">
        <f t="shared" si="17"/>
        <v>a</v>
      </c>
      <c r="H1194" s="4">
        <v>1984</v>
      </c>
      <c r="I1194" s="4" t="s">
        <v>1986</v>
      </c>
      <c r="J1194" s="4" t="s">
        <v>1987</v>
      </c>
      <c r="K1194" s="4" t="s">
        <v>1842</v>
      </c>
      <c r="L1194" s="2"/>
      <c r="M1194" s="4" t="s">
        <v>8</v>
      </c>
      <c r="N1194" s="2"/>
      <c r="O1194" s="2"/>
      <c r="P1194" s="4" t="s">
        <v>1843</v>
      </c>
      <c r="Q1194" s="31" t="s">
        <v>1127</v>
      </c>
    </row>
    <row r="1195" spans="1:17" ht="16.5" customHeight="1" x14ac:dyDescent="0.2">
      <c r="A1195" s="3" t="s">
        <v>0</v>
      </c>
      <c r="B1195" s="4" t="s">
        <v>33</v>
      </c>
      <c r="C1195" s="3" t="s">
        <v>4182</v>
      </c>
      <c r="D1195" s="26" t="s">
        <v>1838</v>
      </c>
      <c r="E1195" s="26" t="s">
        <v>1985</v>
      </c>
      <c r="F1195" s="4">
        <v>27</v>
      </c>
      <c r="G1195" s="4" t="str">
        <f t="shared" ref="G1195:G1202" si="18">LEFT(B1195,2)</f>
        <v>ba</v>
      </c>
      <c r="H1195" s="4">
        <v>2010</v>
      </c>
      <c r="I1195" s="4" t="s">
        <v>1988</v>
      </c>
      <c r="J1195" s="4" t="s">
        <v>1987</v>
      </c>
      <c r="K1195" s="4" t="s">
        <v>1842</v>
      </c>
      <c r="L1195" s="2"/>
      <c r="M1195" s="4" t="s">
        <v>8</v>
      </c>
      <c r="N1195" s="2"/>
      <c r="O1195" s="2"/>
      <c r="P1195" s="4" t="s">
        <v>1843</v>
      </c>
      <c r="Q1195" s="31" t="s">
        <v>1127</v>
      </c>
    </row>
    <row r="1196" spans="1:17" ht="16.5" customHeight="1" x14ac:dyDescent="0.2">
      <c r="A1196" s="3" t="s">
        <v>0</v>
      </c>
      <c r="B1196" s="4" t="s">
        <v>45</v>
      </c>
      <c r="C1196" s="3" t="s">
        <v>4182</v>
      </c>
      <c r="D1196" s="26" t="s">
        <v>1838</v>
      </c>
      <c r="E1196" s="26" t="s">
        <v>1985</v>
      </c>
      <c r="F1196" s="4">
        <v>28</v>
      </c>
      <c r="G1196" s="4" t="str">
        <f t="shared" si="18"/>
        <v>bb</v>
      </c>
      <c r="H1196" s="4">
        <v>2011</v>
      </c>
      <c r="I1196" s="4" t="s">
        <v>1989</v>
      </c>
      <c r="J1196" s="4" t="s">
        <v>1987</v>
      </c>
      <c r="K1196" s="4" t="s">
        <v>1842</v>
      </c>
      <c r="L1196" s="2"/>
      <c r="M1196" s="4" t="s">
        <v>8</v>
      </c>
      <c r="N1196" s="2"/>
      <c r="O1196" s="2"/>
      <c r="P1196" s="4" t="s">
        <v>1843</v>
      </c>
      <c r="Q1196" s="31" t="s">
        <v>1127</v>
      </c>
    </row>
    <row r="1197" spans="1:17" ht="16.5" customHeight="1" x14ac:dyDescent="0.2">
      <c r="A1197" s="3" t="s">
        <v>0</v>
      </c>
      <c r="B1197" s="4" t="s">
        <v>60</v>
      </c>
      <c r="C1197" s="3" t="s">
        <v>4182</v>
      </c>
      <c r="D1197" s="26" t="s">
        <v>1838</v>
      </c>
      <c r="E1197" s="26" t="s">
        <v>1985</v>
      </c>
      <c r="F1197" s="4">
        <v>29</v>
      </c>
      <c r="G1197" s="4" t="str">
        <f t="shared" si="18"/>
        <v>bc</v>
      </c>
      <c r="H1197" s="4">
        <v>2012</v>
      </c>
      <c r="I1197" s="4" t="s">
        <v>1990</v>
      </c>
      <c r="J1197" s="4" t="s">
        <v>1987</v>
      </c>
      <c r="K1197" s="4" t="s">
        <v>1842</v>
      </c>
      <c r="L1197" s="2"/>
      <c r="M1197" s="4" t="s">
        <v>8</v>
      </c>
      <c r="N1197" s="2"/>
      <c r="O1197" s="2"/>
      <c r="P1197" s="4" t="s">
        <v>1843</v>
      </c>
      <c r="Q1197" s="31" t="s">
        <v>1127</v>
      </c>
    </row>
    <row r="1198" spans="1:17" ht="16.5" customHeight="1" x14ac:dyDescent="0.2">
      <c r="A1198" s="3" t="s">
        <v>0</v>
      </c>
      <c r="B1198" s="4" t="s">
        <v>85</v>
      </c>
      <c r="C1198" s="3" t="s">
        <v>4182</v>
      </c>
      <c r="D1198" s="26" t="s">
        <v>1838</v>
      </c>
      <c r="E1198" s="26" t="s">
        <v>1985</v>
      </c>
      <c r="F1198" s="4">
        <v>30</v>
      </c>
      <c r="G1198" s="4" t="str">
        <f t="shared" si="18"/>
        <v>bd</v>
      </c>
      <c r="H1198" s="4">
        <v>2013</v>
      </c>
      <c r="I1198" s="4" t="s">
        <v>1991</v>
      </c>
      <c r="J1198" s="4" t="s">
        <v>1987</v>
      </c>
      <c r="K1198" s="4" t="s">
        <v>1842</v>
      </c>
      <c r="L1198" s="2"/>
      <c r="M1198" s="4" t="s">
        <v>8</v>
      </c>
      <c r="N1198" s="2"/>
      <c r="O1198" s="2"/>
      <c r="P1198" s="4" t="s">
        <v>1843</v>
      </c>
      <c r="Q1198" s="31" t="s">
        <v>1127</v>
      </c>
    </row>
    <row r="1199" spans="1:17" ht="16.5" customHeight="1" x14ac:dyDescent="0.2">
      <c r="A1199" s="3" t="s">
        <v>0</v>
      </c>
      <c r="B1199" s="4" t="s">
        <v>21</v>
      </c>
      <c r="C1199" s="3" t="s">
        <v>4182</v>
      </c>
      <c r="D1199" s="26" t="s">
        <v>1838</v>
      </c>
      <c r="E1199" s="26" t="s">
        <v>1985</v>
      </c>
      <c r="F1199" s="4">
        <v>31</v>
      </c>
      <c r="G1199" s="4" t="str">
        <f t="shared" si="18"/>
        <v>be</v>
      </c>
      <c r="H1199" s="4">
        <v>2014</v>
      </c>
      <c r="I1199" s="4" t="s">
        <v>1992</v>
      </c>
      <c r="J1199" s="4" t="s">
        <v>1987</v>
      </c>
      <c r="K1199" s="4" t="s">
        <v>1842</v>
      </c>
      <c r="L1199" s="2"/>
      <c r="M1199" s="4" t="s">
        <v>8</v>
      </c>
      <c r="N1199" s="2"/>
      <c r="O1199" s="2"/>
      <c r="P1199" s="4" t="s">
        <v>1843</v>
      </c>
      <c r="Q1199" s="31" t="s">
        <v>1127</v>
      </c>
    </row>
    <row r="1200" spans="1:17" ht="16.5" customHeight="1" x14ac:dyDescent="0.2">
      <c r="A1200" s="3" t="s">
        <v>0</v>
      </c>
      <c r="B1200" s="4" t="s">
        <v>27</v>
      </c>
      <c r="C1200" s="3" t="s">
        <v>4182</v>
      </c>
      <c r="D1200" s="26" t="s">
        <v>1838</v>
      </c>
      <c r="E1200" s="26" t="s">
        <v>1985</v>
      </c>
      <c r="F1200" s="4">
        <v>32</v>
      </c>
      <c r="G1200" s="4" t="str">
        <f t="shared" si="18"/>
        <v>bf</v>
      </c>
      <c r="H1200" s="4">
        <v>2015</v>
      </c>
      <c r="I1200" s="4" t="s">
        <v>1993</v>
      </c>
      <c r="J1200" s="4" t="s">
        <v>1987</v>
      </c>
      <c r="K1200" s="4" t="s">
        <v>1842</v>
      </c>
      <c r="L1200" s="2"/>
      <c r="M1200" s="4" t="s">
        <v>8</v>
      </c>
      <c r="N1200" s="2"/>
      <c r="O1200" s="2"/>
      <c r="P1200" s="4" t="s">
        <v>1843</v>
      </c>
      <c r="Q1200" s="31" t="s">
        <v>1127</v>
      </c>
    </row>
    <row r="1201" spans="1:17" ht="16.5" customHeight="1" x14ac:dyDescent="0.2">
      <c r="A1201" s="3" t="s">
        <v>0</v>
      </c>
      <c r="B1201" s="4" t="s">
        <v>75</v>
      </c>
      <c r="C1201" s="3" t="s">
        <v>4182</v>
      </c>
      <c r="D1201" s="26" t="s">
        <v>1838</v>
      </c>
      <c r="E1201" s="26" t="s">
        <v>1985</v>
      </c>
      <c r="F1201" s="4">
        <v>33</v>
      </c>
      <c r="G1201" s="4" t="str">
        <f t="shared" si="18"/>
        <v>bg</v>
      </c>
      <c r="H1201" s="4">
        <v>2016</v>
      </c>
      <c r="I1201" s="4" t="s">
        <v>1994</v>
      </c>
      <c r="J1201" s="4" t="s">
        <v>1987</v>
      </c>
      <c r="K1201" s="4" t="s">
        <v>1842</v>
      </c>
      <c r="L1201" s="2"/>
      <c r="M1201" s="4" t="s">
        <v>8</v>
      </c>
      <c r="N1201" s="2"/>
      <c r="O1201" s="2"/>
      <c r="P1201" s="4" t="s">
        <v>1843</v>
      </c>
      <c r="Q1201" s="31" t="s">
        <v>1127</v>
      </c>
    </row>
    <row r="1202" spans="1:17" ht="16.5" customHeight="1" x14ac:dyDescent="0.2">
      <c r="A1202" s="3" t="s">
        <v>0</v>
      </c>
      <c r="B1202" s="4" t="s">
        <v>66</v>
      </c>
      <c r="C1202" s="3" t="s">
        <v>4182</v>
      </c>
      <c r="D1202" s="26" t="s">
        <v>1838</v>
      </c>
      <c r="E1202" s="26" t="s">
        <v>1985</v>
      </c>
      <c r="F1202" s="4">
        <v>34</v>
      </c>
      <c r="G1202" s="4" t="str">
        <f t="shared" si="18"/>
        <v>bh</v>
      </c>
      <c r="H1202" s="4">
        <v>2017</v>
      </c>
      <c r="I1202" s="4" t="s">
        <v>1995</v>
      </c>
      <c r="J1202" s="4" t="s">
        <v>1987</v>
      </c>
      <c r="K1202" s="4" t="s">
        <v>1842</v>
      </c>
      <c r="L1202" s="2"/>
      <c r="M1202" s="4" t="s">
        <v>8</v>
      </c>
      <c r="N1202" s="2"/>
      <c r="O1202" s="2"/>
      <c r="P1202" s="4" t="s">
        <v>1843</v>
      </c>
      <c r="Q1202" s="31" t="s">
        <v>1127</v>
      </c>
    </row>
    <row r="1203" spans="1:17" ht="16.5" customHeight="1" x14ac:dyDescent="0.2">
      <c r="A1203" s="3" t="s">
        <v>0</v>
      </c>
      <c r="B1203" s="4" t="s">
        <v>36</v>
      </c>
      <c r="C1203" s="3" t="s">
        <v>4182</v>
      </c>
      <c r="D1203" s="26" t="s">
        <v>1838</v>
      </c>
      <c r="E1203" s="26" t="s">
        <v>1985</v>
      </c>
      <c r="F1203" s="4">
        <v>2</v>
      </c>
      <c r="G1203" s="4" t="str">
        <f t="shared" ref="G1203:G1227" si="19">LEFT(B1203,1)</f>
        <v>b</v>
      </c>
      <c r="H1203" s="4">
        <v>1985</v>
      </c>
      <c r="I1203" s="4" t="s">
        <v>1996</v>
      </c>
      <c r="J1203" s="4" t="s">
        <v>1987</v>
      </c>
      <c r="K1203" s="4" t="s">
        <v>1842</v>
      </c>
      <c r="L1203" s="2"/>
      <c r="M1203" s="4" t="s">
        <v>8</v>
      </c>
      <c r="N1203" s="2"/>
      <c r="O1203" s="2"/>
      <c r="P1203" s="4" t="s">
        <v>1843</v>
      </c>
      <c r="Q1203" s="31" t="s">
        <v>1127</v>
      </c>
    </row>
    <row r="1204" spans="1:17" ht="16.5" customHeight="1" x14ac:dyDescent="0.2">
      <c r="A1204" s="3" t="s">
        <v>0</v>
      </c>
      <c r="B1204" s="4" t="s">
        <v>79</v>
      </c>
      <c r="C1204" s="3" t="s">
        <v>4182</v>
      </c>
      <c r="D1204" s="26" t="s">
        <v>1838</v>
      </c>
      <c r="E1204" s="26" t="s">
        <v>1985</v>
      </c>
      <c r="F1204" s="4">
        <v>3</v>
      </c>
      <c r="G1204" s="4" t="str">
        <f t="shared" si="19"/>
        <v>c</v>
      </c>
      <c r="H1204" s="4">
        <v>1986</v>
      </c>
      <c r="I1204" s="4" t="s">
        <v>1997</v>
      </c>
      <c r="J1204" s="4" t="s">
        <v>1987</v>
      </c>
      <c r="K1204" s="4" t="s">
        <v>1842</v>
      </c>
      <c r="L1204" s="2"/>
      <c r="M1204" s="4" t="s">
        <v>8</v>
      </c>
      <c r="N1204" s="2"/>
      <c r="O1204" s="2"/>
      <c r="P1204" s="4" t="s">
        <v>1843</v>
      </c>
      <c r="Q1204" s="31" t="s">
        <v>1127</v>
      </c>
    </row>
    <row r="1205" spans="1:17" ht="16.5" customHeight="1" x14ac:dyDescent="0.2">
      <c r="A1205" s="3" t="s">
        <v>0</v>
      </c>
      <c r="B1205" s="4" t="s">
        <v>30</v>
      </c>
      <c r="C1205" s="3" t="s">
        <v>4182</v>
      </c>
      <c r="D1205" s="26" t="s">
        <v>1838</v>
      </c>
      <c r="E1205" s="26" t="s">
        <v>1985</v>
      </c>
      <c r="F1205" s="4">
        <v>4</v>
      </c>
      <c r="G1205" s="4" t="str">
        <f t="shared" si="19"/>
        <v>d</v>
      </c>
      <c r="H1205" s="4">
        <v>1987</v>
      </c>
      <c r="I1205" s="4" t="s">
        <v>1998</v>
      </c>
      <c r="J1205" s="4" t="s">
        <v>1987</v>
      </c>
      <c r="K1205" s="4" t="s">
        <v>1842</v>
      </c>
      <c r="L1205" s="2"/>
      <c r="M1205" s="4" t="s">
        <v>8</v>
      </c>
      <c r="N1205" s="2"/>
      <c r="O1205" s="2"/>
      <c r="P1205" s="4" t="s">
        <v>1843</v>
      </c>
      <c r="Q1205" s="31" t="s">
        <v>1127</v>
      </c>
    </row>
    <row r="1206" spans="1:17" ht="16.5" customHeight="1" x14ac:dyDescent="0.2">
      <c r="A1206" s="3" t="s">
        <v>0</v>
      </c>
      <c r="B1206" s="4" t="s">
        <v>12</v>
      </c>
      <c r="C1206" s="3" t="s">
        <v>4182</v>
      </c>
      <c r="D1206" s="26" t="s">
        <v>1838</v>
      </c>
      <c r="E1206" s="26" t="s">
        <v>1985</v>
      </c>
      <c r="F1206" s="4">
        <v>5</v>
      </c>
      <c r="G1206" s="4" t="str">
        <f t="shared" si="19"/>
        <v>e</v>
      </c>
      <c r="H1206" s="4">
        <v>1988</v>
      </c>
      <c r="I1206" s="4" t="s">
        <v>1999</v>
      </c>
      <c r="J1206" s="4" t="s">
        <v>1987</v>
      </c>
      <c r="K1206" s="4" t="s">
        <v>1842</v>
      </c>
      <c r="L1206" s="2"/>
      <c r="M1206" s="4" t="s">
        <v>8</v>
      </c>
      <c r="N1206" s="2"/>
      <c r="O1206" s="2"/>
      <c r="P1206" s="4" t="s">
        <v>1843</v>
      </c>
      <c r="Q1206" s="31" t="s">
        <v>1127</v>
      </c>
    </row>
    <row r="1207" spans="1:17" ht="16.5" customHeight="1" x14ac:dyDescent="0.2">
      <c r="A1207" s="3" t="s">
        <v>0</v>
      </c>
      <c r="B1207" s="4" t="s">
        <v>48</v>
      </c>
      <c r="C1207" s="3" t="s">
        <v>4182</v>
      </c>
      <c r="D1207" s="26" t="s">
        <v>1838</v>
      </c>
      <c r="E1207" s="26" t="s">
        <v>1985</v>
      </c>
      <c r="F1207" s="4">
        <v>6</v>
      </c>
      <c r="G1207" s="4" t="str">
        <f t="shared" si="19"/>
        <v>f</v>
      </c>
      <c r="H1207" s="4">
        <v>1989</v>
      </c>
      <c r="I1207" s="4" t="s">
        <v>2000</v>
      </c>
      <c r="J1207" s="4" t="s">
        <v>1987</v>
      </c>
      <c r="K1207" s="4" t="s">
        <v>1842</v>
      </c>
      <c r="L1207" s="2"/>
      <c r="M1207" s="4" t="s">
        <v>8</v>
      </c>
      <c r="N1207" s="2"/>
      <c r="O1207" s="2"/>
      <c r="P1207" s="4" t="s">
        <v>1843</v>
      </c>
      <c r="Q1207" s="31" t="s">
        <v>1127</v>
      </c>
    </row>
    <row r="1208" spans="1:17" ht="16.5" customHeight="1" x14ac:dyDescent="0.2">
      <c r="A1208" s="3" t="s">
        <v>0</v>
      </c>
      <c r="B1208" s="4" t="s">
        <v>100</v>
      </c>
      <c r="C1208" s="3" t="s">
        <v>4182</v>
      </c>
      <c r="D1208" s="26" t="s">
        <v>1838</v>
      </c>
      <c r="E1208" s="26" t="s">
        <v>1985</v>
      </c>
      <c r="F1208" s="4">
        <v>7</v>
      </c>
      <c r="G1208" s="4" t="str">
        <f t="shared" si="19"/>
        <v>g</v>
      </c>
      <c r="H1208" s="4">
        <v>1990</v>
      </c>
      <c r="I1208" s="4" t="s">
        <v>2001</v>
      </c>
      <c r="J1208" s="4" t="s">
        <v>1987</v>
      </c>
      <c r="K1208" s="4" t="s">
        <v>1842</v>
      </c>
      <c r="L1208" s="2"/>
      <c r="M1208" s="4" t="s">
        <v>8</v>
      </c>
      <c r="N1208" s="2"/>
      <c r="O1208" s="2"/>
      <c r="P1208" s="4" t="s">
        <v>1843</v>
      </c>
      <c r="Q1208" s="31" t="s">
        <v>1127</v>
      </c>
    </row>
    <row r="1209" spans="1:17" ht="16.5" customHeight="1" x14ac:dyDescent="0.2">
      <c r="A1209" s="3" t="s">
        <v>0</v>
      </c>
      <c r="B1209" s="4" t="s">
        <v>9</v>
      </c>
      <c r="C1209" s="3" t="s">
        <v>4182</v>
      </c>
      <c r="D1209" s="26" t="s">
        <v>1838</v>
      </c>
      <c r="E1209" s="26" t="s">
        <v>1985</v>
      </c>
      <c r="F1209" s="4">
        <v>8</v>
      </c>
      <c r="G1209" s="4" t="str">
        <f t="shared" si="19"/>
        <v>h</v>
      </c>
      <c r="H1209" s="4">
        <v>1991</v>
      </c>
      <c r="I1209" s="4" t="s">
        <v>2002</v>
      </c>
      <c r="J1209" s="4" t="s">
        <v>1987</v>
      </c>
      <c r="K1209" s="4" t="s">
        <v>1842</v>
      </c>
      <c r="L1209" s="2"/>
      <c r="M1209" s="4" t="s">
        <v>8</v>
      </c>
      <c r="N1209" s="2"/>
      <c r="O1209" s="2"/>
      <c r="P1209" s="4" t="s">
        <v>1843</v>
      </c>
      <c r="Q1209" s="31" t="s">
        <v>1127</v>
      </c>
    </row>
    <row r="1210" spans="1:17" ht="16.5" customHeight="1" x14ac:dyDescent="0.2">
      <c r="A1210" s="3" t="s">
        <v>0</v>
      </c>
      <c r="B1210" s="4" t="s">
        <v>54</v>
      </c>
      <c r="C1210" s="3" t="s">
        <v>4182</v>
      </c>
      <c r="D1210" s="26" t="s">
        <v>1838</v>
      </c>
      <c r="E1210" s="26" t="s">
        <v>1985</v>
      </c>
      <c r="F1210" s="4">
        <v>9</v>
      </c>
      <c r="G1210" s="4" t="str">
        <f t="shared" si="19"/>
        <v>i</v>
      </c>
      <c r="H1210" s="4">
        <v>1992</v>
      </c>
      <c r="I1210" s="4" t="s">
        <v>2003</v>
      </c>
      <c r="J1210" s="4" t="s">
        <v>1987</v>
      </c>
      <c r="K1210" s="4" t="s">
        <v>1842</v>
      </c>
      <c r="L1210" s="2"/>
      <c r="M1210" s="4" t="s">
        <v>8</v>
      </c>
      <c r="N1210" s="2"/>
      <c r="O1210" s="2"/>
      <c r="P1210" s="4" t="s">
        <v>1843</v>
      </c>
      <c r="Q1210" s="31" t="s">
        <v>1127</v>
      </c>
    </row>
    <row r="1211" spans="1:17" ht="16.5" customHeight="1" x14ac:dyDescent="0.2">
      <c r="A1211" s="3" t="s">
        <v>0</v>
      </c>
      <c r="B1211" s="4" t="s">
        <v>97</v>
      </c>
      <c r="C1211" s="3" t="s">
        <v>4182</v>
      </c>
      <c r="D1211" s="26" t="s">
        <v>1838</v>
      </c>
      <c r="E1211" s="26" t="s">
        <v>1985</v>
      </c>
      <c r="F1211" s="4">
        <v>10</v>
      </c>
      <c r="G1211" s="4" t="str">
        <f t="shared" si="19"/>
        <v>j</v>
      </c>
      <c r="H1211" s="4">
        <v>1993</v>
      </c>
      <c r="I1211" s="4" t="s">
        <v>2004</v>
      </c>
      <c r="J1211" s="4" t="s">
        <v>1987</v>
      </c>
      <c r="K1211" s="4" t="s">
        <v>1842</v>
      </c>
      <c r="L1211" s="2"/>
      <c r="M1211" s="4" t="s">
        <v>8</v>
      </c>
      <c r="N1211" s="2"/>
      <c r="O1211" s="2"/>
      <c r="P1211" s="4" t="s">
        <v>1843</v>
      </c>
      <c r="Q1211" s="31" t="s">
        <v>1127</v>
      </c>
    </row>
    <row r="1212" spans="1:17" ht="16.5" customHeight="1" x14ac:dyDescent="0.2">
      <c r="A1212" s="3" t="s">
        <v>0</v>
      </c>
      <c r="B1212" s="4" t="s">
        <v>103</v>
      </c>
      <c r="C1212" s="3" t="s">
        <v>4182</v>
      </c>
      <c r="D1212" s="26" t="s">
        <v>1838</v>
      </c>
      <c r="E1212" s="26" t="s">
        <v>1985</v>
      </c>
      <c r="F1212" s="4">
        <v>11</v>
      </c>
      <c r="G1212" s="4" t="str">
        <f t="shared" si="19"/>
        <v>k</v>
      </c>
      <c r="H1212" s="4">
        <v>1994</v>
      </c>
      <c r="I1212" s="4" t="s">
        <v>2005</v>
      </c>
      <c r="J1212" s="4" t="s">
        <v>1987</v>
      </c>
      <c r="K1212" s="4" t="s">
        <v>1842</v>
      </c>
      <c r="L1212" s="2"/>
      <c r="M1212" s="4" t="s">
        <v>8</v>
      </c>
      <c r="N1212" s="2"/>
      <c r="O1212" s="2"/>
      <c r="P1212" s="4" t="s">
        <v>1843</v>
      </c>
      <c r="Q1212" s="31" t="s">
        <v>1127</v>
      </c>
    </row>
    <row r="1213" spans="1:17" ht="16.5" customHeight="1" x14ac:dyDescent="0.2">
      <c r="A1213" s="3" t="s">
        <v>0</v>
      </c>
      <c r="B1213" s="4" t="s">
        <v>88</v>
      </c>
      <c r="C1213" s="3" t="s">
        <v>4182</v>
      </c>
      <c r="D1213" s="26" t="s">
        <v>1838</v>
      </c>
      <c r="E1213" s="26" t="s">
        <v>1985</v>
      </c>
      <c r="F1213" s="4">
        <v>12</v>
      </c>
      <c r="G1213" s="4" t="str">
        <f t="shared" si="19"/>
        <v>l</v>
      </c>
      <c r="H1213" s="4">
        <v>1995</v>
      </c>
      <c r="I1213" s="4" t="s">
        <v>2006</v>
      </c>
      <c r="J1213" s="4" t="s">
        <v>1987</v>
      </c>
      <c r="K1213" s="4" t="s">
        <v>1842</v>
      </c>
      <c r="L1213" s="2"/>
      <c r="M1213" s="4" t="s">
        <v>8</v>
      </c>
      <c r="N1213" s="2"/>
      <c r="O1213" s="2"/>
      <c r="P1213" s="4" t="s">
        <v>1843</v>
      </c>
      <c r="Q1213" s="31" t="s">
        <v>1127</v>
      </c>
    </row>
    <row r="1214" spans="1:17" ht="16.5" customHeight="1" x14ac:dyDescent="0.2">
      <c r="A1214" s="3" t="s">
        <v>0</v>
      </c>
      <c r="B1214" s="4" t="s">
        <v>106</v>
      </c>
      <c r="C1214" s="3" t="s">
        <v>4182</v>
      </c>
      <c r="D1214" s="26" t="s">
        <v>1838</v>
      </c>
      <c r="E1214" s="26" t="s">
        <v>1985</v>
      </c>
      <c r="F1214" s="4">
        <v>13</v>
      </c>
      <c r="G1214" s="4" t="str">
        <f t="shared" si="19"/>
        <v>m</v>
      </c>
      <c r="H1214" s="4">
        <v>1996</v>
      </c>
      <c r="I1214" s="4" t="s">
        <v>2007</v>
      </c>
      <c r="J1214" s="4" t="s">
        <v>1987</v>
      </c>
      <c r="K1214" s="4" t="s">
        <v>1842</v>
      </c>
      <c r="L1214" s="2"/>
      <c r="M1214" s="4" t="s">
        <v>8</v>
      </c>
      <c r="N1214" s="2"/>
      <c r="O1214" s="2"/>
      <c r="P1214" s="4" t="s">
        <v>1843</v>
      </c>
      <c r="Q1214" s="31" t="s">
        <v>1127</v>
      </c>
    </row>
    <row r="1215" spans="1:17" ht="16.5" customHeight="1" x14ac:dyDescent="0.2">
      <c r="A1215" s="3" t="s">
        <v>0</v>
      </c>
      <c r="B1215" s="4" t="s">
        <v>42</v>
      </c>
      <c r="C1215" s="3" t="s">
        <v>4182</v>
      </c>
      <c r="D1215" s="26" t="s">
        <v>1838</v>
      </c>
      <c r="E1215" s="26" t="s">
        <v>1985</v>
      </c>
      <c r="F1215" s="4">
        <v>14</v>
      </c>
      <c r="G1215" s="4" t="str">
        <f t="shared" si="19"/>
        <v>n</v>
      </c>
      <c r="H1215" s="4">
        <v>1997</v>
      </c>
      <c r="I1215" s="4" t="s">
        <v>2008</v>
      </c>
      <c r="J1215" s="4" t="s">
        <v>1987</v>
      </c>
      <c r="K1215" s="4" t="s">
        <v>1842</v>
      </c>
      <c r="L1215" s="2"/>
      <c r="M1215" s="4" t="s">
        <v>8</v>
      </c>
      <c r="N1215" s="2"/>
      <c r="O1215" s="2"/>
      <c r="P1215" s="4" t="s">
        <v>1843</v>
      </c>
      <c r="Q1215" s="31" t="s">
        <v>1127</v>
      </c>
    </row>
    <row r="1216" spans="1:17" ht="16.5" customHeight="1" x14ac:dyDescent="0.2">
      <c r="A1216" s="3" t="s">
        <v>0</v>
      </c>
      <c r="B1216" s="4" t="s">
        <v>18</v>
      </c>
      <c r="C1216" s="3" t="s">
        <v>4182</v>
      </c>
      <c r="D1216" s="26" t="s">
        <v>1838</v>
      </c>
      <c r="E1216" s="26" t="s">
        <v>1985</v>
      </c>
      <c r="F1216" s="4">
        <v>15</v>
      </c>
      <c r="G1216" s="4" t="str">
        <f t="shared" si="19"/>
        <v>o</v>
      </c>
      <c r="H1216" s="4">
        <v>1998</v>
      </c>
      <c r="I1216" s="4" t="s">
        <v>2009</v>
      </c>
      <c r="J1216" s="4" t="s">
        <v>1987</v>
      </c>
      <c r="K1216" s="4" t="s">
        <v>1842</v>
      </c>
      <c r="L1216" s="2"/>
      <c r="M1216" s="4" t="s">
        <v>8</v>
      </c>
      <c r="N1216" s="2"/>
      <c r="O1216" s="2"/>
      <c r="P1216" s="4" t="s">
        <v>1843</v>
      </c>
      <c r="Q1216" s="31" t="s">
        <v>1127</v>
      </c>
    </row>
    <row r="1217" spans="1:36" ht="16.5" customHeight="1" x14ac:dyDescent="0.2">
      <c r="A1217" s="3" t="s">
        <v>0</v>
      </c>
      <c r="B1217" s="4" t="s">
        <v>24</v>
      </c>
      <c r="C1217" s="3" t="s">
        <v>4182</v>
      </c>
      <c r="D1217" s="26" t="s">
        <v>1838</v>
      </c>
      <c r="E1217" s="26" t="s">
        <v>1985</v>
      </c>
      <c r="F1217" s="4">
        <v>16</v>
      </c>
      <c r="G1217" s="4" t="str">
        <f t="shared" si="19"/>
        <v>p</v>
      </c>
      <c r="H1217" s="4">
        <v>1999</v>
      </c>
      <c r="I1217" s="4" t="s">
        <v>2010</v>
      </c>
      <c r="J1217" s="4" t="s">
        <v>1987</v>
      </c>
      <c r="K1217" s="4" t="s">
        <v>1842</v>
      </c>
      <c r="L1217" s="2"/>
      <c r="M1217" s="4" t="s">
        <v>8</v>
      </c>
      <c r="N1217" s="2"/>
      <c r="O1217" s="2"/>
      <c r="P1217" s="4" t="s">
        <v>1843</v>
      </c>
      <c r="Q1217" s="31" t="s">
        <v>1127</v>
      </c>
    </row>
    <row r="1218" spans="1:36" ht="16.5" customHeight="1" x14ac:dyDescent="0.2">
      <c r="A1218" s="3" t="s">
        <v>0</v>
      </c>
      <c r="B1218" s="4" t="s">
        <v>72</v>
      </c>
      <c r="C1218" s="3" t="s">
        <v>4182</v>
      </c>
      <c r="D1218" s="26" t="s">
        <v>1838</v>
      </c>
      <c r="E1218" s="26" t="s">
        <v>1985</v>
      </c>
      <c r="F1218" s="4">
        <v>17</v>
      </c>
      <c r="G1218" s="4" t="str">
        <f t="shared" si="19"/>
        <v>q</v>
      </c>
      <c r="H1218" s="4">
        <v>2000</v>
      </c>
      <c r="I1218" s="4" t="s">
        <v>2011</v>
      </c>
      <c r="J1218" s="4" t="s">
        <v>1987</v>
      </c>
      <c r="K1218" s="4" t="s">
        <v>1842</v>
      </c>
      <c r="L1218" s="2"/>
      <c r="M1218" s="4" t="s">
        <v>8</v>
      </c>
      <c r="N1218" s="2"/>
      <c r="O1218" s="2"/>
      <c r="P1218" s="4" t="s">
        <v>1843</v>
      </c>
      <c r="Q1218" s="31" t="s">
        <v>1127</v>
      </c>
    </row>
    <row r="1219" spans="1:36" ht="16.5" customHeight="1" x14ac:dyDescent="0.2">
      <c r="A1219" s="3" t="s">
        <v>0</v>
      </c>
      <c r="B1219" s="4" t="s">
        <v>57</v>
      </c>
      <c r="C1219" s="3" t="s">
        <v>4182</v>
      </c>
      <c r="D1219" s="26" t="s">
        <v>1838</v>
      </c>
      <c r="E1219" s="26" t="s">
        <v>1985</v>
      </c>
      <c r="F1219" s="4">
        <v>18</v>
      </c>
      <c r="G1219" s="4" t="str">
        <f t="shared" si="19"/>
        <v>r</v>
      </c>
      <c r="H1219" s="4">
        <v>2001</v>
      </c>
      <c r="I1219" s="4" t="s">
        <v>2012</v>
      </c>
      <c r="J1219" s="4" t="s">
        <v>1987</v>
      </c>
      <c r="K1219" s="4" t="s">
        <v>1842</v>
      </c>
      <c r="L1219" s="2"/>
      <c r="M1219" s="4" t="s">
        <v>8</v>
      </c>
      <c r="N1219" s="2"/>
      <c r="O1219" s="2"/>
      <c r="P1219" s="4" t="s">
        <v>1843</v>
      </c>
      <c r="Q1219" s="31" t="s">
        <v>1127</v>
      </c>
    </row>
    <row r="1220" spans="1:36" ht="16.5" customHeight="1" x14ac:dyDescent="0.2">
      <c r="A1220" s="3" t="s">
        <v>0</v>
      </c>
      <c r="B1220" s="4" t="s">
        <v>1</v>
      </c>
      <c r="C1220" s="3" t="s">
        <v>4182</v>
      </c>
      <c r="D1220" s="26" t="s">
        <v>1838</v>
      </c>
      <c r="E1220" s="26" t="s">
        <v>1985</v>
      </c>
      <c r="F1220" s="4">
        <v>19</v>
      </c>
      <c r="G1220" s="4" t="str">
        <f t="shared" si="19"/>
        <v>s</v>
      </c>
      <c r="H1220" s="4">
        <v>2002</v>
      </c>
      <c r="I1220" s="4" t="s">
        <v>2013</v>
      </c>
      <c r="J1220" s="4" t="s">
        <v>1987</v>
      </c>
      <c r="K1220" s="4" t="s">
        <v>1842</v>
      </c>
      <c r="L1220" s="2"/>
      <c r="M1220" s="4" t="s">
        <v>8</v>
      </c>
      <c r="N1220" s="2"/>
      <c r="O1220" s="2"/>
      <c r="P1220" s="4" t="s">
        <v>1843</v>
      </c>
      <c r="Q1220" s="31" t="s">
        <v>1127</v>
      </c>
    </row>
    <row r="1221" spans="1:36" ht="16.5" customHeight="1" x14ac:dyDescent="0.2">
      <c r="A1221" s="3" t="s">
        <v>0</v>
      </c>
      <c r="B1221" s="4" t="s">
        <v>82</v>
      </c>
      <c r="C1221" s="3" t="s">
        <v>4182</v>
      </c>
      <c r="D1221" s="26" t="s">
        <v>1838</v>
      </c>
      <c r="E1221" s="26" t="s">
        <v>1985</v>
      </c>
      <c r="F1221" s="4">
        <v>20</v>
      </c>
      <c r="G1221" s="4" t="str">
        <f t="shared" si="19"/>
        <v>t</v>
      </c>
      <c r="H1221" s="4">
        <v>2003</v>
      </c>
      <c r="I1221" s="4" t="s">
        <v>2014</v>
      </c>
      <c r="J1221" s="4" t="s">
        <v>1987</v>
      </c>
      <c r="K1221" s="4" t="s">
        <v>1842</v>
      </c>
      <c r="L1221" s="2"/>
      <c r="M1221" s="4" t="s">
        <v>8</v>
      </c>
      <c r="N1221" s="2"/>
      <c r="O1221" s="2"/>
      <c r="P1221" s="4" t="s">
        <v>1843</v>
      </c>
      <c r="Q1221" s="31" t="s">
        <v>1127</v>
      </c>
    </row>
    <row r="1222" spans="1:36" ht="16.5" customHeight="1" x14ac:dyDescent="0.2">
      <c r="A1222" s="3" t="s">
        <v>0</v>
      </c>
      <c r="B1222" s="4" t="s">
        <v>63</v>
      </c>
      <c r="C1222" s="3" t="s">
        <v>4182</v>
      </c>
      <c r="D1222" s="26" t="s">
        <v>1838</v>
      </c>
      <c r="E1222" s="26" t="s">
        <v>1985</v>
      </c>
      <c r="F1222" s="4">
        <v>21</v>
      </c>
      <c r="G1222" s="4" t="str">
        <f t="shared" si="19"/>
        <v>u</v>
      </c>
      <c r="H1222" s="4">
        <v>2004</v>
      </c>
      <c r="I1222" s="4" t="s">
        <v>2015</v>
      </c>
      <c r="J1222" s="4" t="s">
        <v>1987</v>
      </c>
      <c r="K1222" s="4" t="s">
        <v>1842</v>
      </c>
      <c r="L1222" s="2"/>
      <c r="M1222" s="4" t="s">
        <v>8</v>
      </c>
      <c r="N1222" s="2"/>
      <c r="O1222" s="2"/>
      <c r="P1222" s="4" t="s">
        <v>1843</v>
      </c>
      <c r="Q1222" s="31" t="s">
        <v>1127</v>
      </c>
    </row>
    <row r="1223" spans="1:36" ht="16.5" customHeight="1" x14ac:dyDescent="0.2">
      <c r="A1223" s="3" t="s">
        <v>0</v>
      </c>
      <c r="B1223" s="4" t="s">
        <v>91</v>
      </c>
      <c r="C1223" s="3" t="s">
        <v>4182</v>
      </c>
      <c r="D1223" s="26" t="s">
        <v>1838</v>
      </c>
      <c r="E1223" s="26" t="s">
        <v>1985</v>
      </c>
      <c r="F1223" s="4">
        <v>22</v>
      </c>
      <c r="G1223" s="4" t="str">
        <f t="shared" si="19"/>
        <v>v</v>
      </c>
      <c r="H1223" s="4">
        <v>2005</v>
      </c>
      <c r="I1223" s="4" t="s">
        <v>2016</v>
      </c>
      <c r="J1223" s="4" t="s">
        <v>1987</v>
      </c>
      <c r="K1223" s="4" t="s">
        <v>1842</v>
      </c>
      <c r="L1223" s="2"/>
      <c r="M1223" s="4" t="s">
        <v>8</v>
      </c>
      <c r="N1223" s="2"/>
      <c r="O1223" s="2"/>
      <c r="P1223" s="4" t="s">
        <v>1843</v>
      </c>
      <c r="Q1223" s="31" t="s">
        <v>1127</v>
      </c>
    </row>
    <row r="1224" spans="1:36" ht="16.5" customHeight="1" x14ac:dyDescent="0.2">
      <c r="A1224" s="3" t="s">
        <v>0</v>
      </c>
      <c r="B1224" s="4" t="s">
        <v>51</v>
      </c>
      <c r="C1224" s="3" t="s">
        <v>4182</v>
      </c>
      <c r="D1224" s="26" t="s">
        <v>1838</v>
      </c>
      <c r="E1224" s="26" t="s">
        <v>1985</v>
      </c>
      <c r="F1224" s="4">
        <v>23</v>
      </c>
      <c r="G1224" s="4" t="str">
        <f t="shared" si="19"/>
        <v>w</v>
      </c>
      <c r="H1224" s="4">
        <v>2006</v>
      </c>
      <c r="I1224" s="4" t="s">
        <v>2017</v>
      </c>
      <c r="J1224" s="4" t="s">
        <v>1987</v>
      </c>
      <c r="K1224" s="4" t="s">
        <v>1842</v>
      </c>
      <c r="L1224" s="2"/>
      <c r="M1224" s="4" t="s">
        <v>8</v>
      </c>
      <c r="N1224" s="2"/>
      <c r="O1224" s="2"/>
      <c r="P1224" s="4" t="s">
        <v>1843</v>
      </c>
      <c r="Q1224" s="31" t="s">
        <v>1127</v>
      </c>
    </row>
    <row r="1225" spans="1:36" ht="16.5" customHeight="1" x14ac:dyDescent="0.2">
      <c r="A1225" s="3" t="s">
        <v>0</v>
      </c>
      <c r="B1225" s="4" t="s">
        <v>94</v>
      </c>
      <c r="C1225" s="3" t="s">
        <v>4182</v>
      </c>
      <c r="D1225" s="26" t="s">
        <v>1838</v>
      </c>
      <c r="E1225" s="26" t="s">
        <v>1985</v>
      </c>
      <c r="F1225" s="4">
        <v>24</v>
      </c>
      <c r="G1225" s="4" t="str">
        <f t="shared" si="19"/>
        <v>x</v>
      </c>
      <c r="H1225" s="4">
        <v>2007</v>
      </c>
      <c r="I1225" s="4" t="s">
        <v>2018</v>
      </c>
      <c r="J1225" s="4" t="s">
        <v>1987</v>
      </c>
      <c r="K1225" s="4" t="s">
        <v>1842</v>
      </c>
      <c r="L1225" s="2"/>
      <c r="M1225" s="4" t="s">
        <v>8</v>
      </c>
      <c r="N1225" s="2"/>
      <c r="O1225" s="2"/>
      <c r="P1225" s="4" t="s">
        <v>1843</v>
      </c>
      <c r="Q1225" s="31" t="s">
        <v>1127</v>
      </c>
    </row>
    <row r="1226" spans="1:36" ht="16.5" customHeight="1" x14ac:dyDescent="0.2">
      <c r="A1226" s="3" t="s">
        <v>0</v>
      </c>
      <c r="B1226" s="4" t="s">
        <v>69</v>
      </c>
      <c r="C1226" s="3" t="s">
        <v>4182</v>
      </c>
      <c r="D1226" s="26" t="s">
        <v>1838</v>
      </c>
      <c r="E1226" s="26" t="s">
        <v>1985</v>
      </c>
      <c r="F1226" s="4">
        <v>25</v>
      </c>
      <c r="G1226" s="4" t="str">
        <f t="shared" si="19"/>
        <v>y</v>
      </c>
      <c r="H1226" s="4">
        <v>2008</v>
      </c>
      <c r="I1226" s="4" t="s">
        <v>2019</v>
      </c>
      <c r="J1226" s="4" t="s">
        <v>1987</v>
      </c>
      <c r="K1226" s="4" t="s">
        <v>1842</v>
      </c>
      <c r="L1226" s="2"/>
      <c r="M1226" s="4" t="s">
        <v>8</v>
      </c>
      <c r="N1226" s="2"/>
      <c r="O1226" s="2"/>
      <c r="P1226" s="4" t="s">
        <v>1843</v>
      </c>
      <c r="Q1226" s="31" t="s">
        <v>1127</v>
      </c>
    </row>
    <row r="1227" spans="1:36" ht="16.5" customHeight="1" x14ac:dyDescent="0.2">
      <c r="A1227" s="3" t="s">
        <v>0</v>
      </c>
      <c r="B1227" s="4" t="s">
        <v>15</v>
      </c>
      <c r="C1227" s="3" t="s">
        <v>4182</v>
      </c>
      <c r="D1227" s="26" t="s">
        <v>1838</v>
      </c>
      <c r="E1227" s="26" t="s">
        <v>1985</v>
      </c>
      <c r="F1227" s="4">
        <v>26</v>
      </c>
      <c r="G1227" s="4" t="str">
        <f t="shared" si="19"/>
        <v>z</v>
      </c>
      <c r="H1227" s="4">
        <v>2009</v>
      </c>
      <c r="I1227" s="4" t="s">
        <v>2020</v>
      </c>
      <c r="J1227" s="4" t="s">
        <v>1987</v>
      </c>
      <c r="K1227" s="4" t="s">
        <v>1842</v>
      </c>
      <c r="L1227" s="2"/>
      <c r="M1227" s="4" t="s">
        <v>8</v>
      </c>
      <c r="N1227" s="2"/>
      <c r="O1227" s="2"/>
      <c r="P1227" s="4" t="s">
        <v>1843</v>
      </c>
      <c r="Q1227" s="31" t="s">
        <v>1127</v>
      </c>
    </row>
    <row r="1228" spans="1:36" ht="17.25" customHeight="1" x14ac:dyDescent="0.2">
      <c r="A1228" s="46" t="s">
        <v>0</v>
      </c>
      <c r="B1228" s="46" t="s">
        <v>1224</v>
      </c>
      <c r="C1228" s="3" t="s">
        <v>4182</v>
      </c>
      <c r="D1228" s="46" t="s">
        <v>1639</v>
      </c>
      <c r="E1228" s="46" t="s">
        <v>2021</v>
      </c>
      <c r="F1228" s="2">
        <v>33</v>
      </c>
      <c r="G1228" s="2" t="s">
        <v>76</v>
      </c>
      <c r="H1228" s="2">
        <v>2016</v>
      </c>
      <c r="I1228" s="2" t="s">
        <v>2022</v>
      </c>
      <c r="J1228" s="2" t="s">
        <v>2023</v>
      </c>
      <c r="K1228" s="2"/>
      <c r="L1228" s="2"/>
      <c r="M1228" t="s">
        <v>2024</v>
      </c>
      <c r="N1228" s="2"/>
      <c r="O1228" s="2"/>
      <c r="P1228" s="2" t="s">
        <v>1843</v>
      </c>
      <c r="Q1228" s="31" t="s">
        <v>3462</v>
      </c>
      <c r="R1228" s="2"/>
      <c r="S1228" s="2"/>
      <c r="T1228" s="2"/>
      <c r="U1228" s="2"/>
      <c r="V1228" s="2"/>
      <c r="W1228" s="2"/>
      <c r="X1228" s="2"/>
      <c r="Y1228" s="2"/>
      <c r="Z1228" s="2"/>
      <c r="AA1228" s="2"/>
      <c r="AB1228" s="2"/>
      <c r="AC1228" s="2"/>
      <c r="AD1228" s="2"/>
      <c r="AE1228" s="2"/>
      <c r="AF1228" s="2"/>
      <c r="AG1228" s="2"/>
      <c r="AH1228" s="2"/>
      <c r="AI1228" s="2"/>
      <c r="AJ1228" s="2"/>
    </row>
    <row r="1229" spans="1:36" ht="17.25" customHeight="1" x14ac:dyDescent="0.2">
      <c r="A1229" s="46" t="s">
        <v>0</v>
      </c>
      <c r="B1229" s="46" t="s">
        <v>171</v>
      </c>
      <c r="C1229" s="3" t="s">
        <v>4182</v>
      </c>
      <c r="D1229" s="46" t="s">
        <v>1639</v>
      </c>
      <c r="E1229" s="46" t="s">
        <v>2021</v>
      </c>
      <c r="F1229" s="2">
        <v>23</v>
      </c>
      <c r="G1229" s="2" t="s">
        <v>52</v>
      </c>
      <c r="H1229" s="2">
        <v>2006</v>
      </c>
      <c r="I1229" s="2" t="s">
        <v>2025</v>
      </c>
      <c r="J1229" s="2" t="s">
        <v>2023</v>
      </c>
      <c r="K1229" s="2"/>
      <c r="L1229" s="2"/>
      <c r="M1229" t="s">
        <v>2024</v>
      </c>
      <c r="N1229" s="2"/>
      <c r="O1229" s="2"/>
      <c r="P1229" s="2" t="s">
        <v>1843</v>
      </c>
      <c r="Q1229" s="31" t="s">
        <v>3462</v>
      </c>
      <c r="R1229" s="2"/>
      <c r="S1229" s="2"/>
      <c r="T1229" s="2"/>
      <c r="U1229" s="2"/>
      <c r="V1229" s="2"/>
      <c r="W1229" s="2"/>
      <c r="X1229" s="2"/>
      <c r="Y1229" s="2"/>
      <c r="Z1229" s="2"/>
      <c r="AA1229" s="2"/>
      <c r="AB1229" s="2"/>
      <c r="AC1229" s="2"/>
      <c r="AD1229" s="2"/>
      <c r="AE1229" s="2"/>
      <c r="AF1229" s="2"/>
      <c r="AG1229" s="2"/>
      <c r="AH1229" s="2"/>
      <c r="AI1229" s="2"/>
      <c r="AJ1229" s="2"/>
    </row>
    <row r="1230" spans="1:36" ht="17.25" customHeight="1" x14ac:dyDescent="0.2">
      <c r="A1230" s="46" t="s">
        <v>0</v>
      </c>
      <c r="B1230" s="46" t="s">
        <v>181</v>
      </c>
      <c r="C1230" s="3" t="s">
        <v>4182</v>
      </c>
      <c r="D1230" s="46" t="s">
        <v>1639</v>
      </c>
      <c r="E1230" s="46" t="s">
        <v>2021</v>
      </c>
      <c r="F1230" s="2">
        <v>28</v>
      </c>
      <c r="G1230" s="2" t="s">
        <v>46</v>
      </c>
      <c r="H1230" s="2">
        <v>2011</v>
      </c>
      <c r="I1230" s="2" t="s">
        <v>2026</v>
      </c>
      <c r="J1230" s="2" t="s">
        <v>2023</v>
      </c>
      <c r="K1230" s="2"/>
      <c r="L1230" s="2"/>
      <c r="M1230" t="s">
        <v>2024</v>
      </c>
      <c r="N1230" s="2"/>
      <c r="O1230" s="2"/>
      <c r="P1230" s="2" t="s">
        <v>1843</v>
      </c>
      <c r="Q1230" s="31" t="s">
        <v>3462</v>
      </c>
      <c r="R1230" s="2"/>
      <c r="S1230" s="2"/>
      <c r="T1230" s="2"/>
      <c r="U1230" s="2"/>
      <c r="V1230" s="2"/>
      <c r="W1230" s="2"/>
      <c r="X1230" s="2"/>
      <c r="Y1230" s="2"/>
      <c r="Z1230" s="2"/>
      <c r="AA1230" s="2"/>
      <c r="AB1230" s="2"/>
      <c r="AC1230" s="2"/>
      <c r="AD1230" s="2"/>
      <c r="AE1230" s="2"/>
      <c r="AF1230" s="2"/>
      <c r="AG1230" s="2"/>
      <c r="AH1230" s="2"/>
      <c r="AI1230" s="2"/>
      <c r="AJ1230" s="2"/>
    </row>
    <row r="1231" spans="1:36" ht="17.25" customHeight="1" x14ac:dyDescent="0.2">
      <c r="A1231" s="46" t="s">
        <v>0</v>
      </c>
      <c r="B1231" s="46" t="s">
        <v>181</v>
      </c>
      <c r="C1231" s="3" t="s">
        <v>4182</v>
      </c>
      <c r="D1231" s="46" t="s">
        <v>1639</v>
      </c>
      <c r="E1231" s="46" t="s">
        <v>2027</v>
      </c>
      <c r="F1231" s="2">
        <v>28</v>
      </c>
      <c r="G1231" s="2" t="s">
        <v>46</v>
      </c>
      <c r="H1231" s="2">
        <v>2011</v>
      </c>
      <c r="I1231" s="2" t="s">
        <v>2028</v>
      </c>
      <c r="J1231" s="2" t="s">
        <v>2029</v>
      </c>
      <c r="K1231" s="2"/>
      <c r="L1231" s="2"/>
      <c r="M1231" t="s">
        <v>2024</v>
      </c>
      <c r="N1231" s="2"/>
      <c r="O1231" s="2"/>
      <c r="P1231" s="2" t="s">
        <v>1843</v>
      </c>
      <c r="Q1231" s="31" t="s">
        <v>3462</v>
      </c>
      <c r="R1231" s="2"/>
      <c r="S1231" s="2"/>
      <c r="T1231" s="2"/>
      <c r="U1231" s="2"/>
      <c r="V1231" s="2"/>
      <c r="W1231" s="2"/>
      <c r="X1231" s="2"/>
      <c r="Y1231" s="2"/>
      <c r="Z1231" s="2"/>
      <c r="AA1231" s="2"/>
      <c r="AB1231" s="2"/>
      <c r="AC1231" s="2"/>
      <c r="AD1231" s="2"/>
      <c r="AE1231" s="2"/>
      <c r="AF1231" s="2"/>
      <c r="AG1231" s="2"/>
      <c r="AH1231" s="2"/>
      <c r="AI1231" s="2"/>
      <c r="AJ1231" s="2"/>
    </row>
    <row r="1232" spans="1:36" ht="17.25" customHeight="1" x14ac:dyDescent="0.2">
      <c r="A1232" s="46" t="s">
        <v>0</v>
      </c>
      <c r="B1232" s="46" t="s">
        <v>1224</v>
      </c>
      <c r="C1232" s="3" t="s">
        <v>4182</v>
      </c>
      <c r="D1232" s="46" t="s">
        <v>1639</v>
      </c>
      <c r="E1232" s="46" t="s">
        <v>2027</v>
      </c>
      <c r="F1232" s="2">
        <v>33</v>
      </c>
      <c r="G1232" s="2" t="s">
        <v>76</v>
      </c>
      <c r="H1232" s="2">
        <v>2016</v>
      </c>
      <c r="I1232" s="2" t="s">
        <v>2030</v>
      </c>
      <c r="J1232" s="2" t="s">
        <v>2029</v>
      </c>
      <c r="K1232" s="2"/>
      <c r="L1232" s="2"/>
      <c r="M1232" t="s">
        <v>2024</v>
      </c>
      <c r="N1232" s="2"/>
      <c r="O1232" s="2"/>
      <c r="P1232" s="2" t="s">
        <v>1843</v>
      </c>
      <c r="Q1232" s="31" t="s">
        <v>3462</v>
      </c>
      <c r="R1232" s="2"/>
      <c r="S1232" s="2"/>
      <c r="T1232" s="2"/>
      <c r="U1232" s="2"/>
      <c r="V1232" s="2"/>
      <c r="W1232" s="2"/>
      <c r="X1232" s="2"/>
      <c r="Y1232" s="2"/>
      <c r="Z1232" s="2"/>
      <c r="AA1232" s="2"/>
      <c r="AB1232" s="2"/>
      <c r="AC1232" s="2"/>
      <c r="AD1232" s="2"/>
      <c r="AE1232" s="2"/>
      <c r="AF1232" s="2"/>
      <c r="AG1232" s="2"/>
      <c r="AH1232" s="2"/>
      <c r="AI1232" s="2"/>
      <c r="AJ1232" s="2"/>
    </row>
    <row r="1233" spans="1:36" ht="17.25" customHeight="1" x14ac:dyDescent="0.2">
      <c r="A1233" s="46" t="s">
        <v>0</v>
      </c>
      <c r="B1233" s="46" t="s">
        <v>171</v>
      </c>
      <c r="C1233" s="3" t="s">
        <v>4182</v>
      </c>
      <c r="D1233" s="46" t="s">
        <v>1639</v>
      </c>
      <c r="E1233" s="46" t="s">
        <v>2027</v>
      </c>
      <c r="F1233" s="2">
        <v>23</v>
      </c>
      <c r="G1233" s="2" t="s">
        <v>52</v>
      </c>
      <c r="H1233" s="2">
        <v>2006</v>
      </c>
      <c r="I1233" s="2" t="s">
        <v>2031</v>
      </c>
      <c r="J1233" s="2" t="s">
        <v>2029</v>
      </c>
      <c r="K1233" s="2"/>
      <c r="L1233" s="2"/>
      <c r="M1233" t="s">
        <v>2024</v>
      </c>
      <c r="N1233" s="2"/>
      <c r="O1233" s="2"/>
      <c r="P1233" s="2" t="s">
        <v>1843</v>
      </c>
      <c r="Q1233" s="31" t="s">
        <v>3462</v>
      </c>
      <c r="R1233" s="2"/>
      <c r="S1233" s="2"/>
      <c r="T1233" s="2"/>
      <c r="U1233" s="2"/>
      <c r="V1233" s="2"/>
      <c r="W1233" s="2"/>
      <c r="X1233" s="2"/>
      <c r="Y1233" s="2"/>
      <c r="Z1233" s="2"/>
      <c r="AA1233" s="2"/>
      <c r="AB1233" s="2"/>
      <c r="AC1233" s="2"/>
      <c r="AD1233" s="2"/>
      <c r="AE1233" s="2"/>
      <c r="AF1233" s="2"/>
      <c r="AG1233" s="2"/>
      <c r="AH1233" s="2"/>
      <c r="AI1233" s="2"/>
      <c r="AJ1233" s="2"/>
    </row>
    <row r="1234" spans="1:36" ht="17.25" customHeight="1" x14ac:dyDescent="0.2">
      <c r="A1234" s="46" t="s">
        <v>0</v>
      </c>
      <c r="B1234" s="46" t="s">
        <v>1224</v>
      </c>
      <c r="C1234" s="3" t="s">
        <v>4182</v>
      </c>
      <c r="D1234" s="46" t="s">
        <v>1639</v>
      </c>
      <c r="E1234" s="46" t="s">
        <v>2032</v>
      </c>
      <c r="F1234" s="2">
        <v>33</v>
      </c>
      <c r="G1234" s="2" t="s">
        <v>76</v>
      </c>
      <c r="H1234" s="2">
        <v>2016</v>
      </c>
      <c r="I1234" s="2" t="s">
        <v>2033</v>
      </c>
      <c r="J1234" s="2" t="s">
        <v>2034</v>
      </c>
      <c r="K1234" s="2"/>
      <c r="M1234" t="s">
        <v>2035</v>
      </c>
      <c r="P1234" s="2" t="s">
        <v>1843</v>
      </c>
      <c r="Q1234" s="31" t="s">
        <v>3462</v>
      </c>
      <c r="R1234" s="2"/>
      <c r="S1234" s="2"/>
      <c r="T1234" s="2"/>
      <c r="U1234" s="2"/>
      <c r="V1234" s="2"/>
      <c r="W1234" s="2"/>
      <c r="X1234" s="2"/>
      <c r="Y1234" s="2"/>
      <c r="Z1234" s="2"/>
      <c r="AA1234" s="2"/>
      <c r="AB1234" s="2"/>
      <c r="AC1234" s="2"/>
      <c r="AD1234" s="2"/>
      <c r="AE1234" s="2"/>
      <c r="AF1234" s="2"/>
      <c r="AG1234" s="2"/>
      <c r="AH1234" s="2"/>
      <c r="AI1234" s="2"/>
      <c r="AJ1234" s="2"/>
    </row>
    <row r="1235" spans="1:36" ht="17.25" customHeight="1" x14ac:dyDescent="0.2">
      <c r="A1235" s="46" t="s">
        <v>0</v>
      </c>
      <c r="B1235" s="46" t="s">
        <v>181</v>
      </c>
      <c r="C1235" s="3" t="s">
        <v>4182</v>
      </c>
      <c r="D1235" s="46" t="s">
        <v>1639</v>
      </c>
      <c r="E1235" s="46" t="s">
        <v>2032</v>
      </c>
      <c r="F1235" s="2">
        <v>28</v>
      </c>
      <c r="G1235" s="2" t="s">
        <v>46</v>
      </c>
      <c r="H1235" s="2">
        <v>2011</v>
      </c>
      <c r="I1235" s="2" t="s">
        <v>2036</v>
      </c>
      <c r="J1235" s="2" t="s">
        <v>2034</v>
      </c>
      <c r="K1235" s="2"/>
      <c r="M1235" t="s">
        <v>2035</v>
      </c>
      <c r="P1235" s="2" t="s">
        <v>1843</v>
      </c>
      <c r="Q1235" s="31" t="s">
        <v>3462</v>
      </c>
      <c r="R1235" s="2"/>
      <c r="S1235" s="2"/>
      <c r="T1235" s="2"/>
      <c r="U1235" s="2"/>
      <c r="V1235" s="2"/>
      <c r="W1235" s="2"/>
      <c r="X1235" s="2"/>
      <c r="Y1235" s="2"/>
      <c r="Z1235" s="2"/>
      <c r="AA1235" s="2"/>
      <c r="AB1235" s="2"/>
      <c r="AC1235" s="2"/>
      <c r="AD1235" s="2"/>
      <c r="AE1235" s="2"/>
      <c r="AF1235" s="2"/>
      <c r="AG1235" s="2"/>
      <c r="AH1235" s="2"/>
      <c r="AI1235" s="2"/>
      <c r="AJ1235" s="2"/>
    </row>
    <row r="1236" spans="1:36" ht="17.25" customHeight="1" x14ac:dyDescent="0.2">
      <c r="A1236" s="46" t="s">
        <v>0</v>
      </c>
      <c r="B1236" s="46" t="s">
        <v>171</v>
      </c>
      <c r="C1236" s="3" t="s">
        <v>4182</v>
      </c>
      <c r="D1236" s="46" t="s">
        <v>1639</v>
      </c>
      <c r="E1236" s="46" t="s">
        <v>2032</v>
      </c>
      <c r="F1236" s="2">
        <v>23</v>
      </c>
      <c r="G1236" s="2" t="s">
        <v>52</v>
      </c>
      <c r="H1236" s="2">
        <v>2006</v>
      </c>
      <c r="I1236" s="2" t="s">
        <v>2037</v>
      </c>
      <c r="J1236" s="2" t="s">
        <v>2034</v>
      </c>
      <c r="K1236" s="2"/>
      <c r="M1236" t="s">
        <v>2035</v>
      </c>
      <c r="P1236" s="2" t="s">
        <v>1843</v>
      </c>
      <c r="Q1236" s="31" t="s">
        <v>3462</v>
      </c>
      <c r="R1236" s="2"/>
      <c r="S1236" s="2"/>
      <c r="T1236" s="2"/>
      <c r="U1236" s="2"/>
      <c r="V1236" s="2"/>
      <c r="W1236" s="2"/>
      <c r="X1236" s="2"/>
      <c r="Y1236" s="2"/>
      <c r="Z1236" s="2"/>
      <c r="AA1236" s="2"/>
      <c r="AB1236" s="2"/>
      <c r="AC1236" s="2"/>
      <c r="AD1236" s="2"/>
      <c r="AE1236" s="2"/>
      <c r="AF1236" s="2"/>
      <c r="AG1236" s="2"/>
      <c r="AH1236" s="2"/>
      <c r="AI1236" s="2"/>
      <c r="AJ1236" s="2"/>
    </row>
    <row r="1237" spans="1:36" ht="17.25" customHeight="1" x14ac:dyDescent="0.2">
      <c r="A1237" s="46" t="s">
        <v>0</v>
      </c>
      <c r="B1237" s="46" t="s">
        <v>1224</v>
      </c>
      <c r="C1237" s="3" t="s">
        <v>4182</v>
      </c>
      <c r="D1237" s="46" t="s">
        <v>1639</v>
      </c>
      <c r="E1237" s="46" t="s">
        <v>2038</v>
      </c>
      <c r="F1237" s="2">
        <v>33</v>
      </c>
      <c r="G1237" s="2" t="s">
        <v>76</v>
      </c>
      <c r="H1237" s="2">
        <v>2016</v>
      </c>
      <c r="I1237" s="2" t="s">
        <v>2039</v>
      </c>
      <c r="J1237" s="2" t="s">
        <v>2040</v>
      </c>
      <c r="K1237" s="2"/>
      <c r="M1237" t="s">
        <v>2035</v>
      </c>
      <c r="P1237" s="2" t="s">
        <v>1843</v>
      </c>
      <c r="Q1237" s="31" t="s">
        <v>3462</v>
      </c>
      <c r="R1237" s="2"/>
      <c r="S1237" s="2"/>
      <c r="T1237" s="2"/>
      <c r="U1237" s="2"/>
      <c r="V1237" s="2"/>
      <c r="W1237" s="2"/>
      <c r="X1237" s="2"/>
      <c r="Y1237" s="2"/>
      <c r="Z1237" s="2"/>
      <c r="AA1237" s="2"/>
      <c r="AB1237" s="2"/>
      <c r="AC1237" s="2"/>
      <c r="AD1237" s="2"/>
      <c r="AE1237" s="2"/>
      <c r="AF1237" s="2"/>
      <c r="AG1237" s="2"/>
      <c r="AH1237" s="2"/>
      <c r="AI1237" s="2"/>
      <c r="AJ1237" s="2"/>
    </row>
    <row r="1238" spans="1:36" ht="17.25" customHeight="1" x14ac:dyDescent="0.2">
      <c r="A1238" s="46" t="s">
        <v>0</v>
      </c>
      <c r="B1238" s="46" t="s">
        <v>171</v>
      </c>
      <c r="C1238" s="3" t="s">
        <v>4182</v>
      </c>
      <c r="D1238" s="46" t="s">
        <v>1639</v>
      </c>
      <c r="E1238" s="46" t="s">
        <v>2038</v>
      </c>
      <c r="F1238" s="2">
        <v>23</v>
      </c>
      <c r="G1238" s="2" t="s">
        <v>52</v>
      </c>
      <c r="H1238" s="2">
        <v>2006</v>
      </c>
      <c r="I1238" s="2" t="s">
        <v>2041</v>
      </c>
      <c r="J1238" s="2" t="s">
        <v>2040</v>
      </c>
      <c r="K1238" s="2"/>
      <c r="M1238" t="s">
        <v>2035</v>
      </c>
      <c r="P1238" s="2" t="s">
        <v>1843</v>
      </c>
      <c r="Q1238" s="31" t="s">
        <v>3462</v>
      </c>
      <c r="R1238" s="2"/>
      <c r="S1238" s="2"/>
      <c r="T1238" s="2"/>
      <c r="U1238" s="2"/>
      <c r="V1238" s="2"/>
      <c r="W1238" s="2"/>
      <c r="X1238" s="2"/>
      <c r="Y1238" s="2"/>
      <c r="Z1238" s="2"/>
      <c r="AA1238" s="2"/>
      <c r="AB1238" s="2"/>
      <c r="AC1238" s="2"/>
      <c r="AD1238" s="2"/>
      <c r="AE1238" s="2"/>
      <c r="AF1238" s="2"/>
      <c r="AG1238" s="2"/>
      <c r="AH1238" s="2"/>
      <c r="AI1238" s="2"/>
      <c r="AJ1238" s="2"/>
    </row>
    <row r="1239" spans="1:36" ht="17.25" customHeight="1" x14ac:dyDescent="0.2">
      <c r="A1239" s="46" t="s">
        <v>0</v>
      </c>
      <c r="B1239" s="46" t="s">
        <v>181</v>
      </c>
      <c r="C1239" s="3" t="s">
        <v>4182</v>
      </c>
      <c r="D1239" s="46" t="s">
        <v>1639</v>
      </c>
      <c r="E1239" s="46" t="s">
        <v>2038</v>
      </c>
      <c r="F1239" s="2">
        <v>28</v>
      </c>
      <c r="G1239" s="2" t="s">
        <v>46</v>
      </c>
      <c r="H1239" s="2">
        <v>2011</v>
      </c>
      <c r="I1239" s="2" t="s">
        <v>2042</v>
      </c>
      <c r="J1239" s="2" t="s">
        <v>2040</v>
      </c>
      <c r="K1239" s="2"/>
      <c r="M1239" t="s">
        <v>2035</v>
      </c>
      <c r="P1239" s="2" t="s">
        <v>1843</v>
      </c>
      <c r="Q1239" s="31" t="s">
        <v>3462</v>
      </c>
      <c r="R1239" s="2"/>
      <c r="S1239" s="2"/>
      <c r="T1239" s="2"/>
      <c r="U1239" s="2"/>
      <c r="V1239" s="2"/>
      <c r="W1239" s="2"/>
      <c r="X1239" s="2"/>
      <c r="Y1239" s="2"/>
      <c r="Z1239" s="2"/>
      <c r="AA1239" s="2"/>
      <c r="AB1239" s="2"/>
      <c r="AC1239" s="2"/>
      <c r="AD1239" s="2"/>
      <c r="AE1239" s="2"/>
      <c r="AF1239" s="2"/>
      <c r="AG1239" s="2"/>
      <c r="AH1239" s="2"/>
      <c r="AI1239" s="2"/>
      <c r="AJ1239" s="2"/>
    </row>
    <row r="1240" spans="1:36" ht="17.25" customHeight="1" x14ac:dyDescent="0.2">
      <c r="A1240" s="46" t="s">
        <v>0</v>
      </c>
      <c r="B1240" s="46" t="s">
        <v>171</v>
      </c>
      <c r="C1240" s="3" t="s">
        <v>4182</v>
      </c>
      <c r="D1240" s="46" t="s">
        <v>1639</v>
      </c>
      <c r="E1240" s="46" t="s">
        <v>2043</v>
      </c>
      <c r="F1240" s="2">
        <v>23</v>
      </c>
      <c r="G1240" s="2" t="s">
        <v>52</v>
      </c>
      <c r="H1240" s="2">
        <v>2006</v>
      </c>
      <c r="I1240" s="2" t="s">
        <v>2044</v>
      </c>
      <c r="J1240" s="2" t="s">
        <v>2045</v>
      </c>
      <c r="K1240" s="2"/>
      <c r="L1240" s="2"/>
      <c r="M1240" t="s">
        <v>2024</v>
      </c>
      <c r="N1240" s="2"/>
      <c r="O1240" s="2"/>
      <c r="P1240" s="2" t="s">
        <v>1843</v>
      </c>
      <c r="Q1240" s="31" t="s">
        <v>3462</v>
      </c>
      <c r="R1240" s="2"/>
      <c r="S1240" s="2"/>
      <c r="T1240" s="2"/>
      <c r="U1240" s="2"/>
      <c r="V1240" s="2"/>
      <c r="W1240" s="2"/>
      <c r="X1240" s="2"/>
      <c r="Y1240" s="2"/>
      <c r="Z1240" s="2"/>
      <c r="AA1240" s="2"/>
      <c r="AB1240" s="2"/>
      <c r="AC1240" s="2"/>
      <c r="AD1240" s="2"/>
      <c r="AE1240" s="2"/>
      <c r="AF1240" s="2"/>
      <c r="AG1240" s="2"/>
      <c r="AH1240" s="2"/>
      <c r="AI1240" s="2"/>
      <c r="AJ1240" s="2"/>
    </row>
    <row r="1241" spans="1:36" ht="17.25" customHeight="1" x14ac:dyDescent="0.2">
      <c r="A1241" s="46" t="s">
        <v>0</v>
      </c>
      <c r="B1241" s="46" t="s">
        <v>1224</v>
      </c>
      <c r="C1241" s="3" t="s">
        <v>4182</v>
      </c>
      <c r="D1241" s="46" t="s">
        <v>1639</v>
      </c>
      <c r="E1241" s="46" t="s">
        <v>2043</v>
      </c>
      <c r="F1241" s="2">
        <v>33</v>
      </c>
      <c r="G1241" s="2" t="s">
        <v>76</v>
      </c>
      <c r="H1241" s="2">
        <v>2016</v>
      </c>
      <c r="I1241" s="2" t="s">
        <v>2046</v>
      </c>
      <c r="J1241" s="2" t="s">
        <v>2045</v>
      </c>
      <c r="K1241" s="2"/>
      <c r="L1241" s="2"/>
      <c r="M1241" t="s">
        <v>2024</v>
      </c>
      <c r="N1241" s="2"/>
      <c r="O1241" s="2"/>
      <c r="P1241" s="2" t="s">
        <v>1843</v>
      </c>
      <c r="Q1241" s="31" t="s">
        <v>3462</v>
      </c>
      <c r="R1241" s="2"/>
      <c r="S1241" s="2"/>
      <c r="T1241" s="2"/>
      <c r="U1241" s="2"/>
      <c r="V1241" s="2"/>
      <c r="W1241" s="2"/>
      <c r="X1241" s="2"/>
      <c r="Y1241" s="2"/>
      <c r="Z1241" s="2"/>
      <c r="AA1241" s="2"/>
      <c r="AB1241" s="2"/>
      <c r="AC1241" s="2"/>
      <c r="AD1241" s="2"/>
      <c r="AE1241" s="2"/>
      <c r="AF1241" s="2"/>
      <c r="AG1241" s="2"/>
      <c r="AH1241" s="2"/>
      <c r="AI1241" s="2"/>
      <c r="AJ1241" s="2"/>
    </row>
    <row r="1242" spans="1:36" ht="17.25" customHeight="1" x14ac:dyDescent="0.2">
      <c r="A1242" s="46" t="s">
        <v>0</v>
      </c>
      <c r="B1242" s="46" t="s">
        <v>181</v>
      </c>
      <c r="C1242" s="3" t="s">
        <v>4182</v>
      </c>
      <c r="D1242" s="46" t="s">
        <v>1639</v>
      </c>
      <c r="E1242" s="46" t="s">
        <v>2043</v>
      </c>
      <c r="F1242" s="2">
        <v>28</v>
      </c>
      <c r="G1242" s="2" t="s">
        <v>46</v>
      </c>
      <c r="H1242" s="2">
        <v>2011</v>
      </c>
      <c r="I1242" s="2" t="s">
        <v>2047</v>
      </c>
      <c r="J1242" s="2" t="s">
        <v>2045</v>
      </c>
      <c r="K1242" s="2"/>
      <c r="L1242" s="2"/>
      <c r="M1242" t="s">
        <v>2024</v>
      </c>
      <c r="N1242" s="2"/>
      <c r="O1242" s="2"/>
      <c r="P1242" s="2" t="s">
        <v>1843</v>
      </c>
      <c r="Q1242" s="31" t="s">
        <v>3462</v>
      </c>
      <c r="R1242" s="2"/>
      <c r="S1242" s="2"/>
      <c r="T1242" s="2"/>
      <c r="U1242" s="2"/>
      <c r="V1242" s="2"/>
      <c r="W1242" s="2"/>
      <c r="X1242" s="2"/>
      <c r="Y1242" s="2"/>
      <c r="Z1242" s="2"/>
      <c r="AA1242" s="2"/>
      <c r="AB1242" s="2"/>
      <c r="AC1242" s="2"/>
      <c r="AD1242" s="2"/>
      <c r="AE1242" s="2"/>
      <c r="AF1242" s="2"/>
      <c r="AG1242" s="2"/>
      <c r="AH1242" s="2"/>
      <c r="AI1242" s="2"/>
      <c r="AJ1242" s="2"/>
    </row>
    <row r="1243" spans="1:36" ht="17.25" customHeight="1" x14ac:dyDescent="0.2">
      <c r="A1243" s="46" t="s">
        <v>0</v>
      </c>
      <c r="B1243" s="46" t="s">
        <v>1224</v>
      </c>
      <c r="C1243" s="3" t="s">
        <v>4182</v>
      </c>
      <c r="D1243" s="46" t="s">
        <v>1639</v>
      </c>
      <c r="E1243" s="46" t="s">
        <v>2048</v>
      </c>
      <c r="F1243" s="2">
        <v>33</v>
      </c>
      <c r="G1243" s="2" t="s">
        <v>76</v>
      </c>
      <c r="H1243" s="2">
        <v>2016</v>
      </c>
      <c r="I1243" s="2" t="s">
        <v>2049</v>
      </c>
      <c r="J1243" s="2" t="s">
        <v>2050</v>
      </c>
      <c r="K1243" s="2"/>
      <c r="L1243" s="2"/>
      <c r="M1243" t="s">
        <v>2024</v>
      </c>
      <c r="N1243" s="2"/>
      <c r="O1243" s="2"/>
      <c r="P1243" s="2" t="s">
        <v>1843</v>
      </c>
      <c r="Q1243" s="31" t="s">
        <v>3462</v>
      </c>
      <c r="R1243" s="2"/>
      <c r="S1243" s="2"/>
      <c r="T1243" s="2"/>
      <c r="U1243" s="2"/>
      <c r="V1243" s="2"/>
      <c r="W1243" s="2"/>
      <c r="X1243" s="2"/>
      <c r="Y1243" s="2"/>
      <c r="Z1243" s="2"/>
      <c r="AA1243" s="2"/>
      <c r="AB1243" s="2"/>
      <c r="AC1243" s="2"/>
      <c r="AD1243" s="2"/>
      <c r="AE1243" s="2"/>
      <c r="AF1243" s="2"/>
      <c r="AG1243" s="2"/>
      <c r="AH1243" s="2"/>
      <c r="AI1243" s="2"/>
      <c r="AJ1243" s="2"/>
    </row>
    <row r="1244" spans="1:36" ht="17.25" customHeight="1" x14ac:dyDescent="0.2">
      <c r="A1244" s="46" t="s">
        <v>0</v>
      </c>
      <c r="B1244" s="46" t="s">
        <v>171</v>
      </c>
      <c r="C1244" s="3" t="s">
        <v>4182</v>
      </c>
      <c r="D1244" s="46" t="s">
        <v>1639</v>
      </c>
      <c r="E1244" s="46" t="s">
        <v>2048</v>
      </c>
      <c r="F1244" s="2">
        <v>23</v>
      </c>
      <c r="G1244" s="2" t="s">
        <v>52</v>
      </c>
      <c r="H1244" s="2">
        <v>2006</v>
      </c>
      <c r="I1244" s="2" t="s">
        <v>2051</v>
      </c>
      <c r="J1244" s="2" t="s">
        <v>2050</v>
      </c>
      <c r="K1244" s="2"/>
      <c r="L1244" s="2"/>
      <c r="M1244" t="s">
        <v>2024</v>
      </c>
      <c r="N1244" s="2"/>
      <c r="O1244" s="2"/>
      <c r="P1244" s="2" t="s">
        <v>1843</v>
      </c>
      <c r="Q1244" s="31" t="s">
        <v>3462</v>
      </c>
      <c r="R1244" s="2"/>
      <c r="S1244" s="2"/>
      <c r="T1244" s="2"/>
      <c r="U1244" s="2"/>
      <c r="V1244" s="2"/>
      <c r="W1244" s="2"/>
      <c r="X1244" s="2"/>
      <c r="Y1244" s="2"/>
      <c r="Z1244" s="2"/>
      <c r="AA1244" s="2"/>
      <c r="AB1244" s="2"/>
      <c r="AC1244" s="2"/>
      <c r="AD1244" s="2"/>
      <c r="AE1244" s="2"/>
      <c r="AF1244" s="2"/>
      <c r="AG1244" s="2"/>
      <c r="AH1244" s="2"/>
      <c r="AI1244" s="2"/>
      <c r="AJ1244" s="2"/>
    </row>
    <row r="1245" spans="1:36" ht="17.25" customHeight="1" x14ac:dyDescent="0.2">
      <c r="A1245" s="46" t="s">
        <v>0</v>
      </c>
      <c r="B1245" s="46" t="s">
        <v>181</v>
      </c>
      <c r="C1245" s="3" t="s">
        <v>4182</v>
      </c>
      <c r="D1245" s="46" t="s">
        <v>1639</v>
      </c>
      <c r="E1245" s="46" t="s">
        <v>2048</v>
      </c>
      <c r="F1245" s="2">
        <v>28</v>
      </c>
      <c r="G1245" s="2" t="s">
        <v>46</v>
      </c>
      <c r="H1245" s="2">
        <v>2011</v>
      </c>
      <c r="I1245" s="2" t="s">
        <v>2052</v>
      </c>
      <c r="J1245" s="2" t="s">
        <v>2050</v>
      </c>
      <c r="K1245" s="2"/>
      <c r="L1245" s="2"/>
      <c r="M1245" t="s">
        <v>2024</v>
      </c>
      <c r="N1245" s="2"/>
      <c r="O1245" s="2"/>
      <c r="P1245" s="2" t="s">
        <v>1843</v>
      </c>
      <c r="Q1245" s="31" t="s">
        <v>3462</v>
      </c>
      <c r="R1245" s="2"/>
      <c r="S1245" s="2"/>
      <c r="T1245" s="2"/>
      <c r="U1245" s="2"/>
      <c r="V1245" s="2"/>
      <c r="W1245" s="2"/>
      <c r="X1245" s="2"/>
      <c r="Y1245" s="2"/>
      <c r="Z1245" s="2"/>
      <c r="AA1245" s="2"/>
      <c r="AB1245" s="2"/>
      <c r="AC1245" s="2"/>
      <c r="AD1245" s="2"/>
      <c r="AE1245" s="2"/>
      <c r="AF1245" s="2"/>
      <c r="AG1245" s="2"/>
      <c r="AH1245" s="2"/>
      <c r="AI1245" s="2"/>
      <c r="AJ1245" s="2"/>
    </row>
    <row r="1246" spans="1:36" ht="17.25" customHeight="1" x14ac:dyDescent="0.2">
      <c r="A1246" s="46" t="s">
        <v>0</v>
      </c>
      <c r="B1246" s="46" t="s">
        <v>171</v>
      </c>
      <c r="C1246" s="3" t="s">
        <v>4182</v>
      </c>
      <c r="D1246" s="46" t="s">
        <v>1639</v>
      </c>
      <c r="E1246" s="46" t="s">
        <v>2053</v>
      </c>
      <c r="F1246" s="2">
        <v>23</v>
      </c>
      <c r="G1246" s="2" t="s">
        <v>52</v>
      </c>
      <c r="H1246" s="2">
        <v>2006</v>
      </c>
      <c r="I1246" s="2" t="s">
        <v>2054</v>
      </c>
      <c r="J1246" s="2" t="s">
        <v>2055</v>
      </c>
      <c r="K1246" s="2"/>
      <c r="L1246" s="2"/>
      <c r="M1246" t="s">
        <v>2024</v>
      </c>
      <c r="N1246" s="2"/>
      <c r="O1246" s="2"/>
      <c r="P1246" s="2" t="s">
        <v>1843</v>
      </c>
      <c r="Q1246" s="31" t="s">
        <v>3462</v>
      </c>
      <c r="R1246" s="2"/>
      <c r="S1246" s="2"/>
      <c r="T1246" s="2"/>
      <c r="U1246" s="2"/>
      <c r="V1246" s="2"/>
      <c r="W1246" s="2"/>
      <c r="X1246" s="2"/>
      <c r="Y1246" s="2"/>
      <c r="Z1246" s="2"/>
      <c r="AA1246" s="2"/>
      <c r="AB1246" s="2"/>
      <c r="AC1246" s="2"/>
      <c r="AD1246" s="2"/>
      <c r="AE1246" s="2"/>
      <c r="AF1246" s="2"/>
      <c r="AG1246" s="2"/>
      <c r="AH1246" s="2"/>
      <c r="AI1246" s="2"/>
      <c r="AJ1246" s="2"/>
    </row>
    <row r="1247" spans="1:36" ht="17.25" customHeight="1" x14ac:dyDescent="0.2">
      <c r="A1247" s="46" t="s">
        <v>0</v>
      </c>
      <c r="B1247" s="46" t="s">
        <v>181</v>
      </c>
      <c r="C1247" s="3" t="s">
        <v>4182</v>
      </c>
      <c r="D1247" s="46" t="s">
        <v>1639</v>
      </c>
      <c r="E1247" s="46" t="s">
        <v>2053</v>
      </c>
      <c r="F1247" s="2">
        <v>28</v>
      </c>
      <c r="G1247" s="2" t="s">
        <v>46</v>
      </c>
      <c r="H1247" s="2">
        <v>2011</v>
      </c>
      <c r="I1247" s="2" t="s">
        <v>2056</v>
      </c>
      <c r="J1247" s="2" t="s">
        <v>2055</v>
      </c>
      <c r="K1247" s="2"/>
      <c r="L1247" s="2"/>
      <c r="M1247" t="s">
        <v>2024</v>
      </c>
      <c r="N1247" s="2"/>
      <c r="O1247" s="2"/>
      <c r="P1247" s="2" t="s">
        <v>1843</v>
      </c>
      <c r="Q1247" s="31" t="s">
        <v>3462</v>
      </c>
      <c r="R1247" s="2"/>
      <c r="S1247" s="2"/>
      <c r="T1247" s="2"/>
      <c r="U1247" s="2"/>
      <c r="V1247" s="2"/>
      <c r="W1247" s="2"/>
      <c r="X1247" s="2"/>
      <c r="Y1247" s="2"/>
      <c r="Z1247" s="2"/>
      <c r="AA1247" s="2"/>
      <c r="AB1247" s="2"/>
      <c r="AC1247" s="2"/>
      <c r="AD1247" s="2"/>
      <c r="AE1247" s="2"/>
      <c r="AF1247" s="2"/>
      <c r="AG1247" s="2"/>
      <c r="AH1247" s="2"/>
      <c r="AI1247" s="2"/>
      <c r="AJ1247" s="2"/>
    </row>
    <row r="1248" spans="1:36" ht="17.25" customHeight="1" x14ac:dyDescent="0.2">
      <c r="A1248" s="46" t="s">
        <v>0</v>
      </c>
      <c r="B1248" s="46" t="s">
        <v>1224</v>
      </c>
      <c r="C1248" s="3" t="s">
        <v>4182</v>
      </c>
      <c r="D1248" s="46" t="s">
        <v>1639</v>
      </c>
      <c r="E1248" s="46" t="s">
        <v>2053</v>
      </c>
      <c r="F1248" s="2">
        <v>33</v>
      </c>
      <c r="G1248" s="2" t="s">
        <v>76</v>
      </c>
      <c r="H1248" s="2">
        <v>2016</v>
      </c>
      <c r="I1248" s="2" t="s">
        <v>2057</v>
      </c>
      <c r="J1248" s="2" t="s">
        <v>2055</v>
      </c>
      <c r="K1248" s="2"/>
      <c r="L1248" s="2"/>
      <c r="M1248" t="s">
        <v>2024</v>
      </c>
      <c r="N1248" s="2"/>
      <c r="O1248" s="2"/>
      <c r="P1248" s="2" t="s">
        <v>1843</v>
      </c>
      <c r="Q1248" s="31" t="s">
        <v>3462</v>
      </c>
      <c r="R1248" s="2"/>
      <c r="S1248" s="2"/>
      <c r="T1248" s="2"/>
      <c r="U1248" s="2"/>
      <c r="V1248" s="2"/>
      <c r="W1248" s="2"/>
      <c r="X1248" s="2"/>
      <c r="Y1248" s="2"/>
      <c r="Z1248" s="2"/>
      <c r="AA1248" s="2"/>
      <c r="AB1248" s="2"/>
      <c r="AC1248" s="2"/>
      <c r="AD1248" s="2"/>
      <c r="AE1248" s="2"/>
      <c r="AF1248" s="2"/>
      <c r="AG1248" s="2"/>
      <c r="AH1248" s="2"/>
      <c r="AI1248" s="2"/>
      <c r="AJ1248" s="2"/>
    </row>
    <row r="1249" spans="1:36" ht="17.25" customHeight="1" x14ac:dyDescent="0.2">
      <c r="A1249" s="46" t="s">
        <v>0</v>
      </c>
      <c r="B1249" s="46" t="s">
        <v>181</v>
      </c>
      <c r="C1249" s="3" t="s">
        <v>4182</v>
      </c>
      <c r="D1249" s="46" t="s">
        <v>1639</v>
      </c>
      <c r="E1249" s="46" t="s">
        <v>2058</v>
      </c>
      <c r="F1249" s="2">
        <v>28</v>
      </c>
      <c r="G1249" s="2" t="s">
        <v>46</v>
      </c>
      <c r="H1249" s="2">
        <v>2011</v>
      </c>
      <c r="I1249" s="2" t="s">
        <v>2059</v>
      </c>
      <c r="J1249" s="2" t="s">
        <v>2060</v>
      </c>
      <c r="K1249" s="2"/>
      <c r="L1249" s="2"/>
      <c r="M1249" t="s">
        <v>2024</v>
      </c>
      <c r="N1249" s="2"/>
      <c r="O1249" s="2"/>
      <c r="P1249" s="2" t="s">
        <v>1843</v>
      </c>
      <c r="Q1249" s="31" t="s">
        <v>3462</v>
      </c>
      <c r="R1249" s="2"/>
      <c r="S1249" s="2"/>
      <c r="T1249" s="2"/>
      <c r="U1249" s="2"/>
      <c r="V1249" s="2"/>
      <c r="W1249" s="2"/>
      <c r="X1249" s="2"/>
      <c r="Y1249" s="2"/>
      <c r="Z1249" s="2"/>
      <c r="AA1249" s="2"/>
      <c r="AB1249" s="2"/>
      <c r="AC1249" s="2"/>
      <c r="AD1249" s="2"/>
      <c r="AE1249" s="2"/>
      <c r="AF1249" s="2"/>
      <c r="AG1249" s="2"/>
      <c r="AH1249" s="2"/>
      <c r="AI1249" s="2"/>
      <c r="AJ1249" s="2"/>
    </row>
    <row r="1250" spans="1:36" ht="17.25" customHeight="1" x14ac:dyDescent="0.2">
      <c r="A1250" s="46" t="s">
        <v>0</v>
      </c>
      <c r="B1250" s="46" t="s">
        <v>171</v>
      </c>
      <c r="C1250" s="3" t="s">
        <v>4182</v>
      </c>
      <c r="D1250" s="46" t="s">
        <v>1639</v>
      </c>
      <c r="E1250" s="46" t="s">
        <v>2058</v>
      </c>
      <c r="F1250" s="2">
        <v>23</v>
      </c>
      <c r="G1250" s="2" t="s">
        <v>52</v>
      </c>
      <c r="H1250" s="2">
        <v>2006</v>
      </c>
      <c r="I1250" s="2" t="s">
        <v>2061</v>
      </c>
      <c r="J1250" s="2" t="s">
        <v>2060</v>
      </c>
      <c r="K1250" s="2"/>
      <c r="L1250" s="2"/>
      <c r="M1250" t="s">
        <v>2024</v>
      </c>
      <c r="N1250" s="2"/>
      <c r="O1250" s="2"/>
      <c r="P1250" s="2" t="s">
        <v>1843</v>
      </c>
      <c r="Q1250" s="31" t="s">
        <v>3462</v>
      </c>
      <c r="R1250" s="2"/>
      <c r="S1250" s="2"/>
      <c r="T1250" s="2"/>
      <c r="U1250" s="2"/>
      <c r="V1250" s="2"/>
      <c r="W1250" s="2"/>
      <c r="X1250" s="2"/>
      <c r="Y1250" s="2"/>
      <c r="Z1250" s="2"/>
      <c r="AA1250" s="2"/>
      <c r="AB1250" s="2"/>
      <c r="AC1250" s="2"/>
      <c r="AD1250" s="2"/>
      <c r="AE1250" s="2"/>
      <c r="AF1250" s="2"/>
      <c r="AG1250" s="2"/>
      <c r="AH1250" s="2"/>
      <c r="AI1250" s="2"/>
      <c r="AJ1250" s="2"/>
    </row>
    <row r="1251" spans="1:36" ht="17.25" customHeight="1" x14ac:dyDescent="0.2">
      <c r="A1251" s="46" t="s">
        <v>0</v>
      </c>
      <c r="B1251" s="46" t="s">
        <v>1224</v>
      </c>
      <c r="C1251" s="3" t="s">
        <v>4182</v>
      </c>
      <c r="D1251" s="46" t="s">
        <v>1639</v>
      </c>
      <c r="E1251" s="46" t="s">
        <v>2058</v>
      </c>
      <c r="F1251" s="2">
        <v>33</v>
      </c>
      <c r="G1251" s="2" t="s">
        <v>76</v>
      </c>
      <c r="H1251" s="2">
        <v>2016</v>
      </c>
      <c r="I1251" s="2" t="s">
        <v>2062</v>
      </c>
      <c r="J1251" s="2" t="s">
        <v>2060</v>
      </c>
      <c r="K1251" s="2"/>
      <c r="L1251" s="2"/>
      <c r="M1251" t="s">
        <v>2024</v>
      </c>
      <c r="N1251" s="2"/>
      <c r="O1251" s="2"/>
      <c r="P1251" s="2" t="s">
        <v>1843</v>
      </c>
      <c r="Q1251" s="31" t="s">
        <v>3462</v>
      </c>
      <c r="R1251" s="2"/>
      <c r="S1251" s="2"/>
      <c r="T1251" s="2"/>
      <c r="U1251" s="2"/>
      <c r="V1251" s="2"/>
      <c r="W1251" s="2"/>
      <c r="X1251" s="2"/>
      <c r="Y1251" s="2"/>
      <c r="Z1251" s="2"/>
      <c r="AA1251" s="2"/>
      <c r="AB1251" s="2"/>
      <c r="AC1251" s="2"/>
      <c r="AD1251" s="2"/>
      <c r="AE1251" s="2"/>
      <c r="AF1251" s="2"/>
      <c r="AG1251" s="2"/>
      <c r="AH1251" s="2"/>
      <c r="AI1251" s="2"/>
      <c r="AJ1251" s="2"/>
    </row>
    <row r="1252" spans="1:36" x14ac:dyDescent="0.2">
      <c r="A1252" s="77" t="s">
        <v>0</v>
      </c>
      <c r="B1252" s="78" t="str">
        <f t="shared" ref="B1252:B1261" si="20">G1252&amp;"p"</f>
        <v>gp</v>
      </c>
      <c r="C1252" s="3" t="s">
        <v>4182</v>
      </c>
      <c r="D1252" s="77" t="s">
        <v>1631</v>
      </c>
      <c r="E1252" s="77" t="s">
        <v>1631</v>
      </c>
      <c r="F1252">
        <f t="shared" ref="F1252:F1261" si="21">H1252-1983</f>
        <v>7</v>
      </c>
      <c r="G1252" s="2" t="str">
        <f t="shared" ref="G1252:G1259" si="22">MID("abcdefghijklmnopqrstuvwxyz",F1252,1)</f>
        <v>g</v>
      </c>
      <c r="H1252" s="2">
        <v>1990</v>
      </c>
      <c r="I1252" s="2" t="s">
        <v>4183</v>
      </c>
      <c r="J1252" s="2" t="s">
        <v>2071</v>
      </c>
      <c r="K1252" t="s">
        <v>2072</v>
      </c>
      <c r="L1252" t="s">
        <v>1520</v>
      </c>
      <c r="M1252" t="s">
        <v>8</v>
      </c>
      <c r="N1252">
        <v>1</v>
      </c>
      <c r="O1252">
        <v>4</v>
      </c>
      <c r="P1252" s="2" t="s">
        <v>1527</v>
      </c>
      <c r="Q1252" s="2" t="s">
        <v>3462</v>
      </c>
    </row>
    <row r="1253" spans="1:36" x14ac:dyDescent="0.2">
      <c r="A1253" s="77" t="s">
        <v>0</v>
      </c>
      <c r="B1253" s="78" t="str">
        <f t="shared" si="20"/>
        <v>hp</v>
      </c>
      <c r="C1253" s="3" t="s">
        <v>4182</v>
      </c>
      <c r="D1253" s="77" t="s">
        <v>1631</v>
      </c>
      <c r="E1253" s="77" t="s">
        <v>1631</v>
      </c>
      <c r="F1253">
        <f t="shared" si="21"/>
        <v>8</v>
      </c>
      <c r="G1253" s="2" t="str">
        <f t="shared" si="22"/>
        <v>h</v>
      </c>
      <c r="H1253" s="2">
        <v>1991</v>
      </c>
      <c r="I1253" s="2" t="s">
        <v>4184</v>
      </c>
      <c r="J1253" s="2" t="s">
        <v>2071</v>
      </c>
      <c r="K1253" t="s">
        <v>2072</v>
      </c>
      <c r="L1253" t="s">
        <v>1520</v>
      </c>
      <c r="M1253" t="s">
        <v>8</v>
      </c>
      <c r="N1253">
        <v>1</v>
      </c>
      <c r="O1253">
        <v>4</v>
      </c>
      <c r="P1253" s="2" t="s">
        <v>1527</v>
      </c>
      <c r="Q1253" s="2" t="s">
        <v>3462</v>
      </c>
    </row>
    <row r="1254" spans="1:36" x14ac:dyDescent="0.2">
      <c r="A1254" s="77" t="s">
        <v>0</v>
      </c>
      <c r="B1254" s="78" t="str">
        <f t="shared" si="20"/>
        <v>ip</v>
      </c>
      <c r="C1254" s="3" t="s">
        <v>4182</v>
      </c>
      <c r="D1254" s="77" t="s">
        <v>1631</v>
      </c>
      <c r="E1254" s="77" t="s">
        <v>1631</v>
      </c>
      <c r="F1254">
        <f t="shared" si="21"/>
        <v>9</v>
      </c>
      <c r="G1254" s="2" t="str">
        <f t="shared" si="22"/>
        <v>i</v>
      </c>
      <c r="H1254" s="2">
        <v>1992</v>
      </c>
      <c r="I1254" s="2" t="s">
        <v>2063</v>
      </c>
      <c r="J1254" s="2" t="s">
        <v>2071</v>
      </c>
      <c r="K1254" t="s">
        <v>2072</v>
      </c>
      <c r="L1254" t="s">
        <v>1520</v>
      </c>
      <c r="M1254" t="s">
        <v>8</v>
      </c>
      <c r="N1254">
        <v>1</v>
      </c>
      <c r="O1254">
        <v>4</v>
      </c>
      <c r="P1254" s="2" t="s">
        <v>1527</v>
      </c>
      <c r="Q1254" s="2" t="s">
        <v>3462</v>
      </c>
    </row>
    <row r="1255" spans="1:36" x14ac:dyDescent="0.2">
      <c r="A1255" s="77" t="s">
        <v>0</v>
      </c>
      <c r="B1255" s="78" t="str">
        <f t="shared" si="20"/>
        <v>jp</v>
      </c>
      <c r="C1255" s="3" t="s">
        <v>4182</v>
      </c>
      <c r="D1255" s="77" t="s">
        <v>1631</v>
      </c>
      <c r="E1255" s="77" t="s">
        <v>1631</v>
      </c>
      <c r="F1255">
        <f t="shared" si="21"/>
        <v>10</v>
      </c>
      <c r="G1255" s="2" t="str">
        <f t="shared" si="22"/>
        <v>j</v>
      </c>
      <c r="H1255" s="2">
        <v>1993</v>
      </c>
      <c r="I1255" s="2" t="s">
        <v>2064</v>
      </c>
      <c r="J1255" s="2" t="s">
        <v>2071</v>
      </c>
      <c r="K1255" t="s">
        <v>2072</v>
      </c>
      <c r="L1255" t="s">
        <v>1520</v>
      </c>
      <c r="M1255" t="s">
        <v>8</v>
      </c>
      <c r="N1255">
        <v>1</v>
      </c>
      <c r="O1255">
        <v>4</v>
      </c>
      <c r="P1255" s="2" t="s">
        <v>1527</v>
      </c>
      <c r="Q1255" s="2" t="s">
        <v>3462</v>
      </c>
    </row>
    <row r="1256" spans="1:36" x14ac:dyDescent="0.2">
      <c r="A1256" s="77" t="s">
        <v>0</v>
      </c>
      <c r="B1256" s="78" t="str">
        <f t="shared" si="20"/>
        <v>lp</v>
      </c>
      <c r="C1256" s="3" t="s">
        <v>4182</v>
      </c>
      <c r="D1256" s="77" t="s">
        <v>1631</v>
      </c>
      <c r="E1256" s="77" t="s">
        <v>1631</v>
      </c>
      <c r="F1256">
        <f t="shared" si="21"/>
        <v>12</v>
      </c>
      <c r="G1256" s="2" t="str">
        <f t="shared" si="22"/>
        <v>l</v>
      </c>
      <c r="H1256" s="2">
        <v>1995</v>
      </c>
      <c r="I1256" s="2" t="s">
        <v>2065</v>
      </c>
      <c r="J1256" s="2" t="s">
        <v>2071</v>
      </c>
      <c r="K1256" t="s">
        <v>2072</v>
      </c>
      <c r="L1256" t="s">
        <v>1520</v>
      </c>
      <c r="M1256" t="s">
        <v>8</v>
      </c>
      <c r="N1256">
        <v>1</v>
      </c>
      <c r="O1256">
        <v>4</v>
      </c>
      <c r="P1256" s="2" t="s">
        <v>1527</v>
      </c>
      <c r="Q1256" s="2" t="s">
        <v>3462</v>
      </c>
    </row>
    <row r="1257" spans="1:36" x14ac:dyDescent="0.2">
      <c r="A1257" s="77" t="s">
        <v>0</v>
      </c>
      <c r="B1257" s="78" t="str">
        <f t="shared" si="20"/>
        <v>mp</v>
      </c>
      <c r="C1257" s="3" t="s">
        <v>4182</v>
      </c>
      <c r="D1257" s="77" t="s">
        <v>1631</v>
      </c>
      <c r="E1257" s="77" t="s">
        <v>1631</v>
      </c>
      <c r="F1257">
        <f t="shared" si="21"/>
        <v>13</v>
      </c>
      <c r="G1257" s="2" t="str">
        <f t="shared" si="22"/>
        <v>m</v>
      </c>
      <c r="H1257" s="2">
        <v>1996</v>
      </c>
      <c r="I1257" s="2" t="s">
        <v>2066</v>
      </c>
      <c r="J1257" s="2" t="s">
        <v>2071</v>
      </c>
      <c r="K1257" t="s">
        <v>2072</v>
      </c>
      <c r="L1257" t="s">
        <v>1520</v>
      </c>
      <c r="M1257" t="s">
        <v>8</v>
      </c>
      <c r="N1257">
        <v>1</v>
      </c>
      <c r="O1257">
        <v>4</v>
      </c>
      <c r="P1257" s="2" t="s">
        <v>1527</v>
      </c>
      <c r="Q1257" s="2" t="s">
        <v>3462</v>
      </c>
    </row>
    <row r="1258" spans="1:36" x14ac:dyDescent="0.2">
      <c r="A1258" s="77" t="s">
        <v>0</v>
      </c>
      <c r="B1258" s="78" t="str">
        <f t="shared" si="20"/>
        <v>np</v>
      </c>
      <c r="C1258" s="3" t="s">
        <v>4182</v>
      </c>
      <c r="D1258" s="77" t="s">
        <v>1631</v>
      </c>
      <c r="E1258" s="77" t="s">
        <v>1631</v>
      </c>
      <c r="F1258">
        <f t="shared" si="21"/>
        <v>14</v>
      </c>
      <c r="G1258" s="2" t="str">
        <f t="shared" si="22"/>
        <v>n</v>
      </c>
      <c r="H1258" s="2">
        <v>1997</v>
      </c>
      <c r="I1258" s="2" t="s">
        <v>2067</v>
      </c>
      <c r="J1258" s="2" t="s">
        <v>2071</v>
      </c>
      <c r="K1258" t="s">
        <v>2072</v>
      </c>
      <c r="L1258" t="s">
        <v>1520</v>
      </c>
      <c r="M1258" t="s">
        <v>8</v>
      </c>
      <c r="N1258">
        <v>1</v>
      </c>
      <c r="O1258">
        <v>4</v>
      </c>
      <c r="P1258" s="2" t="s">
        <v>1527</v>
      </c>
      <c r="Q1258" s="2" t="s">
        <v>3462</v>
      </c>
    </row>
    <row r="1259" spans="1:36" x14ac:dyDescent="0.2">
      <c r="A1259" s="77" t="s">
        <v>0</v>
      </c>
      <c r="B1259" s="78" t="str">
        <f t="shared" si="20"/>
        <v>yp</v>
      </c>
      <c r="C1259" s="3" t="s">
        <v>4182</v>
      </c>
      <c r="D1259" s="77" t="s">
        <v>1631</v>
      </c>
      <c r="E1259" s="77" t="s">
        <v>1631</v>
      </c>
      <c r="F1259">
        <f t="shared" si="21"/>
        <v>25</v>
      </c>
      <c r="G1259" s="2" t="str">
        <f t="shared" si="22"/>
        <v>y</v>
      </c>
      <c r="H1259" s="2">
        <v>2008</v>
      </c>
      <c r="I1259" s="2" t="s">
        <v>2068</v>
      </c>
      <c r="J1259" s="2" t="s">
        <v>2071</v>
      </c>
      <c r="K1259" t="s">
        <v>2072</v>
      </c>
      <c r="L1259" t="s">
        <v>1520</v>
      </c>
      <c r="M1259" t="s">
        <v>8</v>
      </c>
      <c r="N1259">
        <v>1</v>
      </c>
      <c r="O1259">
        <v>4</v>
      </c>
      <c r="P1259" s="2" t="s">
        <v>1527</v>
      </c>
      <c r="Q1259" s="2" t="s">
        <v>3462</v>
      </c>
    </row>
    <row r="1260" spans="1:36" x14ac:dyDescent="0.2">
      <c r="A1260" s="77" t="s">
        <v>0</v>
      </c>
      <c r="B1260" s="78" t="str">
        <f t="shared" si="20"/>
        <v>bdp</v>
      </c>
      <c r="C1260" s="3" t="s">
        <v>4182</v>
      </c>
      <c r="D1260" s="77" t="s">
        <v>1631</v>
      </c>
      <c r="E1260" s="77" t="s">
        <v>1631</v>
      </c>
      <c r="F1260">
        <f t="shared" si="21"/>
        <v>30</v>
      </c>
      <c r="G1260" s="2" t="str">
        <f>IF(F1260&lt;27, MID("abcdefghijklmnopqrstuvwxyz",F1260,1), _xlfn.CONCAT("b",MID("abcdefghijklmnopqrstuvwxyz",H1260-1983-26,1)))</f>
        <v>bd</v>
      </c>
      <c r="H1260" s="2">
        <v>2013</v>
      </c>
      <c r="I1260" s="2" t="s">
        <v>2069</v>
      </c>
      <c r="J1260" s="2" t="s">
        <v>2071</v>
      </c>
      <c r="K1260" t="s">
        <v>2072</v>
      </c>
      <c r="L1260" t="s">
        <v>1520</v>
      </c>
      <c r="M1260" t="s">
        <v>8</v>
      </c>
      <c r="N1260">
        <v>1</v>
      </c>
      <c r="O1260">
        <v>4</v>
      </c>
      <c r="P1260" s="2" t="s">
        <v>1527</v>
      </c>
      <c r="Q1260" s="2" t="s">
        <v>3462</v>
      </c>
    </row>
    <row r="1261" spans="1:36" x14ac:dyDescent="0.2">
      <c r="A1261" s="77" t="s">
        <v>0</v>
      </c>
      <c r="B1261" s="78" t="str">
        <f t="shared" si="20"/>
        <v>bip</v>
      </c>
      <c r="C1261" s="3" t="s">
        <v>4182</v>
      </c>
      <c r="D1261" s="77" t="s">
        <v>1631</v>
      </c>
      <c r="E1261" s="77" t="s">
        <v>1631</v>
      </c>
      <c r="F1261">
        <f t="shared" si="21"/>
        <v>35</v>
      </c>
      <c r="G1261" s="2" t="str">
        <f>IF(F1261&lt;27, MID("abcdefghijklmnopqrstuvwxyz",F1261,1), _xlfn.CONCAT("b",MID("abcdefghijklmnopqrstuvwxyz",H1261-1983-26,1)))</f>
        <v>bi</v>
      </c>
      <c r="H1261" s="2">
        <v>2018</v>
      </c>
      <c r="I1261" s="2" t="s">
        <v>2070</v>
      </c>
      <c r="J1261" s="2" t="s">
        <v>2071</v>
      </c>
      <c r="K1261" t="s">
        <v>2072</v>
      </c>
      <c r="L1261" t="s">
        <v>1520</v>
      </c>
      <c r="M1261" t="s">
        <v>8</v>
      </c>
      <c r="N1261">
        <v>1</v>
      </c>
      <c r="O1261">
        <v>4</v>
      </c>
      <c r="P1261" s="2" t="s">
        <v>1527</v>
      </c>
      <c r="Q1261" s="2" t="s">
        <v>3462</v>
      </c>
    </row>
    <row r="1262" spans="1:36" x14ac:dyDescent="0.2">
      <c r="A1262" s="46" t="s">
        <v>0</v>
      </c>
      <c r="B1262" t="str">
        <f t="shared" ref="B1262" si="23">G1262&amp;"p"</f>
        <v>hp</v>
      </c>
      <c r="C1262" s="3" t="s">
        <v>4182</v>
      </c>
      <c r="D1262" s="46" t="s">
        <v>1632</v>
      </c>
      <c r="E1262" s="46" t="s">
        <v>1632</v>
      </c>
      <c r="F1262">
        <f>H1262-1983</f>
        <v>8</v>
      </c>
      <c r="G1262" s="2" t="str">
        <f t="shared" ref="G1262:G1320" si="24">IF(F1262&lt;27, MID("abcdefghijklmnopqrstuvwxyz",F1262,1), _xlfn.CONCAT("b",MID("abcdefghijklmnopqrstuvwxyz",H1262-1983-26,1)))</f>
        <v>h</v>
      </c>
      <c r="H1262" s="2">
        <v>1991</v>
      </c>
      <c r="I1262" s="2" t="s">
        <v>2098</v>
      </c>
      <c r="J1262" s="2" t="s">
        <v>2099</v>
      </c>
      <c r="K1262" s="7" t="s">
        <v>2100</v>
      </c>
      <c r="L1262" s="7"/>
      <c r="M1262" s="7" t="s">
        <v>2101</v>
      </c>
      <c r="P1262" s="2" t="s">
        <v>1127</v>
      </c>
      <c r="Q1262" s="2" t="s">
        <v>1127</v>
      </c>
    </row>
    <row r="1263" spans="1:36" x14ac:dyDescent="0.2">
      <c r="A1263" s="46" t="s">
        <v>0</v>
      </c>
      <c r="B1263" t="str">
        <f t="shared" ref="B1263:B1287" si="25">G1263&amp;"p"</f>
        <v>ip</v>
      </c>
      <c r="C1263" s="3" t="s">
        <v>4182</v>
      </c>
      <c r="D1263" s="46" t="s">
        <v>1632</v>
      </c>
      <c r="E1263" s="46" t="s">
        <v>1632</v>
      </c>
      <c r="F1263">
        <f t="shared" ref="F1263:F1287" si="26">H1263-1983</f>
        <v>9</v>
      </c>
      <c r="G1263" s="2" t="str">
        <f t="shared" si="24"/>
        <v>i</v>
      </c>
      <c r="H1263" s="2">
        <v>1992</v>
      </c>
      <c r="I1263" s="2" t="s">
        <v>2073</v>
      </c>
      <c r="J1263" s="2" t="s">
        <v>2099</v>
      </c>
      <c r="K1263" s="7" t="s">
        <v>2100</v>
      </c>
      <c r="L1263" s="7"/>
      <c r="M1263" s="7" t="s">
        <v>2101</v>
      </c>
      <c r="P1263" s="2" t="s">
        <v>1127</v>
      </c>
      <c r="Q1263" s="2" t="s">
        <v>1127</v>
      </c>
    </row>
    <row r="1264" spans="1:36" x14ac:dyDescent="0.2">
      <c r="A1264" s="46" t="s">
        <v>0</v>
      </c>
      <c r="B1264" t="str">
        <f t="shared" si="25"/>
        <v>jp</v>
      </c>
      <c r="C1264" s="3" t="s">
        <v>4182</v>
      </c>
      <c r="D1264" s="46" t="s">
        <v>1632</v>
      </c>
      <c r="E1264" s="46" t="s">
        <v>1632</v>
      </c>
      <c r="F1264">
        <f t="shared" si="26"/>
        <v>10</v>
      </c>
      <c r="G1264" s="2" t="str">
        <f t="shared" si="24"/>
        <v>j</v>
      </c>
      <c r="H1264" s="2">
        <v>1993</v>
      </c>
      <c r="I1264" s="2" t="s">
        <v>2074</v>
      </c>
      <c r="J1264" s="2" t="s">
        <v>2099</v>
      </c>
      <c r="K1264" s="7" t="s">
        <v>2100</v>
      </c>
      <c r="L1264" s="7"/>
      <c r="M1264" s="7" t="s">
        <v>2101</v>
      </c>
      <c r="P1264" s="2" t="s">
        <v>1127</v>
      </c>
      <c r="Q1264" s="2" t="s">
        <v>1127</v>
      </c>
    </row>
    <row r="1265" spans="1:17" x14ac:dyDescent="0.2">
      <c r="A1265" s="46" t="s">
        <v>0</v>
      </c>
      <c r="B1265" t="str">
        <f t="shared" si="25"/>
        <v>kp</v>
      </c>
      <c r="C1265" s="3" t="s">
        <v>4182</v>
      </c>
      <c r="D1265" s="46" t="s">
        <v>1632</v>
      </c>
      <c r="E1265" s="46" t="s">
        <v>1632</v>
      </c>
      <c r="F1265">
        <f t="shared" si="26"/>
        <v>11</v>
      </c>
      <c r="G1265" s="2" t="str">
        <f t="shared" si="24"/>
        <v>k</v>
      </c>
      <c r="H1265" s="2">
        <v>1994</v>
      </c>
      <c r="I1265" s="2" t="s">
        <v>2075</v>
      </c>
      <c r="J1265" s="2" t="s">
        <v>2099</v>
      </c>
      <c r="K1265" s="7" t="s">
        <v>2100</v>
      </c>
      <c r="L1265" s="7"/>
      <c r="M1265" s="7" t="s">
        <v>2101</v>
      </c>
      <c r="P1265" s="2" t="s">
        <v>1127</v>
      </c>
      <c r="Q1265" s="2" t="s">
        <v>1127</v>
      </c>
    </row>
    <row r="1266" spans="1:17" x14ac:dyDescent="0.2">
      <c r="A1266" s="46" t="s">
        <v>0</v>
      </c>
      <c r="B1266" t="str">
        <f t="shared" si="25"/>
        <v>lp</v>
      </c>
      <c r="C1266" s="3" t="s">
        <v>4182</v>
      </c>
      <c r="D1266" s="46" t="s">
        <v>1632</v>
      </c>
      <c r="E1266" s="46" t="s">
        <v>1632</v>
      </c>
      <c r="F1266">
        <f t="shared" si="26"/>
        <v>12</v>
      </c>
      <c r="G1266" s="2" t="str">
        <f t="shared" si="24"/>
        <v>l</v>
      </c>
      <c r="H1266" s="2">
        <v>1995</v>
      </c>
      <c r="I1266" s="2" t="s">
        <v>2076</v>
      </c>
      <c r="J1266" s="2" t="s">
        <v>2099</v>
      </c>
      <c r="K1266" s="7" t="s">
        <v>2100</v>
      </c>
      <c r="L1266" s="7"/>
      <c r="M1266" s="7" t="s">
        <v>2101</v>
      </c>
      <c r="P1266" s="2" t="s">
        <v>1127</v>
      </c>
      <c r="Q1266" s="2" t="s">
        <v>1127</v>
      </c>
    </row>
    <row r="1267" spans="1:17" x14ac:dyDescent="0.2">
      <c r="A1267" s="46" t="s">
        <v>0</v>
      </c>
      <c r="B1267" t="str">
        <f t="shared" si="25"/>
        <v>mp</v>
      </c>
      <c r="C1267" s="3" t="s">
        <v>4182</v>
      </c>
      <c r="D1267" s="46" t="s">
        <v>1632</v>
      </c>
      <c r="E1267" s="46" t="s">
        <v>1632</v>
      </c>
      <c r="F1267">
        <f t="shared" si="26"/>
        <v>13</v>
      </c>
      <c r="G1267" s="2" t="str">
        <f t="shared" si="24"/>
        <v>m</v>
      </c>
      <c r="H1267" s="2">
        <v>1996</v>
      </c>
      <c r="I1267" s="2" t="s">
        <v>2077</v>
      </c>
      <c r="J1267" s="2" t="s">
        <v>2099</v>
      </c>
      <c r="K1267" s="7" t="s">
        <v>2100</v>
      </c>
      <c r="L1267" s="7"/>
      <c r="M1267" s="7" t="s">
        <v>2101</v>
      </c>
      <c r="P1267" s="2" t="s">
        <v>1127</v>
      </c>
      <c r="Q1267" s="2" t="s">
        <v>1127</v>
      </c>
    </row>
    <row r="1268" spans="1:17" x14ac:dyDescent="0.2">
      <c r="A1268" s="46" t="s">
        <v>0</v>
      </c>
      <c r="B1268" t="str">
        <f t="shared" si="25"/>
        <v>np</v>
      </c>
      <c r="C1268" s="3" t="s">
        <v>4182</v>
      </c>
      <c r="D1268" s="46" t="s">
        <v>1632</v>
      </c>
      <c r="E1268" s="46" t="s">
        <v>1632</v>
      </c>
      <c r="F1268">
        <f t="shared" si="26"/>
        <v>14</v>
      </c>
      <c r="G1268" s="2" t="str">
        <f t="shared" si="24"/>
        <v>n</v>
      </c>
      <c r="H1268" s="2">
        <v>1997</v>
      </c>
      <c r="I1268" s="2" t="s">
        <v>2078</v>
      </c>
      <c r="J1268" s="2" t="s">
        <v>2099</v>
      </c>
      <c r="K1268" s="7" t="s">
        <v>2100</v>
      </c>
      <c r="L1268" s="7"/>
      <c r="M1268" s="7" t="s">
        <v>2101</v>
      </c>
      <c r="P1268" s="2" t="s">
        <v>1127</v>
      </c>
      <c r="Q1268" s="2" t="s">
        <v>1127</v>
      </c>
    </row>
    <row r="1269" spans="1:17" x14ac:dyDescent="0.2">
      <c r="A1269" s="46" t="s">
        <v>0</v>
      </c>
      <c r="B1269" t="str">
        <f t="shared" si="25"/>
        <v>op</v>
      </c>
      <c r="C1269" s="3" t="s">
        <v>4182</v>
      </c>
      <c r="D1269" s="46" t="s">
        <v>1632</v>
      </c>
      <c r="E1269" s="46" t="s">
        <v>1632</v>
      </c>
      <c r="F1269">
        <f t="shared" si="26"/>
        <v>15</v>
      </c>
      <c r="G1269" s="2" t="str">
        <f t="shared" si="24"/>
        <v>o</v>
      </c>
      <c r="H1269" s="2">
        <v>1998</v>
      </c>
      <c r="I1269" s="2" t="s">
        <v>2079</v>
      </c>
      <c r="J1269" s="2" t="s">
        <v>2099</v>
      </c>
      <c r="K1269" s="7" t="s">
        <v>2100</v>
      </c>
      <c r="L1269" s="7"/>
      <c r="M1269" s="7" t="s">
        <v>2101</v>
      </c>
      <c r="P1269" s="2" t="s">
        <v>1127</v>
      </c>
      <c r="Q1269" s="2" t="s">
        <v>1127</v>
      </c>
    </row>
    <row r="1270" spans="1:17" x14ac:dyDescent="0.2">
      <c r="A1270" s="46" t="s">
        <v>0</v>
      </c>
      <c r="B1270" t="str">
        <f t="shared" si="25"/>
        <v>pp</v>
      </c>
      <c r="C1270" s="3" t="s">
        <v>4182</v>
      </c>
      <c r="D1270" s="46" t="s">
        <v>1632</v>
      </c>
      <c r="E1270" s="46" t="s">
        <v>1632</v>
      </c>
      <c r="F1270">
        <f t="shared" si="26"/>
        <v>16</v>
      </c>
      <c r="G1270" s="2" t="str">
        <f t="shared" si="24"/>
        <v>p</v>
      </c>
      <c r="H1270" s="2">
        <v>1999</v>
      </c>
      <c r="I1270" s="2" t="s">
        <v>2081</v>
      </c>
      <c r="J1270" s="2" t="s">
        <v>2099</v>
      </c>
      <c r="K1270" s="7" t="s">
        <v>2100</v>
      </c>
      <c r="L1270" s="7"/>
      <c r="M1270" s="7" t="s">
        <v>2101</v>
      </c>
      <c r="P1270" s="2" t="s">
        <v>1127</v>
      </c>
      <c r="Q1270" s="2" t="s">
        <v>1127</v>
      </c>
    </row>
    <row r="1271" spans="1:17" x14ac:dyDescent="0.2">
      <c r="A1271" s="46" t="s">
        <v>0</v>
      </c>
      <c r="B1271" t="str">
        <f t="shared" si="25"/>
        <v>qp</v>
      </c>
      <c r="C1271" s="3" t="s">
        <v>4182</v>
      </c>
      <c r="D1271" s="46" t="s">
        <v>1632</v>
      </c>
      <c r="E1271" s="46" t="s">
        <v>1632</v>
      </c>
      <c r="F1271">
        <f t="shared" si="26"/>
        <v>17</v>
      </c>
      <c r="G1271" s="2" t="str">
        <f t="shared" si="24"/>
        <v>q</v>
      </c>
      <c r="H1271" s="2">
        <v>2000</v>
      </c>
      <c r="I1271" s="2" t="s">
        <v>2080</v>
      </c>
      <c r="J1271" s="2" t="s">
        <v>2099</v>
      </c>
      <c r="K1271" s="7" t="s">
        <v>2100</v>
      </c>
      <c r="L1271" s="7"/>
      <c r="M1271" s="7" t="s">
        <v>2101</v>
      </c>
      <c r="P1271" s="2" t="s">
        <v>1127</v>
      </c>
      <c r="Q1271" s="2" t="s">
        <v>1127</v>
      </c>
    </row>
    <row r="1272" spans="1:17" x14ac:dyDescent="0.2">
      <c r="A1272" s="46" t="s">
        <v>0</v>
      </c>
      <c r="B1272" t="str">
        <f t="shared" si="25"/>
        <v>rp</v>
      </c>
      <c r="C1272" s="3" t="s">
        <v>4182</v>
      </c>
      <c r="D1272" s="46" t="s">
        <v>1632</v>
      </c>
      <c r="E1272" s="46" t="s">
        <v>1632</v>
      </c>
      <c r="F1272">
        <f t="shared" si="26"/>
        <v>18</v>
      </c>
      <c r="G1272" s="2" t="str">
        <f t="shared" si="24"/>
        <v>r</v>
      </c>
      <c r="H1272" s="2">
        <v>2001</v>
      </c>
      <c r="I1272" s="2" t="s">
        <v>2082</v>
      </c>
      <c r="J1272" s="2" t="s">
        <v>2099</v>
      </c>
      <c r="K1272" s="7" t="s">
        <v>2100</v>
      </c>
      <c r="L1272" s="7"/>
      <c r="M1272" s="7" t="s">
        <v>2101</v>
      </c>
      <c r="P1272" s="2" t="s">
        <v>1127</v>
      </c>
      <c r="Q1272" s="2" t="s">
        <v>1127</v>
      </c>
    </row>
    <row r="1273" spans="1:17" x14ac:dyDescent="0.2">
      <c r="A1273" s="46" t="s">
        <v>0</v>
      </c>
      <c r="B1273" t="str">
        <f t="shared" si="25"/>
        <v>sp</v>
      </c>
      <c r="C1273" s="3" t="s">
        <v>4182</v>
      </c>
      <c r="D1273" s="46" t="s">
        <v>1632</v>
      </c>
      <c r="E1273" s="46" t="s">
        <v>1632</v>
      </c>
      <c r="F1273">
        <f t="shared" si="26"/>
        <v>19</v>
      </c>
      <c r="G1273" s="2" t="str">
        <f t="shared" si="24"/>
        <v>s</v>
      </c>
      <c r="H1273" s="2">
        <v>2002</v>
      </c>
      <c r="I1273" s="2" t="s">
        <v>2083</v>
      </c>
      <c r="J1273" s="2" t="s">
        <v>2099</v>
      </c>
      <c r="K1273" s="7" t="s">
        <v>2100</v>
      </c>
      <c r="L1273" s="7"/>
      <c r="M1273" s="7" t="s">
        <v>2101</v>
      </c>
      <c r="P1273" s="2" t="s">
        <v>1127</v>
      </c>
      <c r="Q1273" s="2" t="s">
        <v>1127</v>
      </c>
    </row>
    <row r="1274" spans="1:17" x14ac:dyDescent="0.2">
      <c r="A1274" s="46" t="s">
        <v>0</v>
      </c>
      <c r="B1274" t="str">
        <f t="shared" si="25"/>
        <v>tp</v>
      </c>
      <c r="C1274" s="3" t="s">
        <v>4182</v>
      </c>
      <c r="D1274" s="46" t="s">
        <v>1632</v>
      </c>
      <c r="E1274" s="46" t="s">
        <v>1632</v>
      </c>
      <c r="F1274">
        <f t="shared" si="26"/>
        <v>20</v>
      </c>
      <c r="G1274" s="2" t="str">
        <f t="shared" si="24"/>
        <v>t</v>
      </c>
      <c r="H1274" s="2">
        <v>2003</v>
      </c>
      <c r="I1274" s="2" t="s">
        <v>2084</v>
      </c>
      <c r="J1274" s="2" t="s">
        <v>2099</v>
      </c>
      <c r="K1274" s="7" t="s">
        <v>2100</v>
      </c>
      <c r="L1274" s="7"/>
      <c r="M1274" s="7" t="s">
        <v>2101</v>
      </c>
      <c r="P1274" s="2" t="s">
        <v>1127</v>
      </c>
      <c r="Q1274" s="2" t="s">
        <v>1127</v>
      </c>
    </row>
    <row r="1275" spans="1:17" x14ac:dyDescent="0.2">
      <c r="A1275" s="46" t="s">
        <v>0</v>
      </c>
      <c r="B1275" t="str">
        <f t="shared" si="25"/>
        <v>up</v>
      </c>
      <c r="C1275" s="3" t="s">
        <v>4182</v>
      </c>
      <c r="D1275" s="46" t="s">
        <v>1632</v>
      </c>
      <c r="E1275" s="46" t="s">
        <v>1632</v>
      </c>
      <c r="F1275">
        <f t="shared" si="26"/>
        <v>21</v>
      </c>
      <c r="G1275" s="2" t="str">
        <f t="shared" si="24"/>
        <v>u</v>
      </c>
      <c r="H1275" s="2">
        <v>2004</v>
      </c>
      <c r="I1275" s="2" t="s">
        <v>2085</v>
      </c>
      <c r="J1275" s="2" t="s">
        <v>2099</v>
      </c>
      <c r="K1275" s="7" t="s">
        <v>2100</v>
      </c>
      <c r="L1275" s="7"/>
      <c r="M1275" s="7" t="s">
        <v>2101</v>
      </c>
      <c r="P1275" s="2" t="s">
        <v>1127</v>
      </c>
      <c r="Q1275" s="2" t="s">
        <v>1127</v>
      </c>
    </row>
    <row r="1276" spans="1:17" x14ac:dyDescent="0.2">
      <c r="A1276" s="46" t="s">
        <v>0</v>
      </c>
      <c r="B1276" t="str">
        <f t="shared" si="25"/>
        <v>vp</v>
      </c>
      <c r="C1276" s="3" t="s">
        <v>4182</v>
      </c>
      <c r="D1276" s="46" t="s">
        <v>1632</v>
      </c>
      <c r="E1276" s="46" t="s">
        <v>1632</v>
      </c>
      <c r="F1276">
        <f t="shared" si="26"/>
        <v>22</v>
      </c>
      <c r="G1276" s="2" t="str">
        <f t="shared" si="24"/>
        <v>v</v>
      </c>
      <c r="H1276" s="2">
        <v>2005</v>
      </c>
      <c r="I1276" s="2" t="s">
        <v>2086</v>
      </c>
      <c r="J1276" s="2" t="s">
        <v>2099</v>
      </c>
      <c r="K1276" s="7" t="s">
        <v>2100</v>
      </c>
      <c r="L1276" s="7"/>
      <c r="M1276" s="7" t="s">
        <v>2101</v>
      </c>
      <c r="P1276" s="2" t="s">
        <v>1127</v>
      </c>
      <c r="Q1276" s="2" t="s">
        <v>1127</v>
      </c>
    </row>
    <row r="1277" spans="1:17" x14ac:dyDescent="0.2">
      <c r="A1277" s="46" t="s">
        <v>0</v>
      </c>
      <c r="B1277" t="str">
        <f t="shared" si="25"/>
        <v>wp</v>
      </c>
      <c r="C1277" s="3" t="s">
        <v>4182</v>
      </c>
      <c r="D1277" s="46" t="s">
        <v>1632</v>
      </c>
      <c r="E1277" s="46" t="s">
        <v>1632</v>
      </c>
      <c r="F1277">
        <f t="shared" si="26"/>
        <v>23</v>
      </c>
      <c r="G1277" s="2" t="str">
        <f t="shared" si="24"/>
        <v>w</v>
      </c>
      <c r="H1277" s="2">
        <v>2006</v>
      </c>
      <c r="I1277" s="2" t="s">
        <v>2087</v>
      </c>
      <c r="J1277" s="2" t="s">
        <v>2099</v>
      </c>
      <c r="K1277" s="7" t="s">
        <v>2100</v>
      </c>
      <c r="L1277" s="7"/>
      <c r="M1277" s="7" t="s">
        <v>2101</v>
      </c>
      <c r="P1277" s="2" t="s">
        <v>1127</v>
      </c>
      <c r="Q1277" s="2" t="s">
        <v>1127</v>
      </c>
    </row>
    <row r="1278" spans="1:17" x14ac:dyDescent="0.2">
      <c r="A1278" s="46" t="s">
        <v>0</v>
      </c>
      <c r="B1278" t="str">
        <f t="shared" si="25"/>
        <v>xp</v>
      </c>
      <c r="C1278" s="3" t="s">
        <v>4182</v>
      </c>
      <c r="D1278" s="46" t="s">
        <v>1632</v>
      </c>
      <c r="E1278" s="46" t="s">
        <v>1632</v>
      </c>
      <c r="F1278">
        <f t="shared" si="26"/>
        <v>24</v>
      </c>
      <c r="G1278" s="2" t="str">
        <f t="shared" si="24"/>
        <v>x</v>
      </c>
      <c r="H1278" s="2">
        <v>2007</v>
      </c>
      <c r="I1278" s="2" t="s">
        <v>2088</v>
      </c>
      <c r="J1278" s="2" t="s">
        <v>2099</v>
      </c>
      <c r="K1278" s="7" t="s">
        <v>2100</v>
      </c>
      <c r="L1278" s="7"/>
      <c r="M1278" s="7" t="s">
        <v>2101</v>
      </c>
      <c r="P1278" s="2" t="s">
        <v>1127</v>
      </c>
      <c r="Q1278" s="2" t="s">
        <v>1127</v>
      </c>
    </row>
    <row r="1279" spans="1:17" x14ac:dyDescent="0.2">
      <c r="A1279" s="46" t="s">
        <v>0</v>
      </c>
      <c r="B1279" t="str">
        <f t="shared" si="25"/>
        <v>yp</v>
      </c>
      <c r="C1279" s="3" t="s">
        <v>4182</v>
      </c>
      <c r="D1279" s="46" t="s">
        <v>1632</v>
      </c>
      <c r="E1279" s="46" t="s">
        <v>1632</v>
      </c>
      <c r="F1279">
        <f t="shared" si="26"/>
        <v>25</v>
      </c>
      <c r="G1279" s="2" t="str">
        <f t="shared" si="24"/>
        <v>y</v>
      </c>
      <c r="H1279" s="2">
        <v>2008</v>
      </c>
      <c r="I1279" s="2" t="s">
        <v>2089</v>
      </c>
      <c r="J1279" s="2" t="s">
        <v>2099</v>
      </c>
      <c r="K1279" s="7" t="s">
        <v>2100</v>
      </c>
      <c r="L1279" s="7"/>
      <c r="M1279" s="7" t="s">
        <v>2101</v>
      </c>
      <c r="P1279" s="2" t="s">
        <v>1127</v>
      </c>
      <c r="Q1279" s="2" t="s">
        <v>1127</v>
      </c>
    </row>
    <row r="1280" spans="1:17" x14ac:dyDescent="0.2">
      <c r="A1280" s="46" t="s">
        <v>0</v>
      </c>
      <c r="B1280" t="str">
        <f t="shared" si="25"/>
        <v>zp</v>
      </c>
      <c r="C1280" s="3" t="s">
        <v>4182</v>
      </c>
      <c r="D1280" s="46" t="s">
        <v>1632</v>
      </c>
      <c r="E1280" s="46" t="s">
        <v>1632</v>
      </c>
      <c r="F1280">
        <f t="shared" si="26"/>
        <v>26</v>
      </c>
      <c r="G1280" s="2" t="str">
        <f t="shared" si="24"/>
        <v>z</v>
      </c>
      <c r="H1280" s="2">
        <v>2009</v>
      </c>
      <c r="I1280" s="2" t="s">
        <v>2090</v>
      </c>
      <c r="J1280" s="2" t="s">
        <v>2099</v>
      </c>
      <c r="K1280" s="7" t="s">
        <v>2100</v>
      </c>
      <c r="L1280" s="7"/>
      <c r="M1280" s="7" t="s">
        <v>2101</v>
      </c>
      <c r="P1280" s="2" t="s">
        <v>1127</v>
      </c>
      <c r="Q1280" s="2" t="s">
        <v>1127</v>
      </c>
    </row>
    <row r="1281" spans="1:22" x14ac:dyDescent="0.2">
      <c r="A1281" s="46" t="s">
        <v>0</v>
      </c>
      <c r="B1281" t="str">
        <f t="shared" si="25"/>
        <v>bap</v>
      </c>
      <c r="C1281" s="3" t="s">
        <v>4182</v>
      </c>
      <c r="D1281" s="46" t="s">
        <v>1632</v>
      </c>
      <c r="E1281" s="46" t="s">
        <v>1632</v>
      </c>
      <c r="F1281">
        <f t="shared" si="26"/>
        <v>27</v>
      </c>
      <c r="G1281" s="2" t="str">
        <f t="shared" si="24"/>
        <v>ba</v>
      </c>
      <c r="H1281" s="2">
        <v>2010</v>
      </c>
      <c r="I1281" s="2" t="s">
        <v>2091</v>
      </c>
      <c r="J1281" s="2" t="s">
        <v>2099</v>
      </c>
      <c r="K1281" s="7" t="s">
        <v>2100</v>
      </c>
      <c r="L1281" s="7"/>
      <c r="M1281" s="7" t="s">
        <v>2101</v>
      </c>
      <c r="P1281" s="2" t="s">
        <v>1127</v>
      </c>
      <c r="Q1281" s="2" t="s">
        <v>1127</v>
      </c>
    </row>
    <row r="1282" spans="1:22" x14ac:dyDescent="0.2">
      <c r="A1282" s="46" t="s">
        <v>0</v>
      </c>
      <c r="B1282" t="str">
        <f t="shared" si="25"/>
        <v>bbp</v>
      </c>
      <c r="C1282" s="3" t="s">
        <v>4182</v>
      </c>
      <c r="D1282" s="46" t="s">
        <v>1632</v>
      </c>
      <c r="E1282" s="46" t="s">
        <v>1632</v>
      </c>
      <c r="F1282">
        <f t="shared" si="26"/>
        <v>28</v>
      </c>
      <c r="G1282" s="2" t="str">
        <f t="shared" si="24"/>
        <v>bb</v>
      </c>
      <c r="H1282" s="2">
        <v>2011</v>
      </c>
      <c r="I1282" s="2" t="s">
        <v>2093</v>
      </c>
      <c r="J1282" s="2" t="s">
        <v>2099</v>
      </c>
      <c r="K1282" s="7" t="s">
        <v>2100</v>
      </c>
      <c r="L1282" s="7"/>
      <c r="M1282" s="7" t="s">
        <v>2101</v>
      </c>
      <c r="P1282" s="2" t="s">
        <v>1127</v>
      </c>
      <c r="Q1282" s="2" t="s">
        <v>1127</v>
      </c>
    </row>
    <row r="1283" spans="1:22" x14ac:dyDescent="0.2">
      <c r="A1283" s="46" t="s">
        <v>0</v>
      </c>
      <c r="B1283" t="str">
        <f t="shared" si="25"/>
        <v>bcp</v>
      </c>
      <c r="C1283" s="3" t="s">
        <v>4182</v>
      </c>
      <c r="D1283" s="46" t="s">
        <v>1632</v>
      </c>
      <c r="E1283" s="46" t="s">
        <v>1632</v>
      </c>
      <c r="F1283">
        <f t="shared" si="26"/>
        <v>29</v>
      </c>
      <c r="G1283" s="2" t="str">
        <f t="shared" si="24"/>
        <v>bc</v>
      </c>
      <c r="H1283" s="2">
        <v>2012</v>
      </c>
      <c r="I1283" s="2" t="s">
        <v>2094</v>
      </c>
      <c r="J1283" s="2" t="s">
        <v>2099</v>
      </c>
      <c r="K1283" s="7" t="s">
        <v>2100</v>
      </c>
      <c r="L1283" s="7"/>
      <c r="M1283" s="7" t="s">
        <v>2101</v>
      </c>
      <c r="P1283" s="2" t="s">
        <v>1127</v>
      </c>
      <c r="Q1283" s="2" t="s">
        <v>1127</v>
      </c>
    </row>
    <row r="1284" spans="1:22" x14ac:dyDescent="0.2">
      <c r="A1284" s="46" t="s">
        <v>0</v>
      </c>
      <c r="B1284" t="str">
        <f t="shared" si="25"/>
        <v>bdp</v>
      </c>
      <c r="C1284" s="3" t="s">
        <v>4182</v>
      </c>
      <c r="D1284" s="46" t="s">
        <v>1632</v>
      </c>
      <c r="E1284" s="46" t="s">
        <v>1632</v>
      </c>
      <c r="F1284">
        <f t="shared" si="26"/>
        <v>30</v>
      </c>
      <c r="G1284" s="2" t="str">
        <f t="shared" si="24"/>
        <v>bd</v>
      </c>
      <c r="H1284" s="2">
        <v>2013</v>
      </c>
      <c r="I1284" s="2" t="s">
        <v>2095</v>
      </c>
      <c r="J1284" s="2" t="s">
        <v>2099</v>
      </c>
      <c r="K1284" s="7" t="s">
        <v>2100</v>
      </c>
      <c r="L1284" s="7"/>
      <c r="M1284" s="7" t="s">
        <v>2101</v>
      </c>
      <c r="P1284" s="2" t="s">
        <v>1127</v>
      </c>
      <c r="Q1284" s="2" t="s">
        <v>1127</v>
      </c>
    </row>
    <row r="1285" spans="1:22" x14ac:dyDescent="0.2">
      <c r="A1285" s="46" t="s">
        <v>0</v>
      </c>
      <c r="B1285" t="str">
        <f t="shared" si="25"/>
        <v>bep</v>
      </c>
      <c r="C1285" s="3" t="s">
        <v>4182</v>
      </c>
      <c r="D1285" s="46" t="s">
        <v>1632</v>
      </c>
      <c r="E1285" s="46" t="s">
        <v>1632</v>
      </c>
      <c r="F1285">
        <f t="shared" si="26"/>
        <v>31</v>
      </c>
      <c r="G1285" s="2" t="str">
        <f t="shared" si="24"/>
        <v>be</v>
      </c>
      <c r="H1285" s="2">
        <v>2014</v>
      </c>
      <c r="I1285" s="2" t="s">
        <v>2092</v>
      </c>
      <c r="J1285" s="2" t="s">
        <v>2099</v>
      </c>
      <c r="K1285" s="7" t="s">
        <v>2100</v>
      </c>
      <c r="L1285" s="7"/>
      <c r="M1285" s="7" t="s">
        <v>2101</v>
      </c>
      <c r="P1285" s="2" t="s">
        <v>1127</v>
      </c>
      <c r="Q1285" s="2" t="s">
        <v>1127</v>
      </c>
    </row>
    <row r="1286" spans="1:22" x14ac:dyDescent="0.2">
      <c r="A1286" s="46" t="s">
        <v>0</v>
      </c>
      <c r="B1286" t="str">
        <f t="shared" si="25"/>
        <v>bfp</v>
      </c>
      <c r="C1286" s="3" t="s">
        <v>4182</v>
      </c>
      <c r="D1286" s="46" t="s">
        <v>1632</v>
      </c>
      <c r="E1286" s="46" t="s">
        <v>1632</v>
      </c>
      <c r="F1286">
        <f t="shared" si="26"/>
        <v>32</v>
      </c>
      <c r="G1286" s="2" t="str">
        <f t="shared" si="24"/>
        <v>bf</v>
      </c>
      <c r="H1286" s="2">
        <v>2015</v>
      </c>
      <c r="I1286" s="2" t="s">
        <v>2096</v>
      </c>
      <c r="J1286" s="2" t="s">
        <v>2099</v>
      </c>
      <c r="K1286" s="7" t="s">
        <v>2100</v>
      </c>
      <c r="L1286" s="7"/>
      <c r="M1286" s="7" t="s">
        <v>2101</v>
      </c>
      <c r="P1286" s="2" t="s">
        <v>1127</v>
      </c>
      <c r="Q1286" s="2" t="s">
        <v>1127</v>
      </c>
    </row>
    <row r="1287" spans="1:22" x14ac:dyDescent="0.2">
      <c r="A1287" s="46" t="s">
        <v>0</v>
      </c>
      <c r="B1287" t="str">
        <f t="shared" si="25"/>
        <v>bhp</v>
      </c>
      <c r="C1287" s="3" t="s">
        <v>4182</v>
      </c>
      <c r="D1287" s="46" t="s">
        <v>1632</v>
      </c>
      <c r="E1287" s="46" t="s">
        <v>1632</v>
      </c>
      <c r="F1287">
        <f t="shared" si="26"/>
        <v>34</v>
      </c>
      <c r="G1287" s="2" t="str">
        <f t="shared" si="24"/>
        <v>bh</v>
      </c>
      <c r="H1287" s="2">
        <v>2017</v>
      </c>
      <c r="I1287" s="2" t="s">
        <v>2097</v>
      </c>
      <c r="J1287" s="2" t="s">
        <v>2099</v>
      </c>
      <c r="K1287" s="7" t="s">
        <v>2100</v>
      </c>
      <c r="L1287" s="7"/>
      <c r="M1287" s="7" t="s">
        <v>2101</v>
      </c>
      <c r="P1287" s="2" t="s">
        <v>1127</v>
      </c>
      <c r="Q1287" s="2" t="s">
        <v>1127</v>
      </c>
    </row>
    <row r="1288" spans="1:22" x14ac:dyDescent="0.2">
      <c r="A1288" s="46" t="s">
        <v>0</v>
      </c>
      <c r="B1288" t="s">
        <v>67</v>
      </c>
      <c r="C1288" s="3" t="s">
        <v>4182</v>
      </c>
      <c r="D1288" s="46" t="s">
        <v>1633</v>
      </c>
      <c r="E1288" s="46" t="s">
        <v>1633</v>
      </c>
      <c r="F1288">
        <f t="shared" ref="F1288:F1320" si="27">H1288-1983</f>
        <v>2</v>
      </c>
      <c r="G1288" s="2" t="str">
        <f t="shared" si="24"/>
        <v>b</v>
      </c>
      <c r="H1288">
        <v>1985</v>
      </c>
      <c r="I1288" t="s">
        <v>2102</v>
      </c>
      <c r="J1288" s="2" t="s">
        <v>2168</v>
      </c>
      <c r="K1288" s="7" t="s">
        <v>2169</v>
      </c>
      <c r="M1288" s="7" t="s">
        <v>2170</v>
      </c>
      <c r="P1288" s="2" t="s">
        <v>1127</v>
      </c>
      <c r="Q1288" s="31" t="s">
        <v>3462</v>
      </c>
    </row>
    <row r="1289" spans="1:22" x14ac:dyDescent="0.2">
      <c r="A1289" s="46" t="s">
        <v>0</v>
      </c>
      <c r="B1289" t="s">
        <v>2103</v>
      </c>
      <c r="C1289" s="3" t="s">
        <v>4182</v>
      </c>
      <c r="D1289" s="46" t="s">
        <v>1633</v>
      </c>
      <c r="E1289" s="46" t="s">
        <v>1633</v>
      </c>
      <c r="F1289">
        <f t="shared" si="27"/>
        <v>3</v>
      </c>
      <c r="G1289" s="2" t="str">
        <f t="shared" si="24"/>
        <v>c</v>
      </c>
      <c r="H1289">
        <v>1986</v>
      </c>
      <c r="I1289" t="s">
        <v>2104</v>
      </c>
      <c r="J1289" s="2" t="s">
        <v>2168</v>
      </c>
      <c r="K1289" s="7" t="s">
        <v>2169</v>
      </c>
      <c r="M1289" s="7" t="s">
        <v>2170</v>
      </c>
      <c r="P1289" s="2" t="s">
        <v>1127</v>
      </c>
      <c r="Q1289" s="31" t="s">
        <v>3462</v>
      </c>
    </row>
    <row r="1290" spans="1:22" x14ac:dyDescent="0.2">
      <c r="A1290" s="46" t="s">
        <v>0</v>
      </c>
      <c r="B1290" t="s">
        <v>2105</v>
      </c>
      <c r="C1290" s="3" t="s">
        <v>4182</v>
      </c>
      <c r="D1290" s="46" t="s">
        <v>1633</v>
      </c>
      <c r="E1290" s="46" t="s">
        <v>1633</v>
      </c>
      <c r="F1290">
        <f t="shared" si="27"/>
        <v>4</v>
      </c>
      <c r="G1290" s="2" t="str">
        <f t="shared" si="24"/>
        <v>d</v>
      </c>
      <c r="H1290">
        <v>1987</v>
      </c>
      <c r="I1290" t="s">
        <v>2106</v>
      </c>
      <c r="J1290" s="2" t="s">
        <v>2168</v>
      </c>
      <c r="K1290" s="7" t="s">
        <v>2169</v>
      </c>
      <c r="M1290" s="7" t="s">
        <v>2170</v>
      </c>
      <c r="P1290" s="2" t="s">
        <v>1127</v>
      </c>
      <c r="Q1290" s="31" t="s">
        <v>3462</v>
      </c>
    </row>
    <row r="1291" spans="1:22" x14ac:dyDescent="0.2">
      <c r="A1291" s="46" t="s">
        <v>0</v>
      </c>
      <c r="B1291" t="s">
        <v>2107</v>
      </c>
      <c r="C1291" s="3" t="s">
        <v>4182</v>
      </c>
      <c r="D1291" s="46" t="s">
        <v>1633</v>
      </c>
      <c r="E1291" s="46" t="s">
        <v>1633</v>
      </c>
      <c r="F1291">
        <f t="shared" si="27"/>
        <v>5</v>
      </c>
      <c r="G1291" s="2" t="str">
        <f t="shared" si="24"/>
        <v>e</v>
      </c>
      <c r="H1291">
        <v>1988</v>
      </c>
      <c r="I1291" t="s">
        <v>2108</v>
      </c>
      <c r="J1291" s="2" t="s">
        <v>2168</v>
      </c>
      <c r="K1291" s="7" t="s">
        <v>2169</v>
      </c>
      <c r="M1291" s="7" t="s">
        <v>2170</v>
      </c>
      <c r="P1291" s="2" t="s">
        <v>1127</v>
      </c>
      <c r="Q1291" s="31" t="s">
        <v>3462</v>
      </c>
    </row>
    <row r="1292" spans="1:22" x14ac:dyDescent="0.2">
      <c r="A1292" s="46" t="s">
        <v>0</v>
      </c>
      <c r="B1292" t="s">
        <v>2109</v>
      </c>
      <c r="C1292" s="3" t="s">
        <v>4182</v>
      </c>
      <c r="D1292" s="46" t="s">
        <v>1633</v>
      </c>
      <c r="E1292" s="46" t="s">
        <v>1633</v>
      </c>
      <c r="F1292">
        <f t="shared" si="27"/>
        <v>6</v>
      </c>
      <c r="G1292" s="2" t="str">
        <f t="shared" si="24"/>
        <v>f</v>
      </c>
      <c r="H1292">
        <v>1989</v>
      </c>
      <c r="I1292" t="s">
        <v>2110</v>
      </c>
      <c r="J1292" s="2" t="s">
        <v>2168</v>
      </c>
      <c r="K1292" s="7" t="s">
        <v>2169</v>
      </c>
      <c r="M1292" s="7" t="s">
        <v>2170</v>
      </c>
      <c r="P1292" s="2" t="s">
        <v>1127</v>
      </c>
      <c r="Q1292" s="31" t="s">
        <v>3462</v>
      </c>
    </row>
    <row r="1293" spans="1:22" x14ac:dyDescent="0.2">
      <c r="A1293" s="46" t="s">
        <v>0</v>
      </c>
      <c r="B1293" t="s">
        <v>2111</v>
      </c>
      <c r="C1293" s="3" t="s">
        <v>4182</v>
      </c>
      <c r="D1293" s="46" t="s">
        <v>1633</v>
      </c>
      <c r="E1293" s="46" t="s">
        <v>1633</v>
      </c>
      <c r="F1293">
        <f t="shared" si="27"/>
        <v>7</v>
      </c>
      <c r="G1293" s="2" t="str">
        <f t="shared" si="24"/>
        <v>g</v>
      </c>
      <c r="H1293">
        <v>1990</v>
      </c>
      <c r="I1293" t="s">
        <v>2112</v>
      </c>
      <c r="J1293" s="2" t="s">
        <v>2168</v>
      </c>
      <c r="K1293" s="7" t="s">
        <v>2169</v>
      </c>
      <c r="M1293" s="7" t="s">
        <v>2170</v>
      </c>
      <c r="P1293" s="2" t="s">
        <v>1127</v>
      </c>
      <c r="Q1293" s="31" t="s">
        <v>3462</v>
      </c>
    </row>
    <row r="1294" spans="1:22" x14ac:dyDescent="0.2">
      <c r="A1294" s="46" t="s">
        <v>0</v>
      </c>
      <c r="B1294" t="s">
        <v>2113</v>
      </c>
      <c r="C1294" s="3" t="s">
        <v>4182</v>
      </c>
      <c r="D1294" s="46" t="s">
        <v>1633</v>
      </c>
      <c r="E1294" s="46" t="s">
        <v>1633</v>
      </c>
      <c r="F1294">
        <f t="shared" si="27"/>
        <v>8</v>
      </c>
      <c r="G1294" s="2" t="str">
        <f t="shared" si="24"/>
        <v>h</v>
      </c>
      <c r="H1294">
        <v>1991</v>
      </c>
      <c r="I1294" t="s">
        <v>2114</v>
      </c>
      <c r="J1294" s="2" t="s">
        <v>2168</v>
      </c>
      <c r="K1294" s="7" t="s">
        <v>2169</v>
      </c>
      <c r="M1294" s="7" t="s">
        <v>2170</v>
      </c>
      <c r="P1294" s="2" t="s">
        <v>1127</v>
      </c>
      <c r="Q1294" s="31" t="s">
        <v>3462</v>
      </c>
    </row>
    <row r="1295" spans="1:22" x14ac:dyDescent="0.2">
      <c r="A1295" s="46" t="s">
        <v>0</v>
      </c>
      <c r="B1295" t="s">
        <v>2115</v>
      </c>
      <c r="C1295" s="3" t="s">
        <v>4182</v>
      </c>
      <c r="D1295" s="46" t="s">
        <v>1633</v>
      </c>
      <c r="E1295" s="46" t="s">
        <v>1633</v>
      </c>
      <c r="F1295">
        <f t="shared" si="27"/>
        <v>9</v>
      </c>
      <c r="G1295" s="2" t="str">
        <f t="shared" si="24"/>
        <v>i</v>
      </c>
      <c r="H1295">
        <v>1992</v>
      </c>
      <c r="I1295" t="s">
        <v>2116</v>
      </c>
      <c r="J1295" s="2" t="s">
        <v>2168</v>
      </c>
      <c r="K1295" s="7" t="s">
        <v>2169</v>
      </c>
      <c r="M1295" s="7" t="s">
        <v>2170</v>
      </c>
      <c r="P1295" s="2" t="s">
        <v>1127</v>
      </c>
      <c r="Q1295" s="31" t="s">
        <v>3462</v>
      </c>
      <c r="V1295" t="s">
        <v>2167</v>
      </c>
    </row>
    <row r="1296" spans="1:22" x14ac:dyDescent="0.2">
      <c r="A1296" s="46" t="s">
        <v>0</v>
      </c>
      <c r="B1296" t="s">
        <v>2117</v>
      </c>
      <c r="C1296" s="3" t="s">
        <v>4182</v>
      </c>
      <c r="D1296" s="46" t="s">
        <v>1633</v>
      </c>
      <c r="E1296" s="46" t="s">
        <v>1633</v>
      </c>
      <c r="F1296">
        <f t="shared" si="27"/>
        <v>10</v>
      </c>
      <c r="G1296" s="2" t="str">
        <f t="shared" si="24"/>
        <v>j</v>
      </c>
      <c r="H1296">
        <v>1993</v>
      </c>
      <c r="I1296" t="s">
        <v>2118</v>
      </c>
      <c r="J1296" s="2" t="s">
        <v>2168</v>
      </c>
      <c r="K1296" s="7" t="s">
        <v>2169</v>
      </c>
      <c r="M1296" s="7" t="s">
        <v>2170</v>
      </c>
      <c r="P1296" s="2" t="s">
        <v>1127</v>
      </c>
      <c r="Q1296" s="31" t="s">
        <v>3462</v>
      </c>
      <c r="V1296" t="s">
        <v>2167</v>
      </c>
    </row>
    <row r="1297" spans="1:22" x14ac:dyDescent="0.2">
      <c r="A1297" s="46" t="s">
        <v>0</v>
      </c>
      <c r="B1297" t="s">
        <v>2119</v>
      </c>
      <c r="C1297" s="3" t="s">
        <v>4182</v>
      </c>
      <c r="D1297" s="46" t="s">
        <v>1633</v>
      </c>
      <c r="E1297" s="46" t="s">
        <v>1633</v>
      </c>
      <c r="F1297">
        <f t="shared" si="27"/>
        <v>11</v>
      </c>
      <c r="G1297" s="2" t="str">
        <f t="shared" si="24"/>
        <v>k</v>
      </c>
      <c r="H1297">
        <v>1994</v>
      </c>
      <c r="I1297" t="s">
        <v>2120</v>
      </c>
      <c r="J1297" s="2" t="s">
        <v>2168</v>
      </c>
      <c r="K1297" s="7" t="s">
        <v>2169</v>
      </c>
      <c r="M1297" s="7" t="s">
        <v>2170</v>
      </c>
      <c r="P1297" s="2" t="s">
        <v>1127</v>
      </c>
      <c r="Q1297" s="31" t="s">
        <v>3462</v>
      </c>
      <c r="V1297" t="s">
        <v>2167</v>
      </c>
    </row>
    <row r="1298" spans="1:22" x14ac:dyDescent="0.2">
      <c r="A1298" s="46" t="s">
        <v>0</v>
      </c>
      <c r="B1298" t="s">
        <v>2121</v>
      </c>
      <c r="C1298" s="3" t="s">
        <v>4182</v>
      </c>
      <c r="D1298" s="46" t="s">
        <v>1633</v>
      </c>
      <c r="E1298" s="46" t="s">
        <v>1633</v>
      </c>
      <c r="F1298">
        <f t="shared" si="27"/>
        <v>12</v>
      </c>
      <c r="G1298" s="2" t="str">
        <f t="shared" si="24"/>
        <v>l</v>
      </c>
      <c r="H1298">
        <v>1995</v>
      </c>
      <c r="I1298" t="s">
        <v>2122</v>
      </c>
      <c r="J1298" s="2" t="s">
        <v>2168</v>
      </c>
      <c r="K1298" s="7" t="s">
        <v>2169</v>
      </c>
      <c r="M1298" s="7" t="s">
        <v>2170</v>
      </c>
      <c r="P1298" s="2" t="s">
        <v>1127</v>
      </c>
      <c r="Q1298" s="31" t="s">
        <v>3462</v>
      </c>
      <c r="V1298" t="s">
        <v>2167</v>
      </c>
    </row>
    <row r="1299" spans="1:22" x14ac:dyDescent="0.2">
      <c r="A1299" s="46" t="s">
        <v>0</v>
      </c>
      <c r="B1299" t="s">
        <v>2123</v>
      </c>
      <c r="C1299" s="3" t="s">
        <v>4182</v>
      </c>
      <c r="D1299" s="46" t="s">
        <v>1633</v>
      </c>
      <c r="E1299" s="46" t="s">
        <v>1633</v>
      </c>
      <c r="F1299">
        <f t="shared" si="27"/>
        <v>13</v>
      </c>
      <c r="G1299" s="2" t="str">
        <f t="shared" si="24"/>
        <v>m</v>
      </c>
      <c r="H1299">
        <v>1996</v>
      </c>
      <c r="I1299" t="s">
        <v>2124</v>
      </c>
      <c r="J1299" s="2" t="s">
        <v>2168</v>
      </c>
      <c r="K1299" s="7" t="s">
        <v>2169</v>
      </c>
      <c r="M1299" s="7" t="s">
        <v>2170</v>
      </c>
      <c r="P1299" s="2" t="s">
        <v>1127</v>
      </c>
      <c r="Q1299" s="31" t="s">
        <v>3462</v>
      </c>
      <c r="V1299" t="s">
        <v>2167</v>
      </c>
    </row>
    <row r="1300" spans="1:22" x14ac:dyDescent="0.2">
      <c r="A1300" s="46" t="s">
        <v>0</v>
      </c>
      <c r="B1300" t="s">
        <v>2125</v>
      </c>
      <c r="C1300" s="3" t="s">
        <v>4182</v>
      </c>
      <c r="D1300" s="46" t="s">
        <v>1633</v>
      </c>
      <c r="E1300" s="46" t="s">
        <v>1633</v>
      </c>
      <c r="F1300">
        <f t="shared" si="27"/>
        <v>14</v>
      </c>
      <c r="G1300" s="2" t="str">
        <f t="shared" si="24"/>
        <v>n</v>
      </c>
      <c r="H1300">
        <v>1997</v>
      </c>
      <c r="I1300" t="s">
        <v>2126</v>
      </c>
      <c r="J1300" s="2" t="s">
        <v>2168</v>
      </c>
      <c r="K1300" s="7" t="s">
        <v>2169</v>
      </c>
      <c r="M1300" s="7" t="s">
        <v>2170</v>
      </c>
      <c r="P1300" s="2" t="s">
        <v>1127</v>
      </c>
      <c r="Q1300" s="31" t="s">
        <v>3462</v>
      </c>
      <c r="V1300" t="s">
        <v>2167</v>
      </c>
    </row>
    <row r="1301" spans="1:22" x14ac:dyDescent="0.2">
      <c r="A1301" s="46" t="s">
        <v>0</v>
      </c>
      <c r="B1301" t="s">
        <v>2127</v>
      </c>
      <c r="C1301" s="3" t="s">
        <v>4182</v>
      </c>
      <c r="D1301" s="46" t="s">
        <v>1633</v>
      </c>
      <c r="E1301" s="46" t="s">
        <v>1633</v>
      </c>
      <c r="F1301">
        <f t="shared" si="27"/>
        <v>16</v>
      </c>
      <c r="G1301" s="2" t="str">
        <f t="shared" si="24"/>
        <v>p</v>
      </c>
      <c r="H1301">
        <v>1999</v>
      </c>
      <c r="I1301" t="s">
        <v>2128</v>
      </c>
      <c r="J1301" s="2" t="s">
        <v>2168</v>
      </c>
      <c r="K1301" s="7" t="s">
        <v>2169</v>
      </c>
      <c r="M1301" s="7" t="s">
        <v>2170</v>
      </c>
      <c r="P1301" s="2" t="s">
        <v>1127</v>
      </c>
      <c r="Q1301" s="31" t="s">
        <v>3462</v>
      </c>
      <c r="V1301" t="s">
        <v>2167</v>
      </c>
    </row>
    <row r="1302" spans="1:22" x14ac:dyDescent="0.2">
      <c r="A1302" s="46" t="s">
        <v>0</v>
      </c>
      <c r="B1302" t="s">
        <v>2129</v>
      </c>
      <c r="C1302" s="3" t="s">
        <v>4182</v>
      </c>
      <c r="D1302" s="46" t="s">
        <v>1633</v>
      </c>
      <c r="E1302" s="46" t="s">
        <v>1633</v>
      </c>
      <c r="F1302">
        <f t="shared" si="27"/>
        <v>17</v>
      </c>
      <c r="G1302" s="2" t="str">
        <f t="shared" si="24"/>
        <v>q</v>
      </c>
      <c r="H1302">
        <v>2000</v>
      </c>
      <c r="I1302" t="s">
        <v>2130</v>
      </c>
      <c r="J1302" s="2" t="s">
        <v>2168</v>
      </c>
      <c r="K1302" s="7" t="s">
        <v>2169</v>
      </c>
      <c r="M1302" s="7" t="s">
        <v>2170</v>
      </c>
      <c r="P1302" s="2" t="s">
        <v>1127</v>
      </c>
      <c r="Q1302" s="31" t="s">
        <v>3462</v>
      </c>
      <c r="V1302" t="s">
        <v>2167</v>
      </c>
    </row>
    <row r="1303" spans="1:22" x14ac:dyDescent="0.2">
      <c r="A1303" s="46" t="s">
        <v>0</v>
      </c>
      <c r="B1303" t="s">
        <v>2131</v>
      </c>
      <c r="C1303" s="3" t="s">
        <v>4182</v>
      </c>
      <c r="D1303" s="46" t="s">
        <v>1633</v>
      </c>
      <c r="E1303" s="46" t="s">
        <v>1633</v>
      </c>
      <c r="F1303">
        <f t="shared" si="27"/>
        <v>18</v>
      </c>
      <c r="G1303" s="2" t="str">
        <f t="shared" si="24"/>
        <v>r</v>
      </c>
      <c r="H1303">
        <v>2001</v>
      </c>
      <c r="I1303" t="s">
        <v>2132</v>
      </c>
      <c r="J1303" s="2" t="s">
        <v>2168</v>
      </c>
      <c r="K1303" s="7" t="s">
        <v>2169</v>
      </c>
      <c r="M1303" s="7" t="s">
        <v>2170</v>
      </c>
      <c r="P1303" s="2" t="s">
        <v>1127</v>
      </c>
      <c r="Q1303" s="31" t="s">
        <v>3462</v>
      </c>
      <c r="V1303" t="s">
        <v>2167</v>
      </c>
    </row>
    <row r="1304" spans="1:22" x14ac:dyDescent="0.2">
      <c r="A1304" s="46" t="s">
        <v>0</v>
      </c>
      <c r="B1304" t="s">
        <v>2133</v>
      </c>
      <c r="C1304" s="3" t="s">
        <v>4182</v>
      </c>
      <c r="D1304" s="46" t="s">
        <v>1633</v>
      </c>
      <c r="E1304" s="46" t="s">
        <v>1633</v>
      </c>
      <c r="F1304">
        <f t="shared" si="27"/>
        <v>19</v>
      </c>
      <c r="G1304" s="2" t="str">
        <f t="shared" si="24"/>
        <v>s</v>
      </c>
      <c r="H1304">
        <v>2002</v>
      </c>
      <c r="I1304" t="s">
        <v>2134</v>
      </c>
      <c r="J1304" s="2" t="s">
        <v>2168</v>
      </c>
      <c r="K1304" s="7" t="s">
        <v>2169</v>
      </c>
      <c r="M1304" s="7" t="s">
        <v>2170</v>
      </c>
      <c r="P1304" s="2" t="s">
        <v>1127</v>
      </c>
      <c r="Q1304" s="31" t="s">
        <v>3462</v>
      </c>
      <c r="V1304" t="s">
        <v>2167</v>
      </c>
    </row>
    <row r="1305" spans="1:22" x14ac:dyDescent="0.2">
      <c r="A1305" s="46" t="s">
        <v>0</v>
      </c>
      <c r="B1305" t="s">
        <v>2135</v>
      </c>
      <c r="C1305" s="3" t="s">
        <v>4182</v>
      </c>
      <c r="D1305" s="46" t="s">
        <v>1633</v>
      </c>
      <c r="E1305" s="46" t="s">
        <v>1633</v>
      </c>
      <c r="F1305">
        <f t="shared" si="27"/>
        <v>20</v>
      </c>
      <c r="G1305" s="2" t="str">
        <f t="shared" si="24"/>
        <v>t</v>
      </c>
      <c r="H1305">
        <v>2003</v>
      </c>
      <c r="I1305" t="s">
        <v>2136</v>
      </c>
      <c r="J1305" s="2" t="s">
        <v>2168</v>
      </c>
      <c r="K1305" s="7" t="s">
        <v>2169</v>
      </c>
      <c r="M1305" s="7" t="s">
        <v>2170</v>
      </c>
      <c r="P1305" s="2" t="s">
        <v>1127</v>
      </c>
      <c r="Q1305" s="31" t="s">
        <v>3462</v>
      </c>
      <c r="V1305" t="s">
        <v>2167</v>
      </c>
    </row>
    <row r="1306" spans="1:22" x14ac:dyDescent="0.2">
      <c r="A1306" s="46" t="s">
        <v>0</v>
      </c>
      <c r="B1306" t="s">
        <v>2137</v>
      </c>
      <c r="C1306" s="3" t="s">
        <v>4182</v>
      </c>
      <c r="D1306" s="46" t="s">
        <v>1633</v>
      </c>
      <c r="E1306" s="46" t="s">
        <v>1633</v>
      </c>
      <c r="F1306">
        <f t="shared" si="27"/>
        <v>21</v>
      </c>
      <c r="G1306" s="2" t="str">
        <f t="shared" si="24"/>
        <v>u</v>
      </c>
      <c r="H1306">
        <v>2004</v>
      </c>
      <c r="I1306" t="s">
        <v>2138</v>
      </c>
      <c r="J1306" s="2" t="s">
        <v>2168</v>
      </c>
      <c r="K1306" s="7" t="s">
        <v>2169</v>
      </c>
      <c r="M1306" s="7" t="s">
        <v>2170</v>
      </c>
      <c r="P1306" s="2" t="s">
        <v>1127</v>
      </c>
      <c r="Q1306" s="31" t="s">
        <v>3462</v>
      </c>
      <c r="V1306" t="s">
        <v>2167</v>
      </c>
    </row>
    <row r="1307" spans="1:22" x14ac:dyDescent="0.2">
      <c r="A1307" s="46" t="s">
        <v>0</v>
      </c>
      <c r="B1307" t="s">
        <v>2139</v>
      </c>
      <c r="C1307" s="3" t="s">
        <v>4182</v>
      </c>
      <c r="D1307" s="46" t="s">
        <v>1633</v>
      </c>
      <c r="E1307" s="46" t="s">
        <v>1633</v>
      </c>
      <c r="F1307">
        <f t="shared" si="27"/>
        <v>22</v>
      </c>
      <c r="G1307" s="2" t="str">
        <f t="shared" si="24"/>
        <v>v</v>
      </c>
      <c r="H1307">
        <v>2005</v>
      </c>
      <c r="I1307" t="s">
        <v>2140</v>
      </c>
      <c r="J1307" s="2" t="s">
        <v>2168</v>
      </c>
      <c r="K1307" s="7" t="s">
        <v>2169</v>
      </c>
      <c r="M1307" s="7" t="s">
        <v>2170</v>
      </c>
      <c r="P1307" s="2" t="s">
        <v>1127</v>
      </c>
      <c r="Q1307" s="31" t="s">
        <v>3462</v>
      </c>
      <c r="V1307" t="s">
        <v>2167</v>
      </c>
    </row>
    <row r="1308" spans="1:22" x14ac:dyDescent="0.2">
      <c r="A1308" s="46" t="s">
        <v>0</v>
      </c>
      <c r="B1308" t="s">
        <v>2141</v>
      </c>
      <c r="C1308" s="3" t="s">
        <v>4182</v>
      </c>
      <c r="D1308" s="46" t="s">
        <v>1633</v>
      </c>
      <c r="E1308" s="46" t="s">
        <v>1633</v>
      </c>
      <c r="F1308">
        <f t="shared" si="27"/>
        <v>23</v>
      </c>
      <c r="G1308" s="2" t="str">
        <f t="shared" si="24"/>
        <v>w</v>
      </c>
      <c r="H1308">
        <v>2006</v>
      </c>
      <c r="I1308" t="s">
        <v>2142</v>
      </c>
      <c r="J1308" s="2" t="s">
        <v>2168</v>
      </c>
      <c r="K1308" s="7" t="s">
        <v>2169</v>
      </c>
      <c r="M1308" s="7" t="s">
        <v>2170</v>
      </c>
      <c r="P1308" s="2" t="s">
        <v>1127</v>
      </c>
      <c r="Q1308" s="31" t="s">
        <v>3462</v>
      </c>
      <c r="V1308" t="s">
        <v>2167</v>
      </c>
    </row>
    <row r="1309" spans="1:22" x14ac:dyDescent="0.2">
      <c r="A1309" s="46" t="s">
        <v>0</v>
      </c>
      <c r="B1309" t="s">
        <v>2143</v>
      </c>
      <c r="C1309" s="3" t="s">
        <v>4182</v>
      </c>
      <c r="D1309" s="46" t="s">
        <v>1633</v>
      </c>
      <c r="E1309" s="46" t="s">
        <v>1633</v>
      </c>
      <c r="F1309">
        <f t="shared" si="27"/>
        <v>24</v>
      </c>
      <c r="G1309" s="2" t="str">
        <f t="shared" si="24"/>
        <v>x</v>
      </c>
      <c r="H1309">
        <v>2007</v>
      </c>
      <c r="I1309" t="s">
        <v>2144</v>
      </c>
      <c r="J1309" s="2" t="s">
        <v>2168</v>
      </c>
      <c r="K1309" s="7" t="s">
        <v>2169</v>
      </c>
      <c r="M1309" s="7" t="s">
        <v>2170</v>
      </c>
      <c r="P1309" s="2" t="s">
        <v>1127</v>
      </c>
      <c r="Q1309" s="31" t="s">
        <v>3462</v>
      </c>
      <c r="V1309" t="s">
        <v>2167</v>
      </c>
    </row>
    <row r="1310" spans="1:22" x14ac:dyDescent="0.2">
      <c r="A1310" s="46" t="s">
        <v>0</v>
      </c>
      <c r="B1310" t="s">
        <v>2145</v>
      </c>
      <c r="C1310" s="3" t="s">
        <v>4182</v>
      </c>
      <c r="D1310" s="46" t="s">
        <v>1633</v>
      </c>
      <c r="E1310" s="46" t="s">
        <v>1633</v>
      </c>
      <c r="F1310">
        <f t="shared" si="27"/>
        <v>25</v>
      </c>
      <c r="G1310" s="2" t="str">
        <f t="shared" si="24"/>
        <v>y</v>
      </c>
      <c r="H1310">
        <v>2008</v>
      </c>
      <c r="I1310" t="s">
        <v>2146</v>
      </c>
      <c r="J1310" s="2" t="s">
        <v>2168</v>
      </c>
      <c r="K1310" s="7" t="s">
        <v>2169</v>
      </c>
      <c r="M1310" s="7" t="s">
        <v>2170</v>
      </c>
      <c r="P1310" s="2" t="s">
        <v>1127</v>
      </c>
      <c r="Q1310" s="31" t="s">
        <v>3462</v>
      </c>
      <c r="V1310" t="s">
        <v>2167</v>
      </c>
    </row>
    <row r="1311" spans="1:22" x14ac:dyDescent="0.2">
      <c r="A1311" s="46" t="s">
        <v>0</v>
      </c>
      <c r="B1311" t="s">
        <v>2147</v>
      </c>
      <c r="C1311" s="3" t="s">
        <v>4182</v>
      </c>
      <c r="D1311" s="46" t="s">
        <v>1633</v>
      </c>
      <c r="E1311" s="46" t="s">
        <v>1633</v>
      </c>
      <c r="F1311">
        <f t="shared" si="27"/>
        <v>26</v>
      </c>
      <c r="G1311" s="2" t="str">
        <f t="shared" si="24"/>
        <v>z</v>
      </c>
      <c r="H1311">
        <v>2009</v>
      </c>
      <c r="I1311" t="s">
        <v>2148</v>
      </c>
      <c r="J1311" s="2" t="s">
        <v>2168</v>
      </c>
      <c r="K1311" s="7" t="s">
        <v>2169</v>
      </c>
      <c r="M1311" s="7" t="s">
        <v>2170</v>
      </c>
      <c r="P1311" s="2" t="s">
        <v>1127</v>
      </c>
      <c r="Q1311" s="31" t="s">
        <v>3462</v>
      </c>
      <c r="V1311" t="s">
        <v>2167</v>
      </c>
    </row>
    <row r="1312" spans="1:22" x14ac:dyDescent="0.2">
      <c r="A1312" s="46" t="s">
        <v>0</v>
      </c>
      <c r="B1312" t="s">
        <v>2149</v>
      </c>
      <c r="C1312" s="3" t="s">
        <v>4182</v>
      </c>
      <c r="D1312" s="46" t="s">
        <v>1633</v>
      </c>
      <c r="E1312" s="46" t="s">
        <v>1633</v>
      </c>
      <c r="F1312">
        <f t="shared" si="27"/>
        <v>27</v>
      </c>
      <c r="G1312" s="2" t="str">
        <f t="shared" si="24"/>
        <v>ba</v>
      </c>
      <c r="H1312">
        <v>2010</v>
      </c>
      <c r="I1312" t="s">
        <v>2150</v>
      </c>
      <c r="J1312" s="2" t="s">
        <v>2168</v>
      </c>
      <c r="K1312" s="7" t="s">
        <v>2169</v>
      </c>
      <c r="M1312" s="7" t="s">
        <v>2170</v>
      </c>
      <c r="P1312" s="2" t="s">
        <v>1127</v>
      </c>
      <c r="Q1312" s="31" t="s">
        <v>3462</v>
      </c>
      <c r="V1312" t="s">
        <v>2167</v>
      </c>
    </row>
    <row r="1313" spans="1:23" x14ac:dyDescent="0.2">
      <c r="A1313" s="46" t="s">
        <v>0</v>
      </c>
      <c r="B1313" t="s">
        <v>2151</v>
      </c>
      <c r="C1313" s="3" t="s">
        <v>4182</v>
      </c>
      <c r="D1313" s="46" t="s">
        <v>1633</v>
      </c>
      <c r="E1313" s="46" t="s">
        <v>1633</v>
      </c>
      <c r="F1313">
        <f t="shared" si="27"/>
        <v>28</v>
      </c>
      <c r="G1313" s="2" t="str">
        <f t="shared" si="24"/>
        <v>bb</v>
      </c>
      <c r="H1313">
        <v>2011</v>
      </c>
      <c r="I1313" t="s">
        <v>2152</v>
      </c>
      <c r="J1313" s="2" t="s">
        <v>2168</v>
      </c>
      <c r="K1313" s="7" t="s">
        <v>2169</v>
      </c>
      <c r="M1313" s="7" t="s">
        <v>2170</v>
      </c>
      <c r="P1313" s="2" t="s">
        <v>1127</v>
      </c>
      <c r="Q1313" s="31" t="s">
        <v>3462</v>
      </c>
      <c r="V1313" t="s">
        <v>2167</v>
      </c>
    </row>
    <row r="1314" spans="1:23" x14ac:dyDescent="0.2">
      <c r="A1314" s="46" t="s">
        <v>0</v>
      </c>
      <c r="B1314" t="s">
        <v>2153</v>
      </c>
      <c r="C1314" s="3" t="s">
        <v>4182</v>
      </c>
      <c r="D1314" s="46" t="s">
        <v>1633</v>
      </c>
      <c r="E1314" s="46" t="s">
        <v>1633</v>
      </c>
      <c r="F1314">
        <f t="shared" si="27"/>
        <v>29</v>
      </c>
      <c r="G1314" s="2" t="str">
        <f t="shared" si="24"/>
        <v>bc</v>
      </c>
      <c r="H1314">
        <v>2012</v>
      </c>
      <c r="I1314" t="s">
        <v>2154</v>
      </c>
      <c r="J1314" s="2" t="s">
        <v>2168</v>
      </c>
      <c r="K1314" s="7" t="s">
        <v>2169</v>
      </c>
      <c r="M1314" s="7" t="s">
        <v>2170</v>
      </c>
      <c r="P1314" s="2" t="s">
        <v>1127</v>
      </c>
      <c r="Q1314" s="31" t="s">
        <v>3462</v>
      </c>
      <c r="V1314" t="s">
        <v>2167</v>
      </c>
    </row>
    <row r="1315" spans="1:23" x14ac:dyDescent="0.2">
      <c r="A1315" s="46" t="s">
        <v>0</v>
      </c>
      <c r="B1315" t="s">
        <v>2155</v>
      </c>
      <c r="C1315" s="3" t="s">
        <v>4182</v>
      </c>
      <c r="D1315" s="46" t="s">
        <v>1633</v>
      </c>
      <c r="E1315" s="46" t="s">
        <v>1633</v>
      </c>
      <c r="F1315">
        <f t="shared" si="27"/>
        <v>30</v>
      </c>
      <c r="G1315" s="2" t="str">
        <f t="shared" si="24"/>
        <v>bd</v>
      </c>
      <c r="H1315">
        <v>2013</v>
      </c>
      <c r="I1315" t="s">
        <v>2156</v>
      </c>
      <c r="J1315" s="2" t="s">
        <v>2168</v>
      </c>
      <c r="K1315" s="7" t="s">
        <v>2169</v>
      </c>
      <c r="M1315" s="7" t="s">
        <v>2170</v>
      </c>
      <c r="P1315" s="2" t="s">
        <v>1127</v>
      </c>
      <c r="Q1315" s="31" t="s">
        <v>3462</v>
      </c>
      <c r="V1315" t="s">
        <v>2167</v>
      </c>
    </row>
    <row r="1316" spans="1:23" x14ac:dyDescent="0.2">
      <c r="A1316" s="46" t="s">
        <v>0</v>
      </c>
      <c r="B1316" t="s">
        <v>2157</v>
      </c>
      <c r="C1316" s="3" t="s">
        <v>4182</v>
      </c>
      <c r="D1316" s="46" t="s">
        <v>1633</v>
      </c>
      <c r="E1316" s="46" t="s">
        <v>1633</v>
      </c>
      <c r="F1316">
        <f t="shared" si="27"/>
        <v>31</v>
      </c>
      <c r="G1316" s="2" t="str">
        <f t="shared" si="24"/>
        <v>be</v>
      </c>
      <c r="H1316">
        <v>2014</v>
      </c>
      <c r="I1316" t="s">
        <v>2158</v>
      </c>
      <c r="J1316" s="2" t="s">
        <v>2168</v>
      </c>
      <c r="K1316" s="7" t="s">
        <v>2169</v>
      </c>
      <c r="M1316" s="7" t="s">
        <v>2170</v>
      </c>
      <c r="P1316" s="2" t="s">
        <v>1127</v>
      </c>
      <c r="Q1316" s="31" t="s">
        <v>3462</v>
      </c>
      <c r="V1316" t="s">
        <v>2167</v>
      </c>
    </row>
    <row r="1317" spans="1:23" x14ac:dyDescent="0.2">
      <c r="A1317" s="46" t="s">
        <v>0</v>
      </c>
      <c r="B1317" t="s">
        <v>2159</v>
      </c>
      <c r="C1317" s="3" t="s">
        <v>4182</v>
      </c>
      <c r="D1317" s="46" t="s">
        <v>1633</v>
      </c>
      <c r="E1317" s="46" t="s">
        <v>1633</v>
      </c>
      <c r="F1317">
        <f t="shared" si="27"/>
        <v>32</v>
      </c>
      <c r="G1317" s="2" t="str">
        <f t="shared" si="24"/>
        <v>bf</v>
      </c>
      <c r="H1317">
        <v>2015</v>
      </c>
      <c r="I1317" t="s">
        <v>2160</v>
      </c>
      <c r="J1317" s="2" t="s">
        <v>2168</v>
      </c>
      <c r="K1317" s="7" t="s">
        <v>2169</v>
      </c>
      <c r="M1317" s="7" t="s">
        <v>2170</v>
      </c>
      <c r="P1317" s="2" t="s">
        <v>1127</v>
      </c>
      <c r="Q1317" s="31" t="s">
        <v>3462</v>
      </c>
      <c r="V1317" t="s">
        <v>2167</v>
      </c>
    </row>
    <row r="1318" spans="1:23" x14ac:dyDescent="0.2">
      <c r="A1318" s="46" t="s">
        <v>0</v>
      </c>
      <c r="B1318" t="s">
        <v>2161</v>
      </c>
      <c r="C1318" s="3" t="s">
        <v>4182</v>
      </c>
      <c r="D1318" s="46" t="s">
        <v>1633</v>
      </c>
      <c r="E1318" s="46" t="s">
        <v>1633</v>
      </c>
      <c r="F1318">
        <f t="shared" si="27"/>
        <v>33</v>
      </c>
      <c r="G1318" s="2" t="str">
        <f t="shared" si="24"/>
        <v>bg</v>
      </c>
      <c r="H1318">
        <v>2016</v>
      </c>
      <c r="I1318" t="s">
        <v>2162</v>
      </c>
      <c r="J1318" s="2" t="s">
        <v>2168</v>
      </c>
      <c r="K1318" s="7" t="s">
        <v>2169</v>
      </c>
      <c r="M1318" s="7" t="s">
        <v>2170</v>
      </c>
      <c r="P1318" s="2" t="s">
        <v>1127</v>
      </c>
      <c r="Q1318" s="31" t="s">
        <v>3462</v>
      </c>
      <c r="V1318" t="s">
        <v>2167</v>
      </c>
    </row>
    <row r="1319" spans="1:23" x14ac:dyDescent="0.2">
      <c r="A1319" s="46" t="s">
        <v>0</v>
      </c>
      <c r="B1319" t="s">
        <v>2163</v>
      </c>
      <c r="C1319" s="3" t="s">
        <v>4182</v>
      </c>
      <c r="D1319" s="46" t="s">
        <v>1633</v>
      </c>
      <c r="E1319" s="46" t="s">
        <v>1633</v>
      </c>
      <c r="F1319">
        <f t="shared" si="27"/>
        <v>34</v>
      </c>
      <c r="G1319" s="2" t="str">
        <f t="shared" si="24"/>
        <v>bh</v>
      </c>
      <c r="H1319">
        <v>2017</v>
      </c>
      <c r="I1319" t="s">
        <v>2164</v>
      </c>
      <c r="J1319" s="2" t="s">
        <v>2168</v>
      </c>
      <c r="K1319" s="7" t="s">
        <v>2169</v>
      </c>
      <c r="M1319" s="7" t="s">
        <v>2170</v>
      </c>
      <c r="P1319" s="2" t="s">
        <v>1127</v>
      </c>
      <c r="Q1319" s="31" t="s">
        <v>3462</v>
      </c>
      <c r="V1319" t="s">
        <v>2167</v>
      </c>
    </row>
    <row r="1320" spans="1:23" x14ac:dyDescent="0.2">
      <c r="A1320" s="46" t="s">
        <v>0</v>
      </c>
      <c r="B1320" t="s">
        <v>2165</v>
      </c>
      <c r="C1320" s="3" t="s">
        <v>4182</v>
      </c>
      <c r="D1320" s="46" t="s">
        <v>1633</v>
      </c>
      <c r="E1320" s="46" t="s">
        <v>1633</v>
      </c>
      <c r="F1320">
        <f t="shared" si="27"/>
        <v>35</v>
      </c>
      <c r="G1320" s="2" t="str">
        <f t="shared" si="24"/>
        <v>bi</v>
      </c>
      <c r="H1320">
        <v>2018</v>
      </c>
      <c r="I1320" t="s">
        <v>2166</v>
      </c>
      <c r="J1320" s="2" t="s">
        <v>2168</v>
      </c>
      <c r="K1320" s="7" t="s">
        <v>2169</v>
      </c>
      <c r="M1320" s="7" t="s">
        <v>2170</v>
      </c>
      <c r="P1320" s="2" t="s">
        <v>1127</v>
      </c>
      <c r="Q1320" s="31" t="s">
        <v>3462</v>
      </c>
      <c r="V1320" t="s">
        <v>2167</v>
      </c>
    </row>
    <row r="1321" spans="1:23" x14ac:dyDescent="0.2">
      <c r="W1321" t="s">
        <v>2167</v>
      </c>
    </row>
    <row r="1322" spans="1:23" x14ac:dyDescent="0.2">
      <c r="W1322" t="s">
        <v>2167</v>
      </c>
    </row>
    <row r="1323" spans="1:23" x14ac:dyDescent="0.2">
      <c r="W1323" t="s">
        <v>2167</v>
      </c>
    </row>
    <row r="1324" spans="1:23" x14ac:dyDescent="0.2">
      <c r="W1324" t="s">
        <v>2167</v>
      </c>
    </row>
    <row r="1325" spans="1:23" x14ac:dyDescent="0.2">
      <c r="W1325" t="s">
        <v>2167</v>
      </c>
    </row>
    <row r="1326" spans="1:23" x14ac:dyDescent="0.2">
      <c r="W1326" t="s">
        <v>2167</v>
      </c>
    </row>
    <row r="1327" spans="1:23" x14ac:dyDescent="0.2">
      <c r="W1327" t="s">
        <v>2167</v>
      </c>
    </row>
  </sheetData>
  <sortState xmlns:xlrd2="http://schemas.microsoft.com/office/spreadsheetml/2017/richdata2" ref="A67:AK101">
    <sortCondition ref="H67:H1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D0CA-C761-E84B-B5A3-3E6C5B819042}">
  <dimension ref="A1:V936"/>
  <sheetViews>
    <sheetView workbookViewId="0">
      <pane ySplit="1" topLeftCell="A844" activePane="bottomLeft" state="frozen"/>
      <selection pane="bottomLeft" activeCell="I936" sqref="I936"/>
    </sheetView>
  </sheetViews>
  <sheetFormatPr baseColWidth="10" defaultRowHeight="16" x14ac:dyDescent="0.2"/>
  <cols>
    <col min="12" max="12" width="10.83203125" style="7"/>
  </cols>
  <sheetData>
    <row r="1" spans="1:17" ht="15.75" customHeight="1" x14ac:dyDescent="0.2">
      <c r="A1" s="2" t="s">
        <v>109</v>
      </c>
      <c r="B1" s="2" t="s">
        <v>110</v>
      </c>
      <c r="C1" s="2" t="s">
        <v>111</v>
      </c>
      <c r="D1" s="2" t="s">
        <v>112</v>
      </c>
      <c r="E1" s="2" t="s">
        <v>113</v>
      </c>
      <c r="F1" s="2" t="s">
        <v>114</v>
      </c>
      <c r="G1" s="2" t="s">
        <v>115</v>
      </c>
      <c r="H1" s="2" t="s">
        <v>116</v>
      </c>
      <c r="I1" s="2" t="s">
        <v>117</v>
      </c>
      <c r="J1" s="2" t="s">
        <v>118</v>
      </c>
      <c r="K1" s="2" t="s">
        <v>119</v>
      </c>
      <c r="L1" s="8" t="s">
        <v>120</v>
      </c>
      <c r="M1" s="2" t="s">
        <v>121</v>
      </c>
      <c r="N1" s="2" t="s">
        <v>122</v>
      </c>
      <c r="O1" s="2" t="s">
        <v>123</v>
      </c>
      <c r="P1" s="2" t="s">
        <v>4179</v>
      </c>
      <c r="Q1" s="2" t="s">
        <v>4180</v>
      </c>
    </row>
    <row r="2" spans="1:17" ht="16.5" customHeight="1" x14ac:dyDescent="0.2">
      <c r="A2" s="2" t="s">
        <v>399</v>
      </c>
      <c r="C2" s="2" t="s">
        <v>598</v>
      </c>
      <c r="D2" s="2" t="s">
        <v>716</v>
      </c>
      <c r="F2" s="2">
        <v>0</v>
      </c>
      <c r="G2" s="2">
        <v>0</v>
      </c>
      <c r="H2" s="2">
        <v>0</v>
      </c>
      <c r="I2" s="2" t="s">
        <v>717</v>
      </c>
    </row>
    <row r="3" spans="1:17" ht="16.5" customHeight="1" x14ac:dyDescent="0.2">
      <c r="A3" s="18" t="s">
        <v>399</v>
      </c>
      <c r="B3" s="18" t="s">
        <v>678</v>
      </c>
      <c r="C3" s="18" t="s">
        <v>4182</v>
      </c>
      <c r="D3" s="18" t="s">
        <v>638</v>
      </c>
      <c r="E3" s="18" t="s">
        <v>638</v>
      </c>
      <c r="F3" s="2">
        <v>6</v>
      </c>
      <c r="G3" s="2" t="s">
        <v>49</v>
      </c>
      <c r="H3" s="2">
        <v>1996</v>
      </c>
      <c r="I3" s="2" t="s">
        <v>704</v>
      </c>
      <c r="J3" s="2" t="s">
        <v>702</v>
      </c>
      <c r="K3" s="2" t="s">
        <v>703</v>
      </c>
      <c r="M3" s="2" t="s">
        <v>8</v>
      </c>
      <c r="P3" s="2" t="s">
        <v>4181</v>
      </c>
      <c r="Q3" s="2" t="s">
        <v>4181</v>
      </c>
    </row>
    <row r="4" spans="1:17" ht="16.5" customHeight="1" x14ac:dyDescent="0.2">
      <c r="A4" s="18" t="s">
        <v>399</v>
      </c>
      <c r="B4" s="18" t="s">
        <v>680</v>
      </c>
      <c r="C4" s="18" t="s">
        <v>4182</v>
      </c>
      <c r="D4" s="18" t="s">
        <v>638</v>
      </c>
      <c r="E4" s="18" t="s">
        <v>638</v>
      </c>
      <c r="F4" s="2">
        <v>7</v>
      </c>
      <c r="G4" s="2" t="s">
        <v>101</v>
      </c>
      <c r="H4" s="2">
        <v>1997</v>
      </c>
      <c r="I4" s="2" t="s">
        <v>705</v>
      </c>
      <c r="J4" s="2" t="s">
        <v>702</v>
      </c>
      <c r="K4" s="2" t="s">
        <v>703</v>
      </c>
      <c r="M4" s="2" t="s">
        <v>8</v>
      </c>
      <c r="P4" s="2" t="s">
        <v>4181</v>
      </c>
      <c r="Q4" s="2" t="s">
        <v>4181</v>
      </c>
    </row>
    <row r="5" spans="1:17" ht="16.5" customHeight="1" x14ac:dyDescent="0.2">
      <c r="A5" s="18" t="s">
        <v>399</v>
      </c>
      <c r="B5" s="18" t="s">
        <v>682</v>
      </c>
      <c r="C5" s="18" t="s">
        <v>4182</v>
      </c>
      <c r="D5" s="18" t="s">
        <v>638</v>
      </c>
      <c r="E5" s="18" t="s">
        <v>638</v>
      </c>
      <c r="F5" s="2">
        <v>8</v>
      </c>
      <c r="G5" s="2" t="s">
        <v>10</v>
      </c>
      <c r="H5" s="2">
        <v>1998</v>
      </c>
      <c r="I5" s="2" t="s">
        <v>706</v>
      </c>
      <c r="J5" s="2" t="s">
        <v>702</v>
      </c>
      <c r="K5" s="2" t="s">
        <v>703</v>
      </c>
      <c r="M5" s="2" t="s">
        <v>8</v>
      </c>
      <c r="P5" s="2" t="s">
        <v>4181</v>
      </c>
      <c r="Q5" s="2" t="s">
        <v>4181</v>
      </c>
    </row>
    <row r="6" spans="1:17" ht="16.5" customHeight="1" x14ac:dyDescent="0.2">
      <c r="A6" s="18" t="s">
        <v>399</v>
      </c>
      <c r="B6" s="18" t="s">
        <v>684</v>
      </c>
      <c r="C6" s="18" t="s">
        <v>4182</v>
      </c>
      <c r="D6" s="18" t="s">
        <v>638</v>
      </c>
      <c r="E6" s="18" t="s">
        <v>638</v>
      </c>
      <c r="F6" s="2">
        <v>9</v>
      </c>
      <c r="G6" s="2" t="s">
        <v>55</v>
      </c>
      <c r="H6" s="2">
        <v>1999</v>
      </c>
      <c r="I6" s="2" t="s">
        <v>707</v>
      </c>
      <c r="J6" s="2" t="s">
        <v>702</v>
      </c>
      <c r="K6" s="2" t="s">
        <v>703</v>
      </c>
      <c r="M6" s="2" t="s">
        <v>8</v>
      </c>
      <c r="P6" s="2" t="s">
        <v>4181</v>
      </c>
      <c r="Q6" s="2" t="s">
        <v>4181</v>
      </c>
    </row>
    <row r="7" spans="1:17" ht="16.5" customHeight="1" x14ac:dyDescent="0.2">
      <c r="A7" s="18" t="s">
        <v>399</v>
      </c>
      <c r="B7" s="18" t="s">
        <v>686</v>
      </c>
      <c r="C7" s="18" t="s">
        <v>4182</v>
      </c>
      <c r="D7" s="18" t="s">
        <v>638</v>
      </c>
      <c r="E7" s="18" t="s">
        <v>638</v>
      </c>
      <c r="F7" s="2">
        <v>10</v>
      </c>
      <c r="G7" s="2" t="s">
        <v>98</v>
      </c>
      <c r="H7" s="2">
        <v>2000</v>
      </c>
      <c r="I7" s="2" t="s">
        <v>708</v>
      </c>
      <c r="J7" s="2" t="s">
        <v>702</v>
      </c>
      <c r="K7" s="2" t="s">
        <v>703</v>
      </c>
      <c r="M7" s="2" t="s">
        <v>8</v>
      </c>
      <c r="P7" s="2" t="s">
        <v>4181</v>
      </c>
      <c r="Q7" s="2" t="s">
        <v>4181</v>
      </c>
    </row>
    <row r="8" spans="1:17" ht="16.5" customHeight="1" x14ac:dyDescent="0.2">
      <c r="A8" s="18" t="s">
        <v>399</v>
      </c>
      <c r="B8" s="18" t="s">
        <v>688</v>
      </c>
      <c r="C8" s="18" t="s">
        <v>4182</v>
      </c>
      <c r="D8" s="18" t="s">
        <v>638</v>
      </c>
      <c r="E8" s="18" t="s">
        <v>638</v>
      </c>
      <c r="F8" s="2">
        <v>12</v>
      </c>
      <c r="G8" s="2" t="s">
        <v>89</v>
      </c>
      <c r="H8" s="2">
        <v>2002</v>
      </c>
      <c r="I8" s="2" t="s">
        <v>709</v>
      </c>
      <c r="J8" s="2" t="s">
        <v>702</v>
      </c>
      <c r="K8" s="2" t="s">
        <v>703</v>
      </c>
      <c r="M8" s="2" t="s">
        <v>8</v>
      </c>
      <c r="P8" s="2" t="s">
        <v>4181</v>
      </c>
      <c r="Q8" s="2" t="s">
        <v>4181</v>
      </c>
    </row>
    <row r="9" spans="1:17" ht="16.5" customHeight="1" x14ac:dyDescent="0.2">
      <c r="A9" s="18" t="s">
        <v>399</v>
      </c>
      <c r="B9" s="18" t="s">
        <v>690</v>
      </c>
      <c r="C9" s="18" t="s">
        <v>4182</v>
      </c>
      <c r="D9" s="18" t="s">
        <v>638</v>
      </c>
      <c r="E9" s="18" t="s">
        <v>638</v>
      </c>
      <c r="F9" s="2">
        <v>13</v>
      </c>
      <c r="G9" s="2" t="s">
        <v>107</v>
      </c>
      <c r="H9" s="2">
        <v>2003</v>
      </c>
      <c r="I9" s="2" t="s">
        <v>710</v>
      </c>
      <c r="J9" s="2" t="s">
        <v>702</v>
      </c>
      <c r="K9" s="2" t="s">
        <v>703</v>
      </c>
      <c r="M9" s="2" t="s">
        <v>8</v>
      </c>
      <c r="P9" s="2" t="s">
        <v>4181</v>
      </c>
      <c r="Q9" s="2" t="s">
        <v>4181</v>
      </c>
    </row>
    <row r="10" spans="1:17" ht="16.5" customHeight="1" x14ac:dyDescent="0.2">
      <c r="A10" s="18" t="s">
        <v>399</v>
      </c>
      <c r="B10" s="18" t="s">
        <v>692</v>
      </c>
      <c r="C10" s="18" t="s">
        <v>4182</v>
      </c>
      <c r="D10" s="18" t="s">
        <v>638</v>
      </c>
      <c r="E10" s="18" t="s">
        <v>638</v>
      </c>
      <c r="F10" s="2">
        <v>14</v>
      </c>
      <c r="G10" s="2" t="s">
        <v>43</v>
      </c>
      <c r="H10" s="2">
        <v>2004</v>
      </c>
      <c r="I10" s="2" t="s">
        <v>711</v>
      </c>
      <c r="J10" s="2" t="s">
        <v>702</v>
      </c>
      <c r="K10" s="2" t="s">
        <v>703</v>
      </c>
      <c r="M10" s="2" t="s">
        <v>8</v>
      </c>
      <c r="P10" s="2" t="s">
        <v>4181</v>
      </c>
      <c r="Q10" s="2" t="s">
        <v>4181</v>
      </c>
    </row>
    <row r="11" spans="1:17" ht="16.5" customHeight="1" x14ac:dyDescent="0.2">
      <c r="A11" s="18" t="s">
        <v>399</v>
      </c>
      <c r="B11" s="18" t="s">
        <v>694</v>
      </c>
      <c r="C11" s="18" t="s">
        <v>4182</v>
      </c>
      <c r="D11" s="18" t="s">
        <v>638</v>
      </c>
      <c r="E11" s="18" t="s">
        <v>638</v>
      </c>
      <c r="F11" s="2">
        <v>15</v>
      </c>
      <c r="G11" s="2" t="s">
        <v>19</v>
      </c>
      <c r="H11" s="2">
        <v>2005</v>
      </c>
      <c r="I11" s="2" t="s">
        <v>712</v>
      </c>
      <c r="J11" s="2" t="s">
        <v>702</v>
      </c>
      <c r="K11" s="2" t="s">
        <v>703</v>
      </c>
      <c r="M11" s="2" t="s">
        <v>8</v>
      </c>
      <c r="P11" s="2" t="s">
        <v>4181</v>
      </c>
      <c r="Q11" s="2" t="s">
        <v>4181</v>
      </c>
    </row>
    <row r="12" spans="1:17" ht="16.5" customHeight="1" x14ac:dyDescent="0.2">
      <c r="A12" s="18" t="s">
        <v>399</v>
      </c>
      <c r="B12" s="18" t="s">
        <v>696</v>
      </c>
      <c r="C12" s="18" t="s">
        <v>4182</v>
      </c>
      <c r="D12" s="18" t="s">
        <v>638</v>
      </c>
      <c r="E12" s="18" t="s">
        <v>638</v>
      </c>
      <c r="F12" s="2">
        <v>16</v>
      </c>
      <c r="G12" s="2" t="s">
        <v>25</v>
      </c>
      <c r="H12" s="2">
        <v>2006</v>
      </c>
      <c r="I12" s="2" t="s">
        <v>713</v>
      </c>
      <c r="J12" s="2" t="s">
        <v>702</v>
      </c>
      <c r="K12" s="2" t="s">
        <v>703</v>
      </c>
      <c r="M12" s="2" t="s">
        <v>8</v>
      </c>
      <c r="P12" s="2" t="s">
        <v>4181</v>
      </c>
      <c r="Q12" s="2" t="s">
        <v>4181</v>
      </c>
    </row>
    <row r="13" spans="1:17" ht="16.5" customHeight="1" x14ac:dyDescent="0.2">
      <c r="A13" s="18" t="s">
        <v>399</v>
      </c>
      <c r="B13" s="18" t="s">
        <v>698</v>
      </c>
      <c r="C13" s="18" t="s">
        <v>4182</v>
      </c>
      <c r="D13" s="18" t="s">
        <v>638</v>
      </c>
      <c r="E13" s="18" t="s">
        <v>638</v>
      </c>
      <c r="F13" s="2">
        <v>17</v>
      </c>
      <c r="G13" s="2" t="s">
        <v>73</v>
      </c>
      <c r="H13" s="2">
        <v>2007</v>
      </c>
      <c r="I13" s="2" t="s">
        <v>714</v>
      </c>
      <c r="J13" s="2" t="s">
        <v>702</v>
      </c>
      <c r="K13" s="2" t="s">
        <v>703</v>
      </c>
      <c r="M13" s="2" t="s">
        <v>8</v>
      </c>
      <c r="P13" s="2" t="s">
        <v>4181</v>
      </c>
      <c r="Q13" s="2" t="s">
        <v>4181</v>
      </c>
    </row>
    <row r="14" spans="1:17" ht="16.5" customHeight="1" x14ac:dyDescent="0.2">
      <c r="A14" s="18" t="s">
        <v>399</v>
      </c>
      <c r="B14" s="18" t="s">
        <v>700</v>
      </c>
      <c r="C14" s="18" t="s">
        <v>4182</v>
      </c>
      <c r="D14" s="18" t="s">
        <v>638</v>
      </c>
      <c r="E14" s="18" t="s">
        <v>638</v>
      </c>
      <c r="F14" s="2">
        <v>18</v>
      </c>
      <c r="G14" s="2" t="s">
        <v>58</v>
      </c>
      <c r="H14" s="2">
        <v>2008</v>
      </c>
      <c r="I14" s="2" t="s">
        <v>715</v>
      </c>
      <c r="J14" s="2" t="s">
        <v>702</v>
      </c>
      <c r="K14" s="2" t="s">
        <v>703</v>
      </c>
      <c r="M14" s="2" t="s">
        <v>8</v>
      </c>
      <c r="P14" s="2" t="s">
        <v>4181</v>
      </c>
      <c r="Q14" s="2" t="s">
        <v>4181</v>
      </c>
    </row>
    <row r="15" spans="1:17" ht="16.5" customHeight="1" x14ac:dyDescent="0.2">
      <c r="A15" s="18" t="s">
        <v>399</v>
      </c>
      <c r="B15" s="18" t="s">
        <v>678</v>
      </c>
      <c r="C15" s="18" t="s">
        <v>4182</v>
      </c>
      <c r="D15" s="18" t="s">
        <v>602</v>
      </c>
      <c r="E15" s="18" t="s">
        <v>602</v>
      </c>
      <c r="F15" s="2">
        <v>6</v>
      </c>
      <c r="G15" s="2" t="s">
        <v>49</v>
      </c>
      <c r="H15" s="2">
        <v>1996</v>
      </c>
      <c r="I15" s="2" t="s">
        <v>679</v>
      </c>
      <c r="J15" s="2" t="s">
        <v>604</v>
      </c>
      <c r="K15" s="2" t="s">
        <v>676</v>
      </c>
      <c r="M15" s="2" t="s">
        <v>677</v>
      </c>
      <c r="P15" s="2" t="s">
        <v>4181</v>
      </c>
      <c r="Q15" s="2" t="s">
        <v>4181</v>
      </c>
    </row>
    <row r="16" spans="1:17" ht="16.5" customHeight="1" x14ac:dyDescent="0.2">
      <c r="A16" s="18" t="s">
        <v>399</v>
      </c>
      <c r="B16" s="18" t="s">
        <v>680</v>
      </c>
      <c r="C16" s="18" t="s">
        <v>4182</v>
      </c>
      <c r="D16" s="18" t="s">
        <v>602</v>
      </c>
      <c r="E16" s="18" t="s">
        <v>602</v>
      </c>
      <c r="F16" s="2">
        <v>7</v>
      </c>
      <c r="G16" s="2" t="s">
        <v>101</v>
      </c>
      <c r="H16" s="2">
        <v>1997</v>
      </c>
      <c r="I16" s="2" t="s">
        <v>681</v>
      </c>
      <c r="J16" s="2" t="s">
        <v>604</v>
      </c>
      <c r="K16" s="2" t="s">
        <v>676</v>
      </c>
      <c r="M16" s="2" t="s">
        <v>677</v>
      </c>
      <c r="P16" s="2" t="s">
        <v>4181</v>
      </c>
      <c r="Q16" s="2" t="s">
        <v>4181</v>
      </c>
    </row>
    <row r="17" spans="1:17" ht="16.5" customHeight="1" x14ac:dyDescent="0.2">
      <c r="A17" s="18" t="s">
        <v>399</v>
      </c>
      <c r="B17" s="18" t="s">
        <v>682</v>
      </c>
      <c r="C17" s="18" t="s">
        <v>4182</v>
      </c>
      <c r="D17" s="18" t="s">
        <v>602</v>
      </c>
      <c r="E17" s="18" t="s">
        <v>602</v>
      </c>
      <c r="F17" s="2">
        <v>8</v>
      </c>
      <c r="G17" s="2" t="s">
        <v>10</v>
      </c>
      <c r="H17" s="2">
        <v>1998</v>
      </c>
      <c r="I17" s="2" t="s">
        <v>683</v>
      </c>
      <c r="J17" s="2" t="s">
        <v>604</v>
      </c>
      <c r="K17" s="2" t="s">
        <v>676</v>
      </c>
      <c r="M17" s="2" t="s">
        <v>677</v>
      </c>
      <c r="P17" s="2" t="s">
        <v>4181</v>
      </c>
      <c r="Q17" s="2" t="s">
        <v>4181</v>
      </c>
    </row>
    <row r="18" spans="1:17" ht="16.5" customHeight="1" x14ac:dyDescent="0.2">
      <c r="A18" s="18" t="s">
        <v>399</v>
      </c>
      <c r="B18" s="18" t="s">
        <v>684</v>
      </c>
      <c r="C18" s="18" t="s">
        <v>4182</v>
      </c>
      <c r="D18" s="18" t="s">
        <v>602</v>
      </c>
      <c r="E18" s="18" t="s">
        <v>602</v>
      </c>
      <c r="F18" s="2">
        <v>9</v>
      </c>
      <c r="G18" s="2" t="s">
        <v>55</v>
      </c>
      <c r="H18" s="2">
        <v>1999</v>
      </c>
      <c r="I18" s="2" t="s">
        <v>685</v>
      </c>
      <c r="J18" s="2" t="s">
        <v>604</v>
      </c>
      <c r="K18" s="2" t="s">
        <v>676</v>
      </c>
      <c r="M18" s="2" t="s">
        <v>677</v>
      </c>
      <c r="P18" s="2" t="s">
        <v>4181</v>
      </c>
      <c r="Q18" s="2" t="s">
        <v>4181</v>
      </c>
    </row>
    <row r="19" spans="1:17" ht="16.5" customHeight="1" x14ac:dyDescent="0.2">
      <c r="A19" s="18" t="s">
        <v>399</v>
      </c>
      <c r="B19" s="18" t="s">
        <v>686</v>
      </c>
      <c r="C19" s="18" t="s">
        <v>4182</v>
      </c>
      <c r="D19" s="18" t="s">
        <v>602</v>
      </c>
      <c r="E19" s="18" t="s">
        <v>602</v>
      </c>
      <c r="F19" s="2">
        <v>10</v>
      </c>
      <c r="G19" s="2" t="s">
        <v>98</v>
      </c>
      <c r="H19" s="2">
        <v>2000</v>
      </c>
      <c r="I19" s="2" t="s">
        <v>687</v>
      </c>
      <c r="J19" s="2" t="s">
        <v>604</v>
      </c>
      <c r="K19" s="2" t="s">
        <v>676</v>
      </c>
      <c r="M19" s="2" t="s">
        <v>677</v>
      </c>
      <c r="P19" s="2" t="s">
        <v>4181</v>
      </c>
      <c r="Q19" s="2" t="s">
        <v>4181</v>
      </c>
    </row>
    <row r="20" spans="1:17" ht="16.5" customHeight="1" x14ac:dyDescent="0.2">
      <c r="A20" s="18" t="s">
        <v>399</v>
      </c>
      <c r="B20" s="18" t="s">
        <v>688</v>
      </c>
      <c r="C20" s="18" t="s">
        <v>4182</v>
      </c>
      <c r="D20" s="18" t="s">
        <v>602</v>
      </c>
      <c r="E20" s="18" t="s">
        <v>602</v>
      </c>
      <c r="F20" s="2">
        <v>12</v>
      </c>
      <c r="G20" s="2" t="s">
        <v>89</v>
      </c>
      <c r="H20" s="2">
        <v>2002</v>
      </c>
      <c r="I20" s="2" t="s">
        <v>689</v>
      </c>
      <c r="J20" s="2" t="s">
        <v>604</v>
      </c>
      <c r="K20" s="2" t="s">
        <v>676</v>
      </c>
      <c r="M20" s="2" t="s">
        <v>677</v>
      </c>
      <c r="P20" s="2" t="s">
        <v>4181</v>
      </c>
      <c r="Q20" s="2" t="s">
        <v>4181</v>
      </c>
    </row>
    <row r="21" spans="1:17" ht="16.5" customHeight="1" x14ac:dyDescent="0.2">
      <c r="A21" s="18" t="s">
        <v>399</v>
      </c>
      <c r="B21" s="18" t="s">
        <v>690</v>
      </c>
      <c r="C21" s="18" t="s">
        <v>4182</v>
      </c>
      <c r="D21" s="18" t="s">
        <v>602</v>
      </c>
      <c r="E21" s="18" t="s">
        <v>602</v>
      </c>
      <c r="F21" s="2">
        <v>13</v>
      </c>
      <c r="G21" s="2" t="s">
        <v>107</v>
      </c>
      <c r="H21" s="2">
        <v>2003</v>
      </c>
      <c r="I21" s="2" t="s">
        <v>691</v>
      </c>
      <c r="J21" s="2" t="s">
        <v>604</v>
      </c>
      <c r="K21" s="2" t="s">
        <v>676</v>
      </c>
      <c r="M21" s="2" t="s">
        <v>677</v>
      </c>
      <c r="P21" s="2" t="s">
        <v>4181</v>
      </c>
      <c r="Q21" s="2" t="s">
        <v>4181</v>
      </c>
    </row>
    <row r="22" spans="1:17" ht="16.5" customHeight="1" x14ac:dyDescent="0.2">
      <c r="A22" s="18" t="s">
        <v>399</v>
      </c>
      <c r="B22" s="18" t="s">
        <v>692</v>
      </c>
      <c r="C22" s="18" t="s">
        <v>4182</v>
      </c>
      <c r="D22" s="18" t="s">
        <v>602</v>
      </c>
      <c r="E22" s="18" t="s">
        <v>602</v>
      </c>
      <c r="F22" s="2">
        <v>14</v>
      </c>
      <c r="G22" s="2" t="s">
        <v>43</v>
      </c>
      <c r="H22" s="2">
        <v>2004</v>
      </c>
      <c r="I22" s="2" t="s">
        <v>693</v>
      </c>
      <c r="J22" s="2" t="s">
        <v>604</v>
      </c>
      <c r="K22" s="2" t="s">
        <v>676</v>
      </c>
      <c r="M22" s="2" t="s">
        <v>677</v>
      </c>
      <c r="P22" s="2" t="s">
        <v>4181</v>
      </c>
      <c r="Q22" s="2" t="s">
        <v>4181</v>
      </c>
    </row>
    <row r="23" spans="1:17" ht="16.5" customHeight="1" x14ac:dyDescent="0.2">
      <c r="A23" s="18" t="s">
        <v>399</v>
      </c>
      <c r="B23" s="18" t="s">
        <v>694</v>
      </c>
      <c r="C23" s="18" t="s">
        <v>4182</v>
      </c>
      <c r="D23" s="18" t="s">
        <v>602</v>
      </c>
      <c r="E23" s="18" t="s">
        <v>602</v>
      </c>
      <c r="F23" s="2">
        <v>15</v>
      </c>
      <c r="G23" s="2" t="s">
        <v>19</v>
      </c>
      <c r="H23" s="2">
        <v>2005</v>
      </c>
      <c r="I23" s="2" t="s">
        <v>695</v>
      </c>
      <c r="J23" s="2" t="s">
        <v>604</v>
      </c>
      <c r="K23" s="2" t="s">
        <v>676</v>
      </c>
      <c r="M23" s="2" t="s">
        <v>677</v>
      </c>
      <c r="P23" s="2" t="s">
        <v>4181</v>
      </c>
      <c r="Q23" s="2" t="s">
        <v>4181</v>
      </c>
    </row>
    <row r="24" spans="1:17" ht="16.5" customHeight="1" x14ac:dyDescent="0.2">
      <c r="A24" s="18" t="s">
        <v>399</v>
      </c>
      <c r="B24" s="18" t="s">
        <v>696</v>
      </c>
      <c r="C24" s="18" t="s">
        <v>4182</v>
      </c>
      <c r="D24" s="18" t="s">
        <v>602</v>
      </c>
      <c r="E24" s="18" t="s">
        <v>602</v>
      </c>
      <c r="F24" s="2">
        <v>16</v>
      </c>
      <c r="G24" s="2" t="s">
        <v>25</v>
      </c>
      <c r="H24" s="2">
        <v>2006</v>
      </c>
      <c r="I24" s="2" t="s">
        <v>697</v>
      </c>
      <c r="J24" s="2" t="s">
        <v>604</v>
      </c>
      <c r="K24" s="2" t="s">
        <v>676</v>
      </c>
      <c r="M24" s="2" t="s">
        <v>677</v>
      </c>
      <c r="P24" s="2" t="s">
        <v>4181</v>
      </c>
      <c r="Q24" s="2" t="s">
        <v>4181</v>
      </c>
    </row>
    <row r="25" spans="1:17" ht="16.5" customHeight="1" x14ac:dyDescent="0.2">
      <c r="A25" s="18" t="s">
        <v>399</v>
      </c>
      <c r="B25" s="18" t="s">
        <v>698</v>
      </c>
      <c r="C25" s="18" t="s">
        <v>4182</v>
      </c>
      <c r="D25" s="18" t="s">
        <v>602</v>
      </c>
      <c r="E25" s="18" t="s">
        <v>602</v>
      </c>
      <c r="F25" s="2">
        <v>17</v>
      </c>
      <c r="G25" s="2" t="s">
        <v>73</v>
      </c>
      <c r="H25" s="2">
        <v>2007</v>
      </c>
      <c r="I25" s="2" t="s">
        <v>699</v>
      </c>
      <c r="J25" s="2" t="s">
        <v>604</v>
      </c>
      <c r="K25" s="2" t="s">
        <v>676</v>
      </c>
      <c r="M25" s="2" t="s">
        <v>677</v>
      </c>
      <c r="P25" s="2" t="s">
        <v>4181</v>
      </c>
      <c r="Q25" s="2" t="s">
        <v>4181</v>
      </c>
    </row>
    <row r="26" spans="1:17" ht="16.5" customHeight="1" x14ac:dyDescent="0.2">
      <c r="A26" s="18" t="s">
        <v>399</v>
      </c>
      <c r="B26" s="18" t="s">
        <v>700</v>
      </c>
      <c r="C26" s="18" t="s">
        <v>4182</v>
      </c>
      <c r="D26" s="18" t="s">
        <v>602</v>
      </c>
      <c r="E26" s="18" t="s">
        <v>602</v>
      </c>
      <c r="F26" s="2">
        <v>18</v>
      </c>
      <c r="G26" s="2" t="s">
        <v>58</v>
      </c>
      <c r="H26" s="2">
        <v>2008</v>
      </c>
      <c r="I26" s="2" t="s">
        <v>701</v>
      </c>
      <c r="J26" s="2" t="s">
        <v>604</v>
      </c>
      <c r="K26" s="2" t="s">
        <v>676</v>
      </c>
      <c r="M26" s="2" t="s">
        <v>677</v>
      </c>
      <c r="P26" s="2" t="s">
        <v>4181</v>
      </c>
      <c r="Q26" s="2" t="s">
        <v>4181</v>
      </c>
    </row>
    <row r="27" spans="1:17" ht="16.5" customHeight="1" x14ac:dyDescent="0.2">
      <c r="A27" s="17" t="s">
        <v>399</v>
      </c>
      <c r="B27" s="17" t="str">
        <f t="shared" ref="B27:B74" si="0">_xlfn.CONCAT(G27,"INDRESP")</f>
        <v>fINDRESP</v>
      </c>
      <c r="C27" s="17" t="s">
        <v>3</v>
      </c>
      <c r="D27" s="17" t="s">
        <v>675</v>
      </c>
      <c r="E27" s="17" t="s">
        <v>2</v>
      </c>
      <c r="F27" s="2">
        <v>6</v>
      </c>
      <c r="G27" s="2" t="s">
        <v>49</v>
      </c>
      <c r="H27" s="2">
        <v>1996</v>
      </c>
      <c r="I27" s="2" t="s">
        <v>400</v>
      </c>
      <c r="J27" s="2" t="s">
        <v>401</v>
      </c>
      <c r="K27" s="2" t="s">
        <v>402</v>
      </c>
      <c r="L27" s="8" t="s">
        <v>398</v>
      </c>
      <c r="M27" s="2" t="s">
        <v>403</v>
      </c>
      <c r="N27" s="2">
        <v>1</v>
      </c>
      <c r="O27" s="2">
        <v>7</v>
      </c>
      <c r="P27" s="2"/>
    </row>
    <row r="28" spans="1:17" ht="16.5" customHeight="1" x14ac:dyDescent="0.2">
      <c r="A28" s="17" t="s">
        <v>399</v>
      </c>
      <c r="B28" s="17" t="str">
        <f t="shared" si="0"/>
        <v>gINDRESP</v>
      </c>
      <c r="C28" s="17" t="s">
        <v>3</v>
      </c>
      <c r="D28" s="17" t="s">
        <v>675</v>
      </c>
      <c r="E28" s="17" t="s">
        <v>2</v>
      </c>
      <c r="F28" s="2">
        <v>7</v>
      </c>
      <c r="G28" s="2" t="s">
        <v>101</v>
      </c>
      <c r="H28" s="2">
        <v>1997</v>
      </c>
      <c r="I28" s="2" t="s">
        <v>404</v>
      </c>
      <c r="J28" s="2" t="s">
        <v>401</v>
      </c>
      <c r="K28" s="2" t="s">
        <v>402</v>
      </c>
      <c r="L28" s="8" t="s">
        <v>398</v>
      </c>
      <c r="M28" s="2" t="s">
        <v>403</v>
      </c>
      <c r="N28" s="2">
        <v>1</v>
      </c>
      <c r="O28" s="2">
        <v>7</v>
      </c>
      <c r="P28" s="2"/>
    </row>
    <row r="29" spans="1:17" ht="16.5" customHeight="1" x14ac:dyDescent="0.2">
      <c r="A29" s="17" t="s">
        <v>399</v>
      </c>
      <c r="B29" s="17" t="str">
        <f t="shared" si="0"/>
        <v>hINDRESP</v>
      </c>
      <c r="C29" s="17" t="s">
        <v>3</v>
      </c>
      <c r="D29" s="17" t="s">
        <v>675</v>
      </c>
      <c r="E29" s="17" t="s">
        <v>2</v>
      </c>
      <c r="F29" s="2">
        <v>8</v>
      </c>
      <c r="G29" s="2" t="s">
        <v>10</v>
      </c>
      <c r="H29" s="2">
        <v>1998</v>
      </c>
      <c r="I29" s="2" t="s">
        <v>405</v>
      </c>
      <c r="J29" s="2" t="s">
        <v>401</v>
      </c>
      <c r="K29" s="2" t="s">
        <v>402</v>
      </c>
      <c r="L29" s="8" t="s">
        <v>398</v>
      </c>
      <c r="M29" s="2" t="s">
        <v>403</v>
      </c>
      <c r="N29" s="2">
        <v>1</v>
      </c>
      <c r="O29" s="2">
        <v>7</v>
      </c>
      <c r="P29" s="2"/>
    </row>
    <row r="30" spans="1:17" ht="16.5" customHeight="1" x14ac:dyDescent="0.2">
      <c r="A30" s="17" t="s">
        <v>399</v>
      </c>
      <c r="B30" s="17" t="str">
        <f t="shared" si="0"/>
        <v>iINDRESP</v>
      </c>
      <c r="C30" s="17" t="s">
        <v>3</v>
      </c>
      <c r="D30" s="17" t="s">
        <v>675</v>
      </c>
      <c r="E30" s="17" t="s">
        <v>2</v>
      </c>
      <c r="F30" s="2">
        <v>9</v>
      </c>
      <c r="G30" s="2" t="s">
        <v>55</v>
      </c>
      <c r="H30" s="2">
        <v>1999</v>
      </c>
      <c r="I30" s="2" t="s">
        <v>406</v>
      </c>
      <c r="J30" s="2" t="s">
        <v>401</v>
      </c>
      <c r="K30" s="2" t="s">
        <v>402</v>
      </c>
      <c r="L30" s="8" t="s">
        <v>398</v>
      </c>
      <c r="M30" s="2" t="s">
        <v>403</v>
      </c>
      <c r="N30" s="2">
        <v>1</v>
      </c>
      <c r="O30" s="2">
        <v>7</v>
      </c>
      <c r="P30" s="2"/>
    </row>
    <row r="31" spans="1:17" ht="16.5" customHeight="1" x14ac:dyDescent="0.2">
      <c r="A31" s="17" t="s">
        <v>399</v>
      </c>
      <c r="B31" s="17" t="str">
        <f t="shared" si="0"/>
        <v>jINDRESP</v>
      </c>
      <c r="C31" s="17" t="s">
        <v>3</v>
      </c>
      <c r="D31" s="17" t="s">
        <v>675</v>
      </c>
      <c r="E31" s="17" t="s">
        <v>2</v>
      </c>
      <c r="F31" s="2">
        <v>10</v>
      </c>
      <c r="G31" s="2" t="s">
        <v>98</v>
      </c>
      <c r="H31" s="2">
        <v>2000</v>
      </c>
      <c r="I31" s="2" t="s">
        <v>407</v>
      </c>
      <c r="J31" s="2" t="s">
        <v>401</v>
      </c>
      <c r="K31" s="2" t="s">
        <v>402</v>
      </c>
      <c r="L31" s="8" t="s">
        <v>398</v>
      </c>
      <c r="M31" s="2" t="s">
        <v>403</v>
      </c>
      <c r="N31" s="2">
        <v>1</v>
      </c>
      <c r="O31" s="2">
        <v>7</v>
      </c>
      <c r="P31" s="2"/>
    </row>
    <row r="32" spans="1:17" ht="16.5" customHeight="1" x14ac:dyDescent="0.2">
      <c r="A32" s="17" t="s">
        <v>399</v>
      </c>
      <c r="B32" s="17" t="str">
        <f t="shared" si="0"/>
        <v>lINDRESP</v>
      </c>
      <c r="C32" s="17" t="s">
        <v>3</v>
      </c>
      <c r="D32" s="17" t="s">
        <v>675</v>
      </c>
      <c r="E32" s="17" t="s">
        <v>2</v>
      </c>
      <c r="F32" s="2">
        <v>12</v>
      </c>
      <c r="G32" s="2" t="s">
        <v>89</v>
      </c>
      <c r="H32" s="2">
        <v>2002</v>
      </c>
      <c r="I32" s="2" t="s">
        <v>408</v>
      </c>
      <c r="J32" s="2" t="s">
        <v>401</v>
      </c>
      <c r="K32" s="2" t="s">
        <v>402</v>
      </c>
      <c r="L32" s="8" t="s">
        <v>398</v>
      </c>
      <c r="M32" s="2" t="s">
        <v>403</v>
      </c>
      <c r="N32" s="2">
        <v>1</v>
      </c>
      <c r="O32" s="2">
        <v>7</v>
      </c>
      <c r="P32" s="2"/>
    </row>
    <row r="33" spans="1:16" ht="16.5" customHeight="1" x14ac:dyDescent="0.2">
      <c r="A33" s="17" t="s">
        <v>399</v>
      </c>
      <c r="B33" s="17" t="str">
        <f t="shared" si="0"/>
        <v>mINDRESP</v>
      </c>
      <c r="C33" s="17" t="s">
        <v>3</v>
      </c>
      <c r="D33" s="17" t="s">
        <v>675</v>
      </c>
      <c r="E33" s="17" t="s">
        <v>2</v>
      </c>
      <c r="F33" s="2">
        <v>13</v>
      </c>
      <c r="G33" s="2" t="s">
        <v>107</v>
      </c>
      <c r="H33" s="2">
        <v>2003</v>
      </c>
      <c r="I33" s="2" t="s">
        <v>409</v>
      </c>
      <c r="J33" s="2" t="s">
        <v>401</v>
      </c>
      <c r="K33" s="2" t="s">
        <v>402</v>
      </c>
      <c r="L33" s="8" t="s">
        <v>398</v>
      </c>
      <c r="M33" s="2" t="s">
        <v>403</v>
      </c>
      <c r="N33" s="2">
        <v>1</v>
      </c>
      <c r="O33" s="2">
        <v>7</v>
      </c>
      <c r="P33" s="2"/>
    </row>
    <row r="34" spans="1:16" ht="16.5" customHeight="1" x14ac:dyDescent="0.2">
      <c r="A34" s="17" t="s">
        <v>399</v>
      </c>
      <c r="B34" s="17" t="str">
        <f t="shared" si="0"/>
        <v>nINDRESP</v>
      </c>
      <c r="C34" s="17" t="s">
        <v>3</v>
      </c>
      <c r="D34" s="17" t="s">
        <v>675</v>
      </c>
      <c r="E34" s="17" t="s">
        <v>2</v>
      </c>
      <c r="F34" s="2">
        <v>14</v>
      </c>
      <c r="G34" s="2" t="s">
        <v>43</v>
      </c>
      <c r="H34" s="2">
        <v>2004</v>
      </c>
      <c r="I34" s="2" t="s">
        <v>410</v>
      </c>
      <c r="J34" s="2" t="s">
        <v>401</v>
      </c>
      <c r="K34" s="2" t="s">
        <v>402</v>
      </c>
      <c r="L34" s="8" t="s">
        <v>398</v>
      </c>
      <c r="M34" s="2" t="s">
        <v>403</v>
      </c>
      <c r="N34" s="2">
        <v>1</v>
      </c>
      <c r="O34" s="2">
        <v>7</v>
      </c>
      <c r="P34" s="2"/>
    </row>
    <row r="35" spans="1:16" ht="16.5" customHeight="1" x14ac:dyDescent="0.2">
      <c r="A35" s="17" t="s">
        <v>399</v>
      </c>
      <c r="B35" s="17" t="str">
        <f t="shared" si="0"/>
        <v>oINDRESP</v>
      </c>
      <c r="C35" s="17" t="s">
        <v>3</v>
      </c>
      <c r="D35" s="17" t="s">
        <v>675</v>
      </c>
      <c r="E35" s="17" t="s">
        <v>2</v>
      </c>
      <c r="F35" s="2">
        <v>15</v>
      </c>
      <c r="G35" s="2" t="s">
        <v>19</v>
      </c>
      <c r="H35" s="2">
        <v>2005</v>
      </c>
      <c r="I35" s="2" t="s">
        <v>411</v>
      </c>
      <c r="J35" s="2" t="s">
        <v>401</v>
      </c>
      <c r="K35" s="2" t="s">
        <v>402</v>
      </c>
      <c r="L35" s="8" t="s">
        <v>398</v>
      </c>
      <c r="M35" s="2" t="s">
        <v>403</v>
      </c>
      <c r="N35" s="2">
        <v>1</v>
      </c>
      <c r="O35" s="2">
        <v>7</v>
      </c>
      <c r="P35" s="2"/>
    </row>
    <row r="36" spans="1:16" ht="16.5" customHeight="1" x14ac:dyDescent="0.2">
      <c r="A36" s="17" t="s">
        <v>399</v>
      </c>
      <c r="B36" s="17" t="str">
        <f t="shared" si="0"/>
        <v>pINDRESP</v>
      </c>
      <c r="C36" s="17" t="s">
        <v>3</v>
      </c>
      <c r="D36" s="17" t="s">
        <v>675</v>
      </c>
      <c r="E36" s="17" t="s">
        <v>2</v>
      </c>
      <c r="F36" s="2">
        <v>16</v>
      </c>
      <c r="G36" s="2" t="s">
        <v>25</v>
      </c>
      <c r="H36" s="2">
        <v>2006</v>
      </c>
      <c r="I36" s="2" t="s">
        <v>412</v>
      </c>
      <c r="J36" s="2" t="s">
        <v>401</v>
      </c>
      <c r="K36" s="2" t="s">
        <v>402</v>
      </c>
      <c r="L36" s="8" t="s">
        <v>398</v>
      </c>
      <c r="M36" s="2" t="s">
        <v>403</v>
      </c>
      <c r="N36" s="2">
        <v>1</v>
      </c>
      <c r="O36" s="2">
        <v>7</v>
      </c>
      <c r="P36" s="2"/>
    </row>
    <row r="37" spans="1:16" ht="16.5" customHeight="1" x14ac:dyDescent="0.2">
      <c r="A37" s="17" t="s">
        <v>399</v>
      </c>
      <c r="B37" s="17" t="str">
        <f t="shared" si="0"/>
        <v>qINDRESP</v>
      </c>
      <c r="C37" s="17" t="s">
        <v>3</v>
      </c>
      <c r="D37" s="17" t="s">
        <v>675</v>
      </c>
      <c r="E37" s="17" t="s">
        <v>2</v>
      </c>
      <c r="F37" s="2">
        <v>17</v>
      </c>
      <c r="G37" s="2" t="s">
        <v>73</v>
      </c>
      <c r="H37" s="2">
        <v>2007</v>
      </c>
      <c r="I37" s="2" t="s">
        <v>413</v>
      </c>
      <c r="J37" s="2" t="s">
        <v>401</v>
      </c>
      <c r="K37" s="2" t="s">
        <v>402</v>
      </c>
      <c r="L37" s="8" t="s">
        <v>398</v>
      </c>
      <c r="M37" s="2" t="s">
        <v>403</v>
      </c>
      <c r="N37" s="2">
        <v>1</v>
      </c>
      <c r="O37" s="2">
        <v>7</v>
      </c>
      <c r="P37" s="2"/>
    </row>
    <row r="38" spans="1:16" ht="16.5" customHeight="1" x14ac:dyDescent="0.2">
      <c r="A38" s="17" t="s">
        <v>399</v>
      </c>
      <c r="B38" s="17" t="str">
        <f t="shared" si="0"/>
        <v>rINDRESP</v>
      </c>
      <c r="C38" s="17" t="s">
        <v>3</v>
      </c>
      <c r="D38" s="17" t="s">
        <v>675</v>
      </c>
      <c r="E38" s="17" t="s">
        <v>2</v>
      </c>
      <c r="F38" s="2">
        <v>18</v>
      </c>
      <c r="G38" s="2" t="s">
        <v>58</v>
      </c>
      <c r="H38" s="2">
        <v>2008</v>
      </c>
      <c r="I38" s="2" t="s">
        <v>414</v>
      </c>
      <c r="J38" s="2" t="s">
        <v>401</v>
      </c>
      <c r="K38" s="2" t="s">
        <v>402</v>
      </c>
      <c r="L38" s="8" t="s">
        <v>398</v>
      </c>
      <c r="M38" s="2" t="s">
        <v>403</v>
      </c>
      <c r="N38" s="2">
        <v>1</v>
      </c>
      <c r="O38" s="2">
        <v>7</v>
      </c>
      <c r="P38" s="2"/>
    </row>
    <row r="39" spans="1:16" ht="16.5" customHeight="1" x14ac:dyDescent="0.2">
      <c r="A39" s="18" t="s">
        <v>399</v>
      </c>
      <c r="B39" s="18" t="str">
        <f t="shared" si="0"/>
        <v>fINDRESP</v>
      </c>
      <c r="C39" s="18" t="s">
        <v>274</v>
      </c>
      <c r="D39" s="18" t="s">
        <v>444</v>
      </c>
      <c r="E39" s="18" t="s">
        <v>415</v>
      </c>
      <c r="F39" s="2">
        <v>6</v>
      </c>
      <c r="G39" s="2" t="s">
        <v>49</v>
      </c>
      <c r="H39" s="2">
        <v>1996</v>
      </c>
      <c r="I39" s="2" t="s">
        <v>416</v>
      </c>
      <c r="J39" s="2" t="s">
        <v>417</v>
      </c>
      <c r="K39" s="2" t="s">
        <v>418</v>
      </c>
      <c r="L39" s="8" t="s">
        <v>398</v>
      </c>
      <c r="M39" s="2" t="s">
        <v>8</v>
      </c>
      <c r="N39" s="2">
        <v>1</v>
      </c>
      <c r="O39" s="2">
        <v>7</v>
      </c>
      <c r="P39" s="2"/>
    </row>
    <row r="40" spans="1:16" ht="16.5" customHeight="1" x14ac:dyDescent="0.2">
      <c r="A40" s="18" t="s">
        <v>399</v>
      </c>
      <c r="B40" s="18" t="str">
        <f t="shared" si="0"/>
        <v>gINDRESP</v>
      </c>
      <c r="C40" s="18" t="s">
        <v>274</v>
      </c>
      <c r="D40" s="18" t="s">
        <v>444</v>
      </c>
      <c r="E40" s="18" t="s">
        <v>415</v>
      </c>
      <c r="F40" s="2">
        <v>7</v>
      </c>
      <c r="G40" s="2" t="s">
        <v>101</v>
      </c>
      <c r="H40" s="2">
        <v>1997</v>
      </c>
      <c r="I40" s="2" t="s">
        <v>419</v>
      </c>
      <c r="J40" s="2" t="s">
        <v>417</v>
      </c>
      <c r="K40" s="2" t="s">
        <v>418</v>
      </c>
      <c r="L40" s="8" t="s">
        <v>398</v>
      </c>
      <c r="M40" s="2" t="s">
        <v>8</v>
      </c>
      <c r="N40" s="2">
        <v>1</v>
      </c>
      <c r="O40" s="2">
        <v>7</v>
      </c>
      <c r="P40" s="2"/>
    </row>
    <row r="41" spans="1:16" ht="16.5" customHeight="1" x14ac:dyDescent="0.2">
      <c r="A41" s="18" t="s">
        <v>399</v>
      </c>
      <c r="B41" s="18" t="str">
        <f t="shared" si="0"/>
        <v>hINDRESP</v>
      </c>
      <c r="C41" s="18" t="s">
        <v>274</v>
      </c>
      <c r="D41" s="18" t="s">
        <v>444</v>
      </c>
      <c r="E41" s="18" t="s">
        <v>415</v>
      </c>
      <c r="F41" s="2">
        <v>8</v>
      </c>
      <c r="G41" s="2" t="s">
        <v>10</v>
      </c>
      <c r="H41" s="2">
        <v>1998</v>
      </c>
      <c r="I41" s="2" t="s">
        <v>420</v>
      </c>
      <c r="J41" s="2" t="s">
        <v>417</v>
      </c>
      <c r="K41" s="2" t="s">
        <v>418</v>
      </c>
      <c r="L41" s="8" t="s">
        <v>398</v>
      </c>
      <c r="M41" s="2" t="s">
        <v>8</v>
      </c>
      <c r="N41" s="2">
        <v>1</v>
      </c>
      <c r="O41" s="2">
        <v>7</v>
      </c>
      <c r="P41" s="2"/>
    </row>
    <row r="42" spans="1:16" ht="16.5" customHeight="1" x14ac:dyDescent="0.2">
      <c r="A42" s="18" t="s">
        <v>399</v>
      </c>
      <c r="B42" s="18" t="str">
        <f t="shared" si="0"/>
        <v>iINDRESP</v>
      </c>
      <c r="C42" s="18" t="s">
        <v>274</v>
      </c>
      <c r="D42" s="18" t="s">
        <v>444</v>
      </c>
      <c r="E42" s="18" t="s">
        <v>415</v>
      </c>
      <c r="F42" s="2">
        <v>9</v>
      </c>
      <c r="G42" s="2" t="s">
        <v>55</v>
      </c>
      <c r="H42" s="2">
        <v>1999</v>
      </c>
      <c r="I42" s="2" t="s">
        <v>421</v>
      </c>
      <c r="J42" s="2" t="s">
        <v>417</v>
      </c>
      <c r="K42" s="2" t="s">
        <v>418</v>
      </c>
      <c r="L42" s="8" t="s">
        <v>398</v>
      </c>
      <c r="M42" s="2" t="s">
        <v>8</v>
      </c>
      <c r="N42" s="2">
        <v>1</v>
      </c>
      <c r="O42" s="2">
        <v>7</v>
      </c>
      <c r="P42" s="2"/>
    </row>
    <row r="43" spans="1:16" ht="16.5" customHeight="1" x14ac:dyDescent="0.2">
      <c r="A43" s="18" t="s">
        <v>399</v>
      </c>
      <c r="B43" s="18" t="str">
        <f t="shared" si="0"/>
        <v>jINDRESP</v>
      </c>
      <c r="C43" s="18" t="s">
        <v>274</v>
      </c>
      <c r="D43" s="18" t="s">
        <v>444</v>
      </c>
      <c r="E43" s="18" t="s">
        <v>415</v>
      </c>
      <c r="F43" s="2">
        <v>10</v>
      </c>
      <c r="G43" s="2" t="s">
        <v>98</v>
      </c>
      <c r="H43" s="2">
        <v>2000</v>
      </c>
      <c r="I43" s="2" t="s">
        <v>422</v>
      </c>
      <c r="J43" s="2" t="s">
        <v>417</v>
      </c>
      <c r="K43" s="2" t="s">
        <v>418</v>
      </c>
      <c r="L43" s="8" t="s">
        <v>398</v>
      </c>
      <c r="M43" s="2" t="s">
        <v>8</v>
      </c>
      <c r="N43" s="2">
        <v>1</v>
      </c>
      <c r="O43" s="2">
        <v>7</v>
      </c>
      <c r="P43" s="2"/>
    </row>
    <row r="44" spans="1:16" ht="16.5" customHeight="1" x14ac:dyDescent="0.2">
      <c r="A44" s="18" t="s">
        <v>399</v>
      </c>
      <c r="B44" s="18" t="str">
        <f t="shared" si="0"/>
        <v>lINDRESP</v>
      </c>
      <c r="C44" s="18" t="s">
        <v>274</v>
      </c>
      <c r="D44" s="18" t="s">
        <v>444</v>
      </c>
      <c r="E44" s="18" t="s">
        <v>415</v>
      </c>
      <c r="F44" s="2">
        <v>12</v>
      </c>
      <c r="G44" s="2" t="s">
        <v>89</v>
      </c>
      <c r="H44" s="2">
        <v>2002</v>
      </c>
      <c r="I44" s="2" t="s">
        <v>423</v>
      </c>
      <c r="J44" s="2" t="s">
        <v>417</v>
      </c>
      <c r="K44" s="2" t="s">
        <v>418</v>
      </c>
      <c r="L44" s="8" t="s">
        <v>398</v>
      </c>
      <c r="M44" s="2" t="s">
        <v>8</v>
      </c>
      <c r="N44" s="2">
        <v>1</v>
      </c>
      <c r="O44" s="2">
        <v>7</v>
      </c>
      <c r="P44" s="2"/>
    </row>
    <row r="45" spans="1:16" ht="16.5" customHeight="1" x14ac:dyDescent="0.2">
      <c r="A45" s="18" t="s">
        <v>399</v>
      </c>
      <c r="B45" s="18" t="str">
        <f t="shared" si="0"/>
        <v>mINDRESP</v>
      </c>
      <c r="C45" s="18" t="s">
        <v>274</v>
      </c>
      <c r="D45" s="18" t="s">
        <v>444</v>
      </c>
      <c r="E45" s="18" t="s">
        <v>415</v>
      </c>
      <c r="F45" s="2">
        <v>13</v>
      </c>
      <c r="G45" s="2" t="s">
        <v>107</v>
      </c>
      <c r="H45" s="2">
        <v>2003</v>
      </c>
      <c r="I45" s="2" t="s">
        <v>424</v>
      </c>
      <c r="J45" s="2" t="s">
        <v>417</v>
      </c>
      <c r="K45" s="2" t="s">
        <v>418</v>
      </c>
      <c r="L45" s="8" t="s">
        <v>398</v>
      </c>
      <c r="M45" s="2" t="s">
        <v>8</v>
      </c>
      <c r="N45" s="2">
        <v>1</v>
      </c>
      <c r="O45" s="2">
        <v>7</v>
      </c>
      <c r="P45" s="2"/>
    </row>
    <row r="46" spans="1:16" ht="16.5" customHeight="1" x14ac:dyDescent="0.2">
      <c r="A46" s="18" t="s">
        <v>399</v>
      </c>
      <c r="B46" s="18" t="str">
        <f t="shared" si="0"/>
        <v>nINDRESP</v>
      </c>
      <c r="C46" s="18" t="s">
        <v>274</v>
      </c>
      <c r="D46" s="18" t="s">
        <v>444</v>
      </c>
      <c r="E46" s="18" t="s">
        <v>415</v>
      </c>
      <c r="F46" s="2">
        <v>14</v>
      </c>
      <c r="G46" s="2" t="s">
        <v>43</v>
      </c>
      <c r="H46" s="2">
        <v>2004</v>
      </c>
      <c r="I46" s="2" t="s">
        <v>425</v>
      </c>
      <c r="J46" s="2" t="s">
        <v>417</v>
      </c>
      <c r="K46" s="2" t="s">
        <v>418</v>
      </c>
      <c r="L46" s="8" t="s">
        <v>398</v>
      </c>
      <c r="M46" s="2" t="s">
        <v>8</v>
      </c>
      <c r="N46" s="2">
        <v>1</v>
      </c>
      <c r="O46" s="2">
        <v>7</v>
      </c>
      <c r="P46" s="2"/>
    </row>
    <row r="47" spans="1:16" ht="16.5" customHeight="1" x14ac:dyDescent="0.2">
      <c r="A47" s="18" t="s">
        <v>399</v>
      </c>
      <c r="B47" s="18" t="str">
        <f t="shared" si="0"/>
        <v>oINDRESP</v>
      </c>
      <c r="C47" s="18" t="s">
        <v>274</v>
      </c>
      <c r="D47" s="18" t="s">
        <v>444</v>
      </c>
      <c r="E47" s="18" t="s">
        <v>415</v>
      </c>
      <c r="F47" s="2">
        <v>15</v>
      </c>
      <c r="G47" s="2" t="s">
        <v>19</v>
      </c>
      <c r="H47" s="2">
        <v>2005</v>
      </c>
      <c r="I47" s="2" t="s">
        <v>426</v>
      </c>
      <c r="J47" s="2" t="s">
        <v>417</v>
      </c>
      <c r="K47" s="2" t="s">
        <v>418</v>
      </c>
      <c r="L47" s="8" t="s">
        <v>398</v>
      </c>
      <c r="M47" s="2" t="s">
        <v>8</v>
      </c>
      <c r="N47" s="2">
        <v>1</v>
      </c>
      <c r="O47" s="2">
        <v>7</v>
      </c>
      <c r="P47" s="2"/>
    </row>
    <row r="48" spans="1:16" ht="16.5" customHeight="1" x14ac:dyDescent="0.2">
      <c r="A48" s="18" t="s">
        <v>399</v>
      </c>
      <c r="B48" s="18" t="str">
        <f t="shared" si="0"/>
        <v>pINDRESP</v>
      </c>
      <c r="C48" s="18" t="s">
        <v>274</v>
      </c>
      <c r="D48" s="18" t="s">
        <v>444</v>
      </c>
      <c r="E48" s="18" t="s">
        <v>415</v>
      </c>
      <c r="F48" s="2">
        <v>16</v>
      </c>
      <c r="G48" s="2" t="s">
        <v>25</v>
      </c>
      <c r="H48" s="2">
        <v>2006</v>
      </c>
      <c r="I48" s="2" t="s">
        <v>427</v>
      </c>
      <c r="J48" s="2" t="s">
        <v>417</v>
      </c>
      <c r="K48" s="2" t="s">
        <v>418</v>
      </c>
      <c r="L48" s="8" t="s">
        <v>398</v>
      </c>
      <c r="M48" s="2" t="s">
        <v>8</v>
      </c>
      <c r="N48" s="2">
        <v>1</v>
      </c>
      <c r="O48" s="2">
        <v>7</v>
      </c>
      <c r="P48" s="2"/>
    </row>
    <row r="49" spans="1:16" ht="16.5" customHeight="1" x14ac:dyDescent="0.2">
      <c r="A49" s="18" t="s">
        <v>399</v>
      </c>
      <c r="B49" s="18" t="str">
        <f t="shared" si="0"/>
        <v>qINDRESP</v>
      </c>
      <c r="C49" s="18" t="s">
        <v>274</v>
      </c>
      <c r="D49" s="18" t="s">
        <v>444</v>
      </c>
      <c r="E49" s="18" t="s">
        <v>415</v>
      </c>
      <c r="F49" s="2">
        <v>17</v>
      </c>
      <c r="G49" s="2" t="s">
        <v>73</v>
      </c>
      <c r="H49" s="2">
        <v>2007</v>
      </c>
      <c r="I49" s="2" t="s">
        <v>428</v>
      </c>
      <c r="J49" s="2" t="s">
        <v>417</v>
      </c>
      <c r="K49" s="2" t="s">
        <v>418</v>
      </c>
      <c r="L49" s="8" t="s">
        <v>398</v>
      </c>
      <c r="M49" s="2" t="s">
        <v>8</v>
      </c>
      <c r="N49" s="2">
        <v>1</v>
      </c>
      <c r="O49" s="2">
        <v>7</v>
      </c>
      <c r="P49" s="2"/>
    </row>
    <row r="50" spans="1:16" ht="16.5" customHeight="1" x14ac:dyDescent="0.2">
      <c r="A50" s="18" t="s">
        <v>399</v>
      </c>
      <c r="B50" s="18" t="str">
        <f t="shared" si="0"/>
        <v>rINDRESP</v>
      </c>
      <c r="C50" s="18" t="s">
        <v>274</v>
      </c>
      <c r="D50" s="18" t="s">
        <v>444</v>
      </c>
      <c r="E50" s="18" t="s">
        <v>415</v>
      </c>
      <c r="F50" s="2">
        <v>18</v>
      </c>
      <c r="G50" s="2" t="s">
        <v>58</v>
      </c>
      <c r="H50" s="2">
        <v>2008</v>
      </c>
      <c r="I50" s="2" t="s">
        <v>429</v>
      </c>
      <c r="J50" s="2" t="s">
        <v>417</v>
      </c>
      <c r="K50" s="2" t="s">
        <v>418</v>
      </c>
      <c r="L50" s="8" t="s">
        <v>398</v>
      </c>
      <c r="M50" s="2" t="s">
        <v>8</v>
      </c>
      <c r="N50" s="2">
        <v>1</v>
      </c>
      <c r="O50" s="2">
        <v>7</v>
      </c>
      <c r="P50" s="2"/>
    </row>
    <row r="51" spans="1:16" ht="16.5" customHeight="1" x14ac:dyDescent="0.2">
      <c r="A51" s="19" t="s">
        <v>399</v>
      </c>
      <c r="B51" s="19" t="str">
        <f t="shared" si="0"/>
        <v>fINDRESP</v>
      </c>
      <c r="C51" s="19" t="s">
        <v>274</v>
      </c>
      <c r="D51" s="19" t="s">
        <v>238</v>
      </c>
      <c r="E51" s="19" t="s">
        <v>430</v>
      </c>
      <c r="F51" s="2">
        <v>6</v>
      </c>
      <c r="G51" s="2" t="s">
        <v>49</v>
      </c>
      <c r="H51" s="2">
        <v>1996</v>
      </c>
      <c r="I51" s="2" t="s">
        <v>431</v>
      </c>
      <c r="J51" s="2" t="s">
        <v>432</v>
      </c>
      <c r="K51" s="2" t="s">
        <v>402</v>
      </c>
      <c r="L51" s="8" t="s">
        <v>398</v>
      </c>
      <c r="M51" s="2" t="s">
        <v>8</v>
      </c>
      <c r="N51" s="2">
        <v>1</v>
      </c>
      <c r="O51" s="2">
        <v>7</v>
      </c>
      <c r="P51" s="2"/>
    </row>
    <row r="52" spans="1:16" ht="16.5" customHeight="1" x14ac:dyDescent="0.2">
      <c r="A52" s="19" t="s">
        <v>399</v>
      </c>
      <c r="B52" s="19" t="str">
        <f t="shared" si="0"/>
        <v>gINDRESP</v>
      </c>
      <c r="C52" s="19" t="s">
        <v>274</v>
      </c>
      <c r="D52" s="19" t="s">
        <v>238</v>
      </c>
      <c r="E52" s="19" t="s">
        <v>430</v>
      </c>
      <c r="F52" s="2">
        <v>7</v>
      </c>
      <c r="G52" s="2" t="s">
        <v>101</v>
      </c>
      <c r="H52" s="2">
        <v>1997</v>
      </c>
      <c r="I52" s="2" t="s">
        <v>433</v>
      </c>
      <c r="J52" s="2" t="s">
        <v>432</v>
      </c>
      <c r="K52" s="2" t="s">
        <v>402</v>
      </c>
      <c r="L52" s="8" t="s">
        <v>398</v>
      </c>
      <c r="M52" s="2" t="s">
        <v>8</v>
      </c>
      <c r="N52" s="2">
        <v>1</v>
      </c>
      <c r="O52" s="2">
        <v>7</v>
      </c>
      <c r="P52" s="2"/>
    </row>
    <row r="53" spans="1:16" ht="16.5" customHeight="1" x14ac:dyDescent="0.2">
      <c r="A53" s="19" t="s">
        <v>399</v>
      </c>
      <c r="B53" s="19" t="str">
        <f t="shared" si="0"/>
        <v>hINDRESP</v>
      </c>
      <c r="C53" s="19" t="s">
        <v>274</v>
      </c>
      <c r="D53" s="19" t="s">
        <v>238</v>
      </c>
      <c r="E53" s="19" t="s">
        <v>430</v>
      </c>
      <c r="F53" s="2">
        <v>8</v>
      </c>
      <c r="G53" s="2" t="s">
        <v>10</v>
      </c>
      <c r="H53" s="2">
        <v>1998</v>
      </c>
      <c r="I53" s="2" t="s">
        <v>434</v>
      </c>
      <c r="J53" s="2" t="s">
        <v>432</v>
      </c>
      <c r="K53" s="2" t="s">
        <v>402</v>
      </c>
      <c r="L53" s="8" t="s">
        <v>398</v>
      </c>
      <c r="M53" s="2" t="s">
        <v>8</v>
      </c>
      <c r="N53" s="2">
        <v>1</v>
      </c>
      <c r="O53" s="2">
        <v>7</v>
      </c>
      <c r="P53" s="2"/>
    </row>
    <row r="54" spans="1:16" ht="16.5" customHeight="1" x14ac:dyDescent="0.2">
      <c r="A54" s="19" t="s">
        <v>399</v>
      </c>
      <c r="B54" s="19" t="str">
        <f t="shared" si="0"/>
        <v>iINDRESP</v>
      </c>
      <c r="C54" s="19" t="s">
        <v>274</v>
      </c>
      <c r="D54" s="19" t="s">
        <v>238</v>
      </c>
      <c r="E54" s="19" t="s">
        <v>430</v>
      </c>
      <c r="F54" s="2">
        <v>9</v>
      </c>
      <c r="G54" s="2" t="s">
        <v>55</v>
      </c>
      <c r="H54" s="2">
        <v>1999</v>
      </c>
      <c r="I54" s="2" t="s">
        <v>435</v>
      </c>
      <c r="J54" s="2" t="s">
        <v>432</v>
      </c>
      <c r="K54" s="2" t="s">
        <v>402</v>
      </c>
      <c r="L54" s="8" t="s">
        <v>398</v>
      </c>
      <c r="M54" s="2" t="s">
        <v>8</v>
      </c>
      <c r="N54" s="2">
        <v>1</v>
      </c>
      <c r="O54" s="2">
        <v>7</v>
      </c>
      <c r="P54" s="2"/>
    </row>
    <row r="55" spans="1:16" ht="16.5" customHeight="1" x14ac:dyDescent="0.2">
      <c r="A55" s="19" t="s">
        <v>399</v>
      </c>
      <c r="B55" s="19" t="str">
        <f t="shared" si="0"/>
        <v>jINDRESP</v>
      </c>
      <c r="C55" s="19" t="s">
        <v>274</v>
      </c>
      <c r="D55" s="19" t="s">
        <v>238</v>
      </c>
      <c r="E55" s="19" t="s">
        <v>430</v>
      </c>
      <c r="F55" s="2">
        <v>10</v>
      </c>
      <c r="G55" s="2" t="s">
        <v>98</v>
      </c>
      <c r="H55" s="2">
        <v>2000</v>
      </c>
      <c r="I55" s="2" t="s">
        <v>436</v>
      </c>
      <c r="J55" s="2" t="s">
        <v>432</v>
      </c>
      <c r="K55" s="2" t="s">
        <v>402</v>
      </c>
      <c r="L55" s="8" t="s">
        <v>398</v>
      </c>
      <c r="M55" s="2" t="s">
        <v>8</v>
      </c>
      <c r="N55" s="2">
        <v>1</v>
      </c>
      <c r="O55" s="2">
        <v>7</v>
      </c>
      <c r="P55" s="2"/>
    </row>
    <row r="56" spans="1:16" ht="16.5" customHeight="1" x14ac:dyDescent="0.2">
      <c r="A56" s="19" t="s">
        <v>399</v>
      </c>
      <c r="B56" s="19" t="str">
        <f t="shared" si="0"/>
        <v>lINDRESP</v>
      </c>
      <c r="C56" s="19" t="s">
        <v>274</v>
      </c>
      <c r="D56" s="19" t="s">
        <v>238</v>
      </c>
      <c r="E56" s="19" t="s">
        <v>430</v>
      </c>
      <c r="F56" s="2">
        <v>12</v>
      </c>
      <c r="G56" s="2" t="s">
        <v>89</v>
      </c>
      <c r="H56" s="2">
        <v>2002</v>
      </c>
      <c r="I56" s="2" t="s">
        <v>437</v>
      </c>
      <c r="J56" s="2" t="s">
        <v>432</v>
      </c>
      <c r="K56" s="2" t="s">
        <v>402</v>
      </c>
      <c r="L56" s="8" t="s">
        <v>398</v>
      </c>
      <c r="M56" s="2" t="s">
        <v>8</v>
      </c>
      <c r="N56" s="2">
        <v>1</v>
      </c>
      <c r="O56" s="2">
        <v>7</v>
      </c>
      <c r="P56" s="2"/>
    </row>
    <row r="57" spans="1:16" ht="16.5" customHeight="1" x14ac:dyDescent="0.2">
      <c r="A57" s="19" t="s">
        <v>399</v>
      </c>
      <c r="B57" s="19" t="str">
        <f t="shared" si="0"/>
        <v>mINDRESP</v>
      </c>
      <c r="C57" s="19" t="s">
        <v>274</v>
      </c>
      <c r="D57" s="19" t="s">
        <v>238</v>
      </c>
      <c r="E57" s="19" t="s">
        <v>430</v>
      </c>
      <c r="F57" s="2">
        <v>13</v>
      </c>
      <c r="G57" s="2" t="s">
        <v>107</v>
      </c>
      <c r="H57" s="2">
        <v>2003</v>
      </c>
      <c r="I57" s="2" t="s">
        <v>438</v>
      </c>
      <c r="J57" s="2" t="s">
        <v>432</v>
      </c>
      <c r="K57" s="2" t="s">
        <v>402</v>
      </c>
      <c r="L57" s="8" t="s">
        <v>398</v>
      </c>
      <c r="M57" s="2" t="s">
        <v>8</v>
      </c>
      <c r="N57" s="2">
        <v>1</v>
      </c>
      <c r="O57" s="2">
        <v>7</v>
      </c>
      <c r="P57" s="2"/>
    </row>
    <row r="58" spans="1:16" ht="16.5" customHeight="1" x14ac:dyDescent="0.2">
      <c r="A58" s="19" t="s">
        <v>399</v>
      </c>
      <c r="B58" s="19" t="str">
        <f t="shared" si="0"/>
        <v>nINDRESP</v>
      </c>
      <c r="C58" s="19" t="s">
        <v>274</v>
      </c>
      <c r="D58" s="19" t="s">
        <v>238</v>
      </c>
      <c r="E58" s="19" t="s">
        <v>430</v>
      </c>
      <c r="F58" s="2">
        <v>14</v>
      </c>
      <c r="G58" s="2" t="s">
        <v>43</v>
      </c>
      <c r="H58" s="2">
        <v>2004</v>
      </c>
      <c r="I58" s="2" t="s">
        <v>439</v>
      </c>
      <c r="J58" s="2" t="s">
        <v>432</v>
      </c>
      <c r="K58" s="2" t="s">
        <v>402</v>
      </c>
      <c r="L58" s="8" t="s">
        <v>398</v>
      </c>
      <c r="M58" s="2" t="s">
        <v>8</v>
      </c>
      <c r="N58" s="2">
        <v>1</v>
      </c>
      <c r="O58" s="2">
        <v>7</v>
      </c>
      <c r="P58" s="2"/>
    </row>
    <row r="59" spans="1:16" ht="16.5" customHeight="1" x14ac:dyDescent="0.2">
      <c r="A59" s="19" t="s">
        <v>399</v>
      </c>
      <c r="B59" s="19" t="str">
        <f t="shared" si="0"/>
        <v>oINDRESP</v>
      </c>
      <c r="C59" s="19" t="s">
        <v>274</v>
      </c>
      <c r="D59" s="19" t="s">
        <v>238</v>
      </c>
      <c r="E59" s="19" t="s">
        <v>430</v>
      </c>
      <c r="F59" s="2">
        <v>15</v>
      </c>
      <c r="G59" s="2" t="s">
        <v>19</v>
      </c>
      <c r="H59" s="2">
        <v>2005</v>
      </c>
      <c r="I59" s="2" t="s">
        <v>440</v>
      </c>
      <c r="J59" s="2" t="s">
        <v>432</v>
      </c>
      <c r="K59" s="2" t="s">
        <v>402</v>
      </c>
      <c r="L59" s="8" t="s">
        <v>398</v>
      </c>
      <c r="M59" s="2" t="s">
        <v>8</v>
      </c>
      <c r="N59" s="2">
        <v>1</v>
      </c>
      <c r="O59" s="2">
        <v>7</v>
      </c>
      <c r="P59" s="2"/>
    </row>
    <row r="60" spans="1:16" ht="16.5" customHeight="1" x14ac:dyDescent="0.2">
      <c r="A60" s="19" t="s">
        <v>399</v>
      </c>
      <c r="B60" s="19" t="str">
        <f t="shared" si="0"/>
        <v>pINDRESP</v>
      </c>
      <c r="C60" s="19" t="s">
        <v>274</v>
      </c>
      <c r="D60" s="19" t="s">
        <v>238</v>
      </c>
      <c r="E60" s="19" t="s">
        <v>430</v>
      </c>
      <c r="F60" s="2">
        <v>16</v>
      </c>
      <c r="G60" s="2" t="s">
        <v>25</v>
      </c>
      <c r="H60" s="2">
        <v>2006</v>
      </c>
      <c r="I60" s="2" t="s">
        <v>441</v>
      </c>
      <c r="J60" s="2" t="s">
        <v>432</v>
      </c>
      <c r="K60" s="2" t="s">
        <v>402</v>
      </c>
      <c r="L60" s="8" t="s">
        <v>398</v>
      </c>
      <c r="M60" s="2" t="s">
        <v>8</v>
      </c>
      <c r="N60" s="2">
        <v>1</v>
      </c>
      <c r="O60" s="2">
        <v>7</v>
      </c>
      <c r="P60" s="2"/>
    </row>
    <row r="61" spans="1:16" ht="16.5" customHeight="1" x14ac:dyDescent="0.2">
      <c r="A61" s="19" t="s">
        <v>399</v>
      </c>
      <c r="B61" s="19" t="str">
        <f t="shared" si="0"/>
        <v>qINDRESP</v>
      </c>
      <c r="C61" s="19" t="s">
        <v>274</v>
      </c>
      <c r="D61" s="19" t="s">
        <v>238</v>
      </c>
      <c r="E61" s="19" t="s">
        <v>430</v>
      </c>
      <c r="F61" s="2">
        <v>17</v>
      </c>
      <c r="G61" s="2" t="s">
        <v>73</v>
      </c>
      <c r="H61" s="2">
        <v>2007</v>
      </c>
      <c r="I61" s="2" t="s">
        <v>442</v>
      </c>
      <c r="J61" s="2" t="s">
        <v>432</v>
      </c>
      <c r="K61" s="2" t="s">
        <v>402</v>
      </c>
      <c r="L61" s="8" t="s">
        <v>398</v>
      </c>
      <c r="M61" s="2" t="s">
        <v>8</v>
      </c>
      <c r="N61" s="2">
        <v>1</v>
      </c>
      <c r="O61" s="2">
        <v>7</v>
      </c>
      <c r="P61" s="2"/>
    </row>
    <row r="62" spans="1:16" ht="16.5" customHeight="1" x14ac:dyDescent="0.2">
      <c r="A62" s="19" t="s">
        <v>399</v>
      </c>
      <c r="B62" s="19" t="str">
        <f t="shared" si="0"/>
        <v>rINDRESP</v>
      </c>
      <c r="C62" s="19" t="s">
        <v>274</v>
      </c>
      <c r="D62" s="19" t="s">
        <v>238</v>
      </c>
      <c r="E62" s="19" t="s">
        <v>430</v>
      </c>
      <c r="F62" s="2">
        <v>18</v>
      </c>
      <c r="G62" s="2" t="s">
        <v>58</v>
      </c>
      <c r="H62" s="2">
        <v>2008</v>
      </c>
      <c r="I62" s="2" t="s">
        <v>443</v>
      </c>
      <c r="J62" s="2" t="s">
        <v>432</v>
      </c>
      <c r="K62" s="2" t="s">
        <v>402</v>
      </c>
      <c r="L62" s="8" t="s">
        <v>398</v>
      </c>
      <c r="M62" s="2" t="s">
        <v>8</v>
      </c>
      <c r="N62" s="2">
        <v>1</v>
      </c>
      <c r="O62" s="2">
        <v>7</v>
      </c>
      <c r="P62" s="2"/>
    </row>
    <row r="63" spans="1:16" x14ac:dyDescent="0.2">
      <c r="A63" s="19" t="s">
        <v>399</v>
      </c>
      <c r="B63" s="19" t="str">
        <f t="shared" si="0"/>
        <v>fINDRESP</v>
      </c>
      <c r="C63" s="19" t="s">
        <v>274</v>
      </c>
      <c r="D63" s="19" t="s">
        <v>362</v>
      </c>
      <c r="E63" s="19" t="s">
        <v>445</v>
      </c>
      <c r="F63" s="2">
        <v>6</v>
      </c>
      <c r="G63" s="2" t="s">
        <v>49</v>
      </c>
      <c r="H63" s="2">
        <v>1996</v>
      </c>
      <c r="I63" t="str">
        <f>G63&amp;"lfsat5"</f>
        <v>flfsat5</v>
      </c>
      <c r="J63" s="2" t="s">
        <v>446</v>
      </c>
      <c r="K63" s="2" t="s">
        <v>402</v>
      </c>
      <c r="L63" s="8" t="s">
        <v>398</v>
      </c>
      <c r="M63" s="2" t="s">
        <v>8</v>
      </c>
      <c r="N63" s="2">
        <v>1</v>
      </c>
      <c r="O63" s="2">
        <v>7</v>
      </c>
      <c r="P63" s="2"/>
    </row>
    <row r="64" spans="1:16" x14ac:dyDescent="0.2">
      <c r="A64" s="18" t="s">
        <v>399</v>
      </c>
      <c r="B64" s="18" t="str">
        <f t="shared" si="0"/>
        <v>gINDRESP</v>
      </c>
      <c r="C64" s="18" t="s">
        <v>274</v>
      </c>
      <c r="D64" s="18" t="s">
        <v>362</v>
      </c>
      <c r="E64" s="18" t="s">
        <v>445</v>
      </c>
      <c r="F64" s="2">
        <v>7</v>
      </c>
      <c r="G64" s="2" t="s">
        <v>101</v>
      </c>
      <c r="H64" s="2">
        <v>1997</v>
      </c>
      <c r="I64" t="str">
        <f t="shared" ref="I64:I74" si="1">G64&amp;"lfsat5"</f>
        <v>glfsat5</v>
      </c>
      <c r="J64" s="2" t="s">
        <v>446</v>
      </c>
      <c r="K64" s="2" t="s">
        <v>402</v>
      </c>
      <c r="L64" s="8" t="s">
        <v>398</v>
      </c>
      <c r="M64" s="2" t="s">
        <v>8</v>
      </c>
      <c r="N64" s="2">
        <v>1</v>
      </c>
      <c r="O64" s="2">
        <v>7</v>
      </c>
      <c r="P64" s="2"/>
    </row>
    <row r="65" spans="1:16" x14ac:dyDescent="0.2">
      <c r="A65" s="18" t="s">
        <v>399</v>
      </c>
      <c r="B65" s="18" t="str">
        <f t="shared" si="0"/>
        <v>hINDRESP</v>
      </c>
      <c r="C65" s="18" t="s">
        <v>274</v>
      </c>
      <c r="D65" s="18" t="s">
        <v>362</v>
      </c>
      <c r="E65" s="18" t="s">
        <v>445</v>
      </c>
      <c r="F65" s="2">
        <v>8</v>
      </c>
      <c r="G65" s="2" t="s">
        <v>10</v>
      </c>
      <c r="H65" s="2">
        <v>1998</v>
      </c>
      <c r="I65" t="str">
        <f t="shared" si="1"/>
        <v>hlfsat5</v>
      </c>
      <c r="J65" s="2" t="s">
        <v>446</v>
      </c>
      <c r="K65" s="2" t="s">
        <v>402</v>
      </c>
      <c r="L65" s="8" t="s">
        <v>398</v>
      </c>
      <c r="M65" s="2" t="s">
        <v>8</v>
      </c>
      <c r="N65" s="2">
        <v>1</v>
      </c>
      <c r="O65" s="2">
        <v>7</v>
      </c>
      <c r="P65" s="2"/>
    </row>
    <row r="66" spans="1:16" x14ac:dyDescent="0.2">
      <c r="A66" s="18" t="s">
        <v>399</v>
      </c>
      <c r="B66" s="18" t="str">
        <f t="shared" si="0"/>
        <v>iINDRESP</v>
      </c>
      <c r="C66" s="18" t="s">
        <v>274</v>
      </c>
      <c r="D66" s="18" t="s">
        <v>362</v>
      </c>
      <c r="E66" s="18" t="s">
        <v>445</v>
      </c>
      <c r="F66" s="2">
        <v>9</v>
      </c>
      <c r="G66" s="2" t="s">
        <v>55</v>
      </c>
      <c r="H66" s="2">
        <v>1999</v>
      </c>
      <c r="I66" t="str">
        <f t="shared" si="1"/>
        <v>ilfsat5</v>
      </c>
      <c r="J66" s="2" t="s">
        <v>446</v>
      </c>
      <c r="K66" s="2" t="s">
        <v>402</v>
      </c>
      <c r="L66" s="8" t="s">
        <v>398</v>
      </c>
      <c r="M66" s="2" t="s">
        <v>8</v>
      </c>
      <c r="N66" s="2">
        <v>1</v>
      </c>
      <c r="O66" s="2">
        <v>7</v>
      </c>
      <c r="P66" s="2"/>
    </row>
    <row r="67" spans="1:16" x14ac:dyDescent="0.2">
      <c r="A67" s="18" t="s">
        <v>399</v>
      </c>
      <c r="B67" s="18" t="str">
        <f t="shared" si="0"/>
        <v>jINDRESP</v>
      </c>
      <c r="C67" s="18" t="s">
        <v>274</v>
      </c>
      <c r="D67" s="18" t="s">
        <v>362</v>
      </c>
      <c r="E67" s="18" t="s">
        <v>445</v>
      </c>
      <c r="F67" s="2">
        <v>10</v>
      </c>
      <c r="G67" s="2" t="s">
        <v>98</v>
      </c>
      <c r="H67" s="2">
        <v>2000</v>
      </c>
      <c r="I67" t="str">
        <f t="shared" si="1"/>
        <v>jlfsat5</v>
      </c>
      <c r="J67" s="2" t="s">
        <v>446</v>
      </c>
      <c r="K67" s="2" t="s">
        <v>402</v>
      </c>
      <c r="L67" s="8" t="s">
        <v>398</v>
      </c>
      <c r="M67" s="2" t="s">
        <v>8</v>
      </c>
      <c r="N67" s="2">
        <v>1</v>
      </c>
      <c r="O67" s="2">
        <v>7</v>
      </c>
      <c r="P67" s="2"/>
    </row>
    <row r="68" spans="1:16" x14ac:dyDescent="0.2">
      <c r="A68" s="18" t="s">
        <v>399</v>
      </c>
      <c r="B68" s="18" t="str">
        <f t="shared" si="0"/>
        <v>lINDRESP</v>
      </c>
      <c r="C68" s="18" t="s">
        <v>274</v>
      </c>
      <c r="D68" s="18" t="s">
        <v>362</v>
      </c>
      <c r="E68" s="18" t="s">
        <v>445</v>
      </c>
      <c r="F68" s="2">
        <v>12</v>
      </c>
      <c r="G68" s="2" t="s">
        <v>89</v>
      </c>
      <c r="H68" s="2">
        <v>2002</v>
      </c>
      <c r="I68" t="str">
        <f t="shared" si="1"/>
        <v>llfsat5</v>
      </c>
      <c r="J68" s="2" t="s">
        <v>446</v>
      </c>
      <c r="K68" s="2" t="s">
        <v>402</v>
      </c>
      <c r="L68" s="8" t="s">
        <v>398</v>
      </c>
      <c r="M68" s="2" t="s">
        <v>8</v>
      </c>
      <c r="N68" s="2">
        <v>1</v>
      </c>
      <c r="O68" s="2">
        <v>7</v>
      </c>
      <c r="P68" s="2"/>
    </row>
    <row r="69" spans="1:16" x14ac:dyDescent="0.2">
      <c r="A69" s="18" t="s">
        <v>399</v>
      </c>
      <c r="B69" s="18" t="str">
        <f t="shared" si="0"/>
        <v>mINDRESP</v>
      </c>
      <c r="C69" s="18" t="s">
        <v>274</v>
      </c>
      <c r="D69" s="18" t="s">
        <v>362</v>
      </c>
      <c r="E69" s="18" t="s">
        <v>445</v>
      </c>
      <c r="F69" s="2">
        <v>13</v>
      </c>
      <c r="G69" s="2" t="s">
        <v>107</v>
      </c>
      <c r="H69" s="2">
        <v>2003</v>
      </c>
      <c r="I69" t="str">
        <f t="shared" si="1"/>
        <v>mlfsat5</v>
      </c>
      <c r="J69" s="2" t="s">
        <v>446</v>
      </c>
      <c r="K69" s="2" t="s">
        <v>402</v>
      </c>
      <c r="L69" s="8" t="s">
        <v>398</v>
      </c>
      <c r="M69" s="2" t="s">
        <v>8</v>
      </c>
      <c r="N69" s="2">
        <v>1</v>
      </c>
      <c r="O69" s="2">
        <v>7</v>
      </c>
      <c r="P69" s="2"/>
    </row>
    <row r="70" spans="1:16" x14ac:dyDescent="0.2">
      <c r="A70" s="18" t="s">
        <v>399</v>
      </c>
      <c r="B70" s="18" t="str">
        <f t="shared" si="0"/>
        <v>nINDRESP</v>
      </c>
      <c r="C70" s="18" t="s">
        <v>274</v>
      </c>
      <c r="D70" s="18" t="s">
        <v>362</v>
      </c>
      <c r="E70" s="18" t="s">
        <v>445</v>
      </c>
      <c r="F70" s="2">
        <v>14</v>
      </c>
      <c r="G70" s="2" t="s">
        <v>43</v>
      </c>
      <c r="H70" s="2">
        <v>2004</v>
      </c>
      <c r="I70" t="str">
        <f t="shared" si="1"/>
        <v>nlfsat5</v>
      </c>
      <c r="J70" s="2" t="s">
        <v>446</v>
      </c>
      <c r="K70" s="2" t="s">
        <v>402</v>
      </c>
      <c r="L70" s="8" t="s">
        <v>398</v>
      </c>
      <c r="M70" s="2" t="s">
        <v>8</v>
      </c>
      <c r="N70" s="2">
        <v>1</v>
      </c>
      <c r="O70" s="2">
        <v>7</v>
      </c>
      <c r="P70" s="2"/>
    </row>
    <row r="71" spans="1:16" x14ac:dyDescent="0.2">
      <c r="A71" s="18" t="s">
        <v>399</v>
      </c>
      <c r="B71" s="18" t="str">
        <f t="shared" si="0"/>
        <v>oINDRESP</v>
      </c>
      <c r="C71" s="18" t="s">
        <v>274</v>
      </c>
      <c r="D71" s="18" t="s">
        <v>362</v>
      </c>
      <c r="E71" s="18" t="s">
        <v>445</v>
      </c>
      <c r="F71" s="2">
        <v>15</v>
      </c>
      <c r="G71" s="2" t="s">
        <v>19</v>
      </c>
      <c r="H71" s="2">
        <v>2005</v>
      </c>
      <c r="I71" t="str">
        <f t="shared" si="1"/>
        <v>olfsat5</v>
      </c>
      <c r="J71" s="2" t="s">
        <v>446</v>
      </c>
      <c r="K71" s="2" t="s">
        <v>402</v>
      </c>
      <c r="L71" s="8" t="s">
        <v>398</v>
      </c>
      <c r="M71" s="2" t="s">
        <v>8</v>
      </c>
      <c r="N71" s="2">
        <v>1</v>
      </c>
      <c r="O71" s="2">
        <v>7</v>
      </c>
      <c r="P71" s="2"/>
    </row>
    <row r="72" spans="1:16" x14ac:dyDescent="0.2">
      <c r="A72" s="18" t="s">
        <v>399</v>
      </c>
      <c r="B72" s="18" t="str">
        <f t="shared" si="0"/>
        <v>pINDRESP</v>
      </c>
      <c r="C72" s="18" t="s">
        <v>274</v>
      </c>
      <c r="D72" s="18" t="s">
        <v>362</v>
      </c>
      <c r="E72" s="18" t="s">
        <v>445</v>
      </c>
      <c r="F72" s="2">
        <v>16</v>
      </c>
      <c r="G72" s="2" t="s">
        <v>25</v>
      </c>
      <c r="H72" s="2">
        <v>2006</v>
      </c>
      <c r="I72" t="str">
        <f t="shared" si="1"/>
        <v>plfsat5</v>
      </c>
      <c r="J72" s="2" t="s">
        <v>446</v>
      </c>
      <c r="K72" s="2" t="s">
        <v>402</v>
      </c>
      <c r="L72" s="8" t="s">
        <v>398</v>
      </c>
      <c r="M72" s="2" t="s">
        <v>8</v>
      </c>
      <c r="N72" s="2">
        <v>1</v>
      </c>
      <c r="O72" s="2">
        <v>7</v>
      </c>
      <c r="P72" s="2"/>
    </row>
    <row r="73" spans="1:16" x14ac:dyDescent="0.2">
      <c r="A73" s="18" t="s">
        <v>399</v>
      </c>
      <c r="B73" s="18" t="str">
        <f t="shared" si="0"/>
        <v>qINDRESP</v>
      </c>
      <c r="C73" s="18" t="s">
        <v>274</v>
      </c>
      <c r="D73" s="18" t="s">
        <v>362</v>
      </c>
      <c r="E73" s="18" t="s">
        <v>445</v>
      </c>
      <c r="F73" s="2">
        <v>17</v>
      </c>
      <c r="G73" s="2" t="s">
        <v>73</v>
      </c>
      <c r="H73" s="2">
        <v>2007</v>
      </c>
      <c r="I73" t="str">
        <f t="shared" si="1"/>
        <v>qlfsat5</v>
      </c>
      <c r="J73" s="2" t="s">
        <v>446</v>
      </c>
      <c r="K73" s="2" t="s">
        <v>402</v>
      </c>
      <c r="L73" s="8" t="s">
        <v>398</v>
      </c>
      <c r="M73" s="2" t="s">
        <v>8</v>
      </c>
      <c r="N73" s="2">
        <v>1</v>
      </c>
      <c r="O73" s="2">
        <v>7</v>
      </c>
      <c r="P73" s="2"/>
    </row>
    <row r="74" spans="1:16" x14ac:dyDescent="0.2">
      <c r="A74" s="18" t="s">
        <v>399</v>
      </c>
      <c r="B74" s="18" t="str">
        <f t="shared" si="0"/>
        <v>rINDRESP</v>
      </c>
      <c r="C74" s="18" t="s">
        <v>274</v>
      </c>
      <c r="D74" s="18" t="s">
        <v>362</v>
      </c>
      <c r="E74" s="18" t="s">
        <v>445</v>
      </c>
      <c r="F74" s="2">
        <v>18</v>
      </c>
      <c r="G74" s="2" t="s">
        <v>58</v>
      </c>
      <c r="H74" s="2">
        <v>2008</v>
      </c>
      <c r="I74" t="str">
        <f t="shared" si="1"/>
        <v>rlfsat5</v>
      </c>
      <c r="J74" s="2" t="s">
        <v>446</v>
      </c>
      <c r="K74" s="2" t="s">
        <v>402</v>
      </c>
      <c r="L74" s="8" t="s">
        <v>398</v>
      </c>
      <c r="M74" s="2" t="s">
        <v>8</v>
      </c>
      <c r="N74" s="2">
        <v>1</v>
      </c>
      <c r="O74" s="2">
        <v>7</v>
      </c>
      <c r="P74" s="2"/>
    </row>
    <row r="75" spans="1:16" x14ac:dyDescent="0.2">
      <c r="A75" s="19" t="s">
        <v>399</v>
      </c>
      <c r="B75" s="19" t="str">
        <f t="shared" ref="B75:B86" si="2">_xlfn.CONCAT(G75,"INDRESP")</f>
        <v>fINDRESP</v>
      </c>
      <c r="C75" s="19" t="s">
        <v>274</v>
      </c>
      <c r="D75" s="19" t="s">
        <v>447</v>
      </c>
      <c r="E75" s="19" t="s">
        <v>448</v>
      </c>
      <c r="F75" s="2">
        <v>6</v>
      </c>
      <c r="G75" s="2" t="s">
        <v>49</v>
      </c>
      <c r="H75" s="2">
        <v>1996</v>
      </c>
      <c r="I75" t="str">
        <f>G75&amp;"lfsat7"</f>
        <v>flfsat7</v>
      </c>
      <c r="J75" s="2" t="s">
        <v>449</v>
      </c>
      <c r="K75" s="2" t="s">
        <v>402</v>
      </c>
      <c r="L75" s="8" t="s">
        <v>398</v>
      </c>
      <c r="M75" s="2" t="s">
        <v>8</v>
      </c>
      <c r="N75" s="2">
        <v>1</v>
      </c>
      <c r="O75" s="2">
        <v>7</v>
      </c>
    </row>
    <row r="76" spans="1:16" x14ac:dyDescent="0.2">
      <c r="A76" s="19" t="s">
        <v>399</v>
      </c>
      <c r="B76" s="19" t="str">
        <f t="shared" si="2"/>
        <v>gINDRESP</v>
      </c>
      <c r="C76" s="19" t="s">
        <v>274</v>
      </c>
      <c r="D76" s="19" t="s">
        <v>447</v>
      </c>
      <c r="E76" s="19" t="s">
        <v>448</v>
      </c>
      <c r="F76" s="2">
        <v>7</v>
      </c>
      <c r="G76" s="2" t="s">
        <v>101</v>
      </c>
      <c r="H76" s="2">
        <v>1997</v>
      </c>
      <c r="I76" t="str">
        <f t="shared" ref="I76:I86" si="3">G76&amp;"lfsat7"</f>
        <v>glfsat7</v>
      </c>
      <c r="J76" s="2" t="s">
        <v>449</v>
      </c>
      <c r="K76" s="2" t="s">
        <v>402</v>
      </c>
      <c r="L76" s="8" t="s">
        <v>398</v>
      </c>
      <c r="M76" s="2" t="s">
        <v>8</v>
      </c>
      <c r="N76" s="2">
        <v>1</v>
      </c>
      <c r="O76" s="2">
        <v>7</v>
      </c>
    </row>
    <row r="77" spans="1:16" x14ac:dyDescent="0.2">
      <c r="A77" s="19" t="s">
        <v>399</v>
      </c>
      <c r="B77" s="19" t="str">
        <f t="shared" si="2"/>
        <v>hINDRESP</v>
      </c>
      <c r="C77" s="19" t="s">
        <v>274</v>
      </c>
      <c r="D77" s="19" t="s">
        <v>447</v>
      </c>
      <c r="E77" s="19" t="s">
        <v>448</v>
      </c>
      <c r="F77" s="2">
        <v>8</v>
      </c>
      <c r="G77" s="2" t="s">
        <v>10</v>
      </c>
      <c r="H77" s="2">
        <v>1998</v>
      </c>
      <c r="I77" t="str">
        <f t="shared" si="3"/>
        <v>hlfsat7</v>
      </c>
      <c r="J77" s="2" t="s">
        <v>449</v>
      </c>
      <c r="K77" s="2" t="s">
        <v>402</v>
      </c>
      <c r="L77" s="8" t="s">
        <v>398</v>
      </c>
      <c r="M77" s="2" t="s">
        <v>8</v>
      </c>
      <c r="N77" s="2">
        <v>1</v>
      </c>
      <c r="O77" s="2">
        <v>7</v>
      </c>
    </row>
    <row r="78" spans="1:16" x14ac:dyDescent="0.2">
      <c r="A78" s="19" t="s">
        <v>399</v>
      </c>
      <c r="B78" s="19" t="str">
        <f t="shared" si="2"/>
        <v>iINDRESP</v>
      </c>
      <c r="C78" s="19" t="s">
        <v>274</v>
      </c>
      <c r="D78" s="19" t="s">
        <v>447</v>
      </c>
      <c r="E78" s="19" t="s">
        <v>448</v>
      </c>
      <c r="F78" s="2">
        <v>9</v>
      </c>
      <c r="G78" s="2" t="s">
        <v>55</v>
      </c>
      <c r="H78" s="2">
        <v>1999</v>
      </c>
      <c r="I78" t="str">
        <f t="shared" si="3"/>
        <v>ilfsat7</v>
      </c>
      <c r="J78" s="2" t="s">
        <v>449</v>
      </c>
      <c r="K78" s="2" t="s">
        <v>402</v>
      </c>
      <c r="L78" s="8" t="s">
        <v>398</v>
      </c>
      <c r="M78" s="2" t="s">
        <v>8</v>
      </c>
      <c r="N78" s="2">
        <v>1</v>
      </c>
      <c r="O78" s="2">
        <v>7</v>
      </c>
    </row>
    <row r="79" spans="1:16" x14ac:dyDescent="0.2">
      <c r="A79" s="19" t="s">
        <v>399</v>
      </c>
      <c r="B79" s="19" t="str">
        <f t="shared" si="2"/>
        <v>jINDRESP</v>
      </c>
      <c r="C79" s="19" t="s">
        <v>274</v>
      </c>
      <c r="D79" s="19" t="s">
        <v>447</v>
      </c>
      <c r="E79" s="19" t="s">
        <v>448</v>
      </c>
      <c r="F79" s="2">
        <v>10</v>
      </c>
      <c r="G79" s="2" t="s">
        <v>98</v>
      </c>
      <c r="H79" s="2">
        <v>2000</v>
      </c>
      <c r="I79" t="str">
        <f t="shared" si="3"/>
        <v>jlfsat7</v>
      </c>
      <c r="J79" s="2" t="s">
        <v>449</v>
      </c>
      <c r="K79" s="2" t="s">
        <v>402</v>
      </c>
      <c r="L79" s="8" t="s">
        <v>398</v>
      </c>
      <c r="M79" s="2" t="s">
        <v>8</v>
      </c>
      <c r="N79" s="2">
        <v>1</v>
      </c>
      <c r="O79" s="2">
        <v>7</v>
      </c>
    </row>
    <row r="80" spans="1:16" x14ac:dyDescent="0.2">
      <c r="A80" s="19" t="s">
        <v>399</v>
      </c>
      <c r="B80" s="19" t="str">
        <f t="shared" si="2"/>
        <v>lINDRESP</v>
      </c>
      <c r="C80" s="19" t="s">
        <v>274</v>
      </c>
      <c r="D80" s="19" t="s">
        <v>447</v>
      </c>
      <c r="E80" s="19" t="s">
        <v>448</v>
      </c>
      <c r="F80" s="2">
        <v>12</v>
      </c>
      <c r="G80" s="2" t="s">
        <v>89</v>
      </c>
      <c r="H80" s="2">
        <v>2002</v>
      </c>
      <c r="I80" t="str">
        <f t="shared" si="3"/>
        <v>llfsat7</v>
      </c>
      <c r="J80" s="2" t="s">
        <v>449</v>
      </c>
      <c r="K80" s="2" t="s">
        <v>402</v>
      </c>
      <c r="L80" s="8" t="s">
        <v>398</v>
      </c>
      <c r="M80" s="2" t="s">
        <v>8</v>
      </c>
      <c r="N80" s="2">
        <v>1</v>
      </c>
      <c r="O80" s="2">
        <v>7</v>
      </c>
    </row>
    <row r="81" spans="1:15" x14ac:dyDescent="0.2">
      <c r="A81" s="19" t="s">
        <v>399</v>
      </c>
      <c r="B81" s="19" t="str">
        <f t="shared" si="2"/>
        <v>mINDRESP</v>
      </c>
      <c r="C81" s="19" t="s">
        <v>274</v>
      </c>
      <c r="D81" s="19" t="s">
        <v>447</v>
      </c>
      <c r="E81" s="19" t="s">
        <v>448</v>
      </c>
      <c r="F81" s="2">
        <v>13</v>
      </c>
      <c r="G81" s="2" t="s">
        <v>107</v>
      </c>
      <c r="H81" s="2">
        <v>2003</v>
      </c>
      <c r="I81" t="str">
        <f t="shared" si="3"/>
        <v>mlfsat7</v>
      </c>
      <c r="J81" s="2" t="s">
        <v>449</v>
      </c>
      <c r="K81" s="2" t="s">
        <v>402</v>
      </c>
      <c r="L81" s="8" t="s">
        <v>398</v>
      </c>
      <c r="M81" s="2" t="s">
        <v>8</v>
      </c>
      <c r="N81" s="2">
        <v>1</v>
      </c>
      <c r="O81" s="2">
        <v>7</v>
      </c>
    </row>
    <row r="82" spans="1:15" x14ac:dyDescent="0.2">
      <c r="A82" s="19" t="s">
        <v>399</v>
      </c>
      <c r="B82" s="19" t="str">
        <f t="shared" si="2"/>
        <v>nINDRESP</v>
      </c>
      <c r="C82" s="19" t="s">
        <v>274</v>
      </c>
      <c r="D82" s="19" t="s">
        <v>447</v>
      </c>
      <c r="E82" s="19" t="s">
        <v>448</v>
      </c>
      <c r="F82" s="2">
        <v>14</v>
      </c>
      <c r="G82" s="2" t="s">
        <v>43</v>
      </c>
      <c r="H82" s="2">
        <v>2004</v>
      </c>
      <c r="I82" t="str">
        <f t="shared" si="3"/>
        <v>nlfsat7</v>
      </c>
      <c r="J82" s="2" t="s">
        <v>449</v>
      </c>
      <c r="K82" s="2" t="s">
        <v>402</v>
      </c>
      <c r="L82" s="8" t="s">
        <v>398</v>
      </c>
      <c r="M82" s="2" t="s">
        <v>8</v>
      </c>
      <c r="N82" s="2">
        <v>1</v>
      </c>
      <c r="O82" s="2">
        <v>7</v>
      </c>
    </row>
    <row r="83" spans="1:15" x14ac:dyDescent="0.2">
      <c r="A83" s="19" t="s">
        <v>399</v>
      </c>
      <c r="B83" s="19" t="str">
        <f t="shared" si="2"/>
        <v>oINDRESP</v>
      </c>
      <c r="C83" s="19" t="s">
        <v>274</v>
      </c>
      <c r="D83" s="19" t="s">
        <v>447</v>
      </c>
      <c r="E83" s="19" t="s">
        <v>448</v>
      </c>
      <c r="F83" s="2">
        <v>15</v>
      </c>
      <c r="G83" s="2" t="s">
        <v>19</v>
      </c>
      <c r="H83" s="2">
        <v>2005</v>
      </c>
      <c r="I83" t="str">
        <f t="shared" si="3"/>
        <v>olfsat7</v>
      </c>
      <c r="J83" s="2" t="s">
        <v>449</v>
      </c>
      <c r="K83" s="2" t="s">
        <v>402</v>
      </c>
      <c r="L83" s="8" t="s">
        <v>398</v>
      </c>
      <c r="M83" s="2" t="s">
        <v>8</v>
      </c>
      <c r="N83" s="2">
        <v>1</v>
      </c>
      <c r="O83" s="2">
        <v>7</v>
      </c>
    </row>
    <row r="84" spans="1:15" x14ac:dyDescent="0.2">
      <c r="A84" s="19" t="s">
        <v>399</v>
      </c>
      <c r="B84" s="19" t="str">
        <f t="shared" si="2"/>
        <v>pINDRESP</v>
      </c>
      <c r="C84" s="19" t="s">
        <v>274</v>
      </c>
      <c r="D84" s="19" t="s">
        <v>447</v>
      </c>
      <c r="E84" s="19" t="s">
        <v>448</v>
      </c>
      <c r="F84" s="2">
        <v>16</v>
      </c>
      <c r="G84" s="2" t="s">
        <v>25</v>
      </c>
      <c r="H84" s="2">
        <v>2006</v>
      </c>
      <c r="I84" t="str">
        <f t="shared" si="3"/>
        <v>plfsat7</v>
      </c>
      <c r="J84" s="2" t="s">
        <v>449</v>
      </c>
      <c r="K84" s="2" t="s">
        <v>402</v>
      </c>
      <c r="L84" s="8" t="s">
        <v>398</v>
      </c>
      <c r="M84" s="2" t="s">
        <v>8</v>
      </c>
      <c r="N84" s="2">
        <v>1</v>
      </c>
      <c r="O84" s="2">
        <v>7</v>
      </c>
    </row>
    <row r="85" spans="1:15" x14ac:dyDescent="0.2">
      <c r="A85" s="19" t="s">
        <v>399</v>
      </c>
      <c r="B85" s="19" t="str">
        <f t="shared" si="2"/>
        <v>qINDRESP</v>
      </c>
      <c r="C85" s="19" t="s">
        <v>274</v>
      </c>
      <c r="D85" s="19" t="s">
        <v>447</v>
      </c>
      <c r="E85" s="19" t="s">
        <v>448</v>
      </c>
      <c r="F85" s="2">
        <v>17</v>
      </c>
      <c r="G85" s="2" t="s">
        <v>73</v>
      </c>
      <c r="H85" s="2">
        <v>2007</v>
      </c>
      <c r="I85" t="str">
        <f t="shared" si="3"/>
        <v>qlfsat7</v>
      </c>
      <c r="J85" s="2" t="s">
        <v>449</v>
      </c>
      <c r="K85" s="2" t="s">
        <v>402</v>
      </c>
      <c r="L85" s="8" t="s">
        <v>398</v>
      </c>
      <c r="M85" s="2" t="s">
        <v>8</v>
      </c>
      <c r="N85" s="2">
        <v>1</v>
      </c>
      <c r="O85" s="2">
        <v>7</v>
      </c>
    </row>
    <row r="86" spans="1:15" x14ac:dyDescent="0.2">
      <c r="A86" s="19" t="s">
        <v>399</v>
      </c>
      <c r="B86" s="19" t="str">
        <f t="shared" si="2"/>
        <v>rINDRESP</v>
      </c>
      <c r="C86" s="19" t="s">
        <v>274</v>
      </c>
      <c r="D86" s="19" t="s">
        <v>447</v>
      </c>
      <c r="E86" s="19" t="s">
        <v>448</v>
      </c>
      <c r="F86" s="2">
        <v>18</v>
      </c>
      <c r="G86" s="2" t="s">
        <v>58</v>
      </c>
      <c r="H86" s="2">
        <v>2008</v>
      </c>
      <c r="I86" t="str">
        <f t="shared" si="3"/>
        <v>rlfsat7</v>
      </c>
      <c r="J86" s="2" t="s">
        <v>449</v>
      </c>
      <c r="K86" s="2" t="s">
        <v>402</v>
      </c>
      <c r="L86" s="8" t="s">
        <v>398</v>
      </c>
      <c r="M86" s="2" t="s">
        <v>8</v>
      </c>
      <c r="N86" s="2">
        <v>1</v>
      </c>
      <c r="O86" s="2">
        <v>7</v>
      </c>
    </row>
    <row r="87" spans="1:15" x14ac:dyDescent="0.2">
      <c r="A87" s="18" t="s">
        <v>399</v>
      </c>
      <c r="B87" s="18" t="str">
        <f t="shared" ref="B87:B98" si="4">_xlfn.CONCAT(G87,"INDRESP")</f>
        <v>fINDRESP</v>
      </c>
      <c r="C87" s="18" t="s">
        <v>274</v>
      </c>
      <c r="D87" s="18" t="s">
        <v>450</v>
      </c>
      <c r="E87" s="18" t="s">
        <v>451</v>
      </c>
      <c r="F87" s="2">
        <v>6</v>
      </c>
      <c r="G87" s="2" t="s">
        <v>49</v>
      </c>
      <c r="H87" s="2">
        <v>1996</v>
      </c>
      <c r="I87" t="str">
        <f>G87&amp;"lfsat8"</f>
        <v>flfsat8</v>
      </c>
      <c r="J87" s="2" t="s">
        <v>452</v>
      </c>
      <c r="K87" s="2" t="s">
        <v>402</v>
      </c>
      <c r="L87" s="8" t="s">
        <v>398</v>
      </c>
      <c r="M87" s="2" t="s">
        <v>8</v>
      </c>
      <c r="N87" s="2">
        <v>1</v>
      </c>
      <c r="O87" s="2">
        <v>7</v>
      </c>
    </row>
    <row r="88" spans="1:15" x14ac:dyDescent="0.2">
      <c r="A88" s="18" t="s">
        <v>399</v>
      </c>
      <c r="B88" s="18" t="str">
        <f t="shared" si="4"/>
        <v>gINDRESP</v>
      </c>
      <c r="C88" s="18" t="s">
        <v>274</v>
      </c>
      <c r="D88" s="18" t="s">
        <v>450</v>
      </c>
      <c r="E88" s="18" t="s">
        <v>451</v>
      </c>
      <c r="F88" s="2">
        <v>7</v>
      </c>
      <c r="G88" s="2" t="s">
        <v>101</v>
      </c>
      <c r="H88" s="2">
        <v>1997</v>
      </c>
      <c r="I88" t="str">
        <f t="shared" ref="I88:I98" si="5">G88&amp;"lfsat8"</f>
        <v>glfsat8</v>
      </c>
      <c r="J88" s="2" t="s">
        <v>452</v>
      </c>
      <c r="K88" s="2" t="s">
        <v>402</v>
      </c>
      <c r="L88" s="8" t="s">
        <v>398</v>
      </c>
      <c r="M88" s="2" t="s">
        <v>8</v>
      </c>
      <c r="N88" s="2">
        <v>1</v>
      </c>
      <c r="O88" s="2">
        <v>7</v>
      </c>
    </row>
    <row r="89" spans="1:15" x14ac:dyDescent="0.2">
      <c r="A89" s="18" t="s">
        <v>399</v>
      </c>
      <c r="B89" s="18" t="str">
        <f t="shared" si="4"/>
        <v>hINDRESP</v>
      </c>
      <c r="C89" s="18" t="s">
        <v>274</v>
      </c>
      <c r="D89" s="18" t="s">
        <v>450</v>
      </c>
      <c r="E89" s="18" t="s">
        <v>451</v>
      </c>
      <c r="F89" s="2">
        <v>8</v>
      </c>
      <c r="G89" s="2" t="s">
        <v>10</v>
      </c>
      <c r="H89" s="2">
        <v>1998</v>
      </c>
      <c r="I89" t="str">
        <f t="shared" si="5"/>
        <v>hlfsat8</v>
      </c>
      <c r="J89" s="2" t="s">
        <v>452</v>
      </c>
      <c r="K89" s="2" t="s">
        <v>402</v>
      </c>
      <c r="L89" s="8" t="s">
        <v>398</v>
      </c>
      <c r="M89" s="2" t="s">
        <v>8</v>
      </c>
      <c r="N89" s="2">
        <v>1</v>
      </c>
      <c r="O89" s="2">
        <v>7</v>
      </c>
    </row>
    <row r="90" spans="1:15" x14ac:dyDescent="0.2">
      <c r="A90" s="18" t="s">
        <v>399</v>
      </c>
      <c r="B90" s="18" t="str">
        <f t="shared" si="4"/>
        <v>iINDRESP</v>
      </c>
      <c r="C90" s="18" t="s">
        <v>274</v>
      </c>
      <c r="D90" s="18" t="s">
        <v>450</v>
      </c>
      <c r="E90" s="18" t="s">
        <v>451</v>
      </c>
      <c r="F90" s="2">
        <v>9</v>
      </c>
      <c r="G90" s="2" t="s">
        <v>55</v>
      </c>
      <c r="H90" s="2">
        <v>1999</v>
      </c>
      <c r="I90" t="str">
        <f t="shared" si="5"/>
        <v>ilfsat8</v>
      </c>
      <c r="J90" s="2" t="s">
        <v>452</v>
      </c>
      <c r="K90" s="2" t="s">
        <v>402</v>
      </c>
      <c r="L90" s="8" t="s">
        <v>398</v>
      </c>
      <c r="M90" s="2" t="s">
        <v>8</v>
      </c>
      <c r="N90" s="2">
        <v>1</v>
      </c>
      <c r="O90" s="2">
        <v>7</v>
      </c>
    </row>
    <row r="91" spans="1:15" x14ac:dyDescent="0.2">
      <c r="A91" s="18" t="s">
        <v>399</v>
      </c>
      <c r="B91" s="18" t="str">
        <f t="shared" si="4"/>
        <v>jINDRESP</v>
      </c>
      <c r="C91" s="18" t="s">
        <v>274</v>
      </c>
      <c r="D91" s="18" t="s">
        <v>450</v>
      </c>
      <c r="E91" s="18" t="s">
        <v>451</v>
      </c>
      <c r="F91" s="2">
        <v>10</v>
      </c>
      <c r="G91" s="2" t="s">
        <v>98</v>
      </c>
      <c r="H91" s="2">
        <v>2000</v>
      </c>
      <c r="I91" t="str">
        <f t="shared" si="5"/>
        <v>jlfsat8</v>
      </c>
      <c r="J91" s="2" t="s">
        <v>452</v>
      </c>
      <c r="K91" s="2" t="s">
        <v>402</v>
      </c>
      <c r="L91" s="8" t="s">
        <v>398</v>
      </c>
      <c r="M91" s="2" t="s">
        <v>8</v>
      </c>
      <c r="N91" s="2">
        <v>1</v>
      </c>
      <c r="O91" s="2">
        <v>7</v>
      </c>
    </row>
    <row r="92" spans="1:15" x14ac:dyDescent="0.2">
      <c r="A92" s="18" t="s">
        <v>399</v>
      </c>
      <c r="B92" s="18" t="str">
        <f t="shared" si="4"/>
        <v>lINDRESP</v>
      </c>
      <c r="C92" s="18" t="s">
        <v>274</v>
      </c>
      <c r="D92" s="18" t="s">
        <v>450</v>
      </c>
      <c r="E92" s="18" t="s">
        <v>451</v>
      </c>
      <c r="F92" s="2">
        <v>12</v>
      </c>
      <c r="G92" s="2" t="s">
        <v>89</v>
      </c>
      <c r="H92" s="2">
        <v>2002</v>
      </c>
      <c r="I92" t="str">
        <f t="shared" si="5"/>
        <v>llfsat8</v>
      </c>
      <c r="J92" s="2" t="s">
        <v>452</v>
      </c>
      <c r="K92" s="2" t="s">
        <v>402</v>
      </c>
      <c r="L92" s="8" t="s">
        <v>398</v>
      </c>
      <c r="M92" s="2" t="s">
        <v>8</v>
      </c>
      <c r="N92" s="2">
        <v>1</v>
      </c>
      <c r="O92" s="2">
        <v>7</v>
      </c>
    </row>
    <row r="93" spans="1:15" x14ac:dyDescent="0.2">
      <c r="A93" s="18" t="s">
        <v>399</v>
      </c>
      <c r="B93" s="18" t="str">
        <f t="shared" si="4"/>
        <v>mINDRESP</v>
      </c>
      <c r="C93" s="18" t="s">
        <v>274</v>
      </c>
      <c r="D93" s="18" t="s">
        <v>450</v>
      </c>
      <c r="E93" s="18" t="s">
        <v>451</v>
      </c>
      <c r="F93" s="2">
        <v>13</v>
      </c>
      <c r="G93" s="2" t="s">
        <v>107</v>
      </c>
      <c r="H93" s="2">
        <v>2003</v>
      </c>
      <c r="I93" t="str">
        <f t="shared" si="5"/>
        <v>mlfsat8</v>
      </c>
      <c r="J93" s="2" t="s">
        <v>452</v>
      </c>
      <c r="K93" s="2" t="s">
        <v>402</v>
      </c>
      <c r="L93" s="8" t="s">
        <v>398</v>
      </c>
      <c r="M93" s="2" t="s">
        <v>8</v>
      </c>
      <c r="N93" s="2">
        <v>1</v>
      </c>
      <c r="O93" s="2">
        <v>7</v>
      </c>
    </row>
    <row r="94" spans="1:15" x14ac:dyDescent="0.2">
      <c r="A94" s="18" t="s">
        <v>399</v>
      </c>
      <c r="B94" s="18" t="str">
        <f t="shared" si="4"/>
        <v>nINDRESP</v>
      </c>
      <c r="C94" s="18" t="s">
        <v>274</v>
      </c>
      <c r="D94" s="18" t="s">
        <v>450</v>
      </c>
      <c r="E94" s="18" t="s">
        <v>451</v>
      </c>
      <c r="F94" s="2">
        <v>14</v>
      </c>
      <c r="G94" s="2" t="s">
        <v>43</v>
      </c>
      <c r="H94" s="2">
        <v>2004</v>
      </c>
      <c r="I94" t="str">
        <f t="shared" si="5"/>
        <v>nlfsat8</v>
      </c>
      <c r="J94" s="2" t="s">
        <v>452</v>
      </c>
      <c r="K94" s="2" t="s">
        <v>402</v>
      </c>
      <c r="L94" s="8" t="s">
        <v>398</v>
      </c>
      <c r="M94" s="2" t="s">
        <v>8</v>
      </c>
      <c r="N94" s="2">
        <v>1</v>
      </c>
      <c r="O94" s="2">
        <v>7</v>
      </c>
    </row>
    <row r="95" spans="1:15" x14ac:dyDescent="0.2">
      <c r="A95" s="18" t="s">
        <v>399</v>
      </c>
      <c r="B95" s="18" t="str">
        <f t="shared" si="4"/>
        <v>oINDRESP</v>
      </c>
      <c r="C95" s="18" t="s">
        <v>274</v>
      </c>
      <c r="D95" s="18" t="s">
        <v>450</v>
      </c>
      <c r="E95" s="18" t="s">
        <v>451</v>
      </c>
      <c r="F95" s="2">
        <v>15</v>
      </c>
      <c r="G95" s="2" t="s">
        <v>19</v>
      </c>
      <c r="H95" s="2">
        <v>2005</v>
      </c>
      <c r="I95" t="str">
        <f t="shared" si="5"/>
        <v>olfsat8</v>
      </c>
      <c r="J95" s="2" t="s">
        <v>452</v>
      </c>
      <c r="K95" s="2" t="s">
        <v>402</v>
      </c>
      <c r="L95" s="8" t="s">
        <v>398</v>
      </c>
      <c r="M95" s="2" t="s">
        <v>8</v>
      </c>
      <c r="N95" s="2">
        <v>1</v>
      </c>
      <c r="O95" s="2">
        <v>7</v>
      </c>
    </row>
    <row r="96" spans="1:15" x14ac:dyDescent="0.2">
      <c r="A96" s="18" t="s">
        <v>399</v>
      </c>
      <c r="B96" s="18" t="str">
        <f t="shared" si="4"/>
        <v>pINDRESP</v>
      </c>
      <c r="C96" s="18" t="s">
        <v>274</v>
      </c>
      <c r="D96" s="18" t="s">
        <v>450</v>
      </c>
      <c r="E96" s="18" t="s">
        <v>451</v>
      </c>
      <c r="F96" s="2">
        <v>16</v>
      </c>
      <c r="G96" s="2" t="s">
        <v>25</v>
      </c>
      <c r="H96" s="2">
        <v>2006</v>
      </c>
      <c r="I96" t="str">
        <f t="shared" si="5"/>
        <v>plfsat8</v>
      </c>
      <c r="J96" s="2" t="s">
        <v>452</v>
      </c>
      <c r="K96" s="2" t="s">
        <v>402</v>
      </c>
      <c r="L96" s="8" t="s">
        <v>398</v>
      </c>
      <c r="M96" s="2" t="s">
        <v>8</v>
      </c>
      <c r="N96" s="2">
        <v>1</v>
      </c>
      <c r="O96" s="2">
        <v>7</v>
      </c>
    </row>
    <row r="97" spans="1:15" x14ac:dyDescent="0.2">
      <c r="A97" s="18" t="s">
        <v>399</v>
      </c>
      <c r="B97" s="18" t="str">
        <f t="shared" si="4"/>
        <v>qINDRESP</v>
      </c>
      <c r="C97" s="18" t="s">
        <v>274</v>
      </c>
      <c r="D97" s="18" t="s">
        <v>450</v>
      </c>
      <c r="E97" s="18" t="s">
        <v>451</v>
      </c>
      <c r="F97" s="2">
        <v>17</v>
      </c>
      <c r="G97" s="2" t="s">
        <v>73</v>
      </c>
      <c r="H97" s="2">
        <v>2007</v>
      </c>
      <c r="I97" t="str">
        <f t="shared" si="5"/>
        <v>qlfsat8</v>
      </c>
      <c r="J97" s="2" t="s">
        <v>452</v>
      </c>
      <c r="K97" s="2" t="s">
        <v>402</v>
      </c>
      <c r="L97" s="8" t="s">
        <v>398</v>
      </c>
      <c r="M97" s="2" t="s">
        <v>8</v>
      </c>
      <c r="N97" s="2">
        <v>1</v>
      </c>
      <c r="O97" s="2">
        <v>7</v>
      </c>
    </row>
    <row r="98" spans="1:15" ht="17" customHeight="1" x14ac:dyDescent="0.2">
      <c r="A98" s="18" t="s">
        <v>399</v>
      </c>
      <c r="B98" s="18" t="str">
        <f t="shared" si="4"/>
        <v>rINDRESP</v>
      </c>
      <c r="C98" s="18" t="s">
        <v>274</v>
      </c>
      <c r="D98" s="18" t="s">
        <v>450</v>
      </c>
      <c r="E98" s="18" t="s">
        <v>451</v>
      </c>
      <c r="F98" s="2">
        <v>18</v>
      </c>
      <c r="G98" s="2" t="s">
        <v>58</v>
      </c>
      <c r="H98" s="2">
        <v>2008</v>
      </c>
      <c r="I98" t="str">
        <f t="shared" si="5"/>
        <v>rlfsat8</v>
      </c>
      <c r="J98" s="2" t="s">
        <v>452</v>
      </c>
      <c r="K98" s="2" t="s">
        <v>402</v>
      </c>
      <c r="L98" s="8" t="s">
        <v>398</v>
      </c>
      <c r="M98" s="2" t="s">
        <v>8</v>
      </c>
      <c r="N98" s="2">
        <v>1</v>
      </c>
      <c r="O98" s="2">
        <v>7</v>
      </c>
    </row>
    <row r="99" spans="1:15" x14ac:dyDescent="0.2">
      <c r="A99" s="19" t="s">
        <v>399</v>
      </c>
      <c r="B99" s="19" t="str">
        <f t="shared" ref="B99:B110" si="6">_xlfn.CONCAT(G99,"INDRESP")</f>
        <v>fINDRESP</v>
      </c>
      <c r="C99" s="19" t="s">
        <v>274</v>
      </c>
      <c r="D99" s="19" t="s">
        <v>240</v>
      </c>
      <c r="E99" s="19" t="s">
        <v>204</v>
      </c>
      <c r="F99" s="2">
        <v>6</v>
      </c>
      <c r="G99" s="2" t="s">
        <v>49</v>
      </c>
      <c r="H99" s="2">
        <v>1996</v>
      </c>
      <c r="I99" t="str">
        <f>G99&amp;"lfsat1"</f>
        <v>flfsat1</v>
      </c>
      <c r="J99" s="2" t="s">
        <v>453</v>
      </c>
      <c r="K99" s="2" t="s">
        <v>402</v>
      </c>
      <c r="L99" s="8" t="s">
        <v>398</v>
      </c>
      <c r="M99" s="2" t="s">
        <v>8</v>
      </c>
      <c r="N99" s="2">
        <v>1</v>
      </c>
      <c r="O99" s="2">
        <v>7</v>
      </c>
    </row>
    <row r="100" spans="1:15" x14ac:dyDescent="0.2">
      <c r="A100" s="19" t="s">
        <v>399</v>
      </c>
      <c r="B100" s="19" t="str">
        <f t="shared" si="6"/>
        <v>gINDRESP</v>
      </c>
      <c r="C100" s="19" t="s">
        <v>274</v>
      </c>
      <c r="D100" s="19" t="s">
        <v>240</v>
      </c>
      <c r="E100" s="19" t="s">
        <v>204</v>
      </c>
      <c r="F100" s="2">
        <v>7</v>
      </c>
      <c r="G100" s="2" t="s">
        <v>101</v>
      </c>
      <c r="H100" s="2">
        <v>1997</v>
      </c>
      <c r="I100" t="str">
        <f t="shared" ref="I100:I110" si="7">G100&amp;"lfsat1"</f>
        <v>glfsat1</v>
      </c>
      <c r="J100" s="2" t="s">
        <v>453</v>
      </c>
      <c r="K100" s="2" t="s">
        <v>402</v>
      </c>
      <c r="L100" s="8" t="s">
        <v>398</v>
      </c>
      <c r="M100" s="2" t="s">
        <v>8</v>
      </c>
      <c r="N100" s="2">
        <v>1</v>
      </c>
      <c r="O100" s="2">
        <v>7</v>
      </c>
    </row>
    <row r="101" spans="1:15" x14ac:dyDescent="0.2">
      <c r="A101" s="19" t="s">
        <v>399</v>
      </c>
      <c r="B101" s="19" t="str">
        <f t="shared" si="6"/>
        <v>hINDRESP</v>
      </c>
      <c r="C101" s="19" t="s">
        <v>274</v>
      </c>
      <c r="D101" s="19" t="s">
        <v>240</v>
      </c>
      <c r="E101" s="19" t="s">
        <v>204</v>
      </c>
      <c r="F101" s="2">
        <v>8</v>
      </c>
      <c r="G101" s="2" t="s">
        <v>10</v>
      </c>
      <c r="H101" s="2">
        <v>1998</v>
      </c>
      <c r="I101" t="str">
        <f t="shared" si="7"/>
        <v>hlfsat1</v>
      </c>
      <c r="J101" s="2" t="s">
        <v>453</v>
      </c>
      <c r="K101" s="2" t="s">
        <v>402</v>
      </c>
      <c r="L101" s="8" t="s">
        <v>398</v>
      </c>
      <c r="M101" s="2" t="s">
        <v>8</v>
      </c>
      <c r="N101" s="2">
        <v>1</v>
      </c>
      <c r="O101" s="2">
        <v>7</v>
      </c>
    </row>
    <row r="102" spans="1:15" x14ac:dyDescent="0.2">
      <c r="A102" s="19" t="s">
        <v>399</v>
      </c>
      <c r="B102" s="19" t="str">
        <f t="shared" si="6"/>
        <v>iINDRESP</v>
      </c>
      <c r="C102" s="19" t="s">
        <v>274</v>
      </c>
      <c r="D102" s="19" t="s">
        <v>240</v>
      </c>
      <c r="E102" s="19" t="s">
        <v>204</v>
      </c>
      <c r="F102" s="2">
        <v>9</v>
      </c>
      <c r="G102" s="2" t="s">
        <v>55</v>
      </c>
      <c r="H102" s="2">
        <v>1999</v>
      </c>
      <c r="I102" t="str">
        <f t="shared" si="7"/>
        <v>ilfsat1</v>
      </c>
      <c r="J102" s="2" t="s">
        <v>453</v>
      </c>
      <c r="K102" s="2" t="s">
        <v>402</v>
      </c>
      <c r="L102" s="8" t="s">
        <v>398</v>
      </c>
      <c r="M102" s="2" t="s">
        <v>8</v>
      </c>
      <c r="N102" s="2">
        <v>1</v>
      </c>
      <c r="O102" s="2">
        <v>7</v>
      </c>
    </row>
    <row r="103" spans="1:15" x14ac:dyDescent="0.2">
      <c r="A103" s="19" t="s">
        <v>399</v>
      </c>
      <c r="B103" s="19" t="str">
        <f t="shared" si="6"/>
        <v>jINDRESP</v>
      </c>
      <c r="C103" s="19" t="s">
        <v>274</v>
      </c>
      <c r="D103" s="19" t="s">
        <v>240</v>
      </c>
      <c r="E103" s="19" t="s">
        <v>204</v>
      </c>
      <c r="F103" s="2">
        <v>10</v>
      </c>
      <c r="G103" s="2" t="s">
        <v>98</v>
      </c>
      <c r="H103" s="2">
        <v>2000</v>
      </c>
      <c r="I103" t="str">
        <f t="shared" si="7"/>
        <v>jlfsat1</v>
      </c>
      <c r="J103" s="2" t="s">
        <v>453</v>
      </c>
      <c r="K103" s="2" t="s">
        <v>402</v>
      </c>
      <c r="L103" s="8" t="s">
        <v>398</v>
      </c>
      <c r="M103" s="2" t="s">
        <v>8</v>
      </c>
      <c r="N103" s="2">
        <v>1</v>
      </c>
      <c r="O103" s="2">
        <v>7</v>
      </c>
    </row>
    <row r="104" spans="1:15" x14ac:dyDescent="0.2">
      <c r="A104" s="19" t="s">
        <v>399</v>
      </c>
      <c r="B104" s="19" t="str">
        <f t="shared" si="6"/>
        <v>lINDRESP</v>
      </c>
      <c r="C104" s="19" t="s">
        <v>274</v>
      </c>
      <c r="D104" s="19" t="s">
        <v>240</v>
      </c>
      <c r="E104" s="19" t="s">
        <v>204</v>
      </c>
      <c r="F104" s="2">
        <v>12</v>
      </c>
      <c r="G104" s="2" t="s">
        <v>89</v>
      </c>
      <c r="H104" s="2">
        <v>2002</v>
      </c>
      <c r="I104" t="str">
        <f t="shared" si="7"/>
        <v>llfsat1</v>
      </c>
      <c r="J104" s="2" t="s">
        <v>453</v>
      </c>
      <c r="K104" s="2" t="s">
        <v>402</v>
      </c>
      <c r="L104" s="8" t="s">
        <v>398</v>
      </c>
      <c r="M104" s="2" t="s">
        <v>8</v>
      </c>
      <c r="N104" s="2">
        <v>1</v>
      </c>
      <c r="O104" s="2">
        <v>7</v>
      </c>
    </row>
    <row r="105" spans="1:15" x14ac:dyDescent="0.2">
      <c r="A105" s="19" t="s">
        <v>399</v>
      </c>
      <c r="B105" s="19" t="str">
        <f t="shared" si="6"/>
        <v>mINDRESP</v>
      </c>
      <c r="C105" s="19" t="s">
        <v>274</v>
      </c>
      <c r="D105" s="19" t="s">
        <v>240</v>
      </c>
      <c r="E105" s="19" t="s">
        <v>204</v>
      </c>
      <c r="F105" s="2">
        <v>13</v>
      </c>
      <c r="G105" s="2" t="s">
        <v>107</v>
      </c>
      <c r="H105" s="2">
        <v>2003</v>
      </c>
      <c r="I105" t="str">
        <f t="shared" si="7"/>
        <v>mlfsat1</v>
      </c>
      <c r="J105" s="2" t="s">
        <v>453</v>
      </c>
      <c r="K105" s="2" t="s">
        <v>402</v>
      </c>
      <c r="L105" s="8" t="s">
        <v>398</v>
      </c>
      <c r="M105" s="2" t="s">
        <v>8</v>
      </c>
      <c r="N105" s="2">
        <v>1</v>
      </c>
      <c r="O105" s="2">
        <v>7</v>
      </c>
    </row>
    <row r="106" spans="1:15" x14ac:dyDescent="0.2">
      <c r="A106" s="19" t="s">
        <v>399</v>
      </c>
      <c r="B106" s="19" t="str">
        <f t="shared" si="6"/>
        <v>nINDRESP</v>
      </c>
      <c r="C106" s="19" t="s">
        <v>274</v>
      </c>
      <c r="D106" s="19" t="s">
        <v>240</v>
      </c>
      <c r="E106" s="19" t="s">
        <v>204</v>
      </c>
      <c r="F106" s="2">
        <v>14</v>
      </c>
      <c r="G106" s="2" t="s">
        <v>43</v>
      </c>
      <c r="H106" s="2">
        <v>2004</v>
      </c>
      <c r="I106" t="str">
        <f t="shared" si="7"/>
        <v>nlfsat1</v>
      </c>
      <c r="J106" s="2" t="s">
        <v>453</v>
      </c>
      <c r="K106" s="2" t="s">
        <v>402</v>
      </c>
      <c r="L106" s="8" t="s">
        <v>398</v>
      </c>
      <c r="M106" s="2" t="s">
        <v>8</v>
      </c>
      <c r="N106" s="2">
        <v>1</v>
      </c>
      <c r="O106" s="2">
        <v>7</v>
      </c>
    </row>
    <row r="107" spans="1:15" x14ac:dyDescent="0.2">
      <c r="A107" s="19" t="s">
        <v>399</v>
      </c>
      <c r="B107" s="19" t="str">
        <f t="shared" si="6"/>
        <v>oINDRESP</v>
      </c>
      <c r="C107" s="19" t="s">
        <v>274</v>
      </c>
      <c r="D107" s="19" t="s">
        <v>240</v>
      </c>
      <c r="E107" s="19" t="s">
        <v>204</v>
      </c>
      <c r="F107" s="2">
        <v>15</v>
      </c>
      <c r="G107" s="2" t="s">
        <v>19</v>
      </c>
      <c r="H107" s="2">
        <v>2005</v>
      </c>
      <c r="I107" t="str">
        <f t="shared" si="7"/>
        <v>olfsat1</v>
      </c>
      <c r="J107" s="2" t="s">
        <v>453</v>
      </c>
      <c r="K107" s="2" t="s">
        <v>402</v>
      </c>
      <c r="L107" s="8" t="s">
        <v>398</v>
      </c>
      <c r="M107" s="2" t="s">
        <v>8</v>
      </c>
      <c r="N107" s="2">
        <v>1</v>
      </c>
      <c r="O107" s="2">
        <v>7</v>
      </c>
    </row>
    <row r="108" spans="1:15" x14ac:dyDescent="0.2">
      <c r="A108" s="19" t="s">
        <v>399</v>
      </c>
      <c r="B108" s="19" t="str">
        <f t="shared" si="6"/>
        <v>pINDRESP</v>
      </c>
      <c r="C108" s="19" t="s">
        <v>274</v>
      </c>
      <c r="D108" s="19" t="s">
        <v>240</v>
      </c>
      <c r="E108" s="19" t="s">
        <v>204</v>
      </c>
      <c r="F108" s="2">
        <v>16</v>
      </c>
      <c r="G108" s="2" t="s">
        <v>25</v>
      </c>
      <c r="H108" s="2">
        <v>2006</v>
      </c>
      <c r="I108" t="str">
        <f t="shared" si="7"/>
        <v>plfsat1</v>
      </c>
      <c r="J108" s="2" t="s">
        <v>453</v>
      </c>
      <c r="K108" s="2" t="s">
        <v>402</v>
      </c>
      <c r="L108" s="8" t="s">
        <v>398</v>
      </c>
      <c r="M108" s="2" t="s">
        <v>8</v>
      </c>
      <c r="N108" s="2">
        <v>1</v>
      </c>
      <c r="O108" s="2">
        <v>7</v>
      </c>
    </row>
    <row r="109" spans="1:15" x14ac:dyDescent="0.2">
      <c r="A109" s="19" t="s">
        <v>399</v>
      </c>
      <c r="B109" s="19" t="str">
        <f t="shared" si="6"/>
        <v>qINDRESP</v>
      </c>
      <c r="C109" s="19" t="s">
        <v>274</v>
      </c>
      <c r="D109" s="19" t="s">
        <v>240</v>
      </c>
      <c r="E109" s="19" t="s">
        <v>204</v>
      </c>
      <c r="F109" s="2">
        <v>17</v>
      </c>
      <c r="G109" s="2" t="s">
        <v>73</v>
      </c>
      <c r="H109" s="2">
        <v>2007</v>
      </c>
      <c r="I109" t="str">
        <f t="shared" si="7"/>
        <v>qlfsat1</v>
      </c>
      <c r="J109" s="2" t="s">
        <v>453</v>
      </c>
      <c r="K109" s="2" t="s">
        <v>402</v>
      </c>
      <c r="L109" s="8" t="s">
        <v>398</v>
      </c>
      <c r="M109" s="2" t="s">
        <v>8</v>
      </c>
      <c r="N109" s="2">
        <v>1</v>
      </c>
      <c r="O109" s="2">
        <v>7</v>
      </c>
    </row>
    <row r="110" spans="1:15" x14ac:dyDescent="0.2">
      <c r="A110" s="19" t="s">
        <v>399</v>
      </c>
      <c r="B110" s="19" t="str">
        <f t="shared" si="6"/>
        <v>rINDRESP</v>
      </c>
      <c r="C110" s="19" t="s">
        <v>274</v>
      </c>
      <c r="D110" s="19" t="s">
        <v>240</v>
      </c>
      <c r="E110" s="19" t="s">
        <v>204</v>
      </c>
      <c r="F110" s="2">
        <v>18</v>
      </c>
      <c r="G110" s="2" t="s">
        <v>58</v>
      </c>
      <c r="H110" s="2">
        <v>2008</v>
      </c>
      <c r="I110" t="str">
        <f t="shared" si="7"/>
        <v>rlfsat1</v>
      </c>
      <c r="J110" s="2" t="s">
        <v>453</v>
      </c>
      <c r="K110" s="2" t="s">
        <v>402</v>
      </c>
      <c r="L110" s="8" t="s">
        <v>398</v>
      </c>
      <c r="M110" s="2" t="s">
        <v>8</v>
      </c>
      <c r="N110" s="2">
        <v>1</v>
      </c>
      <c r="O110" s="2">
        <v>7</v>
      </c>
    </row>
    <row r="111" spans="1:15" x14ac:dyDescent="0.2">
      <c r="A111" s="18" t="s">
        <v>399</v>
      </c>
      <c r="B111" s="18" t="str">
        <f t="shared" ref="B111:B122" si="8">_xlfn.CONCAT(G111,"INDRESP")</f>
        <v>fINDRESP</v>
      </c>
      <c r="C111" s="18" t="s">
        <v>274</v>
      </c>
      <c r="D111" s="18" t="s">
        <v>454</v>
      </c>
      <c r="E111" s="18" t="s">
        <v>456</v>
      </c>
      <c r="F111" s="2">
        <v>6</v>
      </c>
      <c r="G111" s="2" t="s">
        <v>49</v>
      </c>
      <c r="H111" s="2">
        <v>1996</v>
      </c>
      <c r="I111" t="str">
        <f>G111&amp;"lfsat3"</f>
        <v>flfsat3</v>
      </c>
      <c r="J111" s="2" t="s">
        <v>455</v>
      </c>
      <c r="K111" s="2" t="s">
        <v>402</v>
      </c>
      <c r="L111" s="8" t="s">
        <v>398</v>
      </c>
      <c r="M111" s="2" t="s">
        <v>8</v>
      </c>
      <c r="N111" s="2">
        <v>1</v>
      </c>
      <c r="O111" s="2">
        <v>7</v>
      </c>
    </row>
    <row r="112" spans="1:15" x14ac:dyDescent="0.2">
      <c r="A112" s="18" t="s">
        <v>399</v>
      </c>
      <c r="B112" s="18" t="str">
        <f t="shared" si="8"/>
        <v>gINDRESP</v>
      </c>
      <c r="C112" s="18" t="s">
        <v>274</v>
      </c>
      <c r="D112" s="18" t="s">
        <v>454</v>
      </c>
      <c r="E112" s="18" t="s">
        <v>456</v>
      </c>
      <c r="F112" s="2">
        <v>7</v>
      </c>
      <c r="G112" s="2" t="s">
        <v>101</v>
      </c>
      <c r="H112" s="2">
        <v>1997</v>
      </c>
      <c r="I112" t="str">
        <f t="shared" ref="I112:I122" si="9">G112&amp;"lfsat3"</f>
        <v>glfsat3</v>
      </c>
      <c r="J112" s="2" t="s">
        <v>455</v>
      </c>
      <c r="K112" s="2" t="s">
        <v>402</v>
      </c>
      <c r="L112" s="8" t="s">
        <v>398</v>
      </c>
      <c r="M112" s="2" t="s">
        <v>8</v>
      </c>
      <c r="N112" s="2">
        <v>1</v>
      </c>
      <c r="O112" s="2">
        <v>7</v>
      </c>
    </row>
    <row r="113" spans="1:15" x14ac:dyDescent="0.2">
      <c r="A113" s="18" t="s">
        <v>399</v>
      </c>
      <c r="B113" s="18" t="str">
        <f t="shared" si="8"/>
        <v>hINDRESP</v>
      </c>
      <c r="C113" s="18" t="s">
        <v>274</v>
      </c>
      <c r="D113" s="18" t="s">
        <v>454</v>
      </c>
      <c r="E113" s="18" t="s">
        <v>456</v>
      </c>
      <c r="F113" s="2">
        <v>8</v>
      </c>
      <c r="G113" s="2" t="s">
        <v>10</v>
      </c>
      <c r="H113" s="2">
        <v>1998</v>
      </c>
      <c r="I113" t="str">
        <f t="shared" si="9"/>
        <v>hlfsat3</v>
      </c>
      <c r="J113" s="2" t="s">
        <v>455</v>
      </c>
      <c r="K113" s="2" t="s">
        <v>402</v>
      </c>
      <c r="L113" s="8" t="s">
        <v>398</v>
      </c>
      <c r="M113" s="2" t="s">
        <v>8</v>
      </c>
      <c r="N113" s="2">
        <v>1</v>
      </c>
      <c r="O113" s="2">
        <v>7</v>
      </c>
    </row>
    <row r="114" spans="1:15" x14ac:dyDescent="0.2">
      <c r="A114" s="18" t="s">
        <v>399</v>
      </c>
      <c r="B114" s="18" t="str">
        <f t="shared" si="8"/>
        <v>iINDRESP</v>
      </c>
      <c r="C114" s="18" t="s">
        <v>274</v>
      </c>
      <c r="D114" s="18" t="s">
        <v>454</v>
      </c>
      <c r="E114" s="18" t="s">
        <v>456</v>
      </c>
      <c r="F114" s="2">
        <v>9</v>
      </c>
      <c r="G114" s="2" t="s">
        <v>55</v>
      </c>
      <c r="H114" s="2">
        <v>1999</v>
      </c>
      <c r="I114" t="str">
        <f t="shared" si="9"/>
        <v>ilfsat3</v>
      </c>
      <c r="J114" s="2" t="s">
        <v>455</v>
      </c>
      <c r="K114" s="2" t="s">
        <v>402</v>
      </c>
      <c r="L114" s="8" t="s">
        <v>398</v>
      </c>
      <c r="M114" s="2" t="s">
        <v>8</v>
      </c>
      <c r="N114" s="2">
        <v>1</v>
      </c>
      <c r="O114" s="2">
        <v>7</v>
      </c>
    </row>
    <row r="115" spans="1:15" x14ac:dyDescent="0.2">
      <c r="A115" s="18" t="s">
        <v>399</v>
      </c>
      <c r="B115" s="18" t="str">
        <f t="shared" si="8"/>
        <v>jINDRESP</v>
      </c>
      <c r="C115" s="18" t="s">
        <v>274</v>
      </c>
      <c r="D115" s="18" t="s">
        <v>454</v>
      </c>
      <c r="E115" s="18" t="s">
        <v>456</v>
      </c>
      <c r="F115" s="2">
        <v>10</v>
      </c>
      <c r="G115" s="2" t="s">
        <v>98</v>
      </c>
      <c r="H115" s="2">
        <v>2000</v>
      </c>
      <c r="I115" t="str">
        <f t="shared" si="9"/>
        <v>jlfsat3</v>
      </c>
      <c r="J115" s="2" t="s">
        <v>455</v>
      </c>
      <c r="K115" s="2" t="s">
        <v>402</v>
      </c>
      <c r="L115" s="8" t="s">
        <v>398</v>
      </c>
      <c r="M115" s="2" t="s">
        <v>8</v>
      </c>
      <c r="N115" s="2">
        <v>1</v>
      </c>
      <c r="O115" s="2">
        <v>7</v>
      </c>
    </row>
    <row r="116" spans="1:15" x14ac:dyDescent="0.2">
      <c r="A116" s="18" t="s">
        <v>399</v>
      </c>
      <c r="B116" s="18" t="str">
        <f t="shared" si="8"/>
        <v>lINDRESP</v>
      </c>
      <c r="C116" s="18" t="s">
        <v>274</v>
      </c>
      <c r="D116" s="18" t="s">
        <v>454</v>
      </c>
      <c r="E116" s="18" t="s">
        <v>456</v>
      </c>
      <c r="F116" s="2">
        <v>12</v>
      </c>
      <c r="G116" s="2" t="s">
        <v>89</v>
      </c>
      <c r="H116" s="2">
        <v>2002</v>
      </c>
      <c r="I116" t="str">
        <f t="shared" si="9"/>
        <v>llfsat3</v>
      </c>
      <c r="J116" s="2" t="s">
        <v>455</v>
      </c>
      <c r="K116" s="2" t="s">
        <v>402</v>
      </c>
      <c r="L116" s="8" t="s">
        <v>398</v>
      </c>
      <c r="M116" s="2" t="s">
        <v>8</v>
      </c>
      <c r="N116" s="2">
        <v>1</v>
      </c>
      <c r="O116" s="2">
        <v>7</v>
      </c>
    </row>
    <row r="117" spans="1:15" x14ac:dyDescent="0.2">
      <c r="A117" s="18" t="s">
        <v>399</v>
      </c>
      <c r="B117" s="18" t="str">
        <f t="shared" si="8"/>
        <v>mINDRESP</v>
      </c>
      <c r="C117" s="18" t="s">
        <v>274</v>
      </c>
      <c r="D117" s="18" t="s">
        <v>454</v>
      </c>
      <c r="E117" s="18" t="s">
        <v>456</v>
      </c>
      <c r="F117" s="2">
        <v>13</v>
      </c>
      <c r="G117" s="2" t="s">
        <v>107</v>
      </c>
      <c r="H117" s="2">
        <v>2003</v>
      </c>
      <c r="I117" t="str">
        <f t="shared" si="9"/>
        <v>mlfsat3</v>
      </c>
      <c r="J117" s="2" t="s">
        <v>455</v>
      </c>
      <c r="K117" s="2" t="s">
        <v>402</v>
      </c>
      <c r="L117" s="8" t="s">
        <v>398</v>
      </c>
      <c r="M117" s="2" t="s">
        <v>8</v>
      </c>
      <c r="N117" s="2">
        <v>1</v>
      </c>
      <c r="O117" s="2">
        <v>7</v>
      </c>
    </row>
    <row r="118" spans="1:15" x14ac:dyDescent="0.2">
      <c r="A118" s="18" t="s">
        <v>399</v>
      </c>
      <c r="B118" s="18" t="str">
        <f t="shared" si="8"/>
        <v>nINDRESP</v>
      </c>
      <c r="C118" s="18" t="s">
        <v>274</v>
      </c>
      <c r="D118" s="18" t="s">
        <v>454</v>
      </c>
      <c r="E118" s="18" t="s">
        <v>456</v>
      </c>
      <c r="F118" s="2">
        <v>14</v>
      </c>
      <c r="G118" s="2" t="s">
        <v>43</v>
      </c>
      <c r="H118" s="2">
        <v>2004</v>
      </c>
      <c r="I118" t="str">
        <f t="shared" si="9"/>
        <v>nlfsat3</v>
      </c>
      <c r="J118" s="2" t="s">
        <v>455</v>
      </c>
      <c r="K118" s="2" t="s">
        <v>402</v>
      </c>
      <c r="L118" s="8" t="s">
        <v>398</v>
      </c>
      <c r="M118" s="2" t="s">
        <v>8</v>
      </c>
      <c r="N118" s="2">
        <v>1</v>
      </c>
      <c r="O118" s="2">
        <v>7</v>
      </c>
    </row>
    <row r="119" spans="1:15" x14ac:dyDescent="0.2">
      <c r="A119" s="18" t="s">
        <v>399</v>
      </c>
      <c r="B119" s="18" t="str">
        <f t="shared" si="8"/>
        <v>oINDRESP</v>
      </c>
      <c r="C119" s="18" t="s">
        <v>274</v>
      </c>
      <c r="D119" s="18" t="s">
        <v>454</v>
      </c>
      <c r="E119" s="18" t="s">
        <v>456</v>
      </c>
      <c r="F119" s="2">
        <v>15</v>
      </c>
      <c r="G119" s="2" t="s">
        <v>19</v>
      </c>
      <c r="H119" s="2">
        <v>2005</v>
      </c>
      <c r="I119" t="str">
        <f t="shared" si="9"/>
        <v>olfsat3</v>
      </c>
      <c r="J119" s="2" t="s">
        <v>455</v>
      </c>
      <c r="K119" s="2" t="s">
        <v>402</v>
      </c>
      <c r="L119" s="8" t="s">
        <v>398</v>
      </c>
      <c r="M119" s="2" t="s">
        <v>8</v>
      </c>
      <c r="N119" s="2">
        <v>1</v>
      </c>
      <c r="O119" s="2">
        <v>7</v>
      </c>
    </row>
    <row r="120" spans="1:15" x14ac:dyDescent="0.2">
      <c r="A120" s="18" t="s">
        <v>399</v>
      </c>
      <c r="B120" s="18" t="str">
        <f t="shared" si="8"/>
        <v>pINDRESP</v>
      </c>
      <c r="C120" s="18" t="s">
        <v>274</v>
      </c>
      <c r="D120" s="18" t="s">
        <v>454</v>
      </c>
      <c r="E120" s="18" t="s">
        <v>456</v>
      </c>
      <c r="F120" s="2">
        <v>16</v>
      </c>
      <c r="G120" s="2" t="s">
        <v>25</v>
      </c>
      <c r="H120" s="2">
        <v>2006</v>
      </c>
      <c r="I120" t="str">
        <f t="shared" si="9"/>
        <v>plfsat3</v>
      </c>
      <c r="J120" s="2" t="s">
        <v>455</v>
      </c>
      <c r="K120" s="2" t="s">
        <v>402</v>
      </c>
      <c r="L120" s="8" t="s">
        <v>398</v>
      </c>
      <c r="M120" s="2" t="s">
        <v>8</v>
      </c>
      <c r="N120" s="2">
        <v>1</v>
      </c>
      <c r="O120" s="2">
        <v>7</v>
      </c>
    </row>
    <row r="121" spans="1:15" x14ac:dyDescent="0.2">
      <c r="A121" s="18" t="s">
        <v>399</v>
      </c>
      <c r="B121" s="18" t="str">
        <f t="shared" si="8"/>
        <v>qINDRESP</v>
      </c>
      <c r="C121" s="18" t="s">
        <v>274</v>
      </c>
      <c r="D121" s="18" t="s">
        <v>454</v>
      </c>
      <c r="E121" s="18" t="s">
        <v>456</v>
      </c>
      <c r="F121" s="2">
        <v>17</v>
      </c>
      <c r="G121" s="2" t="s">
        <v>73</v>
      </c>
      <c r="H121" s="2">
        <v>2007</v>
      </c>
      <c r="I121" t="str">
        <f t="shared" si="9"/>
        <v>qlfsat3</v>
      </c>
      <c r="J121" s="2" t="s">
        <v>455</v>
      </c>
      <c r="K121" s="2" t="s">
        <v>402</v>
      </c>
      <c r="L121" s="8" t="s">
        <v>398</v>
      </c>
      <c r="M121" s="2" t="s">
        <v>8</v>
      </c>
      <c r="N121" s="2">
        <v>1</v>
      </c>
      <c r="O121" s="2">
        <v>7</v>
      </c>
    </row>
    <row r="122" spans="1:15" x14ac:dyDescent="0.2">
      <c r="A122" s="18" t="s">
        <v>399</v>
      </c>
      <c r="B122" s="18" t="str">
        <f t="shared" si="8"/>
        <v>rINDRESP</v>
      </c>
      <c r="C122" s="18" t="s">
        <v>274</v>
      </c>
      <c r="D122" s="18" t="s">
        <v>454</v>
      </c>
      <c r="E122" s="18" t="s">
        <v>456</v>
      </c>
      <c r="F122" s="2">
        <v>18</v>
      </c>
      <c r="G122" s="2" t="s">
        <v>58</v>
      </c>
      <c r="H122" s="2">
        <v>2008</v>
      </c>
      <c r="I122" t="str">
        <f t="shared" si="9"/>
        <v>rlfsat3</v>
      </c>
      <c r="J122" s="2" t="s">
        <v>455</v>
      </c>
      <c r="K122" s="2" t="s">
        <v>402</v>
      </c>
      <c r="L122" s="8" t="s">
        <v>398</v>
      </c>
      <c r="M122" s="2" t="s">
        <v>8</v>
      </c>
      <c r="N122" s="2">
        <v>1</v>
      </c>
      <c r="O122" s="2">
        <v>7</v>
      </c>
    </row>
    <row r="123" spans="1:15" x14ac:dyDescent="0.2">
      <c r="A123" s="19" t="s">
        <v>399</v>
      </c>
      <c r="B123" s="19" t="str">
        <f t="shared" ref="B123:B134" si="10">_xlfn.CONCAT(G123,"INDRESP")</f>
        <v>fINDRESP</v>
      </c>
      <c r="C123" s="19" t="s">
        <v>274</v>
      </c>
      <c r="D123" s="19" t="s">
        <v>457</v>
      </c>
      <c r="E123" s="19" t="s">
        <v>458</v>
      </c>
      <c r="F123" s="2">
        <v>6</v>
      </c>
      <c r="G123" s="2" t="s">
        <v>49</v>
      </c>
      <c r="H123" s="2">
        <v>1996</v>
      </c>
      <c r="I123" t="str">
        <f>G123&amp;"lfsat6"</f>
        <v>flfsat6</v>
      </c>
      <c r="J123" s="2" t="s">
        <v>459</v>
      </c>
      <c r="K123" s="2" t="s">
        <v>402</v>
      </c>
      <c r="L123" s="8" t="s">
        <v>398</v>
      </c>
      <c r="M123" s="2" t="s">
        <v>8</v>
      </c>
      <c r="N123" s="2">
        <v>1</v>
      </c>
      <c r="O123" s="2">
        <v>7</v>
      </c>
    </row>
    <row r="124" spans="1:15" x14ac:dyDescent="0.2">
      <c r="A124" s="19" t="s">
        <v>399</v>
      </c>
      <c r="B124" s="19" t="str">
        <f t="shared" si="10"/>
        <v>gINDRESP</v>
      </c>
      <c r="C124" s="19" t="s">
        <v>274</v>
      </c>
      <c r="D124" s="19" t="s">
        <v>457</v>
      </c>
      <c r="E124" s="19" t="s">
        <v>458</v>
      </c>
      <c r="F124" s="2">
        <v>7</v>
      </c>
      <c r="G124" s="2" t="s">
        <v>101</v>
      </c>
      <c r="H124" s="2">
        <v>1997</v>
      </c>
      <c r="I124" t="str">
        <f t="shared" ref="I124:I134" si="11">G124&amp;"lfsat6"</f>
        <v>glfsat6</v>
      </c>
      <c r="J124" s="2" t="s">
        <v>459</v>
      </c>
      <c r="K124" s="2" t="s">
        <v>402</v>
      </c>
      <c r="L124" s="8" t="s">
        <v>398</v>
      </c>
      <c r="M124" s="2" t="s">
        <v>8</v>
      </c>
      <c r="N124" s="2">
        <v>1</v>
      </c>
      <c r="O124" s="2">
        <v>7</v>
      </c>
    </row>
    <row r="125" spans="1:15" x14ac:dyDescent="0.2">
      <c r="A125" s="19" t="s">
        <v>399</v>
      </c>
      <c r="B125" s="19" t="str">
        <f t="shared" si="10"/>
        <v>hINDRESP</v>
      </c>
      <c r="C125" s="19" t="s">
        <v>274</v>
      </c>
      <c r="D125" s="19" t="s">
        <v>457</v>
      </c>
      <c r="E125" s="19" t="s">
        <v>458</v>
      </c>
      <c r="F125" s="2">
        <v>8</v>
      </c>
      <c r="G125" s="2" t="s">
        <v>10</v>
      </c>
      <c r="H125" s="2">
        <v>1998</v>
      </c>
      <c r="I125" t="str">
        <f t="shared" si="11"/>
        <v>hlfsat6</v>
      </c>
      <c r="J125" s="2" t="s">
        <v>459</v>
      </c>
      <c r="K125" s="2" t="s">
        <v>402</v>
      </c>
      <c r="L125" s="8" t="s">
        <v>398</v>
      </c>
      <c r="M125" s="2" t="s">
        <v>8</v>
      </c>
      <c r="N125" s="2">
        <v>1</v>
      </c>
      <c r="O125" s="2">
        <v>7</v>
      </c>
    </row>
    <row r="126" spans="1:15" x14ac:dyDescent="0.2">
      <c r="A126" s="19" t="s">
        <v>399</v>
      </c>
      <c r="B126" s="19" t="str">
        <f t="shared" si="10"/>
        <v>iINDRESP</v>
      </c>
      <c r="C126" s="19" t="s">
        <v>274</v>
      </c>
      <c r="D126" s="19" t="s">
        <v>457</v>
      </c>
      <c r="E126" s="19" t="s">
        <v>458</v>
      </c>
      <c r="F126" s="2">
        <v>9</v>
      </c>
      <c r="G126" s="2" t="s">
        <v>55</v>
      </c>
      <c r="H126" s="2">
        <v>1999</v>
      </c>
      <c r="I126" t="str">
        <f t="shared" si="11"/>
        <v>ilfsat6</v>
      </c>
      <c r="J126" s="2" t="s">
        <v>459</v>
      </c>
      <c r="K126" s="2" t="s">
        <v>402</v>
      </c>
      <c r="L126" s="8" t="s">
        <v>398</v>
      </c>
      <c r="M126" s="2" t="s">
        <v>8</v>
      </c>
      <c r="N126" s="2">
        <v>1</v>
      </c>
      <c r="O126" s="2">
        <v>7</v>
      </c>
    </row>
    <row r="127" spans="1:15" x14ac:dyDescent="0.2">
      <c r="A127" s="19" t="s">
        <v>399</v>
      </c>
      <c r="B127" s="19" t="str">
        <f t="shared" si="10"/>
        <v>jINDRESP</v>
      </c>
      <c r="C127" s="19" t="s">
        <v>274</v>
      </c>
      <c r="D127" s="19" t="s">
        <v>457</v>
      </c>
      <c r="E127" s="19" t="s">
        <v>458</v>
      </c>
      <c r="F127" s="2">
        <v>10</v>
      </c>
      <c r="G127" s="2" t="s">
        <v>98</v>
      </c>
      <c r="H127" s="2">
        <v>2000</v>
      </c>
      <c r="I127" t="str">
        <f t="shared" si="11"/>
        <v>jlfsat6</v>
      </c>
      <c r="J127" s="2" t="s">
        <v>459</v>
      </c>
      <c r="K127" s="2" t="s">
        <v>402</v>
      </c>
      <c r="L127" s="8" t="s">
        <v>398</v>
      </c>
      <c r="M127" s="2" t="s">
        <v>8</v>
      </c>
      <c r="N127" s="2">
        <v>1</v>
      </c>
      <c r="O127" s="2">
        <v>7</v>
      </c>
    </row>
    <row r="128" spans="1:15" x14ac:dyDescent="0.2">
      <c r="A128" s="19" t="s">
        <v>399</v>
      </c>
      <c r="B128" s="19" t="str">
        <f t="shared" si="10"/>
        <v>lINDRESP</v>
      </c>
      <c r="C128" s="19" t="s">
        <v>274</v>
      </c>
      <c r="D128" s="19" t="s">
        <v>457</v>
      </c>
      <c r="E128" s="19" t="s">
        <v>458</v>
      </c>
      <c r="F128" s="2">
        <v>12</v>
      </c>
      <c r="G128" s="2" t="s">
        <v>89</v>
      </c>
      <c r="H128" s="2">
        <v>2002</v>
      </c>
      <c r="I128" t="str">
        <f t="shared" si="11"/>
        <v>llfsat6</v>
      </c>
      <c r="J128" s="2" t="s">
        <v>459</v>
      </c>
      <c r="K128" s="2" t="s">
        <v>402</v>
      </c>
      <c r="L128" s="8" t="s">
        <v>398</v>
      </c>
      <c r="M128" s="2" t="s">
        <v>8</v>
      </c>
      <c r="N128" s="2">
        <v>1</v>
      </c>
      <c r="O128" s="2">
        <v>7</v>
      </c>
    </row>
    <row r="129" spans="1:17" x14ac:dyDescent="0.2">
      <c r="A129" s="19" t="s">
        <v>399</v>
      </c>
      <c r="B129" s="19" t="str">
        <f t="shared" si="10"/>
        <v>mINDRESP</v>
      </c>
      <c r="C129" s="19" t="s">
        <v>274</v>
      </c>
      <c r="D129" s="19" t="s">
        <v>457</v>
      </c>
      <c r="E129" s="19" t="s">
        <v>458</v>
      </c>
      <c r="F129" s="2">
        <v>13</v>
      </c>
      <c r="G129" s="2" t="s">
        <v>107</v>
      </c>
      <c r="H129" s="2">
        <v>2003</v>
      </c>
      <c r="I129" t="str">
        <f t="shared" si="11"/>
        <v>mlfsat6</v>
      </c>
      <c r="J129" s="2" t="s">
        <v>459</v>
      </c>
      <c r="K129" s="2" t="s">
        <v>402</v>
      </c>
      <c r="L129" s="8" t="s">
        <v>398</v>
      </c>
      <c r="M129" s="2" t="s">
        <v>8</v>
      </c>
      <c r="N129" s="2">
        <v>1</v>
      </c>
      <c r="O129" s="2">
        <v>7</v>
      </c>
    </row>
    <row r="130" spans="1:17" x14ac:dyDescent="0.2">
      <c r="A130" s="19" t="s">
        <v>399</v>
      </c>
      <c r="B130" s="19" t="str">
        <f t="shared" si="10"/>
        <v>nINDRESP</v>
      </c>
      <c r="C130" s="19" t="s">
        <v>274</v>
      </c>
      <c r="D130" s="19" t="s">
        <v>457</v>
      </c>
      <c r="E130" s="19" t="s">
        <v>458</v>
      </c>
      <c r="F130" s="2">
        <v>14</v>
      </c>
      <c r="G130" s="2" t="s">
        <v>43</v>
      </c>
      <c r="H130" s="2">
        <v>2004</v>
      </c>
      <c r="I130" t="str">
        <f t="shared" si="11"/>
        <v>nlfsat6</v>
      </c>
      <c r="J130" s="2" t="s">
        <v>459</v>
      </c>
      <c r="K130" s="2" t="s">
        <v>402</v>
      </c>
      <c r="L130" s="8" t="s">
        <v>398</v>
      </c>
      <c r="M130" s="2" t="s">
        <v>8</v>
      </c>
      <c r="N130" s="2">
        <v>1</v>
      </c>
      <c r="O130" s="2">
        <v>7</v>
      </c>
    </row>
    <row r="131" spans="1:17" x14ac:dyDescent="0.2">
      <c r="A131" s="19" t="s">
        <v>399</v>
      </c>
      <c r="B131" s="19" t="str">
        <f t="shared" si="10"/>
        <v>oINDRESP</v>
      </c>
      <c r="C131" s="19" t="s">
        <v>274</v>
      </c>
      <c r="D131" s="19" t="s">
        <v>457</v>
      </c>
      <c r="E131" s="19" t="s">
        <v>458</v>
      </c>
      <c r="F131" s="2">
        <v>15</v>
      </c>
      <c r="G131" s="2" t="s">
        <v>19</v>
      </c>
      <c r="H131" s="2">
        <v>2005</v>
      </c>
      <c r="I131" t="str">
        <f t="shared" si="11"/>
        <v>olfsat6</v>
      </c>
      <c r="J131" s="2" t="s">
        <v>459</v>
      </c>
      <c r="K131" s="2" t="s">
        <v>402</v>
      </c>
      <c r="L131" s="8" t="s">
        <v>398</v>
      </c>
      <c r="M131" s="2" t="s">
        <v>8</v>
      </c>
      <c r="N131" s="2">
        <v>1</v>
      </c>
      <c r="O131" s="2">
        <v>7</v>
      </c>
    </row>
    <row r="132" spans="1:17" x14ac:dyDescent="0.2">
      <c r="A132" s="19" t="s">
        <v>399</v>
      </c>
      <c r="B132" s="19" t="str">
        <f t="shared" si="10"/>
        <v>pINDRESP</v>
      </c>
      <c r="C132" s="19" t="s">
        <v>274</v>
      </c>
      <c r="D132" s="19" t="s">
        <v>457</v>
      </c>
      <c r="E132" s="19" t="s">
        <v>458</v>
      </c>
      <c r="F132" s="2">
        <v>16</v>
      </c>
      <c r="G132" s="2" t="s">
        <v>25</v>
      </c>
      <c r="H132" s="2">
        <v>2006</v>
      </c>
      <c r="I132" t="str">
        <f t="shared" si="11"/>
        <v>plfsat6</v>
      </c>
      <c r="J132" s="2" t="s">
        <v>459</v>
      </c>
      <c r="K132" s="2" t="s">
        <v>402</v>
      </c>
      <c r="L132" s="8" t="s">
        <v>398</v>
      </c>
      <c r="M132" s="2" t="s">
        <v>8</v>
      </c>
      <c r="N132" s="2">
        <v>1</v>
      </c>
      <c r="O132" s="2">
        <v>7</v>
      </c>
    </row>
    <row r="133" spans="1:17" x14ac:dyDescent="0.2">
      <c r="A133" s="19" t="s">
        <v>399</v>
      </c>
      <c r="B133" s="19" t="str">
        <f t="shared" si="10"/>
        <v>qINDRESP</v>
      </c>
      <c r="C133" s="19" t="s">
        <v>274</v>
      </c>
      <c r="D133" s="19" t="s">
        <v>457</v>
      </c>
      <c r="E133" s="19" t="s">
        <v>458</v>
      </c>
      <c r="F133" s="2">
        <v>17</v>
      </c>
      <c r="G133" s="2" t="s">
        <v>73</v>
      </c>
      <c r="H133" s="2">
        <v>2007</v>
      </c>
      <c r="I133" t="str">
        <f t="shared" si="11"/>
        <v>qlfsat6</v>
      </c>
      <c r="J133" s="2" t="s">
        <v>459</v>
      </c>
      <c r="K133" s="2" t="s">
        <v>402</v>
      </c>
      <c r="L133" s="8" t="s">
        <v>398</v>
      </c>
      <c r="M133" s="2" t="s">
        <v>8</v>
      </c>
      <c r="N133" s="2">
        <v>1</v>
      </c>
      <c r="O133" s="2">
        <v>7</v>
      </c>
    </row>
    <row r="134" spans="1:17" x14ac:dyDescent="0.2">
      <c r="A134" s="19" t="s">
        <v>399</v>
      </c>
      <c r="B134" s="19" t="str">
        <f t="shared" si="10"/>
        <v>rINDRESP</v>
      </c>
      <c r="C134" s="19" t="s">
        <v>274</v>
      </c>
      <c r="D134" s="19" t="s">
        <v>457</v>
      </c>
      <c r="E134" s="19" t="s">
        <v>458</v>
      </c>
      <c r="F134" s="2">
        <v>18</v>
      </c>
      <c r="G134" s="2" t="s">
        <v>58</v>
      </c>
      <c r="H134" s="2">
        <v>2008</v>
      </c>
      <c r="I134" t="str">
        <f t="shared" si="11"/>
        <v>rlfsat6</v>
      </c>
      <c r="J134" s="2" t="s">
        <v>459</v>
      </c>
      <c r="K134" s="2" t="s">
        <v>402</v>
      </c>
      <c r="L134" s="8" t="s">
        <v>398</v>
      </c>
      <c r="M134" s="2" t="s">
        <v>8</v>
      </c>
      <c r="N134" s="2">
        <v>1</v>
      </c>
      <c r="O134" s="2">
        <v>7</v>
      </c>
    </row>
    <row r="135" spans="1:17" ht="16.5" customHeight="1" x14ac:dyDescent="0.2">
      <c r="A135" s="18" t="s">
        <v>399</v>
      </c>
      <c r="B135" s="18" t="str">
        <f>G135&amp;"indresp"</f>
        <v>mindresp</v>
      </c>
      <c r="C135" s="18" t="s">
        <v>4182</v>
      </c>
      <c r="D135" s="18" t="s">
        <v>1625</v>
      </c>
      <c r="E135" s="18" t="s">
        <v>1479</v>
      </c>
      <c r="F135" s="2">
        <v>13</v>
      </c>
      <c r="G135" s="2" t="s">
        <v>107</v>
      </c>
      <c r="H135" s="2">
        <v>2003</v>
      </c>
      <c r="I135" s="2" t="s">
        <v>2171</v>
      </c>
      <c r="J135" s="2" t="s">
        <v>2172</v>
      </c>
      <c r="K135" s="8" t="s">
        <v>2173</v>
      </c>
      <c r="L135"/>
      <c r="M135" s="2" t="s">
        <v>2174</v>
      </c>
      <c r="P135" s="2" t="s">
        <v>2175</v>
      </c>
      <c r="Q135" t="s">
        <v>3462</v>
      </c>
    </row>
    <row r="136" spans="1:17" ht="16.5" customHeight="1" x14ac:dyDescent="0.2">
      <c r="A136" s="18" t="s">
        <v>399</v>
      </c>
      <c r="B136" s="18" t="str">
        <f>G136&amp;"indresp"</f>
        <v>mindresp</v>
      </c>
      <c r="C136" s="18" t="s">
        <v>4182</v>
      </c>
      <c r="D136" s="18" t="s">
        <v>1625</v>
      </c>
      <c r="E136" s="18" t="s">
        <v>1474</v>
      </c>
      <c r="F136" s="2">
        <v>13</v>
      </c>
      <c r="G136" s="2" t="s">
        <v>107</v>
      </c>
      <c r="H136" s="2">
        <v>2003</v>
      </c>
      <c r="I136" s="2" t="s">
        <v>2176</v>
      </c>
      <c r="J136" s="2" t="s">
        <v>2177</v>
      </c>
      <c r="K136" s="8" t="s">
        <v>2173</v>
      </c>
      <c r="L136"/>
      <c r="M136" s="2" t="s">
        <v>2174</v>
      </c>
      <c r="P136" s="2" t="s">
        <v>2175</v>
      </c>
      <c r="Q136" t="s">
        <v>3462</v>
      </c>
    </row>
    <row r="137" spans="1:17" ht="16.5" customHeight="1" x14ac:dyDescent="0.2">
      <c r="A137" s="18" t="s">
        <v>399</v>
      </c>
      <c r="B137" s="18" t="s">
        <v>2178</v>
      </c>
      <c r="C137" s="18" t="s">
        <v>4182</v>
      </c>
      <c r="D137" s="18" t="s">
        <v>1482</v>
      </c>
      <c r="E137" s="18" t="s">
        <v>2184</v>
      </c>
      <c r="F137" s="2">
        <v>1</v>
      </c>
      <c r="G137" s="2" t="s">
        <v>40</v>
      </c>
      <c r="H137" s="2">
        <v>1991</v>
      </c>
      <c r="I137" s="2" t="s">
        <v>2185</v>
      </c>
      <c r="J137" s="2" t="s">
        <v>2186</v>
      </c>
      <c r="K137" s="8" t="s">
        <v>2187</v>
      </c>
      <c r="L137"/>
      <c r="M137" s="8" t="s">
        <v>4189</v>
      </c>
      <c r="P137" s="2" t="s">
        <v>1127</v>
      </c>
      <c r="Q137" t="s">
        <v>1127</v>
      </c>
    </row>
    <row r="138" spans="1:17" ht="16.5" customHeight="1" x14ac:dyDescent="0.2">
      <c r="A138" s="18" t="s">
        <v>399</v>
      </c>
      <c r="B138" s="18" t="s">
        <v>2179</v>
      </c>
      <c r="C138" s="18" t="s">
        <v>4182</v>
      </c>
      <c r="D138" s="18" t="s">
        <v>1482</v>
      </c>
      <c r="E138" s="18" t="s">
        <v>2184</v>
      </c>
      <c r="F138" s="2">
        <v>2</v>
      </c>
      <c r="G138" s="2" t="s">
        <v>37</v>
      </c>
      <c r="H138" s="2">
        <v>1992</v>
      </c>
      <c r="I138" s="2" t="s">
        <v>2188</v>
      </c>
      <c r="J138" s="2" t="s">
        <v>2186</v>
      </c>
      <c r="K138" s="8" t="s">
        <v>2187</v>
      </c>
      <c r="L138"/>
      <c r="M138" s="8" t="s">
        <v>4189</v>
      </c>
      <c r="P138" s="2" t="s">
        <v>1127</v>
      </c>
      <c r="Q138" t="s">
        <v>1127</v>
      </c>
    </row>
    <row r="139" spans="1:17" ht="16.5" customHeight="1" x14ac:dyDescent="0.2">
      <c r="A139" s="18" t="s">
        <v>399</v>
      </c>
      <c r="B139" s="18" t="s">
        <v>2180</v>
      </c>
      <c r="C139" s="18" t="s">
        <v>4182</v>
      </c>
      <c r="D139" s="18" t="s">
        <v>1482</v>
      </c>
      <c r="E139" s="18" t="s">
        <v>2184</v>
      </c>
      <c r="F139" s="2">
        <v>3</v>
      </c>
      <c r="G139" s="2" t="s">
        <v>80</v>
      </c>
      <c r="H139" s="2">
        <v>1993</v>
      </c>
      <c r="I139" s="2" t="s">
        <v>2189</v>
      </c>
      <c r="J139" s="2" t="s">
        <v>2186</v>
      </c>
      <c r="K139" s="8" t="s">
        <v>2187</v>
      </c>
      <c r="L139"/>
      <c r="M139" s="8" t="s">
        <v>4189</v>
      </c>
      <c r="P139" s="2" t="s">
        <v>1127</v>
      </c>
      <c r="Q139" t="s">
        <v>1127</v>
      </c>
    </row>
    <row r="140" spans="1:17" ht="16.5" customHeight="1" x14ac:dyDescent="0.2">
      <c r="A140" s="18" t="s">
        <v>399</v>
      </c>
      <c r="B140" s="18" t="s">
        <v>2181</v>
      </c>
      <c r="C140" s="18" t="s">
        <v>4182</v>
      </c>
      <c r="D140" s="18" t="s">
        <v>1482</v>
      </c>
      <c r="E140" s="18" t="s">
        <v>2184</v>
      </c>
      <c r="F140" s="2">
        <v>4</v>
      </c>
      <c r="G140" s="2" t="s">
        <v>31</v>
      </c>
      <c r="H140" s="2">
        <v>1994</v>
      </c>
      <c r="I140" s="2" t="s">
        <v>2190</v>
      </c>
      <c r="J140" s="2" t="s">
        <v>2186</v>
      </c>
      <c r="K140" s="8" t="s">
        <v>2187</v>
      </c>
      <c r="L140"/>
      <c r="M140" s="8" t="s">
        <v>4189</v>
      </c>
      <c r="P140" s="2" t="s">
        <v>1127</v>
      </c>
      <c r="Q140" t="s">
        <v>1127</v>
      </c>
    </row>
    <row r="141" spans="1:17" ht="16.5" customHeight="1" x14ac:dyDescent="0.2">
      <c r="A141" s="18" t="s">
        <v>399</v>
      </c>
      <c r="B141" s="18" t="s">
        <v>2182</v>
      </c>
      <c r="C141" s="18" t="s">
        <v>4182</v>
      </c>
      <c r="D141" s="18" t="s">
        <v>1482</v>
      </c>
      <c r="E141" s="18" t="s">
        <v>2184</v>
      </c>
      <c r="F141" s="2">
        <v>5</v>
      </c>
      <c r="G141" s="2" t="s">
        <v>13</v>
      </c>
      <c r="H141" s="2">
        <v>1995</v>
      </c>
      <c r="I141" s="2" t="s">
        <v>2191</v>
      </c>
      <c r="J141" s="2" t="s">
        <v>2186</v>
      </c>
      <c r="K141" s="8" t="s">
        <v>2187</v>
      </c>
      <c r="L141"/>
      <c r="M141" s="8" t="s">
        <v>4189</v>
      </c>
      <c r="P141" s="2" t="s">
        <v>1127</v>
      </c>
      <c r="Q141" t="s">
        <v>1127</v>
      </c>
    </row>
    <row r="142" spans="1:17" ht="16.5" customHeight="1" x14ac:dyDescent="0.2">
      <c r="A142" s="18" t="s">
        <v>399</v>
      </c>
      <c r="B142" s="18" t="s">
        <v>678</v>
      </c>
      <c r="C142" s="18" t="s">
        <v>4182</v>
      </c>
      <c r="D142" s="18" t="s">
        <v>1482</v>
      </c>
      <c r="E142" s="18" t="s">
        <v>2184</v>
      </c>
      <c r="F142" s="2">
        <v>6</v>
      </c>
      <c r="G142" s="2" t="s">
        <v>49</v>
      </c>
      <c r="H142" s="2">
        <v>1996</v>
      </c>
      <c r="I142" s="2" t="s">
        <v>2192</v>
      </c>
      <c r="J142" s="2" t="s">
        <v>2186</v>
      </c>
      <c r="K142" s="8" t="s">
        <v>2187</v>
      </c>
      <c r="L142"/>
      <c r="M142" s="8" t="s">
        <v>4189</v>
      </c>
      <c r="P142" s="2" t="s">
        <v>1127</v>
      </c>
      <c r="Q142" t="s">
        <v>1127</v>
      </c>
    </row>
    <row r="143" spans="1:17" ht="16.5" customHeight="1" x14ac:dyDescent="0.2">
      <c r="A143" s="18" t="s">
        <v>399</v>
      </c>
      <c r="B143" s="18" t="s">
        <v>680</v>
      </c>
      <c r="C143" s="18" t="s">
        <v>4182</v>
      </c>
      <c r="D143" s="18" t="s">
        <v>1482</v>
      </c>
      <c r="E143" s="18" t="s">
        <v>2184</v>
      </c>
      <c r="F143" s="2">
        <v>7</v>
      </c>
      <c r="G143" s="2" t="s">
        <v>101</v>
      </c>
      <c r="H143" s="2">
        <v>1997</v>
      </c>
      <c r="I143" s="2" t="s">
        <v>2193</v>
      </c>
      <c r="J143" s="2" t="s">
        <v>2186</v>
      </c>
      <c r="K143" s="8" t="s">
        <v>2187</v>
      </c>
      <c r="L143"/>
      <c r="M143" s="8" t="s">
        <v>4189</v>
      </c>
      <c r="P143" s="2" t="s">
        <v>1127</v>
      </c>
      <c r="Q143" t="s">
        <v>1127</v>
      </c>
    </row>
    <row r="144" spans="1:17" ht="16.5" customHeight="1" x14ac:dyDescent="0.2">
      <c r="A144" s="18" t="s">
        <v>399</v>
      </c>
      <c r="B144" s="18" t="s">
        <v>682</v>
      </c>
      <c r="C144" s="18" t="s">
        <v>4182</v>
      </c>
      <c r="D144" s="18" t="s">
        <v>1482</v>
      </c>
      <c r="E144" s="18" t="s">
        <v>2184</v>
      </c>
      <c r="F144" s="2">
        <v>8</v>
      </c>
      <c r="G144" s="2" t="s">
        <v>10</v>
      </c>
      <c r="H144" s="2">
        <v>1998</v>
      </c>
      <c r="I144" s="2" t="s">
        <v>2194</v>
      </c>
      <c r="J144" s="2" t="s">
        <v>2186</v>
      </c>
      <c r="K144" s="8" t="s">
        <v>2187</v>
      </c>
      <c r="L144"/>
      <c r="M144" s="8" t="s">
        <v>4189</v>
      </c>
      <c r="P144" s="2" t="s">
        <v>1127</v>
      </c>
      <c r="Q144" t="s">
        <v>1127</v>
      </c>
    </row>
    <row r="145" spans="1:17" ht="16.5" customHeight="1" x14ac:dyDescent="0.2">
      <c r="A145" s="18" t="s">
        <v>399</v>
      </c>
      <c r="B145" s="18" t="s">
        <v>684</v>
      </c>
      <c r="C145" s="18" t="s">
        <v>4182</v>
      </c>
      <c r="D145" s="18" t="s">
        <v>1482</v>
      </c>
      <c r="E145" s="18" t="s">
        <v>2184</v>
      </c>
      <c r="F145" s="2">
        <v>9</v>
      </c>
      <c r="G145" s="2" t="s">
        <v>55</v>
      </c>
      <c r="H145" s="2">
        <v>1999</v>
      </c>
      <c r="I145" s="2" t="s">
        <v>2195</v>
      </c>
      <c r="J145" s="2" t="s">
        <v>2186</v>
      </c>
      <c r="K145" s="8" t="s">
        <v>2187</v>
      </c>
      <c r="L145"/>
      <c r="M145" s="8" t="s">
        <v>4189</v>
      </c>
      <c r="P145" s="2" t="s">
        <v>1127</v>
      </c>
      <c r="Q145" t="s">
        <v>1127</v>
      </c>
    </row>
    <row r="146" spans="1:17" ht="16.5" customHeight="1" x14ac:dyDescent="0.2">
      <c r="A146" s="18" t="s">
        <v>399</v>
      </c>
      <c r="B146" s="18" t="s">
        <v>686</v>
      </c>
      <c r="C146" s="18" t="s">
        <v>4182</v>
      </c>
      <c r="D146" s="18" t="s">
        <v>1482</v>
      </c>
      <c r="E146" s="18" t="s">
        <v>2184</v>
      </c>
      <c r="F146" s="2">
        <v>10</v>
      </c>
      <c r="G146" s="2" t="s">
        <v>98</v>
      </c>
      <c r="H146" s="2">
        <v>2000</v>
      </c>
      <c r="I146" s="2" t="s">
        <v>2196</v>
      </c>
      <c r="J146" s="2" t="s">
        <v>2186</v>
      </c>
      <c r="K146" s="8" t="s">
        <v>2187</v>
      </c>
      <c r="L146"/>
      <c r="M146" s="8" t="s">
        <v>4189</v>
      </c>
      <c r="P146" s="2" t="s">
        <v>1127</v>
      </c>
      <c r="Q146" t="s">
        <v>1127</v>
      </c>
    </row>
    <row r="147" spans="1:17" ht="16.5" customHeight="1" x14ac:dyDescent="0.2">
      <c r="A147" s="18" t="s">
        <v>399</v>
      </c>
      <c r="B147" s="18" t="s">
        <v>2183</v>
      </c>
      <c r="C147" s="18" t="s">
        <v>4182</v>
      </c>
      <c r="D147" s="18" t="s">
        <v>1482</v>
      </c>
      <c r="E147" s="18" t="s">
        <v>2184</v>
      </c>
      <c r="F147" s="2">
        <v>11</v>
      </c>
      <c r="G147" s="2" t="s">
        <v>104</v>
      </c>
      <c r="H147" s="2">
        <v>2001</v>
      </c>
      <c r="I147" s="2" t="s">
        <v>2197</v>
      </c>
      <c r="J147" s="2" t="s">
        <v>2186</v>
      </c>
      <c r="K147" s="8" t="s">
        <v>2187</v>
      </c>
      <c r="L147"/>
      <c r="M147" s="8" t="s">
        <v>4189</v>
      </c>
      <c r="P147" s="2" t="s">
        <v>1127</v>
      </c>
      <c r="Q147" t="s">
        <v>1127</v>
      </c>
    </row>
    <row r="148" spans="1:17" ht="16.5" customHeight="1" x14ac:dyDescent="0.2">
      <c r="A148" s="18" t="s">
        <v>399</v>
      </c>
      <c r="B148" s="18" t="s">
        <v>688</v>
      </c>
      <c r="C148" s="18" t="s">
        <v>4182</v>
      </c>
      <c r="D148" s="18" t="s">
        <v>1482</v>
      </c>
      <c r="E148" s="18" t="s">
        <v>2184</v>
      </c>
      <c r="F148" s="2">
        <v>12</v>
      </c>
      <c r="G148" s="2" t="s">
        <v>89</v>
      </c>
      <c r="H148" s="2">
        <v>2002</v>
      </c>
      <c r="I148" s="2" t="s">
        <v>2198</v>
      </c>
      <c r="J148" s="2" t="s">
        <v>2186</v>
      </c>
      <c r="K148" s="8" t="s">
        <v>2187</v>
      </c>
      <c r="L148"/>
      <c r="M148" s="8" t="s">
        <v>4189</v>
      </c>
      <c r="P148" s="2" t="s">
        <v>1127</v>
      </c>
      <c r="Q148" t="s">
        <v>1127</v>
      </c>
    </row>
    <row r="149" spans="1:17" ht="16.5" customHeight="1" x14ac:dyDescent="0.2">
      <c r="A149" s="18" t="s">
        <v>399</v>
      </c>
      <c r="B149" s="18" t="s">
        <v>690</v>
      </c>
      <c r="C149" s="18" t="s">
        <v>4182</v>
      </c>
      <c r="D149" s="18" t="s">
        <v>1482</v>
      </c>
      <c r="E149" s="18" t="s">
        <v>2184</v>
      </c>
      <c r="F149" s="2">
        <v>13</v>
      </c>
      <c r="G149" s="2" t="s">
        <v>107</v>
      </c>
      <c r="H149" s="2">
        <v>2003</v>
      </c>
      <c r="I149" s="2" t="s">
        <v>2199</v>
      </c>
      <c r="J149" s="2" t="s">
        <v>2186</v>
      </c>
      <c r="K149" s="8" t="s">
        <v>2187</v>
      </c>
      <c r="L149"/>
      <c r="M149" s="8" t="s">
        <v>4189</v>
      </c>
      <c r="P149" s="2" t="s">
        <v>1127</v>
      </c>
      <c r="Q149" t="s">
        <v>1127</v>
      </c>
    </row>
    <row r="150" spans="1:17" ht="16.5" customHeight="1" x14ac:dyDescent="0.2">
      <c r="A150" s="18" t="s">
        <v>399</v>
      </c>
      <c r="B150" s="18" t="s">
        <v>692</v>
      </c>
      <c r="C150" s="18" t="s">
        <v>4182</v>
      </c>
      <c r="D150" s="18" t="s">
        <v>1482</v>
      </c>
      <c r="E150" s="18" t="s">
        <v>2184</v>
      </c>
      <c r="F150" s="2">
        <v>14</v>
      </c>
      <c r="G150" s="2" t="s">
        <v>43</v>
      </c>
      <c r="H150" s="2">
        <v>2004</v>
      </c>
      <c r="I150" s="2" t="s">
        <v>2200</v>
      </c>
      <c r="J150" s="2" t="s">
        <v>2186</v>
      </c>
      <c r="K150" s="8" t="s">
        <v>2187</v>
      </c>
      <c r="L150"/>
      <c r="M150" s="8" t="s">
        <v>4189</v>
      </c>
      <c r="P150" s="2" t="s">
        <v>1127</v>
      </c>
      <c r="Q150" t="s">
        <v>1127</v>
      </c>
    </row>
    <row r="151" spans="1:17" ht="16.5" customHeight="1" x14ac:dyDescent="0.2">
      <c r="A151" s="18" t="s">
        <v>399</v>
      </c>
      <c r="B151" s="18" t="s">
        <v>694</v>
      </c>
      <c r="C151" s="18" t="s">
        <v>4182</v>
      </c>
      <c r="D151" s="18" t="s">
        <v>1482</v>
      </c>
      <c r="E151" s="18" t="s">
        <v>2184</v>
      </c>
      <c r="F151" s="2">
        <v>15</v>
      </c>
      <c r="G151" s="2" t="s">
        <v>19</v>
      </c>
      <c r="H151" s="2">
        <v>2005</v>
      </c>
      <c r="I151" s="2" t="s">
        <v>2201</v>
      </c>
      <c r="J151" s="2" t="s">
        <v>2186</v>
      </c>
      <c r="K151" s="8" t="s">
        <v>2187</v>
      </c>
      <c r="L151"/>
      <c r="M151" s="8" t="s">
        <v>4189</v>
      </c>
      <c r="P151" s="2" t="s">
        <v>1127</v>
      </c>
      <c r="Q151" t="s">
        <v>1127</v>
      </c>
    </row>
    <row r="152" spans="1:17" ht="16.5" customHeight="1" x14ac:dyDescent="0.2">
      <c r="A152" s="18" t="s">
        <v>399</v>
      </c>
      <c r="B152" s="18" t="s">
        <v>696</v>
      </c>
      <c r="C152" s="18" t="s">
        <v>4182</v>
      </c>
      <c r="D152" s="18" t="s">
        <v>1482</v>
      </c>
      <c r="E152" s="18" t="s">
        <v>2184</v>
      </c>
      <c r="F152" s="2">
        <v>16</v>
      </c>
      <c r="G152" s="2" t="s">
        <v>25</v>
      </c>
      <c r="H152" s="2">
        <v>2006</v>
      </c>
      <c r="I152" s="2" t="s">
        <v>2202</v>
      </c>
      <c r="J152" s="2" t="s">
        <v>2186</v>
      </c>
      <c r="K152" s="8" t="s">
        <v>2187</v>
      </c>
      <c r="L152"/>
      <c r="M152" s="8" t="s">
        <v>4189</v>
      </c>
      <c r="P152" s="2" t="s">
        <v>1127</v>
      </c>
      <c r="Q152" t="s">
        <v>1127</v>
      </c>
    </row>
    <row r="153" spans="1:17" ht="16.5" customHeight="1" x14ac:dyDescent="0.2">
      <c r="A153" s="18" t="s">
        <v>399</v>
      </c>
      <c r="B153" s="18" t="s">
        <v>698</v>
      </c>
      <c r="C153" s="18" t="s">
        <v>4182</v>
      </c>
      <c r="D153" s="18" t="s">
        <v>1482</v>
      </c>
      <c r="E153" s="18" t="s">
        <v>2184</v>
      </c>
      <c r="F153" s="2">
        <v>17</v>
      </c>
      <c r="G153" s="2" t="s">
        <v>73</v>
      </c>
      <c r="H153" s="2">
        <v>2007</v>
      </c>
      <c r="I153" s="2" t="s">
        <v>2203</v>
      </c>
      <c r="J153" s="2" t="s">
        <v>2186</v>
      </c>
      <c r="K153" s="8" t="s">
        <v>2187</v>
      </c>
      <c r="L153"/>
      <c r="M153" s="8" t="s">
        <v>4189</v>
      </c>
      <c r="P153" s="2" t="s">
        <v>1127</v>
      </c>
      <c r="Q153" t="s">
        <v>1127</v>
      </c>
    </row>
    <row r="154" spans="1:17" ht="16.5" customHeight="1" x14ac:dyDescent="0.2">
      <c r="A154" s="28" t="s">
        <v>399</v>
      </c>
      <c r="B154" s="28" t="str">
        <f t="shared" ref="B154:B165" si="12">_xlfn.CONCAT(G154,"INDRESP")</f>
        <v>aINDRESP</v>
      </c>
      <c r="C154" s="27" t="s">
        <v>4182</v>
      </c>
      <c r="D154" s="28" t="s">
        <v>1626</v>
      </c>
      <c r="E154" s="28" t="s">
        <v>2205</v>
      </c>
      <c r="F154" s="2">
        <v>1</v>
      </c>
      <c r="G154" t="str">
        <f>MID("abcdefghijklmnopqrstuvwxyx",F154,1)</f>
        <v>a</v>
      </c>
      <c r="H154">
        <f>F154+1990</f>
        <v>1991</v>
      </c>
      <c r="I154" t="str">
        <f>G154&amp;"jbcssm"</f>
        <v>ajbcssm</v>
      </c>
      <c r="J154" s="2" t="s">
        <v>2204</v>
      </c>
      <c r="K154" s="8" t="s">
        <v>642</v>
      </c>
      <c r="L154"/>
      <c r="M154" s="2" t="s">
        <v>8</v>
      </c>
      <c r="P154" s="2" t="s">
        <v>1127</v>
      </c>
      <c r="Q154" t="s">
        <v>1127</v>
      </c>
    </row>
    <row r="155" spans="1:17" ht="16.5" customHeight="1" x14ac:dyDescent="0.2">
      <c r="A155" s="28" t="s">
        <v>399</v>
      </c>
      <c r="B155" s="28" t="str">
        <f t="shared" si="12"/>
        <v>hINDRESP</v>
      </c>
      <c r="C155" s="27" t="s">
        <v>4182</v>
      </c>
      <c r="D155" s="28" t="s">
        <v>1626</v>
      </c>
      <c r="E155" s="28" t="s">
        <v>2205</v>
      </c>
      <c r="F155" s="2">
        <v>8</v>
      </c>
      <c r="G155" t="str">
        <f t="shared" ref="G155:G165" si="13">MID("abcdefghijklmnopqrstuvwxyx",F155,1)</f>
        <v>h</v>
      </c>
      <c r="H155">
        <f t="shared" ref="H155:H165" si="14">F155+1990</f>
        <v>1998</v>
      </c>
      <c r="I155" t="str">
        <f t="shared" ref="I155:I165" si="15">G155&amp;"jbcssm"</f>
        <v>hjbcssm</v>
      </c>
      <c r="J155" s="2" t="s">
        <v>2204</v>
      </c>
      <c r="K155" s="8" t="s">
        <v>642</v>
      </c>
      <c r="L155"/>
      <c r="M155" s="2" t="s">
        <v>8</v>
      </c>
      <c r="P155" s="2" t="s">
        <v>1127</v>
      </c>
      <c r="Q155" t="s">
        <v>1127</v>
      </c>
    </row>
    <row r="156" spans="1:17" ht="16.5" customHeight="1" x14ac:dyDescent="0.2">
      <c r="A156" s="28" t="s">
        <v>399</v>
      </c>
      <c r="B156" s="28" t="str">
        <f t="shared" si="12"/>
        <v>iINDRESP</v>
      </c>
      <c r="C156" s="27" t="s">
        <v>4182</v>
      </c>
      <c r="D156" s="28" t="s">
        <v>1626</v>
      </c>
      <c r="E156" s="28" t="s">
        <v>2205</v>
      </c>
      <c r="F156" s="2">
        <v>9</v>
      </c>
      <c r="G156" t="str">
        <f t="shared" si="13"/>
        <v>i</v>
      </c>
      <c r="H156">
        <f t="shared" si="14"/>
        <v>1999</v>
      </c>
      <c r="I156" t="str">
        <f t="shared" si="15"/>
        <v>ijbcssm</v>
      </c>
      <c r="J156" s="2" t="s">
        <v>2204</v>
      </c>
      <c r="K156" s="8" t="s">
        <v>642</v>
      </c>
      <c r="L156"/>
      <c r="M156" s="2" t="s">
        <v>8</v>
      </c>
      <c r="P156" s="2" t="s">
        <v>1127</v>
      </c>
      <c r="Q156" t="s">
        <v>1127</v>
      </c>
    </row>
    <row r="157" spans="1:17" ht="16.5" customHeight="1" x14ac:dyDescent="0.2">
      <c r="A157" s="28" t="s">
        <v>399</v>
      </c>
      <c r="B157" s="28" t="str">
        <f t="shared" si="12"/>
        <v>jINDRESP</v>
      </c>
      <c r="C157" s="27" t="s">
        <v>4182</v>
      </c>
      <c r="D157" s="28" t="s">
        <v>1626</v>
      </c>
      <c r="E157" s="28" t="s">
        <v>2205</v>
      </c>
      <c r="F157" s="2">
        <v>10</v>
      </c>
      <c r="G157" t="str">
        <f t="shared" si="13"/>
        <v>j</v>
      </c>
      <c r="H157">
        <f t="shared" si="14"/>
        <v>2000</v>
      </c>
      <c r="I157" t="str">
        <f t="shared" si="15"/>
        <v>jjbcssm</v>
      </c>
      <c r="J157" s="2" t="s">
        <v>2204</v>
      </c>
      <c r="K157" s="8" t="s">
        <v>642</v>
      </c>
      <c r="L157"/>
      <c r="M157" s="2" t="s">
        <v>8</v>
      </c>
      <c r="P157" s="2" t="s">
        <v>1127</v>
      </c>
      <c r="Q157" t="s">
        <v>1127</v>
      </c>
    </row>
    <row r="158" spans="1:17" ht="16.5" customHeight="1" x14ac:dyDescent="0.2">
      <c r="A158" s="28" t="s">
        <v>399</v>
      </c>
      <c r="B158" s="28" t="str">
        <f t="shared" si="12"/>
        <v>kINDRESP</v>
      </c>
      <c r="C158" s="27" t="s">
        <v>4182</v>
      </c>
      <c r="D158" s="28" t="s">
        <v>1626</v>
      </c>
      <c r="E158" s="28" t="s">
        <v>2205</v>
      </c>
      <c r="F158" s="2">
        <v>11</v>
      </c>
      <c r="G158" t="str">
        <f t="shared" si="13"/>
        <v>k</v>
      </c>
      <c r="H158">
        <f t="shared" si="14"/>
        <v>2001</v>
      </c>
      <c r="I158" t="str">
        <f t="shared" si="15"/>
        <v>kjbcssm</v>
      </c>
      <c r="J158" s="2" t="s">
        <v>2204</v>
      </c>
      <c r="K158" s="8" t="s">
        <v>642</v>
      </c>
      <c r="L158"/>
      <c r="M158" s="2" t="s">
        <v>8</v>
      </c>
      <c r="P158" s="2" t="s">
        <v>1127</v>
      </c>
      <c r="Q158" t="s">
        <v>1127</v>
      </c>
    </row>
    <row r="159" spans="1:17" ht="16.5" customHeight="1" x14ac:dyDescent="0.2">
      <c r="A159" s="28" t="s">
        <v>399</v>
      </c>
      <c r="B159" s="28" t="str">
        <f t="shared" si="12"/>
        <v>lINDRESP</v>
      </c>
      <c r="C159" s="27" t="s">
        <v>4182</v>
      </c>
      <c r="D159" s="28" t="s">
        <v>1626</v>
      </c>
      <c r="E159" s="28" t="s">
        <v>2205</v>
      </c>
      <c r="F159" s="2">
        <v>12</v>
      </c>
      <c r="G159" t="str">
        <f t="shared" si="13"/>
        <v>l</v>
      </c>
      <c r="H159">
        <f t="shared" si="14"/>
        <v>2002</v>
      </c>
      <c r="I159" t="str">
        <f t="shared" si="15"/>
        <v>ljbcssm</v>
      </c>
      <c r="J159" s="2" t="s">
        <v>2204</v>
      </c>
      <c r="K159" s="8" t="s">
        <v>642</v>
      </c>
      <c r="L159"/>
      <c r="M159" s="2" t="s">
        <v>8</v>
      </c>
      <c r="P159" s="2" t="s">
        <v>1127</v>
      </c>
      <c r="Q159" t="s">
        <v>1127</v>
      </c>
    </row>
    <row r="160" spans="1:17" ht="16.5" customHeight="1" x14ac:dyDescent="0.2">
      <c r="A160" s="28" t="s">
        <v>399</v>
      </c>
      <c r="B160" s="28" t="str">
        <f t="shared" si="12"/>
        <v>mINDRESP</v>
      </c>
      <c r="C160" s="27" t="s">
        <v>4182</v>
      </c>
      <c r="D160" s="28" t="s">
        <v>1626</v>
      </c>
      <c r="E160" s="28" t="s">
        <v>2205</v>
      </c>
      <c r="F160" s="2">
        <v>13</v>
      </c>
      <c r="G160" t="str">
        <f t="shared" si="13"/>
        <v>m</v>
      </c>
      <c r="H160">
        <f t="shared" si="14"/>
        <v>2003</v>
      </c>
      <c r="I160" t="str">
        <f t="shared" si="15"/>
        <v>mjbcssm</v>
      </c>
      <c r="J160" s="2" t="s">
        <v>2204</v>
      </c>
      <c r="K160" s="8" t="s">
        <v>642</v>
      </c>
      <c r="L160"/>
      <c r="M160" s="2" t="s">
        <v>8</v>
      </c>
      <c r="P160" s="2" t="s">
        <v>1127</v>
      </c>
      <c r="Q160" t="s">
        <v>1127</v>
      </c>
    </row>
    <row r="161" spans="1:17" ht="16.5" customHeight="1" x14ac:dyDescent="0.2">
      <c r="A161" s="28" t="s">
        <v>399</v>
      </c>
      <c r="B161" s="28" t="str">
        <f t="shared" si="12"/>
        <v>nINDRESP</v>
      </c>
      <c r="C161" s="27" t="s">
        <v>4182</v>
      </c>
      <c r="D161" s="28" t="s">
        <v>1626</v>
      </c>
      <c r="E161" s="28" t="s">
        <v>2205</v>
      </c>
      <c r="F161" s="2">
        <v>14</v>
      </c>
      <c r="G161" t="str">
        <f t="shared" si="13"/>
        <v>n</v>
      </c>
      <c r="H161">
        <f t="shared" si="14"/>
        <v>2004</v>
      </c>
      <c r="I161" t="str">
        <f t="shared" si="15"/>
        <v>njbcssm</v>
      </c>
      <c r="J161" s="2" t="s">
        <v>2204</v>
      </c>
      <c r="K161" s="8" t="s">
        <v>642</v>
      </c>
      <c r="L161"/>
      <c r="M161" s="2" t="s">
        <v>8</v>
      </c>
      <c r="P161" s="2" t="s">
        <v>1127</v>
      </c>
      <c r="Q161" t="s">
        <v>1127</v>
      </c>
    </row>
    <row r="162" spans="1:17" ht="16.5" customHeight="1" x14ac:dyDescent="0.2">
      <c r="A162" s="28" t="s">
        <v>399</v>
      </c>
      <c r="B162" s="28" t="str">
        <f t="shared" si="12"/>
        <v>oINDRESP</v>
      </c>
      <c r="C162" s="27" t="s">
        <v>4182</v>
      </c>
      <c r="D162" s="28" t="s">
        <v>1626</v>
      </c>
      <c r="E162" s="28" t="s">
        <v>2205</v>
      </c>
      <c r="F162" s="2">
        <v>15</v>
      </c>
      <c r="G162" t="str">
        <f t="shared" si="13"/>
        <v>o</v>
      </c>
      <c r="H162">
        <f t="shared" si="14"/>
        <v>2005</v>
      </c>
      <c r="I162" t="str">
        <f t="shared" si="15"/>
        <v>ojbcssm</v>
      </c>
      <c r="J162" s="2" t="s">
        <v>2204</v>
      </c>
      <c r="K162" s="8" t="s">
        <v>642</v>
      </c>
      <c r="L162"/>
      <c r="M162" s="2" t="s">
        <v>8</v>
      </c>
      <c r="P162" s="2" t="s">
        <v>1127</v>
      </c>
      <c r="Q162" t="s">
        <v>1127</v>
      </c>
    </row>
    <row r="163" spans="1:17" ht="15" customHeight="1" x14ac:dyDescent="0.2">
      <c r="A163" s="28" t="s">
        <v>399</v>
      </c>
      <c r="B163" s="28" t="str">
        <f t="shared" si="12"/>
        <v>pINDRESP</v>
      </c>
      <c r="C163" s="27" t="s">
        <v>4182</v>
      </c>
      <c r="D163" s="28" t="s">
        <v>1626</v>
      </c>
      <c r="E163" s="28" t="s">
        <v>2205</v>
      </c>
      <c r="F163" s="2">
        <v>16</v>
      </c>
      <c r="G163" t="str">
        <f t="shared" si="13"/>
        <v>p</v>
      </c>
      <c r="H163">
        <f t="shared" si="14"/>
        <v>2006</v>
      </c>
      <c r="I163" t="str">
        <f t="shared" si="15"/>
        <v>pjbcssm</v>
      </c>
      <c r="J163" s="2" t="s">
        <v>2204</v>
      </c>
      <c r="K163" s="8" t="s">
        <v>642</v>
      </c>
      <c r="L163"/>
      <c r="M163" s="2" t="s">
        <v>8</v>
      </c>
      <c r="P163" s="2" t="s">
        <v>1127</v>
      </c>
      <c r="Q163" t="s">
        <v>1127</v>
      </c>
    </row>
    <row r="164" spans="1:17" ht="15" customHeight="1" x14ac:dyDescent="0.2">
      <c r="A164" s="28" t="s">
        <v>399</v>
      </c>
      <c r="B164" s="28" t="str">
        <f t="shared" si="12"/>
        <v>qINDRESP</v>
      </c>
      <c r="C164" s="27" t="s">
        <v>4182</v>
      </c>
      <c r="D164" s="28" t="s">
        <v>1626</v>
      </c>
      <c r="E164" s="28" t="s">
        <v>2205</v>
      </c>
      <c r="F164" s="2">
        <v>17</v>
      </c>
      <c r="G164" t="str">
        <f t="shared" si="13"/>
        <v>q</v>
      </c>
      <c r="H164">
        <f t="shared" si="14"/>
        <v>2007</v>
      </c>
      <c r="I164" t="str">
        <f t="shared" si="15"/>
        <v>qjbcssm</v>
      </c>
      <c r="J164" s="2" t="s">
        <v>2204</v>
      </c>
      <c r="K164" s="8" t="s">
        <v>642</v>
      </c>
      <c r="L164"/>
      <c r="M164" s="2" t="s">
        <v>8</v>
      </c>
      <c r="P164" s="2" t="s">
        <v>1127</v>
      </c>
      <c r="Q164" t="s">
        <v>1127</v>
      </c>
    </row>
    <row r="165" spans="1:17" ht="15" customHeight="1" x14ac:dyDescent="0.2">
      <c r="A165" s="28" t="s">
        <v>399</v>
      </c>
      <c r="B165" s="28" t="str">
        <f t="shared" si="12"/>
        <v>rINDRESP</v>
      </c>
      <c r="C165" s="27" t="s">
        <v>4182</v>
      </c>
      <c r="D165" s="28" t="s">
        <v>1626</v>
      </c>
      <c r="E165" s="28" t="s">
        <v>2205</v>
      </c>
      <c r="F165" s="2">
        <v>18</v>
      </c>
      <c r="G165" t="str">
        <f t="shared" si="13"/>
        <v>r</v>
      </c>
      <c r="H165">
        <f t="shared" si="14"/>
        <v>2008</v>
      </c>
      <c r="I165" t="str">
        <f t="shared" si="15"/>
        <v>rjbcssm</v>
      </c>
      <c r="J165" s="2" t="s">
        <v>2204</v>
      </c>
      <c r="K165" s="8" t="s">
        <v>642</v>
      </c>
      <c r="L165"/>
      <c r="M165" s="2" t="s">
        <v>8</v>
      </c>
      <c r="P165" s="2" t="s">
        <v>1127</v>
      </c>
      <c r="Q165" t="s">
        <v>1127</v>
      </c>
    </row>
    <row r="166" spans="1:17" ht="16.5" customHeight="1" x14ac:dyDescent="0.2">
      <c r="A166" s="28" t="s">
        <v>399</v>
      </c>
      <c r="B166" s="28" t="str">
        <f t="shared" ref="B166:B177" si="16">_xlfn.CONCAT(G166,"INDRESP")</f>
        <v>aINDRESP</v>
      </c>
      <c r="C166" s="27" t="s">
        <v>4182</v>
      </c>
      <c r="D166" s="28" t="s">
        <v>1626</v>
      </c>
      <c r="E166" s="28" t="s">
        <v>2206</v>
      </c>
      <c r="F166" s="2">
        <v>1</v>
      </c>
      <c r="G166" t="str">
        <f>MID("abcdefghijklmnopqrstuvwxyx",F166,1)</f>
        <v>a</v>
      </c>
      <c r="H166">
        <f>F166+1990</f>
        <v>1991</v>
      </c>
      <c r="I166" t="str">
        <f>G166&amp;"jbcssf"</f>
        <v>ajbcssf</v>
      </c>
      <c r="J166" s="2" t="s">
        <v>2207</v>
      </c>
      <c r="K166" s="8" t="s">
        <v>642</v>
      </c>
      <c r="L166"/>
      <c r="M166" s="2" t="s">
        <v>8</v>
      </c>
      <c r="P166" s="2" t="s">
        <v>1127</v>
      </c>
      <c r="Q166" t="s">
        <v>1127</v>
      </c>
    </row>
    <row r="167" spans="1:17" ht="16.5" customHeight="1" x14ac:dyDescent="0.2">
      <c r="A167" s="28" t="s">
        <v>399</v>
      </c>
      <c r="B167" s="28" t="str">
        <f t="shared" si="16"/>
        <v>hINDRESP</v>
      </c>
      <c r="C167" s="27" t="s">
        <v>4182</v>
      </c>
      <c r="D167" s="28" t="s">
        <v>1626</v>
      </c>
      <c r="E167" s="28" t="s">
        <v>2206</v>
      </c>
      <c r="F167" s="2">
        <v>8</v>
      </c>
      <c r="G167" t="str">
        <f t="shared" ref="G167:G177" si="17">MID("abcdefghijklmnopqrstuvwxyx",F167,1)</f>
        <v>h</v>
      </c>
      <c r="H167">
        <f t="shared" ref="H167:H177" si="18">F167+1990</f>
        <v>1998</v>
      </c>
      <c r="I167" t="str">
        <f t="shared" ref="I167:I177" si="19">G167&amp;"jbcssf"</f>
        <v>hjbcssf</v>
      </c>
      <c r="J167" s="2" t="s">
        <v>2207</v>
      </c>
      <c r="K167" s="8" t="s">
        <v>642</v>
      </c>
      <c r="L167"/>
      <c r="M167" s="2" t="s">
        <v>8</v>
      </c>
      <c r="P167" s="2" t="s">
        <v>1127</v>
      </c>
      <c r="Q167" t="s">
        <v>1127</v>
      </c>
    </row>
    <row r="168" spans="1:17" ht="16.5" customHeight="1" x14ac:dyDescent="0.2">
      <c r="A168" s="28" t="s">
        <v>399</v>
      </c>
      <c r="B168" s="28" t="str">
        <f t="shared" si="16"/>
        <v>iINDRESP</v>
      </c>
      <c r="C168" s="27" t="s">
        <v>4182</v>
      </c>
      <c r="D168" s="28" t="s">
        <v>1626</v>
      </c>
      <c r="E168" s="28" t="s">
        <v>2206</v>
      </c>
      <c r="F168" s="2">
        <v>9</v>
      </c>
      <c r="G168" t="str">
        <f t="shared" si="17"/>
        <v>i</v>
      </c>
      <c r="H168">
        <f t="shared" si="18"/>
        <v>1999</v>
      </c>
      <c r="I168" t="str">
        <f t="shared" si="19"/>
        <v>ijbcssf</v>
      </c>
      <c r="J168" s="2" t="s">
        <v>2207</v>
      </c>
      <c r="K168" s="8" t="s">
        <v>642</v>
      </c>
      <c r="L168"/>
      <c r="M168" s="2" t="s">
        <v>8</v>
      </c>
      <c r="P168" s="2" t="s">
        <v>1127</v>
      </c>
      <c r="Q168" t="s">
        <v>1127</v>
      </c>
    </row>
    <row r="169" spans="1:17" ht="16.5" customHeight="1" x14ac:dyDescent="0.2">
      <c r="A169" s="28" t="s">
        <v>399</v>
      </c>
      <c r="B169" s="28" t="str">
        <f t="shared" si="16"/>
        <v>jINDRESP</v>
      </c>
      <c r="C169" s="27" t="s">
        <v>4182</v>
      </c>
      <c r="D169" s="28" t="s">
        <v>1626</v>
      </c>
      <c r="E169" s="28" t="s">
        <v>2206</v>
      </c>
      <c r="F169" s="2">
        <v>10</v>
      </c>
      <c r="G169" t="str">
        <f t="shared" si="17"/>
        <v>j</v>
      </c>
      <c r="H169">
        <f t="shared" si="18"/>
        <v>2000</v>
      </c>
      <c r="I169" t="str">
        <f t="shared" si="19"/>
        <v>jjbcssf</v>
      </c>
      <c r="J169" s="2" t="s">
        <v>2207</v>
      </c>
      <c r="K169" s="8" t="s">
        <v>642</v>
      </c>
      <c r="L169"/>
      <c r="M169" s="2" t="s">
        <v>8</v>
      </c>
      <c r="P169" s="2" t="s">
        <v>1127</v>
      </c>
      <c r="Q169" t="s">
        <v>1127</v>
      </c>
    </row>
    <row r="170" spans="1:17" ht="16.5" customHeight="1" x14ac:dyDescent="0.2">
      <c r="A170" s="28" t="s">
        <v>399</v>
      </c>
      <c r="B170" s="28" t="str">
        <f t="shared" si="16"/>
        <v>kINDRESP</v>
      </c>
      <c r="C170" s="27" t="s">
        <v>4182</v>
      </c>
      <c r="D170" s="28" t="s">
        <v>1626</v>
      </c>
      <c r="E170" s="28" t="s">
        <v>2206</v>
      </c>
      <c r="F170" s="2">
        <v>11</v>
      </c>
      <c r="G170" t="str">
        <f t="shared" si="17"/>
        <v>k</v>
      </c>
      <c r="H170">
        <f t="shared" si="18"/>
        <v>2001</v>
      </c>
      <c r="I170" t="str">
        <f t="shared" si="19"/>
        <v>kjbcssf</v>
      </c>
      <c r="J170" s="2" t="s">
        <v>2207</v>
      </c>
      <c r="K170" s="8" t="s">
        <v>642</v>
      </c>
      <c r="L170"/>
      <c r="M170" s="2" t="s">
        <v>8</v>
      </c>
      <c r="P170" s="2" t="s">
        <v>1127</v>
      </c>
      <c r="Q170" t="s">
        <v>1127</v>
      </c>
    </row>
    <row r="171" spans="1:17" ht="16.5" customHeight="1" x14ac:dyDescent="0.2">
      <c r="A171" s="28" t="s">
        <v>399</v>
      </c>
      <c r="B171" s="28" t="str">
        <f t="shared" si="16"/>
        <v>lINDRESP</v>
      </c>
      <c r="C171" s="27" t="s">
        <v>4182</v>
      </c>
      <c r="D171" s="28" t="s">
        <v>1626</v>
      </c>
      <c r="E171" s="28" t="s">
        <v>2206</v>
      </c>
      <c r="F171" s="2">
        <v>12</v>
      </c>
      <c r="G171" t="str">
        <f t="shared" si="17"/>
        <v>l</v>
      </c>
      <c r="H171">
        <f t="shared" si="18"/>
        <v>2002</v>
      </c>
      <c r="I171" t="str">
        <f t="shared" si="19"/>
        <v>ljbcssf</v>
      </c>
      <c r="J171" s="2" t="s">
        <v>2207</v>
      </c>
      <c r="K171" s="8" t="s">
        <v>642</v>
      </c>
      <c r="L171"/>
      <c r="M171" s="2" t="s">
        <v>8</v>
      </c>
      <c r="P171" s="2" t="s">
        <v>1127</v>
      </c>
      <c r="Q171" t="s">
        <v>1127</v>
      </c>
    </row>
    <row r="172" spans="1:17" ht="16.5" customHeight="1" x14ac:dyDescent="0.2">
      <c r="A172" s="28" t="s">
        <v>399</v>
      </c>
      <c r="B172" s="28" t="str">
        <f t="shared" si="16"/>
        <v>mINDRESP</v>
      </c>
      <c r="C172" s="27" t="s">
        <v>4182</v>
      </c>
      <c r="D172" s="28" t="s">
        <v>1626</v>
      </c>
      <c r="E172" s="28" t="s">
        <v>2206</v>
      </c>
      <c r="F172" s="2">
        <v>13</v>
      </c>
      <c r="G172" t="str">
        <f t="shared" si="17"/>
        <v>m</v>
      </c>
      <c r="H172">
        <f t="shared" si="18"/>
        <v>2003</v>
      </c>
      <c r="I172" t="str">
        <f t="shared" si="19"/>
        <v>mjbcssf</v>
      </c>
      <c r="J172" s="2" t="s">
        <v>2207</v>
      </c>
      <c r="K172" s="8" t="s">
        <v>642</v>
      </c>
      <c r="L172"/>
      <c r="M172" s="2" t="s">
        <v>8</v>
      </c>
      <c r="P172" s="2" t="s">
        <v>1127</v>
      </c>
      <c r="Q172" t="s">
        <v>1127</v>
      </c>
    </row>
    <row r="173" spans="1:17" ht="16.5" customHeight="1" x14ac:dyDescent="0.2">
      <c r="A173" s="28" t="s">
        <v>399</v>
      </c>
      <c r="B173" s="28" t="str">
        <f t="shared" si="16"/>
        <v>nINDRESP</v>
      </c>
      <c r="C173" s="27" t="s">
        <v>4182</v>
      </c>
      <c r="D173" s="28" t="s">
        <v>1626</v>
      </c>
      <c r="E173" s="28" t="s">
        <v>2206</v>
      </c>
      <c r="F173" s="2">
        <v>14</v>
      </c>
      <c r="G173" t="str">
        <f t="shared" si="17"/>
        <v>n</v>
      </c>
      <c r="H173">
        <f t="shared" si="18"/>
        <v>2004</v>
      </c>
      <c r="I173" t="str">
        <f t="shared" si="19"/>
        <v>njbcssf</v>
      </c>
      <c r="J173" s="2" t="s">
        <v>2207</v>
      </c>
      <c r="K173" s="8" t="s">
        <v>642</v>
      </c>
      <c r="L173"/>
      <c r="M173" s="2" t="s">
        <v>8</v>
      </c>
      <c r="P173" s="2" t="s">
        <v>1127</v>
      </c>
      <c r="Q173" t="s">
        <v>1127</v>
      </c>
    </row>
    <row r="174" spans="1:17" ht="16.5" customHeight="1" x14ac:dyDescent="0.2">
      <c r="A174" s="28" t="s">
        <v>399</v>
      </c>
      <c r="B174" s="28" t="str">
        <f t="shared" si="16"/>
        <v>oINDRESP</v>
      </c>
      <c r="C174" s="27" t="s">
        <v>4182</v>
      </c>
      <c r="D174" s="28" t="s">
        <v>1626</v>
      </c>
      <c r="E174" s="28" t="s">
        <v>2206</v>
      </c>
      <c r="F174" s="2">
        <v>15</v>
      </c>
      <c r="G174" t="str">
        <f t="shared" si="17"/>
        <v>o</v>
      </c>
      <c r="H174">
        <f t="shared" si="18"/>
        <v>2005</v>
      </c>
      <c r="I174" t="str">
        <f t="shared" si="19"/>
        <v>ojbcssf</v>
      </c>
      <c r="J174" s="2" t="s">
        <v>2207</v>
      </c>
      <c r="K174" s="8" t="s">
        <v>642</v>
      </c>
      <c r="L174"/>
      <c r="M174" s="2" t="s">
        <v>8</v>
      </c>
      <c r="P174" s="2" t="s">
        <v>1127</v>
      </c>
      <c r="Q174" t="s">
        <v>1127</v>
      </c>
    </row>
    <row r="175" spans="1:17" ht="15" customHeight="1" x14ac:dyDescent="0.2">
      <c r="A175" s="28" t="s">
        <v>399</v>
      </c>
      <c r="B175" s="28" t="str">
        <f t="shared" si="16"/>
        <v>pINDRESP</v>
      </c>
      <c r="C175" s="27" t="s">
        <v>4182</v>
      </c>
      <c r="D175" s="28" t="s">
        <v>1626</v>
      </c>
      <c r="E175" s="28" t="s">
        <v>2206</v>
      </c>
      <c r="F175" s="2">
        <v>16</v>
      </c>
      <c r="G175" t="str">
        <f t="shared" si="17"/>
        <v>p</v>
      </c>
      <c r="H175">
        <f t="shared" si="18"/>
        <v>2006</v>
      </c>
      <c r="I175" t="str">
        <f t="shared" si="19"/>
        <v>pjbcssf</v>
      </c>
      <c r="J175" s="2" t="s">
        <v>2207</v>
      </c>
      <c r="K175" s="8" t="s">
        <v>642</v>
      </c>
      <c r="L175"/>
      <c r="M175" s="2" t="s">
        <v>8</v>
      </c>
      <c r="P175" s="2" t="s">
        <v>1127</v>
      </c>
      <c r="Q175" t="s">
        <v>1127</v>
      </c>
    </row>
    <row r="176" spans="1:17" ht="15" customHeight="1" x14ac:dyDescent="0.2">
      <c r="A176" s="28" t="s">
        <v>399</v>
      </c>
      <c r="B176" s="28" t="str">
        <f t="shared" si="16"/>
        <v>qINDRESP</v>
      </c>
      <c r="C176" s="27" t="s">
        <v>4182</v>
      </c>
      <c r="D176" s="28" t="s">
        <v>1626</v>
      </c>
      <c r="E176" s="28" t="s">
        <v>2206</v>
      </c>
      <c r="F176" s="2">
        <v>17</v>
      </c>
      <c r="G176" t="str">
        <f t="shared" si="17"/>
        <v>q</v>
      </c>
      <c r="H176">
        <f t="shared" si="18"/>
        <v>2007</v>
      </c>
      <c r="I176" t="str">
        <f t="shared" si="19"/>
        <v>qjbcssf</v>
      </c>
      <c r="J176" s="2" t="s">
        <v>2207</v>
      </c>
      <c r="K176" s="8" t="s">
        <v>642</v>
      </c>
      <c r="L176"/>
      <c r="M176" s="2" t="s">
        <v>8</v>
      </c>
      <c r="P176" s="2" t="s">
        <v>1127</v>
      </c>
      <c r="Q176" t="s">
        <v>1127</v>
      </c>
    </row>
    <row r="177" spans="1:17" ht="15" customHeight="1" x14ac:dyDescent="0.2">
      <c r="A177" s="28" t="s">
        <v>399</v>
      </c>
      <c r="B177" s="28" t="str">
        <f t="shared" si="16"/>
        <v>rINDRESP</v>
      </c>
      <c r="C177" s="27" t="s">
        <v>4182</v>
      </c>
      <c r="D177" s="28" t="s">
        <v>1626</v>
      </c>
      <c r="E177" s="28" t="s">
        <v>2206</v>
      </c>
      <c r="F177" s="2">
        <v>18</v>
      </c>
      <c r="G177" t="str">
        <f t="shared" si="17"/>
        <v>r</v>
      </c>
      <c r="H177">
        <f t="shared" si="18"/>
        <v>2008</v>
      </c>
      <c r="I177" t="str">
        <f t="shared" si="19"/>
        <v>rjbcssf</v>
      </c>
      <c r="J177" s="2" t="s">
        <v>2207</v>
      </c>
      <c r="K177" s="8" t="s">
        <v>642</v>
      </c>
      <c r="L177"/>
      <c r="M177" s="2" t="s">
        <v>8</v>
      </c>
      <c r="P177" s="2" t="s">
        <v>1127</v>
      </c>
      <c r="Q177" t="s">
        <v>1127</v>
      </c>
    </row>
    <row r="178" spans="1:17" ht="16.5" customHeight="1" x14ac:dyDescent="0.2">
      <c r="A178" s="18" t="s">
        <v>399</v>
      </c>
      <c r="B178" s="18" t="s">
        <v>2208</v>
      </c>
      <c r="C178" s="18" t="s">
        <v>4182</v>
      </c>
      <c r="D178" s="18" t="s">
        <v>1524</v>
      </c>
      <c r="E178" s="18" t="s">
        <v>1524</v>
      </c>
      <c r="F178" s="2">
        <v>1</v>
      </c>
      <c r="G178" s="2" t="s">
        <v>40</v>
      </c>
      <c r="H178" s="2">
        <v>1991</v>
      </c>
      <c r="I178" s="2" t="str">
        <f>G178&amp;"PAYGYR"</f>
        <v>aPAYGYR</v>
      </c>
      <c r="J178" s="2" t="s">
        <v>2209</v>
      </c>
      <c r="K178" s="8" t="s">
        <v>1105</v>
      </c>
      <c r="L178"/>
      <c r="M178" s="2" t="s">
        <v>8</v>
      </c>
      <c r="P178" s="2" t="s">
        <v>1527</v>
      </c>
      <c r="Q178" t="s">
        <v>3462</v>
      </c>
    </row>
    <row r="179" spans="1:17" ht="16.5" customHeight="1" x14ac:dyDescent="0.2">
      <c r="A179" s="18" t="s">
        <v>399</v>
      </c>
      <c r="B179" s="18" t="s">
        <v>2210</v>
      </c>
      <c r="C179" s="18" t="s">
        <v>4182</v>
      </c>
      <c r="D179" s="18" t="s">
        <v>1524</v>
      </c>
      <c r="E179" s="18" t="s">
        <v>1524</v>
      </c>
      <c r="F179" s="2">
        <v>2</v>
      </c>
      <c r="G179" s="2" t="s">
        <v>37</v>
      </c>
      <c r="H179" s="2">
        <v>1992</v>
      </c>
      <c r="I179" s="2" t="str">
        <f t="shared" ref="I179:I195" si="20">G179&amp;"PAYGYR"</f>
        <v>bPAYGYR</v>
      </c>
      <c r="J179" s="2" t="s">
        <v>2209</v>
      </c>
      <c r="K179" s="8" t="s">
        <v>1105</v>
      </c>
      <c r="L179"/>
      <c r="M179" s="2" t="s">
        <v>8</v>
      </c>
      <c r="P179" s="2" t="s">
        <v>1527</v>
      </c>
      <c r="Q179" t="s">
        <v>3462</v>
      </c>
    </row>
    <row r="180" spans="1:17" ht="16.5" customHeight="1" x14ac:dyDescent="0.2">
      <c r="A180" s="18" t="s">
        <v>399</v>
      </c>
      <c r="B180" s="18" t="s">
        <v>2211</v>
      </c>
      <c r="C180" s="18" t="s">
        <v>4182</v>
      </c>
      <c r="D180" s="18" t="s">
        <v>1524</v>
      </c>
      <c r="E180" s="18" t="s">
        <v>1524</v>
      </c>
      <c r="F180" s="2">
        <v>3</v>
      </c>
      <c r="G180" s="2" t="s">
        <v>80</v>
      </c>
      <c r="H180" s="2">
        <v>1993</v>
      </c>
      <c r="I180" s="2" t="str">
        <f t="shared" si="20"/>
        <v>cPAYGYR</v>
      </c>
      <c r="J180" s="2" t="s">
        <v>2209</v>
      </c>
      <c r="K180" s="8" t="s">
        <v>1105</v>
      </c>
      <c r="L180"/>
      <c r="M180" s="2" t="s">
        <v>8</v>
      </c>
      <c r="P180" s="2" t="s">
        <v>1527</v>
      </c>
      <c r="Q180" t="s">
        <v>3462</v>
      </c>
    </row>
    <row r="181" spans="1:17" ht="16.5" customHeight="1" x14ac:dyDescent="0.2">
      <c r="A181" s="18" t="s">
        <v>399</v>
      </c>
      <c r="B181" s="18" t="s">
        <v>2212</v>
      </c>
      <c r="C181" s="18" t="s">
        <v>4182</v>
      </c>
      <c r="D181" s="18" t="s">
        <v>1524</v>
      </c>
      <c r="E181" s="18" t="s">
        <v>1524</v>
      </c>
      <c r="F181" s="2">
        <v>4</v>
      </c>
      <c r="G181" s="2" t="s">
        <v>31</v>
      </c>
      <c r="H181" s="2">
        <v>1994</v>
      </c>
      <c r="I181" s="2" t="str">
        <f t="shared" si="20"/>
        <v>dPAYGYR</v>
      </c>
      <c r="J181" s="2" t="s">
        <v>2209</v>
      </c>
      <c r="K181" s="8" t="s">
        <v>1105</v>
      </c>
      <c r="L181"/>
      <c r="M181" s="2" t="s">
        <v>8</v>
      </c>
      <c r="P181" s="2" t="s">
        <v>1527</v>
      </c>
      <c r="Q181" t="s">
        <v>3462</v>
      </c>
    </row>
    <row r="182" spans="1:17" ht="16.5" customHeight="1" x14ac:dyDescent="0.2">
      <c r="A182" s="18" t="s">
        <v>399</v>
      </c>
      <c r="B182" s="18" t="s">
        <v>2213</v>
      </c>
      <c r="C182" s="18" t="s">
        <v>4182</v>
      </c>
      <c r="D182" s="18" t="s">
        <v>1524</v>
      </c>
      <c r="E182" s="18" t="s">
        <v>1524</v>
      </c>
      <c r="F182" s="2">
        <v>5</v>
      </c>
      <c r="G182" s="2" t="s">
        <v>13</v>
      </c>
      <c r="H182" s="2">
        <v>1995</v>
      </c>
      <c r="I182" s="2" t="str">
        <f t="shared" si="20"/>
        <v>ePAYGYR</v>
      </c>
      <c r="J182" s="2" t="s">
        <v>2209</v>
      </c>
      <c r="K182" s="8" t="s">
        <v>1105</v>
      </c>
      <c r="L182"/>
      <c r="M182" s="2" t="s">
        <v>8</v>
      </c>
      <c r="P182" s="2" t="s">
        <v>1527</v>
      </c>
      <c r="Q182" t="s">
        <v>3462</v>
      </c>
    </row>
    <row r="183" spans="1:17" ht="16.5" customHeight="1" x14ac:dyDescent="0.2">
      <c r="A183" s="18" t="s">
        <v>399</v>
      </c>
      <c r="B183" s="18" t="s">
        <v>2214</v>
      </c>
      <c r="C183" s="18" t="s">
        <v>4182</v>
      </c>
      <c r="D183" s="18" t="s">
        <v>1524</v>
      </c>
      <c r="E183" s="18" t="s">
        <v>1524</v>
      </c>
      <c r="F183" s="2">
        <v>6</v>
      </c>
      <c r="G183" s="2" t="s">
        <v>49</v>
      </c>
      <c r="H183" s="2">
        <v>1996</v>
      </c>
      <c r="I183" s="2" t="str">
        <f t="shared" si="20"/>
        <v>fPAYGYR</v>
      </c>
      <c r="J183" s="2" t="s">
        <v>2209</v>
      </c>
      <c r="K183" s="8" t="s">
        <v>1105</v>
      </c>
      <c r="L183"/>
      <c r="M183" s="2" t="s">
        <v>8</v>
      </c>
      <c r="P183" s="2" t="s">
        <v>1527</v>
      </c>
      <c r="Q183" t="s">
        <v>3462</v>
      </c>
    </row>
    <row r="184" spans="1:17" ht="16.5" customHeight="1" x14ac:dyDescent="0.2">
      <c r="A184" s="18" t="s">
        <v>399</v>
      </c>
      <c r="B184" s="18" t="s">
        <v>2215</v>
      </c>
      <c r="C184" s="18" t="s">
        <v>4182</v>
      </c>
      <c r="D184" s="18" t="s">
        <v>1524</v>
      </c>
      <c r="E184" s="18" t="s">
        <v>1524</v>
      </c>
      <c r="F184" s="2">
        <v>7</v>
      </c>
      <c r="G184" s="2" t="s">
        <v>101</v>
      </c>
      <c r="H184" s="2">
        <v>1997</v>
      </c>
      <c r="I184" s="2" t="str">
        <f t="shared" si="20"/>
        <v>gPAYGYR</v>
      </c>
      <c r="J184" s="2" t="s">
        <v>2209</v>
      </c>
      <c r="K184" s="8" t="s">
        <v>1105</v>
      </c>
      <c r="L184"/>
      <c r="M184" s="2" t="s">
        <v>8</v>
      </c>
      <c r="P184" s="2" t="s">
        <v>1527</v>
      </c>
      <c r="Q184" t="s">
        <v>3462</v>
      </c>
    </row>
    <row r="185" spans="1:17" ht="16.5" customHeight="1" x14ac:dyDescent="0.2">
      <c r="A185" s="18" t="s">
        <v>399</v>
      </c>
      <c r="B185" s="18" t="s">
        <v>2216</v>
      </c>
      <c r="C185" s="18" t="s">
        <v>4182</v>
      </c>
      <c r="D185" s="18" t="s">
        <v>1524</v>
      </c>
      <c r="E185" s="18" t="s">
        <v>1524</v>
      </c>
      <c r="F185" s="2">
        <v>8</v>
      </c>
      <c r="G185" s="2" t="s">
        <v>10</v>
      </c>
      <c r="H185" s="2">
        <v>1998</v>
      </c>
      <c r="I185" s="2" t="str">
        <f t="shared" si="20"/>
        <v>hPAYGYR</v>
      </c>
      <c r="J185" s="2" t="s">
        <v>2209</v>
      </c>
      <c r="K185" s="8" t="s">
        <v>1105</v>
      </c>
      <c r="L185"/>
      <c r="M185" s="2" t="s">
        <v>8</v>
      </c>
      <c r="P185" s="2" t="s">
        <v>1527</v>
      </c>
      <c r="Q185" t="s">
        <v>3462</v>
      </c>
    </row>
    <row r="186" spans="1:17" ht="16.5" customHeight="1" x14ac:dyDescent="0.2">
      <c r="A186" s="18" t="s">
        <v>399</v>
      </c>
      <c r="B186" s="18" t="s">
        <v>2217</v>
      </c>
      <c r="C186" s="18" t="s">
        <v>4182</v>
      </c>
      <c r="D186" s="18" t="s">
        <v>1524</v>
      </c>
      <c r="E186" s="18" t="s">
        <v>1524</v>
      </c>
      <c r="F186" s="2">
        <v>9</v>
      </c>
      <c r="G186" s="2" t="s">
        <v>55</v>
      </c>
      <c r="H186" s="2">
        <v>1999</v>
      </c>
      <c r="I186" s="2" t="str">
        <f t="shared" si="20"/>
        <v>iPAYGYR</v>
      </c>
      <c r="J186" s="2" t="s">
        <v>2209</v>
      </c>
      <c r="K186" s="8" t="s">
        <v>1105</v>
      </c>
      <c r="L186"/>
      <c r="M186" s="2" t="s">
        <v>8</v>
      </c>
      <c r="P186" s="2" t="s">
        <v>1527</v>
      </c>
      <c r="Q186" t="s">
        <v>3462</v>
      </c>
    </row>
    <row r="187" spans="1:17" ht="16.5" customHeight="1" x14ac:dyDescent="0.2">
      <c r="A187" s="18" t="s">
        <v>399</v>
      </c>
      <c r="B187" s="18" t="s">
        <v>2218</v>
      </c>
      <c r="C187" s="18" t="s">
        <v>4182</v>
      </c>
      <c r="D187" s="18" t="s">
        <v>1524</v>
      </c>
      <c r="E187" s="18" t="s">
        <v>1524</v>
      </c>
      <c r="F187" s="2">
        <v>10</v>
      </c>
      <c r="G187" s="2" t="s">
        <v>98</v>
      </c>
      <c r="H187" s="2">
        <v>2000</v>
      </c>
      <c r="I187" s="2" t="str">
        <f t="shared" si="20"/>
        <v>jPAYGYR</v>
      </c>
      <c r="J187" s="2" t="s">
        <v>2209</v>
      </c>
      <c r="K187" s="8" t="s">
        <v>1105</v>
      </c>
      <c r="L187"/>
      <c r="M187" s="2" t="s">
        <v>8</v>
      </c>
      <c r="P187" s="2" t="s">
        <v>1527</v>
      </c>
      <c r="Q187" t="s">
        <v>3462</v>
      </c>
    </row>
    <row r="188" spans="1:17" ht="16.5" customHeight="1" x14ac:dyDescent="0.2">
      <c r="A188" s="18" t="s">
        <v>399</v>
      </c>
      <c r="B188" s="18" t="s">
        <v>2219</v>
      </c>
      <c r="C188" s="18" t="s">
        <v>4182</v>
      </c>
      <c r="D188" s="18" t="s">
        <v>1524</v>
      </c>
      <c r="E188" s="18" t="s">
        <v>1524</v>
      </c>
      <c r="F188" s="2">
        <v>11</v>
      </c>
      <c r="G188" s="2" t="s">
        <v>104</v>
      </c>
      <c r="H188" s="2">
        <v>2001</v>
      </c>
      <c r="I188" s="2" t="str">
        <f t="shared" si="20"/>
        <v>kPAYGYR</v>
      </c>
      <c r="J188" s="2" t="s">
        <v>2209</v>
      </c>
      <c r="K188" s="8" t="s">
        <v>1105</v>
      </c>
      <c r="L188"/>
      <c r="M188" s="2" t="s">
        <v>8</v>
      </c>
      <c r="P188" s="2" t="s">
        <v>1527</v>
      </c>
      <c r="Q188" t="s">
        <v>3462</v>
      </c>
    </row>
    <row r="189" spans="1:17" ht="16.5" customHeight="1" x14ac:dyDescent="0.2">
      <c r="A189" s="18" t="s">
        <v>399</v>
      </c>
      <c r="B189" s="18" t="s">
        <v>2220</v>
      </c>
      <c r="C189" s="18" t="s">
        <v>4182</v>
      </c>
      <c r="D189" s="18" t="s">
        <v>1524</v>
      </c>
      <c r="E189" s="18" t="s">
        <v>1524</v>
      </c>
      <c r="F189" s="2">
        <v>12</v>
      </c>
      <c r="G189" s="2" t="s">
        <v>89</v>
      </c>
      <c r="H189" s="2">
        <v>2002</v>
      </c>
      <c r="I189" s="2" t="str">
        <f t="shared" si="20"/>
        <v>lPAYGYR</v>
      </c>
      <c r="J189" s="2" t="s">
        <v>2209</v>
      </c>
      <c r="K189" s="8" t="s">
        <v>1105</v>
      </c>
      <c r="L189"/>
      <c r="M189" s="2" t="s">
        <v>8</v>
      </c>
      <c r="P189" s="2" t="s">
        <v>1527</v>
      </c>
      <c r="Q189" t="s">
        <v>3462</v>
      </c>
    </row>
    <row r="190" spans="1:17" ht="16.5" customHeight="1" x14ac:dyDescent="0.2">
      <c r="A190" s="18" t="s">
        <v>399</v>
      </c>
      <c r="B190" s="18" t="s">
        <v>2221</v>
      </c>
      <c r="C190" s="18" t="s">
        <v>4182</v>
      </c>
      <c r="D190" s="18" t="s">
        <v>1524</v>
      </c>
      <c r="E190" s="18" t="s">
        <v>1524</v>
      </c>
      <c r="F190" s="2">
        <v>13</v>
      </c>
      <c r="G190" s="2" t="s">
        <v>107</v>
      </c>
      <c r="H190" s="2">
        <v>2003</v>
      </c>
      <c r="I190" s="2" t="str">
        <f t="shared" si="20"/>
        <v>mPAYGYR</v>
      </c>
      <c r="J190" s="2" t="s">
        <v>2209</v>
      </c>
      <c r="K190" s="8" t="s">
        <v>1105</v>
      </c>
      <c r="L190"/>
      <c r="M190" s="2" t="s">
        <v>8</v>
      </c>
      <c r="P190" s="2" t="s">
        <v>1527</v>
      </c>
      <c r="Q190" t="s">
        <v>3462</v>
      </c>
    </row>
    <row r="191" spans="1:17" ht="16.5" customHeight="1" x14ac:dyDescent="0.2">
      <c r="A191" s="18" t="s">
        <v>399</v>
      </c>
      <c r="B191" s="18" t="s">
        <v>2222</v>
      </c>
      <c r="C191" s="18" t="s">
        <v>4182</v>
      </c>
      <c r="D191" s="18" t="s">
        <v>1524</v>
      </c>
      <c r="E191" s="18" t="s">
        <v>1524</v>
      </c>
      <c r="F191" s="2">
        <v>14</v>
      </c>
      <c r="G191" s="2" t="s">
        <v>43</v>
      </c>
      <c r="H191" s="2">
        <v>2004</v>
      </c>
      <c r="I191" s="2" t="str">
        <f t="shared" si="20"/>
        <v>nPAYGYR</v>
      </c>
      <c r="J191" s="2" t="s">
        <v>2209</v>
      </c>
      <c r="K191" s="8" t="s">
        <v>1105</v>
      </c>
      <c r="L191"/>
      <c r="M191" s="2" t="s">
        <v>8</v>
      </c>
      <c r="P191" s="2" t="s">
        <v>1527</v>
      </c>
      <c r="Q191" t="s">
        <v>3462</v>
      </c>
    </row>
    <row r="192" spans="1:17" ht="16.5" customHeight="1" x14ac:dyDescent="0.2">
      <c r="A192" s="18" t="s">
        <v>399</v>
      </c>
      <c r="B192" s="18" t="s">
        <v>2223</v>
      </c>
      <c r="C192" s="18" t="s">
        <v>4182</v>
      </c>
      <c r="D192" s="18" t="s">
        <v>1524</v>
      </c>
      <c r="E192" s="18" t="s">
        <v>1524</v>
      </c>
      <c r="F192" s="2">
        <v>15</v>
      </c>
      <c r="G192" s="2" t="s">
        <v>19</v>
      </c>
      <c r="H192" s="2">
        <v>2005</v>
      </c>
      <c r="I192" s="2" t="str">
        <f t="shared" si="20"/>
        <v>oPAYGYR</v>
      </c>
      <c r="J192" s="2" t="s">
        <v>2209</v>
      </c>
      <c r="K192" s="8" t="s">
        <v>1105</v>
      </c>
      <c r="L192"/>
      <c r="M192" s="2" t="s">
        <v>8</v>
      </c>
      <c r="P192" s="2" t="s">
        <v>1527</v>
      </c>
      <c r="Q192" t="s">
        <v>3462</v>
      </c>
    </row>
    <row r="193" spans="1:17" ht="16.5" customHeight="1" x14ac:dyDescent="0.2">
      <c r="A193" s="18" t="s">
        <v>399</v>
      </c>
      <c r="B193" s="18" t="s">
        <v>2224</v>
      </c>
      <c r="C193" s="18" t="s">
        <v>4182</v>
      </c>
      <c r="D193" s="18" t="s">
        <v>1524</v>
      </c>
      <c r="E193" s="18" t="s">
        <v>1524</v>
      </c>
      <c r="F193" s="2">
        <v>16</v>
      </c>
      <c r="G193" s="2" t="s">
        <v>25</v>
      </c>
      <c r="H193" s="2">
        <v>2006</v>
      </c>
      <c r="I193" s="2" t="str">
        <f t="shared" si="20"/>
        <v>pPAYGYR</v>
      </c>
      <c r="J193" s="2" t="s">
        <v>2209</v>
      </c>
      <c r="K193" s="8" t="s">
        <v>1105</v>
      </c>
      <c r="L193"/>
      <c r="M193" s="2" t="s">
        <v>8</v>
      </c>
      <c r="P193" s="2" t="s">
        <v>1527</v>
      </c>
      <c r="Q193" t="s">
        <v>3462</v>
      </c>
    </row>
    <row r="194" spans="1:17" ht="16.5" customHeight="1" x14ac:dyDescent="0.2">
      <c r="A194" s="18" t="s">
        <v>399</v>
      </c>
      <c r="B194" s="18" t="s">
        <v>2225</v>
      </c>
      <c r="C194" s="18" t="s">
        <v>4182</v>
      </c>
      <c r="D194" s="18" t="s">
        <v>1524</v>
      </c>
      <c r="E194" s="18" t="s">
        <v>1524</v>
      </c>
      <c r="F194" s="2">
        <v>17</v>
      </c>
      <c r="G194" s="2" t="s">
        <v>73</v>
      </c>
      <c r="H194" s="2">
        <v>2007</v>
      </c>
      <c r="I194" s="2" t="str">
        <f t="shared" si="20"/>
        <v>qPAYGYR</v>
      </c>
      <c r="J194" s="2" t="s">
        <v>2209</v>
      </c>
      <c r="K194" s="8" t="s">
        <v>1105</v>
      </c>
      <c r="L194"/>
      <c r="M194" s="2" t="s">
        <v>8</v>
      </c>
      <c r="P194" s="2" t="s">
        <v>1527</v>
      </c>
      <c r="Q194" t="s">
        <v>3462</v>
      </c>
    </row>
    <row r="195" spans="1:17" ht="16.5" customHeight="1" x14ac:dyDescent="0.2">
      <c r="A195" s="18" t="s">
        <v>399</v>
      </c>
      <c r="B195" s="18" t="s">
        <v>2226</v>
      </c>
      <c r="C195" s="18" t="s">
        <v>4182</v>
      </c>
      <c r="D195" s="18" t="s">
        <v>1524</v>
      </c>
      <c r="E195" s="18" t="s">
        <v>1524</v>
      </c>
      <c r="F195" s="2">
        <v>18</v>
      </c>
      <c r="G195" s="2" t="s">
        <v>58</v>
      </c>
      <c r="H195" s="2">
        <v>2008</v>
      </c>
      <c r="I195" s="2" t="str">
        <f t="shared" si="20"/>
        <v>rPAYGYR</v>
      </c>
      <c r="J195" s="2" t="s">
        <v>2209</v>
      </c>
      <c r="K195" s="8" t="s">
        <v>1105</v>
      </c>
      <c r="L195"/>
      <c r="M195" s="2" t="s">
        <v>8</v>
      </c>
      <c r="P195" s="2" t="s">
        <v>1527</v>
      </c>
      <c r="Q195" t="s">
        <v>3462</v>
      </c>
    </row>
    <row r="196" spans="1:17" ht="16.5" customHeight="1" x14ac:dyDescent="0.2">
      <c r="A196" s="35" t="s">
        <v>399</v>
      </c>
      <c r="B196" s="35" t="s">
        <v>2227</v>
      </c>
      <c r="C196" s="35" t="s">
        <v>4182</v>
      </c>
      <c r="D196" s="35" t="s">
        <v>1641</v>
      </c>
      <c r="E196" s="35" t="s">
        <v>2228</v>
      </c>
      <c r="F196" s="2">
        <v>1</v>
      </c>
      <c r="G196" s="2" t="s">
        <v>40</v>
      </c>
      <c r="H196" s="2">
        <v>1991</v>
      </c>
      <c r="I196" s="2" t="s">
        <v>2229</v>
      </c>
      <c r="J196" s="2" t="s">
        <v>2230</v>
      </c>
      <c r="K196" s="8" t="s">
        <v>2231</v>
      </c>
      <c r="L196"/>
      <c r="M196" s="2" t="s">
        <v>2232</v>
      </c>
      <c r="P196" s="2" t="s">
        <v>1127</v>
      </c>
      <c r="Q196" s="2" t="s">
        <v>1127</v>
      </c>
    </row>
    <row r="197" spans="1:17" ht="16.5" customHeight="1" x14ac:dyDescent="0.2">
      <c r="A197" s="35" t="s">
        <v>399</v>
      </c>
      <c r="B197" s="35" t="s">
        <v>2233</v>
      </c>
      <c r="C197" s="35" t="s">
        <v>4182</v>
      </c>
      <c r="D197" s="35" t="s">
        <v>1641</v>
      </c>
      <c r="E197" s="35" t="s">
        <v>2228</v>
      </c>
      <c r="F197" s="2">
        <v>2</v>
      </c>
      <c r="G197" s="2" t="s">
        <v>37</v>
      </c>
      <c r="H197" s="2">
        <v>1992</v>
      </c>
      <c r="I197" s="2" t="s">
        <v>2234</v>
      </c>
      <c r="J197" s="2" t="s">
        <v>2230</v>
      </c>
      <c r="K197" s="8" t="s">
        <v>2231</v>
      </c>
      <c r="L197"/>
      <c r="M197" s="2" t="s">
        <v>2232</v>
      </c>
      <c r="P197" s="2" t="s">
        <v>1127</v>
      </c>
      <c r="Q197" s="2" t="s">
        <v>1127</v>
      </c>
    </row>
    <row r="198" spans="1:17" ht="16.5" customHeight="1" x14ac:dyDescent="0.2">
      <c r="A198" s="35" t="s">
        <v>399</v>
      </c>
      <c r="B198" s="35" t="s">
        <v>2235</v>
      </c>
      <c r="C198" s="35" t="s">
        <v>4182</v>
      </c>
      <c r="D198" s="35" t="s">
        <v>1641</v>
      </c>
      <c r="E198" s="35" t="s">
        <v>2228</v>
      </c>
      <c r="F198" s="2">
        <v>3</v>
      </c>
      <c r="G198" s="2" t="s">
        <v>80</v>
      </c>
      <c r="H198" s="2">
        <v>1993</v>
      </c>
      <c r="I198" s="2" t="s">
        <v>2236</v>
      </c>
      <c r="J198" s="2" t="s">
        <v>2230</v>
      </c>
      <c r="K198" s="8" t="s">
        <v>2231</v>
      </c>
      <c r="L198"/>
      <c r="M198" s="2" t="s">
        <v>2232</v>
      </c>
      <c r="P198" s="2" t="s">
        <v>1127</v>
      </c>
      <c r="Q198" s="2" t="s">
        <v>1127</v>
      </c>
    </row>
    <row r="199" spans="1:17" ht="16.5" customHeight="1" x14ac:dyDescent="0.2">
      <c r="A199" s="35" t="s">
        <v>399</v>
      </c>
      <c r="B199" s="35" t="s">
        <v>2237</v>
      </c>
      <c r="C199" s="35" t="s">
        <v>4182</v>
      </c>
      <c r="D199" s="35" t="s">
        <v>1641</v>
      </c>
      <c r="E199" s="35" t="s">
        <v>2228</v>
      </c>
      <c r="F199" s="2">
        <v>4</v>
      </c>
      <c r="G199" s="2" t="s">
        <v>31</v>
      </c>
      <c r="H199" s="2">
        <v>1994</v>
      </c>
      <c r="I199" s="2" t="s">
        <v>2238</v>
      </c>
      <c r="J199" s="2" t="s">
        <v>2230</v>
      </c>
      <c r="K199" s="8" t="s">
        <v>2231</v>
      </c>
      <c r="L199"/>
      <c r="M199" s="2" t="s">
        <v>2232</v>
      </c>
      <c r="P199" s="2" t="s">
        <v>1127</v>
      </c>
      <c r="Q199" s="2" t="s">
        <v>1127</v>
      </c>
    </row>
    <row r="200" spans="1:17" ht="16.5" customHeight="1" x14ac:dyDescent="0.2">
      <c r="A200" s="35" t="s">
        <v>399</v>
      </c>
      <c r="B200" s="35" t="s">
        <v>2239</v>
      </c>
      <c r="C200" s="35" t="s">
        <v>4182</v>
      </c>
      <c r="D200" s="35" t="s">
        <v>1641</v>
      </c>
      <c r="E200" s="35" t="s">
        <v>2228</v>
      </c>
      <c r="F200" s="2">
        <v>5</v>
      </c>
      <c r="G200" s="2" t="s">
        <v>13</v>
      </c>
      <c r="H200" s="2">
        <v>1995</v>
      </c>
      <c r="I200" s="2" t="s">
        <v>2240</v>
      </c>
      <c r="J200" s="2" t="s">
        <v>2230</v>
      </c>
      <c r="K200" s="8" t="s">
        <v>2231</v>
      </c>
      <c r="L200"/>
      <c r="M200" s="2" t="s">
        <v>2232</v>
      </c>
      <c r="P200" s="2" t="s">
        <v>1127</v>
      </c>
      <c r="Q200" s="2" t="s">
        <v>1127</v>
      </c>
    </row>
    <row r="201" spans="1:17" ht="16.5" customHeight="1" x14ac:dyDescent="0.2">
      <c r="A201" s="35" t="s">
        <v>399</v>
      </c>
      <c r="B201" s="35" t="s">
        <v>2241</v>
      </c>
      <c r="C201" s="35" t="s">
        <v>4182</v>
      </c>
      <c r="D201" s="35" t="s">
        <v>1641</v>
      </c>
      <c r="E201" s="35" t="s">
        <v>2228</v>
      </c>
      <c r="F201" s="2">
        <v>6</v>
      </c>
      <c r="G201" s="2" t="s">
        <v>49</v>
      </c>
      <c r="H201" s="2">
        <v>1996</v>
      </c>
      <c r="I201" s="2" t="s">
        <v>2242</v>
      </c>
      <c r="J201" s="2" t="s">
        <v>2230</v>
      </c>
      <c r="K201" s="8" t="s">
        <v>2231</v>
      </c>
      <c r="L201"/>
      <c r="M201" s="2" t="s">
        <v>2232</v>
      </c>
      <c r="P201" s="2" t="s">
        <v>1127</v>
      </c>
      <c r="Q201" s="2" t="s">
        <v>1127</v>
      </c>
    </row>
    <row r="202" spans="1:17" ht="16.5" customHeight="1" x14ac:dyDescent="0.2">
      <c r="A202" s="35" t="s">
        <v>399</v>
      </c>
      <c r="B202" s="35" t="s">
        <v>2243</v>
      </c>
      <c r="C202" s="35" t="s">
        <v>4182</v>
      </c>
      <c r="D202" s="35" t="s">
        <v>1641</v>
      </c>
      <c r="E202" s="35" t="s">
        <v>2228</v>
      </c>
      <c r="F202" s="2">
        <v>7</v>
      </c>
      <c r="G202" s="2" t="s">
        <v>101</v>
      </c>
      <c r="H202" s="2">
        <v>1997</v>
      </c>
      <c r="I202" s="2" t="s">
        <v>2244</v>
      </c>
      <c r="J202" s="2" t="s">
        <v>2230</v>
      </c>
      <c r="K202" s="8" t="s">
        <v>2231</v>
      </c>
      <c r="L202"/>
      <c r="M202" s="2" t="s">
        <v>2232</v>
      </c>
      <c r="P202" s="2" t="s">
        <v>1127</v>
      </c>
      <c r="Q202" s="2" t="s">
        <v>1127</v>
      </c>
    </row>
    <row r="203" spans="1:17" ht="16.5" customHeight="1" x14ac:dyDescent="0.2">
      <c r="A203" s="35" t="s">
        <v>399</v>
      </c>
      <c r="B203" s="35" t="s">
        <v>2245</v>
      </c>
      <c r="C203" s="35" t="s">
        <v>4182</v>
      </c>
      <c r="D203" s="35" t="s">
        <v>1641</v>
      </c>
      <c r="E203" s="35" t="s">
        <v>2228</v>
      </c>
      <c r="F203" s="2">
        <v>8</v>
      </c>
      <c r="G203" s="2" t="s">
        <v>10</v>
      </c>
      <c r="H203" s="2">
        <v>1998</v>
      </c>
      <c r="I203" s="2" t="s">
        <v>2246</v>
      </c>
      <c r="J203" s="2" t="s">
        <v>2230</v>
      </c>
      <c r="K203" s="8" t="s">
        <v>2231</v>
      </c>
      <c r="L203"/>
      <c r="M203" s="2" t="s">
        <v>2232</v>
      </c>
      <c r="P203" s="2" t="s">
        <v>1127</v>
      </c>
      <c r="Q203" s="2" t="s">
        <v>1127</v>
      </c>
    </row>
    <row r="204" spans="1:17" ht="16.5" customHeight="1" x14ac:dyDescent="0.2">
      <c r="A204" s="35" t="s">
        <v>399</v>
      </c>
      <c r="B204" s="35" t="s">
        <v>2247</v>
      </c>
      <c r="C204" s="35" t="s">
        <v>4182</v>
      </c>
      <c r="D204" s="35" t="s">
        <v>1641</v>
      </c>
      <c r="E204" s="35" t="s">
        <v>2228</v>
      </c>
      <c r="F204" s="2">
        <v>9</v>
      </c>
      <c r="G204" s="2" t="s">
        <v>55</v>
      </c>
      <c r="H204" s="2">
        <v>1999</v>
      </c>
      <c r="I204" s="2" t="s">
        <v>2248</v>
      </c>
      <c r="J204" s="2" t="s">
        <v>2230</v>
      </c>
      <c r="K204" s="8" t="s">
        <v>2231</v>
      </c>
      <c r="L204"/>
      <c r="M204" s="2" t="s">
        <v>2232</v>
      </c>
      <c r="P204" s="2" t="s">
        <v>1127</v>
      </c>
      <c r="Q204" s="2" t="s">
        <v>1127</v>
      </c>
    </row>
    <row r="205" spans="1:17" ht="16.5" customHeight="1" x14ac:dyDescent="0.2">
      <c r="A205" s="35" t="s">
        <v>399</v>
      </c>
      <c r="B205" s="35" t="s">
        <v>2249</v>
      </c>
      <c r="C205" s="35" t="s">
        <v>4182</v>
      </c>
      <c r="D205" s="35" t="s">
        <v>1641</v>
      </c>
      <c r="E205" s="35" t="s">
        <v>2228</v>
      </c>
      <c r="F205" s="2">
        <v>10</v>
      </c>
      <c r="G205" s="2" t="s">
        <v>98</v>
      </c>
      <c r="H205" s="2">
        <v>2000</v>
      </c>
      <c r="I205" s="2" t="s">
        <v>2250</v>
      </c>
      <c r="J205" s="2" t="s">
        <v>2230</v>
      </c>
      <c r="K205" s="8" t="s">
        <v>2231</v>
      </c>
      <c r="L205"/>
      <c r="M205" s="2" t="s">
        <v>2232</v>
      </c>
      <c r="P205" s="2" t="s">
        <v>1127</v>
      </c>
      <c r="Q205" s="2" t="s">
        <v>1127</v>
      </c>
    </row>
    <row r="206" spans="1:17" ht="16.5" customHeight="1" x14ac:dyDescent="0.2">
      <c r="A206" s="35" t="s">
        <v>399</v>
      </c>
      <c r="B206" s="35" t="s">
        <v>2251</v>
      </c>
      <c r="C206" s="35" t="s">
        <v>4182</v>
      </c>
      <c r="D206" s="35" t="s">
        <v>1641</v>
      </c>
      <c r="E206" s="35" t="s">
        <v>2228</v>
      </c>
      <c r="F206" s="2">
        <v>11</v>
      </c>
      <c r="G206" s="2" t="s">
        <v>104</v>
      </c>
      <c r="H206" s="2">
        <v>2001</v>
      </c>
      <c r="I206" s="2" t="s">
        <v>2252</v>
      </c>
      <c r="J206" s="2" t="s">
        <v>2230</v>
      </c>
      <c r="K206" s="8" t="s">
        <v>2231</v>
      </c>
      <c r="L206"/>
      <c r="M206" s="2" t="s">
        <v>2232</v>
      </c>
      <c r="P206" s="2" t="s">
        <v>1127</v>
      </c>
      <c r="Q206" s="2" t="s">
        <v>1127</v>
      </c>
    </row>
    <row r="207" spans="1:17" ht="16.5" customHeight="1" x14ac:dyDescent="0.2">
      <c r="A207" s="35" t="s">
        <v>399</v>
      </c>
      <c r="B207" s="35" t="s">
        <v>2253</v>
      </c>
      <c r="C207" s="35" t="s">
        <v>4182</v>
      </c>
      <c r="D207" s="35" t="s">
        <v>1641</v>
      </c>
      <c r="E207" s="35" t="s">
        <v>2228</v>
      </c>
      <c r="F207" s="2">
        <v>12</v>
      </c>
      <c r="G207" s="2" t="s">
        <v>89</v>
      </c>
      <c r="H207" s="2">
        <v>2002</v>
      </c>
      <c r="I207" s="2" t="s">
        <v>2254</v>
      </c>
      <c r="J207" s="2" t="s">
        <v>2230</v>
      </c>
      <c r="K207" s="8" t="s">
        <v>2231</v>
      </c>
      <c r="L207"/>
      <c r="M207" s="2" t="s">
        <v>2232</v>
      </c>
      <c r="P207" s="2" t="s">
        <v>1127</v>
      </c>
      <c r="Q207" s="2" t="s">
        <v>1127</v>
      </c>
    </row>
    <row r="208" spans="1:17" ht="16.5" customHeight="1" x14ac:dyDescent="0.2">
      <c r="A208" s="35" t="s">
        <v>399</v>
      </c>
      <c r="B208" s="35" t="s">
        <v>2255</v>
      </c>
      <c r="C208" s="35" t="s">
        <v>4182</v>
      </c>
      <c r="D208" s="35" t="s">
        <v>1641</v>
      </c>
      <c r="E208" s="35" t="s">
        <v>2228</v>
      </c>
      <c r="F208" s="2">
        <v>13</v>
      </c>
      <c r="G208" s="2" t="s">
        <v>107</v>
      </c>
      <c r="H208" s="2">
        <v>2003</v>
      </c>
      <c r="I208" s="2" t="s">
        <v>2256</v>
      </c>
      <c r="J208" s="2" t="s">
        <v>2230</v>
      </c>
      <c r="K208" s="8" t="s">
        <v>2231</v>
      </c>
      <c r="L208"/>
      <c r="M208" s="2" t="s">
        <v>2232</v>
      </c>
      <c r="P208" s="2" t="s">
        <v>1127</v>
      </c>
      <c r="Q208" s="2" t="s">
        <v>1127</v>
      </c>
    </row>
    <row r="209" spans="1:17" ht="16.5" customHeight="1" x14ac:dyDescent="0.2">
      <c r="A209" s="35" t="s">
        <v>399</v>
      </c>
      <c r="B209" s="35" t="s">
        <v>2257</v>
      </c>
      <c r="C209" s="35" t="s">
        <v>4182</v>
      </c>
      <c r="D209" s="35" t="s">
        <v>1641</v>
      </c>
      <c r="E209" s="35" t="s">
        <v>2228</v>
      </c>
      <c r="F209" s="2">
        <v>14</v>
      </c>
      <c r="G209" s="2" t="s">
        <v>43</v>
      </c>
      <c r="H209" s="2">
        <v>2004</v>
      </c>
      <c r="I209" s="2" t="s">
        <v>2258</v>
      </c>
      <c r="J209" s="2" t="s">
        <v>2230</v>
      </c>
      <c r="K209" s="8" t="s">
        <v>2231</v>
      </c>
      <c r="L209"/>
      <c r="M209" s="2" t="s">
        <v>2232</v>
      </c>
      <c r="P209" s="2" t="s">
        <v>1127</v>
      </c>
      <c r="Q209" s="2" t="s">
        <v>1127</v>
      </c>
    </row>
    <row r="210" spans="1:17" ht="16.5" customHeight="1" x14ac:dyDescent="0.2">
      <c r="A210" s="35" t="s">
        <v>399</v>
      </c>
      <c r="B210" s="35" t="s">
        <v>2259</v>
      </c>
      <c r="C210" s="35" t="s">
        <v>4182</v>
      </c>
      <c r="D210" s="35" t="s">
        <v>1641</v>
      </c>
      <c r="E210" s="35" t="s">
        <v>2228</v>
      </c>
      <c r="F210" s="2">
        <v>15</v>
      </c>
      <c r="G210" s="2" t="s">
        <v>19</v>
      </c>
      <c r="H210" s="2">
        <v>2005</v>
      </c>
      <c r="I210" s="2" t="s">
        <v>2260</v>
      </c>
      <c r="J210" s="2" t="s">
        <v>2230</v>
      </c>
      <c r="K210" s="8" t="s">
        <v>2231</v>
      </c>
      <c r="L210"/>
      <c r="M210" s="2" t="s">
        <v>2232</v>
      </c>
      <c r="P210" s="2" t="s">
        <v>1127</v>
      </c>
      <c r="Q210" s="2" t="s">
        <v>1127</v>
      </c>
    </row>
    <row r="211" spans="1:17" ht="16.5" customHeight="1" x14ac:dyDescent="0.2">
      <c r="A211" s="35" t="s">
        <v>399</v>
      </c>
      <c r="B211" s="35" t="s">
        <v>2261</v>
      </c>
      <c r="C211" s="35" t="s">
        <v>4182</v>
      </c>
      <c r="D211" s="35" t="s">
        <v>1641</v>
      </c>
      <c r="E211" s="35" t="s">
        <v>2228</v>
      </c>
      <c r="F211" s="2">
        <v>16</v>
      </c>
      <c r="G211" s="2" t="s">
        <v>25</v>
      </c>
      <c r="H211" s="2">
        <v>2006</v>
      </c>
      <c r="I211" s="2" t="s">
        <v>2262</v>
      </c>
      <c r="J211" s="2" t="s">
        <v>2230</v>
      </c>
      <c r="K211" s="8" t="s">
        <v>2231</v>
      </c>
      <c r="L211"/>
      <c r="M211" s="2" t="s">
        <v>2232</v>
      </c>
      <c r="P211" s="2" t="s">
        <v>1127</v>
      </c>
      <c r="Q211" s="2" t="s">
        <v>1127</v>
      </c>
    </row>
    <row r="212" spans="1:17" ht="16.5" customHeight="1" x14ac:dyDescent="0.2">
      <c r="A212" s="35" t="s">
        <v>399</v>
      </c>
      <c r="B212" s="35" t="s">
        <v>2263</v>
      </c>
      <c r="C212" s="35" t="s">
        <v>4182</v>
      </c>
      <c r="D212" s="35" t="s">
        <v>1641</v>
      </c>
      <c r="E212" s="35" t="s">
        <v>2228</v>
      </c>
      <c r="F212" s="2">
        <v>17</v>
      </c>
      <c r="G212" s="2" t="s">
        <v>73</v>
      </c>
      <c r="H212" s="2">
        <v>2007</v>
      </c>
      <c r="I212" s="2" t="s">
        <v>2264</v>
      </c>
      <c r="J212" s="2" t="s">
        <v>2230</v>
      </c>
      <c r="K212" s="8" t="s">
        <v>2231</v>
      </c>
      <c r="L212"/>
      <c r="M212" s="2" t="s">
        <v>2232</v>
      </c>
      <c r="P212" s="2" t="s">
        <v>1127</v>
      </c>
      <c r="Q212" s="2" t="s">
        <v>1127</v>
      </c>
    </row>
    <row r="213" spans="1:17" ht="16.5" customHeight="1" x14ac:dyDescent="0.2">
      <c r="A213" s="35" t="s">
        <v>399</v>
      </c>
      <c r="B213" s="35" t="s">
        <v>2265</v>
      </c>
      <c r="C213" s="35" t="s">
        <v>4182</v>
      </c>
      <c r="D213" s="35" t="s">
        <v>1641</v>
      </c>
      <c r="E213" s="35" t="s">
        <v>2228</v>
      </c>
      <c r="F213" s="2">
        <v>18</v>
      </c>
      <c r="G213" s="2" t="s">
        <v>58</v>
      </c>
      <c r="H213" s="2">
        <v>2008</v>
      </c>
      <c r="I213" s="2" t="s">
        <v>2266</v>
      </c>
      <c r="J213" s="2" t="s">
        <v>2230</v>
      </c>
      <c r="K213" s="8" t="s">
        <v>2231</v>
      </c>
      <c r="L213"/>
      <c r="M213" s="2" t="s">
        <v>2232</v>
      </c>
      <c r="P213" s="2" t="s">
        <v>1127</v>
      </c>
      <c r="Q213" s="2" t="s">
        <v>1127</v>
      </c>
    </row>
    <row r="214" spans="1:17" ht="16.5" customHeight="1" x14ac:dyDescent="0.2">
      <c r="A214" s="35" t="s">
        <v>399</v>
      </c>
      <c r="B214" s="35" t="s">
        <v>2251</v>
      </c>
      <c r="C214" s="35" t="s">
        <v>4182</v>
      </c>
      <c r="D214" s="35" t="s">
        <v>1353</v>
      </c>
      <c r="E214" s="35" t="s">
        <v>2267</v>
      </c>
      <c r="F214" s="2">
        <v>11</v>
      </c>
      <c r="G214" s="2" t="s">
        <v>104</v>
      </c>
      <c r="H214" s="2">
        <v>2001</v>
      </c>
      <c r="I214" s="2" t="str">
        <f>_xlfn.CONCAT(G214,"HLPRXJ")</f>
        <v>kHLPRXJ</v>
      </c>
      <c r="J214" s="2" t="s">
        <v>2268</v>
      </c>
      <c r="K214" s="8" t="s">
        <v>2269</v>
      </c>
      <c r="L214"/>
      <c r="M214" s="2" t="s">
        <v>2270</v>
      </c>
      <c r="P214" s="2" t="s">
        <v>1127</v>
      </c>
      <c r="Q214" s="2" t="s">
        <v>1127</v>
      </c>
    </row>
    <row r="215" spans="1:17" ht="16.5" customHeight="1" x14ac:dyDescent="0.2">
      <c r="A215" s="35" t="s">
        <v>399</v>
      </c>
      <c r="B215" s="35" t="s">
        <v>2261</v>
      </c>
      <c r="C215" s="35" t="s">
        <v>4182</v>
      </c>
      <c r="D215" s="35" t="s">
        <v>1353</v>
      </c>
      <c r="E215" s="35" t="s">
        <v>2267</v>
      </c>
      <c r="F215" s="2">
        <v>16</v>
      </c>
      <c r="G215" s="2" t="s">
        <v>25</v>
      </c>
      <c r="H215" s="2">
        <v>2006</v>
      </c>
      <c r="I215" s="2" t="str">
        <f>_xlfn.CONCAT(G215,"HLPRXJ")</f>
        <v>pHLPRXJ</v>
      </c>
      <c r="J215" s="2" t="s">
        <v>2268</v>
      </c>
      <c r="K215" s="8" t="s">
        <v>2269</v>
      </c>
      <c r="L215"/>
      <c r="M215" s="2" t="s">
        <v>2270</v>
      </c>
      <c r="P215" s="2" t="s">
        <v>1127</v>
      </c>
      <c r="Q215" s="2" t="s">
        <v>1127</v>
      </c>
    </row>
    <row r="216" spans="1:17" ht="16.5" customHeight="1" x14ac:dyDescent="0.2">
      <c r="A216" s="35" t="s">
        <v>399</v>
      </c>
      <c r="B216" s="35" t="s">
        <v>2227</v>
      </c>
      <c r="C216" s="35" t="s">
        <v>4182</v>
      </c>
      <c r="D216" s="35" t="s">
        <v>1353</v>
      </c>
      <c r="E216" s="35" t="s">
        <v>2271</v>
      </c>
      <c r="F216" s="2">
        <v>1</v>
      </c>
      <c r="G216" s="2" t="s">
        <v>40</v>
      </c>
      <c r="H216" s="2">
        <v>1991</v>
      </c>
      <c r="I216" s="2" t="str">
        <f t="shared" ref="I216:I233" si="21">_xlfn.CONCAT(G216,"HLPRBI")</f>
        <v>aHLPRBI</v>
      </c>
      <c r="J216" s="2" t="s">
        <v>2272</v>
      </c>
      <c r="K216" s="8" t="s">
        <v>2273</v>
      </c>
      <c r="L216"/>
      <c r="M216" s="2" t="s">
        <v>2232</v>
      </c>
      <c r="P216" s="2" t="s">
        <v>1127</v>
      </c>
      <c r="Q216" s="2" t="s">
        <v>1127</v>
      </c>
    </row>
    <row r="217" spans="1:17" ht="16.5" customHeight="1" x14ac:dyDescent="0.2">
      <c r="A217" s="35" t="s">
        <v>399</v>
      </c>
      <c r="B217" s="35" t="s">
        <v>2233</v>
      </c>
      <c r="C217" s="35" t="s">
        <v>4182</v>
      </c>
      <c r="D217" s="35" t="s">
        <v>1353</v>
      </c>
      <c r="E217" s="35" t="s">
        <v>2271</v>
      </c>
      <c r="F217" s="2">
        <v>2</v>
      </c>
      <c r="G217" s="2" t="s">
        <v>37</v>
      </c>
      <c r="H217" s="2">
        <v>1992</v>
      </c>
      <c r="I217" s="2" t="str">
        <f t="shared" si="21"/>
        <v>bHLPRBI</v>
      </c>
      <c r="J217" s="2" t="s">
        <v>2272</v>
      </c>
      <c r="K217" s="8" t="s">
        <v>2273</v>
      </c>
      <c r="L217"/>
      <c r="M217" s="2" t="s">
        <v>2232</v>
      </c>
      <c r="P217" s="2" t="s">
        <v>1127</v>
      </c>
      <c r="Q217" s="2" t="s">
        <v>1127</v>
      </c>
    </row>
    <row r="218" spans="1:17" ht="16.5" customHeight="1" x14ac:dyDescent="0.2">
      <c r="A218" s="35" t="s">
        <v>399</v>
      </c>
      <c r="B218" s="35" t="s">
        <v>2235</v>
      </c>
      <c r="C218" s="35" t="s">
        <v>4182</v>
      </c>
      <c r="D218" s="35" t="s">
        <v>1353</v>
      </c>
      <c r="E218" s="35" t="s">
        <v>2271</v>
      </c>
      <c r="F218" s="2">
        <v>3</v>
      </c>
      <c r="G218" s="2" t="s">
        <v>80</v>
      </c>
      <c r="H218" s="2">
        <v>1993</v>
      </c>
      <c r="I218" s="2" t="str">
        <f t="shared" si="21"/>
        <v>cHLPRBI</v>
      </c>
      <c r="J218" s="2" t="s">
        <v>2272</v>
      </c>
      <c r="K218" s="8" t="s">
        <v>2273</v>
      </c>
      <c r="L218"/>
      <c r="M218" s="2" t="s">
        <v>2232</v>
      </c>
      <c r="P218" s="2" t="s">
        <v>1127</v>
      </c>
      <c r="Q218" s="2" t="s">
        <v>1127</v>
      </c>
    </row>
    <row r="219" spans="1:17" ht="16.5" customHeight="1" x14ac:dyDescent="0.2">
      <c r="A219" s="35" t="s">
        <v>399</v>
      </c>
      <c r="B219" s="35" t="s">
        <v>2237</v>
      </c>
      <c r="C219" s="35" t="s">
        <v>4182</v>
      </c>
      <c r="D219" s="35" t="s">
        <v>1353</v>
      </c>
      <c r="E219" s="35" t="s">
        <v>2271</v>
      </c>
      <c r="F219" s="2">
        <v>4</v>
      </c>
      <c r="G219" s="2" t="s">
        <v>31</v>
      </c>
      <c r="H219" s="2">
        <v>1994</v>
      </c>
      <c r="I219" s="2" t="str">
        <f t="shared" si="21"/>
        <v>dHLPRBI</v>
      </c>
      <c r="J219" s="2" t="s">
        <v>2272</v>
      </c>
      <c r="K219" s="8" t="s">
        <v>2273</v>
      </c>
      <c r="L219"/>
      <c r="M219" s="2" t="s">
        <v>2232</v>
      </c>
      <c r="P219" s="2" t="s">
        <v>1127</v>
      </c>
      <c r="Q219" s="2" t="s">
        <v>1127</v>
      </c>
    </row>
    <row r="220" spans="1:17" ht="16.5" customHeight="1" x14ac:dyDescent="0.2">
      <c r="A220" s="35" t="s">
        <v>399</v>
      </c>
      <c r="B220" s="35" t="s">
        <v>2239</v>
      </c>
      <c r="C220" s="35" t="s">
        <v>4182</v>
      </c>
      <c r="D220" s="35" t="s">
        <v>1353</v>
      </c>
      <c r="E220" s="35" t="s">
        <v>2271</v>
      </c>
      <c r="F220" s="2">
        <v>5</v>
      </c>
      <c r="G220" s="2" t="s">
        <v>13</v>
      </c>
      <c r="H220" s="2">
        <v>1995</v>
      </c>
      <c r="I220" s="2" t="str">
        <f t="shared" si="21"/>
        <v>eHLPRBI</v>
      </c>
      <c r="J220" s="2" t="s">
        <v>2272</v>
      </c>
      <c r="K220" s="8" t="s">
        <v>2273</v>
      </c>
      <c r="L220"/>
      <c r="M220" s="2" t="s">
        <v>2232</v>
      </c>
      <c r="P220" s="2" t="s">
        <v>1127</v>
      </c>
      <c r="Q220" s="2" t="s">
        <v>1127</v>
      </c>
    </row>
    <row r="221" spans="1:17" ht="16.5" customHeight="1" x14ac:dyDescent="0.2">
      <c r="A221" s="35" t="s">
        <v>399</v>
      </c>
      <c r="B221" s="35" t="s">
        <v>2241</v>
      </c>
      <c r="C221" s="35" t="s">
        <v>4182</v>
      </c>
      <c r="D221" s="35" t="s">
        <v>1353</v>
      </c>
      <c r="E221" s="35" t="s">
        <v>2271</v>
      </c>
      <c r="F221" s="2">
        <v>6</v>
      </c>
      <c r="G221" s="2" t="s">
        <v>49</v>
      </c>
      <c r="H221" s="2">
        <v>1996</v>
      </c>
      <c r="I221" s="2" t="str">
        <f t="shared" si="21"/>
        <v>fHLPRBI</v>
      </c>
      <c r="J221" s="2" t="s">
        <v>2272</v>
      </c>
      <c r="K221" s="8" t="s">
        <v>2273</v>
      </c>
      <c r="L221"/>
      <c r="M221" s="2" t="s">
        <v>2232</v>
      </c>
      <c r="P221" s="2" t="s">
        <v>1127</v>
      </c>
      <c r="Q221" s="2" t="s">
        <v>1127</v>
      </c>
    </row>
    <row r="222" spans="1:17" ht="16.5" customHeight="1" x14ac:dyDescent="0.2">
      <c r="A222" s="35" t="s">
        <v>399</v>
      </c>
      <c r="B222" s="35" t="s">
        <v>2243</v>
      </c>
      <c r="C222" s="35" t="s">
        <v>4182</v>
      </c>
      <c r="D222" s="35" t="s">
        <v>1353</v>
      </c>
      <c r="E222" s="35" t="s">
        <v>2271</v>
      </c>
      <c r="F222" s="2">
        <v>7</v>
      </c>
      <c r="G222" s="2" t="s">
        <v>101</v>
      </c>
      <c r="H222" s="2">
        <v>1997</v>
      </c>
      <c r="I222" s="2" t="str">
        <f t="shared" si="21"/>
        <v>gHLPRBI</v>
      </c>
      <c r="J222" s="2" t="s">
        <v>2272</v>
      </c>
      <c r="K222" s="8" t="s">
        <v>2273</v>
      </c>
      <c r="L222"/>
      <c r="M222" s="2" t="s">
        <v>2232</v>
      </c>
      <c r="P222" s="2" t="s">
        <v>1127</v>
      </c>
      <c r="Q222" s="2" t="s">
        <v>1127</v>
      </c>
    </row>
    <row r="223" spans="1:17" ht="16.5" customHeight="1" x14ac:dyDescent="0.2">
      <c r="A223" s="35" t="s">
        <v>399</v>
      </c>
      <c r="B223" s="35" t="s">
        <v>2245</v>
      </c>
      <c r="C223" s="35" t="s">
        <v>4182</v>
      </c>
      <c r="D223" s="35" t="s">
        <v>1353</v>
      </c>
      <c r="E223" s="35" t="s">
        <v>2271</v>
      </c>
      <c r="F223" s="2">
        <v>8</v>
      </c>
      <c r="G223" s="2" t="s">
        <v>10</v>
      </c>
      <c r="H223" s="2">
        <v>1998</v>
      </c>
      <c r="I223" s="2" t="str">
        <f t="shared" si="21"/>
        <v>hHLPRBI</v>
      </c>
      <c r="J223" s="2" t="s">
        <v>2272</v>
      </c>
      <c r="K223" s="8" t="s">
        <v>2273</v>
      </c>
      <c r="L223"/>
      <c r="M223" s="2" t="s">
        <v>2232</v>
      </c>
      <c r="P223" s="2" t="s">
        <v>1127</v>
      </c>
      <c r="Q223" s="2" t="s">
        <v>1127</v>
      </c>
    </row>
    <row r="224" spans="1:17" ht="16.5" customHeight="1" x14ac:dyDescent="0.2">
      <c r="A224" s="35" t="s">
        <v>399</v>
      </c>
      <c r="B224" s="35" t="s">
        <v>2247</v>
      </c>
      <c r="C224" s="35" t="s">
        <v>4182</v>
      </c>
      <c r="D224" s="35" t="s">
        <v>1353</v>
      </c>
      <c r="E224" s="35" t="s">
        <v>2271</v>
      </c>
      <c r="F224" s="2">
        <v>9</v>
      </c>
      <c r="G224" s="2" t="s">
        <v>55</v>
      </c>
      <c r="H224" s="2">
        <v>1999</v>
      </c>
      <c r="I224" s="2" t="str">
        <f t="shared" si="21"/>
        <v>iHLPRBI</v>
      </c>
      <c r="J224" s="2" t="s">
        <v>2272</v>
      </c>
      <c r="K224" s="8" t="s">
        <v>2273</v>
      </c>
      <c r="L224"/>
      <c r="M224" s="2" t="s">
        <v>2232</v>
      </c>
      <c r="P224" s="2" t="s">
        <v>1127</v>
      </c>
      <c r="Q224" s="2" t="s">
        <v>1127</v>
      </c>
    </row>
    <row r="225" spans="1:17" ht="16.5" customHeight="1" x14ac:dyDescent="0.2">
      <c r="A225" s="35" t="s">
        <v>399</v>
      </c>
      <c r="B225" s="35" t="s">
        <v>2249</v>
      </c>
      <c r="C225" s="35" t="s">
        <v>4182</v>
      </c>
      <c r="D225" s="35" t="s">
        <v>1353</v>
      </c>
      <c r="E225" s="35" t="s">
        <v>2271</v>
      </c>
      <c r="F225" s="2">
        <v>10</v>
      </c>
      <c r="G225" s="2" t="s">
        <v>98</v>
      </c>
      <c r="H225" s="2">
        <v>2000</v>
      </c>
      <c r="I225" s="2" t="str">
        <f t="shared" si="21"/>
        <v>jHLPRBI</v>
      </c>
      <c r="J225" s="2" t="s">
        <v>2272</v>
      </c>
      <c r="K225" s="8" t="s">
        <v>2273</v>
      </c>
      <c r="L225"/>
      <c r="M225" s="2" t="s">
        <v>2232</v>
      </c>
      <c r="P225" s="2" t="s">
        <v>1127</v>
      </c>
      <c r="Q225" s="2" t="s">
        <v>1127</v>
      </c>
    </row>
    <row r="226" spans="1:17" ht="16.5" customHeight="1" x14ac:dyDescent="0.2">
      <c r="A226" s="35" t="s">
        <v>399</v>
      </c>
      <c r="B226" s="35" t="s">
        <v>2251</v>
      </c>
      <c r="C226" s="35" t="s">
        <v>4182</v>
      </c>
      <c r="D226" s="35" t="s">
        <v>1353</v>
      </c>
      <c r="E226" s="35" t="s">
        <v>2271</v>
      </c>
      <c r="F226" s="2">
        <v>11</v>
      </c>
      <c r="G226" s="2" t="s">
        <v>104</v>
      </c>
      <c r="H226" s="2">
        <v>2001</v>
      </c>
      <c r="I226" s="2" t="str">
        <f t="shared" si="21"/>
        <v>kHLPRBI</v>
      </c>
      <c r="J226" s="2" t="s">
        <v>2272</v>
      </c>
      <c r="K226" s="8" t="s">
        <v>2273</v>
      </c>
      <c r="L226"/>
      <c r="M226" s="2" t="s">
        <v>2232</v>
      </c>
      <c r="P226" s="2" t="s">
        <v>1127</v>
      </c>
      <c r="Q226" s="2" t="s">
        <v>1127</v>
      </c>
    </row>
    <row r="227" spans="1:17" ht="16.5" customHeight="1" x14ac:dyDescent="0.2">
      <c r="A227" s="35" t="s">
        <v>399</v>
      </c>
      <c r="B227" s="35" t="s">
        <v>2253</v>
      </c>
      <c r="C227" s="35" t="s">
        <v>4182</v>
      </c>
      <c r="D227" s="35" t="s">
        <v>1353</v>
      </c>
      <c r="E227" s="35" t="s">
        <v>2271</v>
      </c>
      <c r="F227" s="2">
        <v>12</v>
      </c>
      <c r="G227" s="2" t="s">
        <v>89</v>
      </c>
      <c r="H227" s="2">
        <v>2002</v>
      </c>
      <c r="I227" s="2" t="str">
        <f t="shared" si="21"/>
        <v>lHLPRBI</v>
      </c>
      <c r="J227" s="2" t="s">
        <v>2272</v>
      </c>
      <c r="K227" s="8" t="s">
        <v>2273</v>
      </c>
      <c r="L227"/>
      <c r="M227" s="2" t="s">
        <v>2232</v>
      </c>
      <c r="P227" s="2" t="s">
        <v>1127</v>
      </c>
      <c r="Q227" s="2" t="s">
        <v>1127</v>
      </c>
    </row>
    <row r="228" spans="1:17" ht="16.5" customHeight="1" x14ac:dyDescent="0.2">
      <c r="A228" s="35" t="s">
        <v>399</v>
      </c>
      <c r="B228" s="35" t="s">
        <v>2255</v>
      </c>
      <c r="C228" s="35" t="s">
        <v>4182</v>
      </c>
      <c r="D228" s="35" t="s">
        <v>1353</v>
      </c>
      <c r="E228" s="35" t="s">
        <v>2271</v>
      </c>
      <c r="F228" s="2">
        <v>13</v>
      </c>
      <c r="G228" s="2" t="s">
        <v>107</v>
      </c>
      <c r="H228" s="2">
        <v>2003</v>
      </c>
      <c r="I228" s="2" t="str">
        <f t="shared" si="21"/>
        <v>mHLPRBI</v>
      </c>
      <c r="J228" s="2" t="s">
        <v>2272</v>
      </c>
      <c r="K228" s="8" t="s">
        <v>2273</v>
      </c>
      <c r="L228"/>
      <c r="M228" s="2" t="s">
        <v>2232</v>
      </c>
      <c r="P228" s="2" t="s">
        <v>1127</v>
      </c>
      <c r="Q228" s="2" t="s">
        <v>1127</v>
      </c>
    </row>
    <row r="229" spans="1:17" ht="16.5" customHeight="1" x14ac:dyDescent="0.2">
      <c r="A229" s="35" t="s">
        <v>399</v>
      </c>
      <c r="B229" s="35" t="s">
        <v>2257</v>
      </c>
      <c r="C229" s="35" t="s">
        <v>4182</v>
      </c>
      <c r="D229" s="35" t="s">
        <v>1353</v>
      </c>
      <c r="E229" s="35" t="s">
        <v>2271</v>
      </c>
      <c r="F229" s="2">
        <v>14</v>
      </c>
      <c r="G229" s="2" t="s">
        <v>43</v>
      </c>
      <c r="H229" s="2">
        <v>2004</v>
      </c>
      <c r="I229" s="2" t="str">
        <f t="shared" si="21"/>
        <v>nHLPRBI</v>
      </c>
      <c r="J229" s="2" t="s">
        <v>2272</v>
      </c>
      <c r="K229" s="8" t="s">
        <v>2273</v>
      </c>
      <c r="L229"/>
      <c r="M229" s="2" t="s">
        <v>2232</v>
      </c>
      <c r="P229" s="2" t="s">
        <v>1127</v>
      </c>
      <c r="Q229" s="2" t="s">
        <v>1127</v>
      </c>
    </row>
    <row r="230" spans="1:17" ht="16.5" customHeight="1" x14ac:dyDescent="0.2">
      <c r="A230" s="35" t="s">
        <v>399</v>
      </c>
      <c r="B230" s="35" t="s">
        <v>2259</v>
      </c>
      <c r="C230" s="35" t="s">
        <v>4182</v>
      </c>
      <c r="D230" s="35" t="s">
        <v>1353</v>
      </c>
      <c r="E230" s="35" t="s">
        <v>2271</v>
      </c>
      <c r="F230" s="2">
        <v>15</v>
      </c>
      <c r="G230" s="2" t="s">
        <v>19</v>
      </c>
      <c r="H230" s="2">
        <v>2005</v>
      </c>
      <c r="I230" s="2" t="str">
        <f t="shared" si="21"/>
        <v>oHLPRBI</v>
      </c>
      <c r="J230" s="2" t="s">
        <v>2272</v>
      </c>
      <c r="K230" s="8" t="s">
        <v>2273</v>
      </c>
      <c r="L230"/>
      <c r="M230" s="2" t="s">
        <v>2232</v>
      </c>
      <c r="P230" s="2" t="s">
        <v>1127</v>
      </c>
      <c r="Q230" s="2" t="s">
        <v>1127</v>
      </c>
    </row>
    <row r="231" spans="1:17" ht="16.5" customHeight="1" x14ac:dyDescent="0.2">
      <c r="A231" s="35" t="s">
        <v>399</v>
      </c>
      <c r="B231" s="35" t="s">
        <v>2261</v>
      </c>
      <c r="C231" s="35" t="s">
        <v>4182</v>
      </c>
      <c r="D231" s="35" t="s">
        <v>1353</v>
      </c>
      <c r="E231" s="35" t="s">
        <v>2271</v>
      </c>
      <c r="F231" s="2">
        <v>16</v>
      </c>
      <c r="G231" s="2" t="s">
        <v>25</v>
      </c>
      <c r="H231" s="2">
        <v>2006</v>
      </c>
      <c r="I231" s="2" t="str">
        <f t="shared" si="21"/>
        <v>pHLPRBI</v>
      </c>
      <c r="J231" s="2" t="s">
        <v>2272</v>
      </c>
      <c r="K231" s="8" t="s">
        <v>2273</v>
      </c>
      <c r="L231"/>
      <c r="M231" s="2" t="s">
        <v>2232</v>
      </c>
      <c r="P231" s="2" t="s">
        <v>1127</v>
      </c>
      <c r="Q231" s="2" t="s">
        <v>1127</v>
      </c>
    </row>
    <row r="232" spans="1:17" ht="16.5" customHeight="1" x14ac:dyDescent="0.2">
      <c r="A232" s="35" t="s">
        <v>399</v>
      </c>
      <c r="B232" s="35" t="s">
        <v>2263</v>
      </c>
      <c r="C232" s="35" t="s">
        <v>4182</v>
      </c>
      <c r="D232" s="35" t="s">
        <v>1353</v>
      </c>
      <c r="E232" s="35" t="s">
        <v>2271</v>
      </c>
      <c r="F232" s="2">
        <v>17</v>
      </c>
      <c r="G232" s="2" t="s">
        <v>73</v>
      </c>
      <c r="H232" s="2">
        <v>2007</v>
      </c>
      <c r="I232" s="2" t="str">
        <f t="shared" si="21"/>
        <v>qHLPRBI</v>
      </c>
      <c r="J232" s="2" t="s">
        <v>2272</v>
      </c>
      <c r="K232" s="8" t="s">
        <v>2273</v>
      </c>
      <c r="L232"/>
      <c r="M232" s="2" t="s">
        <v>2232</v>
      </c>
      <c r="P232" s="2" t="s">
        <v>1127</v>
      </c>
      <c r="Q232" s="2" t="s">
        <v>1127</v>
      </c>
    </row>
    <row r="233" spans="1:17" ht="16.5" customHeight="1" x14ac:dyDescent="0.2">
      <c r="A233" s="35" t="s">
        <v>399</v>
      </c>
      <c r="B233" s="35" t="s">
        <v>2265</v>
      </c>
      <c r="C233" s="35" t="s">
        <v>4182</v>
      </c>
      <c r="D233" s="35" t="s">
        <v>1353</v>
      </c>
      <c r="E233" s="35" t="s">
        <v>2271</v>
      </c>
      <c r="F233" s="2">
        <v>18</v>
      </c>
      <c r="G233" s="2" t="s">
        <v>58</v>
      </c>
      <c r="H233" s="2">
        <v>2008</v>
      </c>
      <c r="I233" s="2" t="str">
        <f t="shared" si="21"/>
        <v>rHLPRBI</v>
      </c>
      <c r="J233" s="2" t="s">
        <v>2272</v>
      </c>
      <c r="K233" s="8" t="s">
        <v>2273</v>
      </c>
      <c r="L233"/>
      <c r="M233" s="2" t="s">
        <v>2232</v>
      </c>
      <c r="P233" s="2" t="s">
        <v>1127</v>
      </c>
      <c r="Q233" s="2" t="s">
        <v>1127</v>
      </c>
    </row>
    <row r="234" spans="1:17" ht="16.5" customHeight="1" x14ac:dyDescent="0.2">
      <c r="A234" s="35" t="s">
        <v>399</v>
      </c>
      <c r="B234" s="35" t="s">
        <v>2227</v>
      </c>
      <c r="C234" s="35" t="s">
        <v>4182</v>
      </c>
      <c r="D234" s="35" t="s">
        <v>1353</v>
      </c>
      <c r="E234" s="35" t="s">
        <v>2274</v>
      </c>
      <c r="F234" s="2">
        <v>1</v>
      </c>
      <c r="G234" s="2" t="s">
        <v>40</v>
      </c>
      <c r="H234" s="2">
        <v>1991</v>
      </c>
      <c r="I234" s="2" t="str">
        <f t="shared" ref="I234:I251" si="22">_xlfn.CONCAT(G234,"HLSVGN")</f>
        <v>aHLSVGN</v>
      </c>
      <c r="J234" s="2" t="s">
        <v>2275</v>
      </c>
      <c r="K234" s="8" t="s">
        <v>2276</v>
      </c>
      <c r="L234"/>
      <c r="M234" s="2" t="s">
        <v>2232</v>
      </c>
      <c r="P234" s="2" t="s">
        <v>1127</v>
      </c>
      <c r="Q234" s="2" t="s">
        <v>1127</v>
      </c>
    </row>
    <row r="235" spans="1:17" ht="16.5" customHeight="1" x14ac:dyDescent="0.2">
      <c r="A235" s="35" t="s">
        <v>399</v>
      </c>
      <c r="B235" s="35" t="s">
        <v>2233</v>
      </c>
      <c r="C235" s="35" t="s">
        <v>4182</v>
      </c>
      <c r="D235" s="35" t="s">
        <v>1353</v>
      </c>
      <c r="E235" s="35" t="s">
        <v>2274</v>
      </c>
      <c r="F235" s="2">
        <v>2</v>
      </c>
      <c r="G235" s="2" t="s">
        <v>37</v>
      </c>
      <c r="H235" s="2">
        <v>1992</v>
      </c>
      <c r="I235" s="2" t="str">
        <f t="shared" si="22"/>
        <v>bHLSVGN</v>
      </c>
      <c r="J235" s="2" t="s">
        <v>2275</v>
      </c>
      <c r="K235" s="8" t="s">
        <v>2276</v>
      </c>
      <c r="L235"/>
      <c r="M235" s="2" t="s">
        <v>2232</v>
      </c>
      <c r="P235" s="2" t="s">
        <v>1127</v>
      </c>
      <c r="Q235" s="2" t="s">
        <v>1127</v>
      </c>
    </row>
    <row r="236" spans="1:17" ht="16.5" customHeight="1" x14ac:dyDescent="0.2">
      <c r="A236" s="35" t="s">
        <v>399</v>
      </c>
      <c r="B236" s="35" t="s">
        <v>2235</v>
      </c>
      <c r="C236" s="35" t="s">
        <v>4182</v>
      </c>
      <c r="D236" s="35" t="s">
        <v>1353</v>
      </c>
      <c r="E236" s="35" t="s">
        <v>2274</v>
      </c>
      <c r="F236" s="2">
        <v>3</v>
      </c>
      <c r="G236" s="2" t="s">
        <v>80</v>
      </c>
      <c r="H236" s="2">
        <v>1993</v>
      </c>
      <c r="I236" s="2" t="str">
        <f t="shared" si="22"/>
        <v>cHLSVGN</v>
      </c>
      <c r="J236" s="2" t="s">
        <v>2275</v>
      </c>
      <c r="K236" s="8" t="s">
        <v>2276</v>
      </c>
      <c r="L236"/>
      <c r="M236" s="2" t="s">
        <v>2232</v>
      </c>
      <c r="P236" s="2" t="s">
        <v>1127</v>
      </c>
      <c r="Q236" s="2" t="s">
        <v>1127</v>
      </c>
    </row>
    <row r="237" spans="1:17" ht="16.5" customHeight="1" x14ac:dyDescent="0.2">
      <c r="A237" s="35" t="s">
        <v>399</v>
      </c>
      <c r="B237" s="35" t="s">
        <v>2237</v>
      </c>
      <c r="C237" s="35" t="s">
        <v>4182</v>
      </c>
      <c r="D237" s="35" t="s">
        <v>1353</v>
      </c>
      <c r="E237" s="35" t="s">
        <v>2274</v>
      </c>
      <c r="F237" s="2">
        <v>4</v>
      </c>
      <c r="G237" s="2" t="s">
        <v>31</v>
      </c>
      <c r="H237" s="2">
        <v>1994</v>
      </c>
      <c r="I237" s="2" t="str">
        <f t="shared" si="22"/>
        <v>dHLSVGN</v>
      </c>
      <c r="J237" s="2" t="s">
        <v>2275</v>
      </c>
      <c r="K237" s="8" t="s">
        <v>2276</v>
      </c>
      <c r="L237"/>
      <c r="M237" s="2" t="s">
        <v>2232</v>
      </c>
      <c r="P237" s="2" t="s">
        <v>1127</v>
      </c>
      <c r="Q237" s="2" t="s">
        <v>1127</v>
      </c>
    </row>
    <row r="238" spans="1:17" ht="16.5" customHeight="1" x14ac:dyDescent="0.2">
      <c r="A238" s="35" t="s">
        <v>399</v>
      </c>
      <c r="B238" s="35" t="s">
        <v>2239</v>
      </c>
      <c r="C238" s="35" t="s">
        <v>4182</v>
      </c>
      <c r="D238" s="35" t="s">
        <v>1353</v>
      </c>
      <c r="E238" s="35" t="s">
        <v>2274</v>
      </c>
      <c r="F238" s="2">
        <v>5</v>
      </c>
      <c r="G238" s="2" t="s">
        <v>13</v>
      </c>
      <c r="H238" s="2">
        <v>1995</v>
      </c>
      <c r="I238" s="2" t="str">
        <f t="shared" si="22"/>
        <v>eHLSVGN</v>
      </c>
      <c r="J238" s="2" t="s">
        <v>2275</v>
      </c>
      <c r="K238" s="8" t="s">
        <v>2276</v>
      </c>
      <c r="L238"/>
      <c r="M238" s="2" t="s">
        <v>2232</v>
      </c>
      <c r="P238" s="2" t="s">
        <v>1127</v>
      </c>
      <c r="Q238" s="2" t="s">
        <v>1127</v>
      </c>
    </row>
    <row r="239" spans="1:17" ht="16.5" customHeight="1" x14ac:dyDescent="0.2">
      <c r="A239" s="35" t="s">
        <v>399</v>
      </c>
      <c r="B239" s="35" t="s">
        <v>2241</v>
      </c>
      <c r="C239" s="35" t="s">
        <v>4182</v>
      </c>
      <c r="D239" s="35" t="s">
        <v>1353</v>
      </c>
      <c r="E239" s="35" t="s">
        <v>2274</v>
      </c>
      <c r="F239" s="2">
        <v>6</v>
      </c>
      <c r="G239" s="2" t="s">
        <v>49</v>
      </c>
      <c r="H239" s="2">
        <v>1996</v>
      </c>
      <c r="I239" s="2" t="str">
        <f t="shared" si="22"/>
        <v>fHLSVGN</v>
      </c>
      <c r="J239" s="2" t="s">
        <v>2275</v>
      </c>
      <c r="K239" s="8" t="s">
        <v>2276</v>
      </c>
      <c r="L239"/>
      <c r="M239" s="2" t="s">
        <v>2232</v>
      </c>
      <c r="P239" s="2" t="s">
        <v>1127</v>
      </c>
      <c r="Q239" s="2" t="s">
        <v>1127</v>
      </c>
    </row>
    <row r="240" spans="1:17" ht="16.5" customHeight="1" x14ac:dyDescent="0.2">
      <c r="A240" s="35" t="s">
        <v>399</v>
      </c>
      <c r="B240" s="35" t="s">
        <v>2243</v>
      </c>
      <c r="C240" s="35" t="s">
        <v>4182</v>
      </c>
      <c r="D240" s="35" t="s">
        <v>1353</v>
      </c>
      <c r="E240" s="35" t="s">
        <v>2274</v>
      </c>
      <c r="F240" s="2">
        <v>7</v>
      </c>
      <c r="G240" s="2" t="s">
        <v>101</v>
      </c>
      <c r="H240" s="2">
        <v>1997</v>
      </c>
      <c r="I240" s="2" t="str">
        <f t="shared" si="22"/>
        <v>gHLSVGN</v>
      </c>
      <c r="J240" s="2" t="s">
        <v>2275</v>
      </c>
      <c r="K240" s="8" t="s">
        <v>2276</v>
      </c>
      <c r="L240"/>
      <c r="M240" s="2" t="s">
        <v>2232</v>
      </c>
      <c r="P240" s="2" t="s">
        <v>1127</v>
      </c>
      <c r="Q240" s="2" t="s">
        <v>1127</v>
      </c>
    </row>
    <row r="241" spans="1:17" ht="16.5" customHeight="1" x14ac:dyDescent="0.2">
      <c r="A241" s="35" t="s">
        <v>399</v>
      </c>
      <c r="B241" s="35" t="s">
        <v>2245</v>
      </c>
      <c r="C241" s="35" t="s">
        <v>4182</v>
      </c>
      <c r="D241" s="35" t="s">
        <v>1353</v>
      </c>
      <c r="E241" s="35" t="s">
        <v>2274</v>
      </c>
      <c r="F241" s="2">
        <v>8</v>
      </c>
      <c r="G241" s="2" t="s">
        <v>10</v>
      </c>
      <c r="H241" s="2">
        <v>1998</v>
      </c>
      <c r="I241" s="2" t="str">
        <f t="shared" si="22"/>
        <v>hHLSVGN</v>
      </c>
      <c r="J241" s="2" t="s">
        <v>2275</v>
      </c>
      <c r="K241" s="8" t="s">
        <v>2276</v>
      </c>
      <c r="L241"/>
      <c r="M241" s="2" t="s">
        <v>2232</v>
      </c>
      <c r="P241" s="2" t="s">
        <v>1127</v>
      </c>
      <c r="Q241" s="2" t="s">
        <v>1127</v>
      </c>
    </row>
    <row r="242" spans="1:17" ht="16.5" customHeight="1" x14ac:dyDescent="0.2">
      <c r="A242" s="35" t="s">
        <v>399</v>
      </c>
      <c r="B242" s="35" t="s">
        <v>2247</v>
      </c>
      <c r="C242" s="35" t="s">
        <v>4182</v>
      </c>
      <c r="D242" s="35" t="s">
        <v>1353</v>
      </c>
      <c r="E242" s="35" t="s">
        <v>2274</v>
      </c>
      <c r="F242" s="2">
        <v>9</v>
      </c>
      <c r="G242" s="2" t="s">
        <v>55</v>
      </c>
      <c r="H242" s="2">
        <v>1999</v>
      </c>
      <c r="I242" s="2" t="str">
        <f t="shared" si="22"/>
        <v>iHLSVGN</v>
      </c>
      <c r="J242" s="2" t="s">
        <v>2275</v>
      </c>
      <c r="K242" s="8" t="s">
        <v>2276</v>
      </c>
      <c r="L242"/>
      <c r="M242" s="2" t="s">
        <v>2232</v>
      </c>
      <c r="P242" s="2" t="s">
        <v>1127</v>
      </c>
      <c r="Q242" s="2" t="s">
        <v>1127</v>
      </c>
    </row>
    <row r="243" spans="1:17" ht="16.5" customHeight="1" x14ac:dyDescent="0.2">
      <c r="A243" s="35" t="s">
        <v>399</v>
      </c>
      <c r="B243" s="35" t="s">
        <v>2249</v>
      </c>
      <c r="C243" s="35" t="s">
        <v>4182</v>
      </c>
      <c r="D243" s="35" t="s">
        <v>1353</v>
      </c>
      <c r="E243" s="35" t="s">
        <v>2274</v>
      </c>
      <c r="F243" s="2">
        <v>10</v>
      </c>
      <c r="G243" s="2" t="s">
        <v>98</v>
      </c>
      <c r="H243" s="2">
        <v>2000</v>
      </c>
      <c r="I243" s="2" t="str">
        <f t="shared" si="22"/>
        <v>jHLSVGN</v>
      </c>
      <c r="J243" s="2" t="s">
        <v>2275</v>
      </c>
      <c r="K243" s="8" t="s">
        <v>2276</v>
      </c>
      <c r="L243"/>
      <c r="M243" s="2" t="s">
        <v>2232</v>
      </c>
      <c r="P243" s="2" t="s">
        <v>1127</v>
      </c>
      <c r="Q243" s="2" t="s">
        <v>1127</v>
      </c>
    </row>
    <row r="244" spans="1:17" ht="16.5" customHeight="1" x14ac:dyDescent="0.2">
      <c r="A244" s="35" t="s">
        <v>399</v>
      </c>
      <c r="B244" s="35" t="s">
        <v>2251</v>
      </c>
      <c r="C244" s="35" t="s">
        <v>4182</v>
      </c>
      <c r="D244" s="35" t="s">
        <v>1353</v>
      </c>
      <c r="E244" s="35" t="s">
        <v>2274</v>
      </c>
      <c r="F244" s="2">
        <v>11</v>
      </c>
      <c r="G244" s="2" t="s">
        <v>104</v>
      </c>
      <c r="H244" s="2">
        <v>2001</v>
      </c>
      <c r="I244" s="2" t="str">
        <f t="shared" si="22"/>
        <v>kHLSVGN</v>
      </c>
      <c r="J244" s="2" t="s">
        <v>2275</v>
      </c>
      <c r="K244" s="8" t="s">
        <v>2276</v>
      </c>
      <c r="L244"/>
      <c r="M244" s="2" t="s">
        <v>2232</v>
      </c>
      <c r="P244" s="2" t="s">
        <v>1127</v>
      </c>
      <c r="Q244" s="2" t="s">
        <v>1127</v>
      </c>
    </row>
    <row r="245" spans="1:17" ht="16.5" customHeight="1" x14ac:dyDescent="0.2">
      <c r="A245" s="35" t="s">
        <v>399</v>
      </c>
      <c r="B245" s="35" t="s">
        <v>2253</v>
      </c>
      <c r="C245" s="35" t="s">
        <v>4182</v>
      </c>
      <c r="D245" s="35" t="s">
        <v>1353</v>
      </c>
      <c r="E245" s="35" t="s">
        <v>2274</v>
      </c>
      <c r="F245" s="2">
        <v>12</v>
      </c>
      <c r="G245" s="2" t="s">
        <v>89</v>
      </c>
      <c r="H245" s="2">
        <v>2002</v>
      </c>
      <c r="I245" s="2" t="str">
        <f t="shared" si="22"/>
        <v>lHLSVGN</v>
      </c>
      <c r="J245" s="2" t="s">
        <v>2275</v>
      </c>
      <c r="K245" s="8" t="s">
        <v>2276</v>
      </c>
      <c r="L245"/>
      <c r="M245" s="2" t="s">
        <v>2232</v>
      </c>
      <c r="P245" s="2" t="s">
        <v>1127</v>
      </c>
      <c r="Q245" s="2" t="s">
        <v>1127</v>
      </c>
    </row>
    <row r="246" spans="1:17" ht="16.5" customHeight="1" x14ac:dyDescent="0.2">
      <c r="A246" s="35" t="s">
        <v>399</v>
      </c>
      <c r="B246" s="35" t="s">
        <v>2255</v>
      </c>
      <c r="C246" s="35" t="s">
        <v>4182</v>
      </c>
      <c r="D246" s="35" t="s">
        <v>1353</v>
      </c>
      <c r="E246" s="35" t="s">
        <v>2274</v>
      </c>
      <c r="F246" s="2">
        <v>13</v>
      </c>
      <c r="G246" s="2" t="s">
        <v>107</v>
      </c>
      <c r="H246" s="2">
        <v>2003</v>
      </c>
      <c r="I246" s="2" t="str">
        <f t="shared" si="22"/>
        <v>mHLSVGN</v>
      </c>
      <c r="J246" s="2" t="s">
        <v>2275</v>
      </c>
      <c r="K246" s="8" t="s">
        <v>2276</v>
      </c>
      <c r="L246"/>
      <c r="M246" s="2" t="s">
        <v>2232</v>
      </c>
      <c r="P246" s="2" t="s">
        <v>1127</v>
      </c>
      <c r="Q246" s="2" t="s">
        <v>1127</v>
      </c>
    </row>
    <row r="247" spans="1:17" ht="16.5" customHeight="1" x14ac:dyDescent="0.2">
      <c r="A247" s="35" t="s">
        <v>399</v>
      </c>
      <c r="B247" s="35" t="s">
        <v>2257</v>
      </c>
      <c r="C247" s="35" t="s">
        <v>4182</v>
      </c>
      <c r="D247" s="35" t="s">
        <v>1353</v>
      </c>
      <c r="E247" s="35" t="s">
        <v>2274</v>
      </c>
      <c r="F247" s="2">
        <v>14</v>
      </c>
      <c r="G247" s="2" t="s">
        <v>43</v>
      </c>
      <c r="H247" s="2">
        <v>2004</v>
      </c>
      <c r="I247" s="2" t="str">
        <f t="shared" si="22"/>
        <v>nHLSVGN</v>
      </c>
      <c r="J247" s="2" t="s">
        <v>2275</v>
      </c>
      <c r="K247" s="8" t="s">
        <v>2276</v>
      </c>
      <c r="L247"/>
      <c r="M247" s="2" t="s">
        <v>2232</v>
      </c>
      <c r="P247" s="2" t="s">
        <v>1127</v>
      </c>
      <c r="Q247" s="2" t="s">
        <v>1127</v>
      </c>
    </row>
    <row r="248" spans="1:17" ht="16.5" customHeight="1" x14ac:dyDescent="0.2">
      <c r="A248" s="35" t="s">
        <v>399</v>
      </c>
      <c r="B248" s="35" t="s">
        <v>2259</v>
      </c>
      <c r="C248" s="35" t="s">
        <v>4182</v>
      </c>
      <c r="D248" s="35" t="s">
        <v>1353</v>
      </c>
      <c r="E248" s="35" t="s">
        <v>2274</v>
      </c>
      <c r="F248" s="2">
        <v>15</v>
      </c>
      <c r="G248" s="2" t="s">
        <v>19</v>
      </c>
      <c r="H248" s="2">
        <v>2005</v>
      </c>
      <c r="I248" s="2" t="str">
        <f t="shared" si="22"/>
        <v>oHLSVGN</v>
      </c>
      <c r="J248" s="2" t="s">
        <v>2275</v>
      </c>
      <c r="K248" s="8" t="s">
        <v>2276</v>
      </c>
      <c r="L248"/>
      <c r="M248" s="2" t="s">
        <v>2232</v>
      </c>
      <c r="P248" s="2" t="s">
        <v>1127</v>
      </c>
      <c r="Q248" s="2" t="s">
        <v>1127</v>
      </c>
    </row>
    <row r="249" spans="1:17" ht="16.5" customHeight="1" x14ac:dyDescent="0.2">
      <c r="A249" s="35" t="s">
        <v>399</v>
      </c>
      <c r="B249" s="35" t="s">
        <v>2261</v>
      </c>
      <c r="C249" s="35" t="s">
        <v>4182</v>
      </c>
      <c r="D249" s="35" t="s">
        <v>1353</v>
      </c>
      <c r="E249" s="35" t="s">
        <v>2274</v>
      </c>
      <c r="F249" s="2">
        <v>16</v>
      </c>
      <c r="G249" s="2" t="s">
        <v>25</v>
      </c>
      <c r="H249" s="2">
        <v>2006</v>
      </c>
      <c r="I249" s="2" t="str">
        <f t="shared" si="22"/>
        <v>pHLSVGN</v>
      </c>
      <c r="J249" s="2" t="s">
        <v>2275</v>
      </c>
      <c r="K249" s="8" t="s">
        <v>2276</v>
      </c>
      <c r="L249"/>
      <c r="M249" s="2" t="s">
        <v>2232</v>
      </c>
      <c r="P249" s="2" t="s">
        <v>1127</v>
      </c>
      <c r="Q249" s="2" t="s">
        <v>1127</v>
      </c>
    </row>
    <row r="250" spans="1:17" ht="16.5" customHeight="1" x14ac:dyDescent="0.2">
      <c r="A250" s="35" t="s">
        <v>399</v>
      </c>
      <c r="B250" s="35" t="s">
        <v>2263</v>
      </c>
      <c r="C250" s="35" t="s">
        <v>4182</v>
      </c>
      <c r="D250" s="35" t="s">
        <v>1353</v>
      </c>
      <c r="E250" s="35" t="s">
        <v>2274</v>
      </c>
      <c r="F250" s="2">
        <v>17</v>
      </c>
      <c r="G250" s="2" t="s">
        <v>73</v>
      </c>
      <c r="H250" s="2">
        <v>2007</v>
      </c>
      <c r="I250" s="2" t="str">
        <f t="shared" si="22"/>
        <v>qHLSVGN</v>
      </c>
      <c r="J250" s="2" t="s">
        <v>2275</v>
      </c>
      <c r="K250" s="8" t="s">
        <v>2276</v>
      </c>
      <c r="L250"/>
      <c r="M250" s="2" t="s">
        <v>2232</v>
      </c>
      <c r="P250" s="2" t="s">
        <v>1127</v>
      </c>
      <c r="Q250" s="2" t="s">
        <v>1127</v>
      </c>
    </row>
    <row r="251" spans="1:17" ht="16.5" customHeight="1" x14ac:dyDescent="0.2">
      <c r="A251" s="35" t="s">
        <v>399</v>
      </c>
      <c r="B251" s="35" t="s">
        <v>2265</v>
      </c>
      <c r="C251" s="35" t="s">
        <v>4182</v>
      </c>
      <c r="D251" s="35" t="s">
        <v>1353</v>
      </c>
      <c r="E251" s="35" t="s">
        <v>2274</v>
      </c>
      <c r="F251" s="2">
        <v>18</v>
      </c>
      <c r="G251" s="2" t="s">
        <v>58</v>
      </c>
      <c r="H251" s="2">
        <v>2008</v>
      </c>
      <c r="I251" s="2" t="str">
        <f t="shared" si="22"/>
        <v>rHLSVGN</v>
      </c>
      <c r="J251" s="2" t="s">
        <v>2275</v>
      </c>
      <c r="K251" s="8" t="s">
        <v>2276</v>
      </c>
      <c r="L251"/>
      <c r="M251" s="2" t="s">
        <v>2232</v>
      </c>
      <c r="P251" s="2" t="s">
        <v>1127</v>
      </c>
      <c r="Q251" s="2" t="s">
        <v>1127</v>
      </c>
    </row>
    <row r="252" spans="1:17" ht="16.5" customHeight="1" x14ac:dyDescent="0.2">
      <c r="A252" s="35" t="s">
        <v>399</v>
      </c>
      <c r="B252" s="35" t="s">
        <v>2251</v>
      </c>
      <c r="C252" s="35" t="s">
        <v>4182</v>
      </c>
      <c r="D252" s="35" t="s">
        <v>1353</v>
      </c>
      <c r="E252" s="35" t="s">
        <v>2277</v>
      </c>
      <c r="F252" s="2">
        <v>11</v>
      </c>
      <c r="G252" s="2" t="s">
        <v>104</v>
      </c>
      <c r="H252" s="2">
        <v>2001</v>
      </c>
      <c r="I252" s="2" t="str">
        <f>_xlfn.CONCAT(G252,"HLPRXI")</f>
        <v>kHLPRXI</v>
      </c>
      <c r="J252" s="2" t="s">
        <v>2278</v>
      </c>
      <c r="K252" s="8" t="s">
        <v>2269</v>
      </c>
      <c r="L252"/>
      <c r="M252" s="2" t="s">
        <v>2270</v>
      </c>
      <c r="P252" s="2" t="s">
        <v>1127</v>
      </c>
      <c r="Q252" s="2" t="s">
        <v>1127</v>
      </c>
    </row>
    <row r="253" spans="1:17" ht="16.5" customHeight="1" x14ac:dyDescent="0.2">
      <c r="A253" s="35" t="s">
        <v>399</v>
      </c>
      <c r="B253" s="35" t="s">
        <v>2261</v>
      </c>
      <c r="C253" s="35" t="s">
        <v>4182</v>
      </c>
      <c r="D253" s="35" t="s">
        <v>1353</v>
      </c>
      <c r="E253" s="35" t="s">
        <v>2277</v>
      </c>
      <c r="F253" s="2">
        <v>16</v>
      </c>
      <c r="G253" s="2" t="s">
        <v>25</v>
      </c>
      <c r="H253" s="2">
        <v>2006</v>
      </c>
      <c r="I253" s="2" t="str">
        <f>_xlfn.CONCAT(G253,"HLPRXI")</f>
        <v>pHLPRXI</v>
      </c>
      <c r="J253" s="2" t="s">
        <v>2278</v>
      </c>
      <c r="K253" s="8" t="s">
        <v>2269</v>
      </c>
      <c r="L253"/>
      <c r="M253" s="2" t="s">
        <v>2270</v>
      </c>
      <c r="P253" s="2" t="s">
        <v>1127</v>
      </c>
      <c r="Q253" s="2" t="s">
        <v>1127</v>
      </c>
    </row>
    <row r="254" spans="1:17" ht="16.5" customHeight="1" x14ac:dyDescent="0.2">
      <c r="A254" s="35" t="s">
        <v>399</v>
      </c>
      <c r="B254" s="35" t="s">
        <v>2227</v>
      </c>
      <c r="C254" s="35" t="s">
        <v>4182</v>
      </c>
      <c r="D254" s="35" t="s">
        <v>1353</v>
      </c>
      <c r="E254" s="35" t="s">
        <v>2279</v>
      </c>
      <c r="F254" s="2">
        <v>1</v>
      </c>
      <c r="G254" s="2" t="s">
        <v>40</v>
      </c>
      <c r="H254" s="2">
        <v>1991</v>
      </c>
      <c r="I254" s="2" t="str">
        <f t="shared" ref="I254:I271" si="23">_xlfn.CONCAT(G254,"HLSVGF")</f>
        <v>aHLSVGF</v>
      </c>
      <c r="J254" s="2" t="s">
        <v>2280</v>
      </c>
      <c r="K254" s="8" t="s">
        <v>2281</v>
      </c>
      <c r="L254"/>
      <c r="M254" s="2" t="s">
        <v>2232</v>
      </c>
      <c r="P254" s="2" t="s">
        <v>1127</v>
      </c>
      <c r="Q254" s="2" t="s">
        <v>1127</v>
      </c>
    </row>
    <row r="255" spans="1:17" ht="16.5" customHeight="1" x14ac:dyDescent="0.2">
      <c r="A255" s="35" t="s">
        <v>399</v>
      </c>
      <c r="B255" s="35" t="s">
        <v>2233</v>
      </c>
      <c r="C255" s="35" t="s">
        <v>4182</v>
      </c>
      <c r="D255" s="35" t="s">
        <v>1353</v>
      </c>
      <c r="E255" s="35" t="s">
        <v>2279</v>
      </c>
      <c r="F255" s="2">
        <v>2</v>
      </c>
      <c r="G255" s="2" t="s">
        <v>37</v>
      </c>
      <c r="H255" s="2">
        <v>1992</v>
      </c>
      <c r="I255" s="2" t="str">
        <f t="shared" si="23"/>
        <v>bHLSVGF</v>
      </c>
      <c r="J255" s="2" t="s">
        <v>2280</v>
      </c>
      <c r="K255" s="8" t="s">
        <v>2281</v>
      </c>
      <c r="L255"/>
      <c r="M255" s="2" t="s">
        <v>2232</v>
      </c>
      <c r="P255" s="2" t="s">
        <v>1127</v>
      </c>
      <c r="Q255" s="2" t="s">
        <v>1127</v>
      </c>
    </row>
    <row r="256" spans="1:17" ht="16.5" customHeight="1" x14ac:dyDescent="0.2">
      <c r="A256" s="35" t="s">
        <v>399</v>
      </c>
      <c r="B256" s="35" t="s">
        <v>2235</v>
      </c>
      <c r="C256" s="35" t="s">
        <v>4182</v>
      </c>
      <c r="D256" s="35" t="s">
        <v>1353</v>
      </c>
      <c r="E256" s="35" t="s">
        <v>2279</v>
      </c>
      <c r="F256" s="2">
        <v>3</v>
      </c>
      <c r="G256" s="2" t="s">
        <v>80</v>
      </c>
      <c r="H256" s="2">
        <v>1993</v>
      </c>
      <c r="I256" s="2" t="str">
        <f t="shared" si="23"/>
        <v>cHLSVGF</v>
      </c>
      <c r="J256" s="2" t="s">
        <v>2280</v>
      </c>
      <c r="K256" s="8" t="s">
        <v>2281</v>
      </c>
      <c r="L256"/>
      <c r="M256" s="2" t="s">
        <v>2232</v>
      </c>
      <c r="P256" s="2" t="s">
        <v>1127</v>
      </c>
      <c r="Q256" s="2" t="s">
        <v>1127</v>
      </c>
    </row>
    <row r="257" spans="1:17" ht="16.5" customHeight="1" x14ac:dyDescent="0.2">
      <c r="A257" s="35" t="s">
        <v>399</v>
      </c>
      <c r="B257" s="35" t="s">
        <v>2237</v>
      </c>
      <c r="C257" s="35" t="s">
        <v>4182</v>
      </c>
      <c r="D257" s="35" t="s">
        <v>1353</v>
      </c>
      <c r="E257" s="35" t="s">
        <v>2279</v>
      </c>
      <c r="F257" s="2">
        <v>4</v>
      </c>
      <c r="G257" s="2" t="s">
        <v>31</v>
      </c>
      <c r="H257" s="2">
        <v>1994</v>
      </c>
      <c r="I257" s="2" t="str">
        <f t="shared" si="23"/>
        <v>dHLSVGF</v>
      </c>
      <c r="J257" s="2" t="s">
        <v>2280</v>
      </c>
      <c r="K257" s="8" t="s">
        <v>2281</v>
      </c>
      <c r="L257"/>
      <c r="M257" s="2" t="s">
        <v>2232</v>
      </c>
      <c r="P257" s="2" t="s">
        <v>1127</v>
      </c>
      <c r="Q257" s="2" t="s">
        <v>1127</v>
      </c>
    </row>
    <row r="258" spans="1:17" ht="16.5" customHeight="1" x14ac:dyDescent="0.2">
      <c r="A258" s="35" t="s">
        <v>399</v>
      </c>
      <c r="B258" s="35" t="s">
        <v>2239</v>
      </c>
      <c r="C258" s="35" t="s">
        <v>4182</v>
      </c>
      <c r="D258" s="35" t="s">
        <v>1353</v>
      </c>
      <c r="E258" s="35" t="s">
        <v>2279</v>
      </c>
      <c r="F258" s="2">
        <v>5</v>
      </c>
      <c r="G258" s="2" t="s">
        <v>13</v>
      </c>
      <c r="H258" s="2">
        <v>1995</v>
      </c>
      <c r="I258" s="2" t="str">
        <f t="shared" si="23"/>
        <v>eHLSVGF</v>
      </c>
      <c r="J258" s="2" t="s">
        <v>2280</v>
      </c>
      <c r="K258" s="8" t="s">
        <v>2281</v>
      </c>
      <c r="L258"/>
      <c r="M258" s="2" t="s">
        <v>2232</v>
      </c>
      <c r="P258" s="2" t="s">
        <v>1127</v>
      </c>
      <c r="Q258" s="2" t="s">
        <v>1127</v>
      </c>
    </row>
    <row r="259" spans="1:17" ht="16.5" customHeight="1" x14ac:dyDescent="0.2">
      <c r="A259" s="35" t="s">
        <v>399</v>
      </c>
      <c r="B259" s="35" t="s">
        <v>2241</v>
      </c>
      <c r="C259" s="35" t="s">
        <v>4182</v>
      </c>
      <c r="D259" s="35" t="s">
        <v>1353</v>
      </c>
      <c r="E259" s="35" t="s">
        <v>2279</v>
      </c>
      <c r="F259" s="2">
        <v>6</v>
      </c>
      <c r="G259" s="2" t="s">
        <v>49</v>
      </c>
      <c r="H259" s="2">
        <v>1996</v>
      </c>
      <c r="I259" s="2" t="str">
        <f t="shared" si="23"/>
        <v>fHLSVGF</v>
      </c>
      <c r="J259" s="2" t="s">
        <v>2280</v>
      </c>
      <c r="K259" s="8" t="s">
        <v>2281</v>
      </c>
      <c r="L259"/>
      <c r="M259" s="2" t="s">
        <v>2232</v>
      </c>
      <c r="P259" s="2" t="s">
        <v>1127</v>
      </c>
      <c r="Q259" s="2" t="s">
        <v>1127</v>
      </c>
    </row>
    <row r="260" spans="1:17" ht="16.5" customHeight="1" x14ac:dyDescent="0.2">
      <c r="A260" s="35" t="s">
        <v>399</v>
      </c>
      <c r="B260" s="35" t="s">
        <v>2243</v>
      </c>
      <c r="C260" s="35" t="s">
        <v>4182</v>
      </c>
      <c r="D260" s="35" t="s">
        <v>1353</v>
      </c>
      <c r="E260" s="35" t="s">
        <v>2279</v>
      </c>
      <c r="F260" s="2">
        <v>7</v>
      </c>
      <c r="G260" s="2" t="s">
        <v>101</v>
      </c>
      <c r="H260" s="2">
        <v>1997</v>
      </c>
      <c r="I260" s="2" t="str">
        <f t="shared" si="23"/>
        <v>gHLSVGF</v>
      </c>
      <c r="J260" s="2" t="s">
        <v>2280</v>
      </c>
      <c r="K260" s="8" t="s">
        <v>2281</v>
      </c>
      <c r="L260"/>
      <c r="M260" s="2" t="s">
        <v>2232</v>
      </c>
      <c r="P260" s="2" t="s">
        <v>1127</v>
      </c>
      <c r="Q260" s="2" t="s">
        <v>1127</v>
      </c>
    </row>
    <row r="261" spans="1:17" ht="16.5" customHeight="1" x14ac:dyDescent="0.2">
      <c r="A261" s="35" t="s">
        <v>399</v>
      </c>
      <c r="B261" s="35" t="s">
        <v>2245</v>
      </c>
      <c r="C261" s="35" t="s">
        <v>4182</v>
      </c>
      <c r="D261" s="35" t="s">
        <v>1353</v>
      </c>
      <c r="E261" s="35" t="s">
        <v>2279</v>
      </c>
      <c r="F261" s="2">
        <v>8</v>
      </c>
      <c r="G261" s="2" t="s">
        <v>10</v>
      </c>
      <c r="H261" s="2">
        <v>1998</v>
      </c>
      <c r="I261" s="2" t="str">
        <f t="shared" si="23"/>
        <v>hHLSVGF</v>
      </c>
      <c r="J261" s="2" t="s">
        <v>2280</v>
      </c>
      <c r="K261" s="8" t="s">
        <v>2281</v>
      </c>
      <c r="L261"/>
      <c r="M261" s="2" t="s">
        <v>2232</v>
      </c>
      <c r="P261" s="2" t="s">
        <v>1127</v>
      </c>
      <c r="Q261" s="2" t="s">
        <v>1127</v>
      </c>
    </row>
    <row r="262" spans="1:17" ht="16.5" customHeight="1" x14ac:dyDescent="0.2">
      <c r="A262" s="35" t="s">
        <v>399</v>
      </c>
      <c r="B262" s="35" t="s">
        <v>2247</v>
      </c>
      <c r="C262" s="35" t="s">
        <v>4182</v>
      </c>
      <c r="D262" s="35" t="s">
        <v>1353</v>
      </c>
      <c r="E262" s="35" t="s">
        <v>2279</v>
      </c>
      <c r="F262" s="2">
        <v>9</v>
      </c>
      <c r="G262" s="2" t="s">
        <v>55</v>
      </c>
      <c r="H262" s="2">
        <v>1999</v>
      </c>
      <c r="I262" s="2" t="str">
        <f t="shared" si="23"/>
        <v>iHLSVGF</v>
      </c>
      <c r="J262" s="2" t="s">
        <v>2280</v>
      </c>
      <c r="K262" s="8" t="s">
        <v>2281</v>
      </c>
      <c r="L262"/>
      <c r="M262" s="2" t="s">
        <v>2232</v>
      </c>
      <c r="P262" s="2" t="s">
        <v>1127</v>
      </c>
      <c r="Q262" s="2" t="s">
        <v>1127</v>
      </c>
    </row>
    <row r="263" spans="1:17" ht="16.5" customHeight="1" x14ac:dyDescent="0.2">
      <c r="A263" s="35" t="s">
        <v>399</v>
      </c>
      <c r="B263" s="35" t="s">
        <v>2249</v>
      </c>
      <c r="C263" s="35" t="s">
        <v>4182</v>
      </c>
      <c r="D263" s="35" t="s">
        <v>1353</v>
      </c>
      <c r="E263" s="35" t="s">
        <v>2279</v>
      </c>
      <c r="F263" s="2">
        <v>10</v>
      </c>
      <c r="G263" s="2" t="s">
        <v>98</v>
      </c>
      <c r="H263" s="2">
        <v>2000</v>
      </c>
      <c r="I263" s="2" t="str">
        <f t="shared" si="23"/>
        <v>jHLSVGF</v>
      </c>
      <c r="J263" s="2" t="s">
        <v>2280</v>
      </c>
      <c r="K263" s="8" t="s">
        <v>2281</v>
      </c>
      <c r="L263"/>
      <c r="M263" s="2" t="s">
        <v>2232</v>
      </c>
      <c r="P263" s="2" t="s">
        <v>1127</v>
      </c>
      <c r="Q263" s="2" t="s">
        <v>1127</v>
      </c>
    </row>
    <row r="264" spans="1:17" ht="16.5" customHeight="1" x14ac:dyDescent="0.2">
      <c r="A264" s="35" t="s">
        <v>399</v>
      </c>
      <c r="B264" s="35" t="s">
        <v>2251</v>
      </c>
      <c r="C264" s="35" t="s">
        <v>4182</v>
      </c>
      <c r="D264" s="35" t="s">
        <v>1353</v>
      </c>
      <c r="E264" s="35" t="s">
        <v>2279</v>
      </c>
      <c r="F264" s="2">
        <v>11</v>
      </c>
      <c r="G264" s="2" t="s">
        <v>104</v>
      </c>
      <c r="H264" s="2">
        <v>2001</v>
      </c>
      <c r="I264" s="2" t="str">
        <f t="shared" si="23"/>
        <v>kHLSVGF</v>
      </c>
      <c r="J264" s="2" t="s">
        <v>2280</v>
      </c>
      <c r="K264" s="8" t="s">
        <v>2281</v>
      </c>
      <c r="L264"/>
      <c r="M264" s="2" t="s">
        <v>2232</v>
      </c>
      <c r="P264" s="2" t="s">
        <v>1127</v>
      </c>
      <c r="Q264" s="2" t="s">
        <v>1127</v>
      </c>
    </row>
    <row r="265" spans="1:17" ht="16.5" customHeight="1" x14ac:dyDescent="0.2">
      <c r="A265" s="35" t="s">
        <v>399</v>
      </c>
      <c r="B265" s="35" t="s">
        <v>2253</v>
      </c>
      <c r="C265" s="35" t="s">
        <v>4182</v>
      </c>
      <c r="D265" s="35" t="s">
        <v>1353</v>
      </c>
      <c r="E265" s="35" t="s">
        <v>2279</v>
      </c>
      <c r="F265" s="2">
        <v>12</v>
      </c>
      <c r="G265" s="2" t="s">
        <v>89</v>
      </c>
      <c r="H265" s="2">
        <v>2002</v>
      </c>
      <c r="I265" s="2" t="str">
        <f t="shared" si="23"/>
        <v>lHLSVGF</v>
      </c>
      <c r="J265" s="2" t="s">
        <v>2280</v>
      </c>
      <c r="K265" s="8" t="s">
        <v>2281</v>
      </c>
      <c r="L265"/>
      <c r="M265" s="2" t="s">
        <v>2232</v>
      </c>
      <c r="P265" s="2" t="s">
        <v>1127</v>
      </c>
      <c r="Q265" s="2" t="s">
        <v>1127</v>
      </c>
    </row>
    <row r="266" spans="1:17" ht="16.5" customHeight="1" x14ac:dyDescent="0.2">
      <c r="A266" s="35" t="s">
        <v>399</v>
      </c>
      <c r="B266" s="35" t="s">
        <v>2255</v>
      </c>
      <c r="C266" s="35" t="s">
        <v>4182</v>
      </c>
      <c r="D266" s="35" t="s">
        <v>1353</v>
      </c>
      <c r="E266" s="35" t="s">
        <v>2279</v>
      </c>
      <c r="F266" s="2">
        <v>13</v>
      </c>
      <c r="G266" s="2" t="s">
        <v>107</v>
      </c>
      <c r="H266" s="2">
        <v>2003</v>
      </c>
      <c r="I266" s="2" t="str">
        <f t="shared" si="23"/>
        <v>mHLSVGF</v>
      </c>
      <c r="J266" s="2" t="s">
        <v>2280</v>
      </c>
      <c r="K266" s="8" t="s">
        <v>2281</v>
      </c>
      <c r="L266"/>
      <c r="M266" s="2" t="s">
        <v>2232</v>
      </c>
      <c r="P266" s="2" t="s">
        <v>1127</v>
      </c>
      <c r="Q266" s="2" t="s">
        <v>1127</v>
      </c>
    </row>
    <row r="267" spans="1:17" ht="16.5" customHeight="1" x14ac:dyDescent="0.2">
      <c r="A267" s="35" t="s">
        <v>399</v>
      </c>
      <c r="B267" s="35" t="s">
        <v>2257</v>
      </c>
      <c r="C267" s="35" t="s">
        <v>4182</v>
      </c>
      <c r="D267" s="35" t="s">
        <v>1353</v>
      </c>
      <c r="E267" s="35" t="s">
        <v>2279</v>
      </c>
      <c r="F267" s="2">
        <v>14</v>
      </c>
      <c r="G267" s="2" t="s">
        <v>43</v>
      </c>
      <c r="H267" s="2">
        <v>2004</v>
      </c>
      <c r="I267" s="2" t="str">
        <f t="shared" si="23"/>
        <v>nHLSVGF</v>
      </c>
      <c r="J267" s="2" t="s">
        <v>2280</v>
      </c>
      <c r="K267" s="8" t="s">
        <v>2281</v>
      </c>
      <c r="L267"/>
      <c r="M267" s="2" t="s">
        <v>2232</v>
      </c>
      <c r="P267" s="2" t="s">
        <v>1127</v>
      </c>
      <c r="Q267" s="2" t="s">
        <v>1127</v>
      </c>
    </row>
    <row r="268" spans="1:17" ht="16.5" customHeight="1" x14ac:dyDescent="0.2">
      <c r="A268" s="35" t="s">
        <v>399</v>
      </c>
      <c r="B268" s="35" t="s">
        <v>2259</v>
      </c>
      <c r="C268" s="35" t="s">
        <v>4182</v>
      </c>
      <c r="D268" s="35" t="s">
        <v>1353</v>
      </c>
      <c r="E268" s="35" t="s">
        <v>2279</v>
      </c>
      <c r="F268" s="2">
        <v>15</v>
      </c>
      <c r="G268" s="2" t="s">
        <v>19</v>
      </c>
      <c r="H268" s="2">
        <v>2005</v>
      </c>
      <c r="I268" s="2" t="str">
        <f t="shared" si="23"/>
        <v>oHLSVGF</v>
      </c>
      <c r="J268" s="2" t="s">
        <v>2280</v>
      </c>
      <c r="K268" s="8" t="s">
        <v>2281</v>
      </c>
      <c r="L268"/>
      <c r="M268" s="2" t="s">
        <v>2232</v>
      </c>
      <c r="P268" s="2" t="s">
        <v>1127</v>
      </c>
      <c r="Q268" s="2" t="s">
        <v>1127</v>
      </c>
    </row>
    <row r="269" spans="1:17" ht="16.5" customHeight="1" x14ac:dyDescent="0.2">
      <c r="A269" s="35" t="s">
        <v>399</v>
      </c>
      <c r="B269" s="35" t="s">
        <v>2261</v>
      </c>
      <c r="C269" s="35" t="s">
        <v>4182</v>
      </c>
      <c r="D269" s="35" t="s">
        <v>1353</v>
      </c>
      <c r="E269" s="35" t="s">
        <v>2279</v>
      </c>
      <c r="F269" s="2">
        <v>16</v>
      </c>
      <c r="G269" s="2" t="s">
        <v>25</v>
      </c>
      <c r="H269" s="2">
        <v>2006</v>
      </c>
      <c r="I269" s="2" t="str">
        <f t="shared" si="23"/>
        <v>pHLSVGF</v>
      </c>
      <c r="J269" s="2" t="s">
        <v>2280</v>
      </c>
      <c r="K269" s="8" t="s">
        <v>2281</v>
      </c>
      <c r="L269"/>
      <c r="M269" s="2" t="s">
        <v>2232</v>
      </c>
      <c r="P269" s="2" t="s">
        <v>1127</v>
      </c>
      <c r="Q269" s="2" t="s">
        <v>1127</v>
      </c>
    </row>
    <row r="270" spans="1:17" ht="16.5" customHeight="1" x14ac:dyDescent="0.2">
      <c r="A270" s="35" t="s">
        <v>399</v>
      </c>
      <c r="B270" s="35" t="s">
        <v>2263</v>
      </c>
      <c r="C270" s="35" t="s">
        <v>4182</v>
      </c>
      <c r="D270" s="35" t="s">
        <v>1353</v>
      </c>
      <c r="E270" s="35" t="s">
        <v>2279</v>
      </c>
      <c r="F270" s="2">
        <v>17</v>
      </c>
      <c r="G270" s="2" t="s">
        <v>73</v>
      </c>
      <c r="H270" s="2">
        <v>2007</v>
      </c>
      <c r="I270" s="2" t="str">
        <f t="shared" si="23"/>
        <v>qHLSVGF</v>
      </c>
      <c r="J270" s="2" t="s">
        <v>2280</v>
      </c>
      <c r="K270" s="8" t="s">
        <v>2281</v>
      </c>
      <c r="L270"/>
      <c r="M270" s="2" t="s">
        <v>2232</v>
      </c>
      <c r="P270" s="2" t="s">
        <v>1127</v>
      </c>
      <c r="Q270" s="2" t="s">
        <v>1127</v>
      </c>
    </row>
    <row r="271" spans="1:17" ht="16.5" customHeight="1" x14ac:dyDescent="0.2">
      <c r="A271" s="35" t="s">
        <v>399</v>
      </c>
      <c r="B271" s="35" t="s">
        <v>2265</v>
      </c>
      <c r="C271" s="35" t="s">
        <v>4182</v>
      </c>
      <c r="D271" s="35" t="s">
        <v>1353</v>
      </c>
      <c r="E271" s="35" t="s">
        <v>2279</v>
      </c>
      <c r="F271" s="2">
        <v>18</v>
      </c>
      <c r="G271" s="2" t="s">
        <v>58</v>
      </c>
      <c r="H271" s="2">
        <v>2008</v>
      </c>
      <c r="I271" s="2" t="str">
        <f t="shared" si="23"/>
        <v>rHLSVGF</v>
      </c>
      <c r="J271" s="2" t="s">
        <v>2280</v>
      </c>
      <c r="K271" s="8" t="s">
        <v>2281</v>
      </c>
      <c r="L271"/>
      <c r="M271" s="2" t="s">
        <v>2232</v>
      </c>
      <c r="P271" s="2" t="s">
        <v>1127</v>
      </c>
      <c r="Q271" s="2" t="s">
        <v>1127</v>
      </c>
    </row>
    <row r="272" spans="1:17" ht="16.5" customHeight="1" x14ac:dyDescent="0.2">
      <c r="A272" s="35" t="s">
        <v>399</v>
      </c>
      <c r="B272" s="35" t="s">
        <v>2227</v>
      </c>
      <c r="C272" s="35" t="s">
        <v>4182</v>
      </c>
      <c r="D272" s="35" t="s">
        <v>1353</v>
      </c>
      <c r="E272" s="35" t="s">
        <v>2282</v>
      </c>
      <c r="F272" s="2">
        <v>1</v>
      </c>
      <c r="G272" s="2" t="s">
        <v>40</v>
      </c>
      <c r="H272" s="2">
        <v>1991</v>
      </c>
      <c r="I272" s="2" t="str">
        <f t="shared" ref="I272:I289" si="24">_xlfn.CONCAT(G272,"HLSVG")</f>
        <v>aHLSVG</v>
      </c>
      <c r="J272" s="2" t="s">
        <v>2283</v>
      </c>
      <c r="K272" s="8" t="s">
        <v>2284</v>
      </c>
      <c r="L272"/>
      <c r="M272" s="2" t="s">
        <v>2232</v>
      </c>
      <c r="P272" s="2" t="s">
        <v>1127</v>
      </c>
      <c r="Q272" s="2" t="s">
        <v>1127</v>
      </c>
    </row>
    <row r="273" spans="1:17" ht="16.5" customHeight="1" x14ac:dyDescent="0.2">
      <c r="A273" s="35" t="s">
        <v>399</v>
      </c>
      <c r="B273" s="35" t="s">
        <v>2233</v>
      </c>
      <c r="C273" s="35" t="s">
        <v>4182</v>
      </c>
      <c r="D273" s="35" t="s">
        <v>1353</v>
      </c>
      <c r="E273" s="35" t="s">
        <v>2282</v>
      </c>
      <c r="F273" s="2">
        <v>2</v>
      </c>
      <c r="G273" s="2" t="s">
        <v>37</v>
      </c>
      <c r="H273" s="2">
        <v>1992</v>
      </c>
      <c r="I273" s="2" t="str">
        <f t="shared" si="24"/>
        <v>bHLSVG</v>
      </c>
      <c r="J273" s="2" t="s">
        <v>2283</v>
      </c>
      <c r="K273" s="8" t="s">
        <v>2284</v>
      </c>
      <c r="L273"/>
      <c r="M273" s="2" t="s">
        <v>2232</v>
      </c>
      <c r="P273" s="2" t="s">
        <v>1127</v>
      </c>
      <c r="Q273" s="2" t="s">
        <v>1127</v>
      </c>
    </row>
    <row r="274" spans="1:17" ht="16.5" customHeight="1" x14ac:dyDescent="0.2">
      <c r="A274" s="35" t="s">
        <v>399</v>
      </c>
      <c r="B274" s="35" t="s">
        <v>2235</v>
      </c>
      <c r="C274" s="35" t="s">
        <v>4182</v>
      </c>
      <c r="D274" s="35" t="s">
        <v>1353</v>
      </c>
      <c r="E274" s="35" t="s">
        <v>2282</v>
      </c>
      <c r="F274" s="2">
        <v>3</v>
      </c>
      <c r="G274" s="2" t="s">
        <v>80</v>
      </c>
      <c r="H274" s="2">
        <v>1993</v>
      </c>
      <c r="I274" s="2" t="str">
        <f t="shared" si="24"/>
        <v>cHLSVG</v>
      </c>
      <c r="J274" s="2" t="s">
        <v>2283</v>
      </c>
      <c r="K274" s="8" t="s">
        <v>2284</v>
      </c>
      <c r="L274"/>
      <c r="M274" s="2" t="s">
        <v>2232</v>
      </c>
      <c r="P274" s="2" t="s">
        <v>1127</v>
      </c>
      <c r="Q274" s="2" t="s">
        <v>1127</v>
      </c>
    </row>
    <row r="275" spans="1:17" ht="16.5" customHeight="1" x14ac:dyDescent="0.2">
      <c r="A275" s="35" t="s">
        <v>399</v>
      </c>
      <c r="B275" s="35" t="s">
        <v>2237</v>
      </c>
      <c r="C275" s="35" t="s">
        <v>4182</v>
      </c>
      <c r="D275" s="35" t="s">
        <v>1353</v>
      </c>
      <c r="E275" s="35" t="s">
        <v>2282</v>
      </c>
      <c r="F275" s="2">
        <v>4</v>
      </c>
      <c r="G275" s="2" t="s">
        <v>31</v>
      </c>
      <c r="H275" s="2">
        <v>1994</v>
      </c>
      <c r="I275" s="2" t="str">
        <f t="shared" si="24"/>
        <v>dHLSVG</v>
      </c>
      <c r="J275" s="2" t="s">
        <v>2283</v>
      </c>
      <c r="K275" s="8" t="s">
        <v>2284</v>
      </c>
      <c r="L275"/>
      <c r="M275" s="2" t="s">
        <v>2232</v>
      </c>
      <c r="P275" s="2" t="s">
        <v>1127</v>
      </c>
      <c r="Q275" s="2" t="s">
        <v>1127</v>
      </c>
    </row>
    <row r="276" spans="1:17" ht="16.5" customHeight="1" x14ac:dyDescent="0.2">
      <c r="A276" s="35" t="s">
        <v>399</v>
      </c>
      <c r="B276" s="35" t="s">
        <v>2239</v>
      </c>
      <c r="C276" s="35" t="s">
        <v>4182</v>
      </c>
      <c r="D276" s="35" t="s">
        <v>1353</v>
      </c>
      <c r="E276" s="35" t="s">
        <v>2282</v>
      </c>
      <c r="F276" s="2">
        <v>5</v>
      </c>
      <c r="G276" s="2" t="s">
        <v>13</v>
      </c>
      <c r="H276" s="2">
        <v>1995</v>
      </c>
      <c r="I276" s="2" t="str">
        <f t="shared" si="24"/>
        <v>eHLSVG</v>
      </c>
      <c r="J276" s="2" t="s">
        <v>2283</v>
      </c>
      <c r="K276" s="8" t="s">
        <v>2284</v>
      </c>
      <c r="L276"/>
      <c r="M276" s="2" t="s">
        <v>2232</v>
      </c>
      <c r="P276" s="2" t="s">
        <v>1127</v>
      </c>
      <c r="Q276" s="2" t="s">
        <v>1127</v>
      </c>
    </row>
    <row r="277" spans="1:17" ht="16.5" customHeight="1" x14ac:dyDescent="0.2">
      <c r="A277" s="35" t="s">
        <v>399</v>
      </c>
      <c r="B277" s="35" t="s">
        <v>2241</v>
      </c>
      <c r="C277" s="35" t="s">
        <v>4182</v>
      </c>
      <c r="D277" s="35" t="s">
        <v>1353</v>
      </c>
      <c r="E277" s="35" t="s">
        <v>2282</v>
      </c>
      <c r="F277" s="2">
        <v>6</v>
      </c>
      <c r="G277" s="2" t="s">
        <v>49</v>
      </c>
      <c r="H277" s="2">
        <v>1996</v>
      </c>
      <c r="I277" s="2" t="str">
        <f t="shared" si="24"/>
        <v>fHLSVG</v>
      </c>
      <c r="J277" s="2" t="s">
        <v>2283</v>
      </c>
      <c r="K277" s="8" t="s">
        <v>2284</v>
      </c>
      <c r="L277"/>
      <c r="M277" s="2" t="s">
        <v>2232</v>
      </c>
      <c r="P277" s="2" t="s">
        <v>1127</v>
      </c>
      <c r="Q277" s="2" t="s">
        <v>1127</v>
      </c>
    </row>
    <row r="278" spans="1:17" ht="16.5" customHeight="1" x14ac:dyDescent="0.2">
      <c r="A278" s="35" t="s">
        <v>399</v>
      </c>
      <c r="B278" s="35" t="s">
        <v>2243</v>
      </c>
      <c r="C278" s="35" t="s">
        <v>4182</v>
      </c>
      <c r="D278" s="35" t="s">
        <v>1353</v>
      </c>
      <c r="E278" s="35" t="s">
        <v>2282</v>
      </c>
      <c r="F278" s="2">
        <v>7</v>
      </c>
      <c r="G278" s="2" t="s">
        <v>101</v>
      </c>
      <c r="H278" s="2">
        <v>1997</v>
      </c>
      <c r="I278" s="2" t="str">
        <f t="shared" si="24"/>
        <v>gHLSVG</v>
      </c>
      <c r="J278" s="2" t="s">
        <v>2283</v>
      </c>
      <c r="K278" s="8" t="s">
        <v>2284</v>
      </c>
      <c r="L278"/>
      <c r="M278" s="2" t="s">
        <v>2232</v>
      </c>
      <c r="P278" s="2" t="s">
        <v>1127</v>
      </c>
      <c r="Q278" s="2" t="s">
        <v>1127</v>
      </c>
    </row>
    <row r="279" spans="1:17" ht="16.5" customHeight="1" x14ac:dyDescent="0.2">
      <c r="A279" s="35" t="s">
        <v>399</v>
      </c>
      <c r="B279" s="35" t="s">
        <v>2245</v>
      </c>
      <c r="C279" s="35" t="s">
        <v>4182</v>
      </c>
      <c r="D279" s="35" t="s">
        <v>1353</v>
      </c>
      <c r="E279" s="35" t="s">
        <v>2282</v>
      </c>
      <c r="F279" s="2">
        <v>8</v>
      </c>
      <c r="G279" s="2" t="s">
        <v>10</v>
      </c>
      <c r="H279" s="2">
        <v>1998</v>
      </c>
      <c r="I279" s="2" t="str">
        <f t="shared" si="24"/>
        <v>hHLSVG</v>
      </c>
      <c r="J279" s="2" t="s">
        <v>2283</v>
      </c>
      <c r="K279" s="8" t="s">
        <v>2284</v>
      </c>
      <c r="L279"/>
      <c r="M279" s="2" t="s">
        <v>2232</v>
      </c>
      <c r="P279" s="2" t="s">
        <v>1127</v>
      </c>
      <c r="Q279" s="2" t="s">
        <v>1127</v>
      </c>
    </row>
    <row r="280" spans="1:17" ht="16.5" customHeight="1" x14ac:dyDescent="0.2">
      <c r="A280" s="35" t="s">
        <v>399</v>
      </c>
      <c r="B280" s="35" t="s">
        <v>2247</v>
      </c>
      <c r="C280" s="35" t="s">
        <v>4182</v>
      </c>
      <c r="D280" s="35" t="s">
        <v>1353</v>
      </c>
      <c r="E280" s="35" t="s">
        <v>2282</v>
      </c>
      <c r="F280" s="2">
        <v>9</v>
      </c>
      <c r="G280" s="2" t="s">
        <v>55</v>
      </c>
      <c r="H280" s="2">
        <v>1999</v>
      </c>
      <c r="I280" s="2" t="str">
        <f t="shared" si="24"/>
        <v>iHLSVG</v>
      </c>
      <c r="J280" s="2" t="s">
        <v>2283</v>
      </c>
      <c r="K280" s="8" t="s">
        <v>2284</v>
      </c>
      <c r="L280"/>
      <c r="M280" s="2" t="s">
        <v>2232</v>
      </c>
      <c r="P280" s="2" t="s">
        <v>1127</v>
      </c>
      <c r="Q280" s="2" t="s">
        <v>1127</v>
      </c>
    </row>
    <row r="281" spans="1:17" ht="16.5" customHeight="1" x14ac:dyDescent="0.2">
      <c r="A281" s="35" t="s">
        <v>399</v>
      </c>
      <c r="B281" s="35" t="s">
        <v>2249</v>
      </c>
      <c r="C281" s="35" t="s">
        <v>4182</v>
      </c>
      <c r="D281" s="35" t="s">
        <v>1353</v>
      </c>
      <c r="E281" s="35" t="s">
        <v>2282</v>
      </c>
      <c r="F281" s="2">
        <v>10</v>
      </c>
      <c r="G281" s="2" t="s">
        <v>98</v>
      </c>
      <c r="H281" s="2">
        <v>2000</v>
      </c>
      <c r="I281" s="2" t="str">
        <f t="shared" si="24"/>
        <v>jHLSVG</v>
      </c>
      <c r="J281" s="2" t="s">
        <v>2283</v>
      </c>
      <c r="K281" s="8" t="s">
        <v>2284</v>
      </c>
      <c r="L281"/>
      <c r="M281" s="2" t="s">
        <v>2232</v>
      </c>
      <c r="P281" s="2" t="s">
        <v>1127</v>
      </c>
      <c r="Q281" s="2" t="s">
        <v>1127</v>
      </c>
    </row>
    <row r="282" spans="1:17" ht="16.5" customHeight="1" x14ac:dyDescent="0.2">
      <c r="A282" s="35" t="s">
        <v>399</v>
      </c>
      <c r="B282" s="35" t="s">
        <v>2251</v>
      </c>
      <c r="C282" s="35" t="s">
        <v>4182</v>
      </c>
      <c r="D282" s="35" t="s">
        <v>1353</v>
      </c>
      <c r="E282" s="35" t="s">
        <v>2282</v>
      </c>
      <c r="F282" s="2">
        <v>11</v>
      </c>
      <c r="G282" s="2" t="s">
        <v>104</v>
      </c>
      <c r="H282" s="2">
        <v>2001</v>
      </c>
      <c r="I282" s="2" t="str">
        <f t="shared" si="24"/>
        <v>kHLSVG</v>
      </c>
      <c r="J282" s="2" t="s">
        <v>2283</v>
      </c>
      <c r="K282" s="8" t="s">
        <v>2284</v>
      </c>
      <c r="L282"/>
      <c r="M282" s="2" t="s">
        <v>2232</v>
      </c>
      <c r="P282" s="2" t="s">
        <v>1127</v>
      </c>
      <c r="Q282" s="2" t="s">
        <v>1127</v>
      </c>
    </row>
    <row r="283" spans="1:17" ht="16.5" customHeight="1" x14ac:dyDescent="0.2">
      <c r="A283" s="35" t="s">
        <v>399</v>
      </c>
      <c r="B283" s="35" t="s">
        <v>2253</v>
      </c>
      <c r="C283" s="35" t="s">
        <v>4182</v>
      </c>
      <c r="D283" s="35" t="s">
        <v>1353</v>
      </c>
      <c r="E283" s="35" t="s">
        <v>2282</v>
      </c>
      <c r="F283" s="2">
        <v>12</v>
      </c>
      <c r="G283" s="2" t="s">
        <v>89</v>
      </c>
      <c r="H283" s="2">
        <v>2002</v>
      </c>
      <c r="I283" s="2" t="str">
        <f t="shared" si="24"/>
        <v>lHLSVG</v>
      </c>
      <c r="J283" s="2" t="s">
        <v>2283</v>
      </c>
      <c r="K283" s="8" t="s">
        <v>2284</v>
      </c>
      <c r="L283"/>
      <c r="M283" s="2" t="s">
        <v>2232</v>
      </c>
      <c r="P283" s="2" t="s">
        <v>1127</v>
      </c>
      <c r="Q283" s="2" t="s">
        <v>1127</v>
      </c>
    </row>
    <row r="284" spans="1:17" ht="16.5" customHeight="1" x14ac:dyDescent="0.2">
      <c r="A284" s="35" t="s">
        <v>399</v>
      </c>
      <c r="B284" s="35" t="s">
        <v>2255</v>
      </c>
      <c r="C284" s="35" t="s">
        <v>4182</v>
      </c>
      <c r="D284" s="35" t="s">
        <v>1353</v>
      </c>
      <c r="E284" s="35" t="s">
        <v>2282</v>
      </c>
      <c r="F284" s="2">
        <v>13</v>
      </c>
      <c r="G284" s="2" t="s">
        <v>107</v>
      </c>
      <c r="H284" s="2">
        <v>2003</v>
      </c>
      <c r="I284" s="2" t="str">
        <f t="shared" si="24"/>
        <v>mHLSVG</v>
      </c>
      <c r="J284" s="2" t="s">
        <v>2283</v>
      </c>
      <c r="K284" s="8" t="s">
        <v>2284</v>
      </c>
      <c r="L284"/>
      <c r="M284" s="2" t="s">
        <v>2232</v>
      </c>
      <c r="P284" s="2" t="s">
        <v>1127</v>
      </c>
      <c r="Q284" s="2" t="s">
        <v>1127</v>
      </c>
    </row>
    <row r="285" spans="1:17" ht="16.5" customHeight="1" x14ac:dyDescent="0.2">
      <c r="A285" s="35" t="s">
        <v>399</v>
      </c>
      <c r="B285" s="35" t="s">
        <v>2257</v>
      </c>
      <c r="C285" s="35" t="s">
        <v>4182</v>
      </c>
      <c r="D285" s="35" t="s">
        <v>1353</v>
      </c>
      <c r="E285" s="35" t="s">
        <v>2282</v>
      </c>
      <c r="F285" s="2">
        <v>14</v>
      </c>
      <c r="G285" s="2" t="s">
        <v>43</v>
      </c>
      <c r="H285" s="2">
        <v>2004</v>
      </c>
      <c r="I285" s="2" t="str">
        <f t="shared" si="24"/>
        <v>nHLSVG</v>
      </c>
      <c r="J285" s="2" t="s">
        <v>2283</v>
      </c>
      <c r="K285" s="8" t="s">
        <v>2284</v>
      </c>
      <c r="L285"/>
      <c r="M285" s="2" t="s">
        <v>2232</v>
      </c>
      <c r="P285" s="2" t="s">
        <v>1127</v>
      </c>
      <c r="Q285" s="2" t="s">
        <v>1127</v>
      </c>
    </row>
    <row r="286" spans="1:17" ht="16.5" customHeight="1" x14ac:dyDescent="0.2">
      <c r="A286" s="35" t="s">
        <v>399</v>
      </c>
      <c r="B286" s="35" t="s">
        <v>2259</v>
      </c>
      <c r="C286" s="35" t="s">
        <v>4182</v>
      </c>
      <c r="D286" s="35" t="s">
        <v>1353</v>
      </c>
      <c r="E286" s="35" t="s">
        <v>2282</v>
      </c>
      <c r="F286" s="2">
        <v>15</v>
      </c>
      <c r="G286" s="2" t="s">
        <v>19</v>
      </c>
      <c r="H286" s="2">
        <v>2005</v>
      </c>
      <c r="I286" s="2" t="str">
        <f t="shared" si="24"/>
        <v>oHLSVG</v>
      </c>
      <c r="J286" s="2" t="s">
        <v>2283</v>
      </c>
      <c r="K286" s="8" t="s">
        <v>2284</v>
      </c>
      <c r="L286"/>
      <c r="M286" s="2" t="s">
        <v>2232</v>
      </c>
      <c r="P286" s="2" t="s">
        <v>1127</v>
      </c>
      <c r="Q286" s="2" t="s">
        <v>1127</v>
      </c>
    </row>
    <row r="287" spans="1:17" ht="16.5" customHeight="1" x14ac:dyDescent="0.2">
      <c r="A287" s="35" t="s">
        <v>399</v>
      </c>
      <c r="B287" s="35" t="s">
        <v>2261</v>
      </c>
      <c r="C287" s="35" t="s">
        <v>4182</v>
      </c>
      <c r="D287" s="35" t="s">
        <v>1353</v>
      </c>
      <c r="E287" s="35" t="s">
        <v>2282</v>
      </c>
      <c r="F287" s="2">
        <v>16</v>
      </c>
      <c r="G287" s="2" t="s">
        <v>25</v>
      </c>
      <c r="H287" s="2">
        <v>2006</v>
      </c>
      <c r="I287" s="2" t="str">
        <f t="shared" si="24"/>
        <v>pHLSVG</v>
      </c>
      <c r="J287" s="2" t="s">
        <v>2283</v>
      </c>
      <c r="K287" s="8" t="s">
        <v>2284</v>
      </c>
      <c r="L287"/>
      <c r="M287" s="2" t="s">
        <v>2232</v>
      </c>
      <c r="P287" s="2" t="s">
        <v>1127</v>
      </c>
      <c r="Q287" s="2" t="s">
        <v>1127</v>
      </c>
    </row>
    <row r="288" spans="1:17" ht="16.5" customHeight="1" x14ac:dyDescent="0.2">
      <c r="A288" s="35" t="s">
        <v>399</v>
      </c>
      <c r="B288" s="35" t="s">
        <v>2263</v>
      </c>
      <c r="C288" s="35" t="s">
        <v>4182</v>
      </c>
      <c r="D288" s="35" t="s">
        <v>1353</v>
      </c>
      <c r="E288" s="35" t="s">
        <v>2282</v>
      </c>
      <c r="F288" s="2">
        <v>17</v>
      </c>
      <c r="G288" s="2" t="s">
        <v>73</v>
      </c>
      <c r="H288" s="2">
        <v>2007</v>
      </c>
      <c r="I288" s="2" t="str">
        <f t="shared" si="24"/>
        <v>qHLSVG</v>
      </c>
      <c r="J288" s="2" t="s">
        <v>2283</v>
      </c>
      <c r="K288" s="8" t="s">
        <v>2284</v>
      </c>
      <c r="L288"/>
      <c r="M288" s="2" t="s">
        <v>2232</v>
      </c>
      <c r="P288" s="2" t="s">
        <v>1127</v>
      </c>
      <c r="Q288" s="2" t="s">
        <v>1127</v>
      </c>
    </row>
    <row r="289" spans="1:17" ht="16.5" customHeight="1" x14ac:dyDescent="0.2">
      <c r="A289" s="35" t="s">
        <v>399</v>
      </c>
      <c r="B289" s="35" t="s">
        <v>2265</v>
      </c>
      <c r="C289" s="35" t="s">
        <v>4182</v>
      </c>
      <c r="D289" s="35" t="s">
        <v>1353</v>
      </c>
      <c r="E289" s="35" t="s">
        <v>2282</v>
      </c>
      <c r="F289" s="2">
        <v>18</v>
      </c>
      <c r="G289" s="2" t="s">
        <v>58</v>
      </c>
      <c r="H289" s="2">
        <v>2008</v>
      </c>
      <c r="I289" s="2" t="str">
        <f t="shared" si="24"/>
        <v>rHLSVG</v>
      </c>
      <c r="J289" s="2" t="s">
        <v>2283</v>
      </c>
      <c r="K289" s="8" t="s">
        <v>2284</v>
      </c>
      <c r="L289"/>
      <c r="M289" s="2" t="s">
        <v>2232</v>
      </c>
      <c r="P289" s="2" t="s">
        <v>1127</v>
      </c>
      <c r="Q289" s="2" t="s">
        <v>1127</v>
      </c>
    </row>
    <row r="290" spans="1:17" ht="16.5" customHeight="1" x14ac:dyDescent="0.2">
      <c r="A290" s="28" t="s">
        <v>399</v>
      </c>
      <c r="B290" s="28" t="s">
        <v>2227</v>
      </c>
      <c r="C290" s="28" t="s">
        <v>4182</v>
      </c>
      <c r="D290" s="28" t="s">
        <v>1128</v>
      </c>
      <c r="E290" s="28" t="s">
        <v>2285</v>
      </c>
      <c r="F290" s="2">
        <v>1</v>
      </c>
      <c r="G290" s="2" t="s">
        <v>40</v>
      </c>
      <c r="H290" s="2">
        <v>1991</v>
      </c>
      <c r="I290" s="2" t="s">
        <v>2286</v>
      </c>
      <c r="J290" s="2" t="s">
        <v>2287</v>
      </c>
      <c r="K290" s="8" t="s">
        <v>2288</v>
      </c>
      <c r="L290"/>
      <c r="M290" s="2" t="s">
        <v>2270</v>
      </c>
      <c r="P290" s="2" t="s">
        <v>1127</v>
      </c>
      <c r="Q290" s="2" t="s">
        <v>1127</v>
      </c>
    </row>
    <row r="291" spans="1:17" ht="16.5" customHeight="1" x14ac:dyDescent="0.2">
      <c r="A291" s="28" t="s">
        <v>399</v>
      </c>
      <c r="B291" s="28" t="s">
        <v>2233</v>
      </c>
      <c r="C291" s="28" t="s">
        <v>4182</v>
      </c>
      <c r="D291" s="28" t="s">
        <v>1128</v>
      </c>
      <c r="E291" s="28" t="s">
        <v>2285</v>
      </c>
      <c r="F291" s="2">
        <v>2</v>
      </c>
      <c r="G291" s="2" t="s">
        <v>37</v>
      </c>
      <c r="H291" s="2">
        <v>1992</v>
      </c>
      <c r="I291" s="2" t="s">
        <v>2289</v>
      </c>
      <c r="J291" s="2" t="s">
        <v>2287</v>
      </c>
      <c r="K291" s="8" t="s">
        <v>2288</v>
      </c>
      <c r="L291"/>
      <c r="M291" s="2" t="s">
        <v>2270</v>
      </c>
      <c r="P291" s="2" t="s">
        <v>1127</v>
      </c>
      <c r="Q291" s="2" t="s">
        <v>1127</v>
      </c>
    </row>
    <row r="292" spans="1:17" ht="16.5" customHeight="1" x14ac:dyDescent="0.2">
      <c r="A292" s="28" t="s">
        <v>399</v>
      </c>
      <c r="B292" s="28" t="s">
        <v>2235</v>
      </c>
      <c r="C292" s="28" t="s">
        <v>4182</v>
      </c>
      <c r="D292" s="28" t="s">
        <v>1128</v>
      </c>
      <c r="E292" s="28" t="s">
        <v>2285</v>
      </c>
      <c r="F292" s="2">
        <v>3</v>
      </c>
      <c r="G292" s="2" t="s">
        <v>80</v>
      </c>
      <c r="H292" s="2">
        <v>1993</v>
      </c>
      <c r="I292" s="2" t="s">
        <v>2290</v>
      </c>
      <c r="J292" s="2" t="s">
        <v>2287</v>
      </c>
      <c r="K292" s="8" t="s">
        <v>2288</v>
      </c>
      <c r="L292"/>
      <c r="M292" s="2" t="s">
        <v>2270</v>
      </c>
      <c r="P292" s="2" t="s">
        <v>1127</v>
      </c>
      <c r="Q292" s="2" t="s">
        <v>1127</v>
      </c>
    </row>
    <row r="293" spans="1:17" ht="16.5" customHeight="1" x14ac:dyDescent="0.2">
      <c r="A293" s="28" t="s">
        <v>399</v>
      </c>
      <c r="B293" s="28" t="s">
        <v>2237</v>
      </c>
      <c r="C293" s="28" t="s">
        <v>4182</v>
      </c>
      <c r="D293" s="28" t="s">
        <v>1128</v>
      </c>
      <c r="E293" s="28" t="s">
        <v>2285</v>
      </c>
      <c r="F293" s="2">
        <v>4</v>
      </c>
      <c r="G293" s="2" t="s">
        <v>31</v>
      </c>
      <c r="H293" s="2">
        <v>1994</v>
      </c>
      <c r="I293" s="2" t="s">
        <v>2291</v>
      </c>
      <c r="J293" s="2" t="s">
        <v>2287</v>
      </c>
      <c r="K293" s="8" t="s">
        <v>2288</v>
      </c>
      <c r="L293"/>
      <c r="M293" s="2" t="s">
        <v>2270</v>
      </c>
      <c r="P293" s="2" t="s">
        <v>1127</v>
      </c>
      <c r="Q293" s="2" t="s">
        <v>1127</v>
      </c>
    </row>
    <row r="294" spans="1:17" ht="16.5" customHeight="1" x14ac:dyDescent="0.2">
      <c r="A294" s="28" t="s">
        <v>399</v>
      </c>
      <c r="B294" s="28" t="s">
        <v>2239</v>
      </c>
      <c r="C294" s="28" t="s">
        <v>4182</v>
      </c>
      <c r="D294" s="28" t="s">
        <v>1128</v>
      </c>
      <c r="E294" s="28" t="s">
        <v>2285</v>
      </c>
      <c r="F294" s="2">
        <v>5</v>
      </c>
      <c r="G294" s="2" t="s">
        <v>13</v>
      </c>
      <c r="H294" s="2">
        <v>1995</v>
      </c>
      <c r="I294" s="2" t="s">
        <v>2292</v>
      </c>
      <c r="J294" s="2" t="s">
        <v>2287</v>
      </c>
      <c r="K294" s="8" t="s">
        <v>2288</v>
      </c>
      <c r="L294"/>
      <c r="M294" s="2" t="s">
        <v>2270</v>
      </c>
      <c r="P294" s="2" t="s">
        <v>1127</v>
      </c>
      <c r="Q294" s="2" t="s">
        <v>1127</v>
      </c>
    </row>
    <row r="295" spans="1:17" ht="16.5" customHeight="1" x14ac:dyDescent="0.2">
      <c r="A295" s="28" t="s">
        <v>399</v>
      </c>
      <c r="B295" s="28" t="s">
        <v>2241</v>
      </c>
      <c r="C295" s="28" t="s">
        <v>4182</v>
      </c>
      <c r="D295" s="28" t="s">
        <v>1128</v>
      </c>
      <c r="E295" s="28" t="s">
        <v>2285</v>
      </c>
      <c r="F295" s="2">
        <v>6</v>
      </c>
      <c r="G295" s="2" t="s">
        <v>49</v>
      </c>
      <c r="H295" s="2">
        <v>1996</v>
      </c>
      <c r="I295" s="2" t="s">
        <v>2293</v>
      </c>
      <c r="J295" s="2" t="s">
        <v>2287</v>
      </c>
      <c r="K295" s="8" t="s">
        <v>2288</v>
      </c>
      <c r="L295"/>
      <c r="M295" s="2" t="s">
        <v>2270</v>
      </c>
      <c r="P295" s="2" t="s">
        <v>1127</v>
      </c>
      <c r="Q295" s="2" t="s">
        <v>1127</v>
      </c>
    </row>
    <row r="296" spans="1:17" ht="16.5" customHeight="1" x14ac:dyDescent="0.2">
      <c r="A296" s="28" t="s">
        <v>399</v>
      </c>
      <c r="B296" s="28" t="s">
        <v>2243</v>
      </c>
      <c r="C296" s="28" t="s">
        <v>4182</v>
      </c>
      <c r="D296" s="28" t="s">
        <v>1128</v>
      </c>
      <c r="E296" s="28" t="s">
        <v>2285</v>
      </c>
      <c r="F296" s="2">
        <v>7</v>
      </c>
      <c r="G296" s="2" t="s">
        <v>101</v>
      </c>
      <c r="H296" s="2">
        <v>1997</v>
      </c>
      <c r="I296" s="2" t="s">
        <v>2294</v>
      </c>
      <c r="J296" s="2" t="s">
        <v>2287</v>
      </c>
      <c r="K296" s="8" t="s">
        <v>2288</v>
      </c>
      <c r="L296"/>
      <c r="M296" s="2" t="s">
        <v>2270</v>
      </c>
      <c r="P296" s="2" t="s">
        <v>1127</v>
      </c>
      <c r="Q296" s="2" t="s">
        <v>1127</v>
      </c>
    </row>
    <row r="297" spans="1:17" ht="16.5" customHeight="1" x14ac:dyDescent="0.2">
      <c r="A297" s="28" t="s">
        <v>399</v>
      </c>
      <c r="B297" s="28" t="s">
        <v>2245</v>
      </c>
      <c r="C297" s="28" t="s">
        <v>4182</v>
      </c>
      <c r="D297" s="28" t="s">
        <v>1128</v>
      </c>
      <c r="E297" s="28" t="s">
        <v>2285</v>
      </c>
      <c r="F297" s="2">
        <v>8</v>
      </c>
      <c r="G297" s="2" t="s">
        <v>10</v>
      </c>
      <c r="H297" s="2">
        <v>1998</v>
      </c>
      <c r="I297" s="2" t="s">
        <v>2295</v>
      </c>
      <c r="J297" s="2" t="s">
        <v>2287</v>
      </c>
      <c r="K297" s="8" t="s">
        <v>2288</v>
      </c>
      <c r="L297"/>
      <c r="M297" s="2" t="s">
        <v>2270</v>
      </c>
      <c r="P297" s="2" t="s">
        <v>1127</v>
      </c>
      <c r="Q297" s="2" t="s">
        <v>1127</v>
      </c>
    </row>
    <row r="298" spans="1:17" ht="16.5" customHeight="1" x14ac:dyDescent="0.2">
      <c r="A298" s="28" t="s">
        <v>399</v>
      </c>
      <c r="B298" s="28" t="s">
        <v>2247</v>
      </c>
      <c r="C298" s="28" t="s">
        <v>4182</v>
      </c>
      <c r="D298" s="28" t="s">
        <v>1128</v>
      </c>
      <c r="E298" s="28" t="s">
        <v>2285</v>
      </c>
      <c r="F298" s="2">
        <v>9</v>
      </c>
      <c r="G298" s="2" t="s">
        <v>55</v>
      </c>
      <c r="H298" s="2">
        <v>1999</v>
      </c>
      <c r="I298" s="2" t="s">
        <v>2296</v>
      </c>
      <c r="J298" s="2" t="s">
        <v>2287</v>
      </c>
      <c r="K298" s="8" t="s">
        <v>2288</v>
      </c>
      <c r="L298"/>
      <c r="M298" s="2" t="s">
        <v>2270</v>
      </c>
      <c r="P298" s="2" t="s">
        <v>1127</v>
      </c>
      <c r="Q298" s="2" t="s">
        <v>1127</v>
      </c>
    </row>
    <row r="299" spans="1:17" ht="16.5" customHeight="1" x14ac:dyDescent="0.2">
      <c r="A299" s="28" t="s">
        <v>399</v>
      </c>
      <c r="B299" s="28" t="s">
        <v>2249</v>
      </c>
      <c r="C299" s="28" t="s">
        <v>4182</v>
      </c>
      <c r="D299" s="28" t="s">
        <v>1128</v>
      </c>
      <c r="E299" s="28" t="s">
        <v>2285</v>
      </c>
      <c r="F299" s="2">
        <v>10</v>
      </c>
      <c r="G299" s="2" t="s">
        <v>98</v>
      </c>
      <c r="H299" s="2">
        <v>2000</v>
      </c>
      <c r="I299" s="2" t="s">
        <v>2297</v>
      </c>
      <c r="J299" s="2" t="s">
        <v>2287</v>
      </c>
      <c r="K299" s="8" t="s">
        <v>2288</v>
      </c>
      <c r="L299"/>
      <c r="M299" s="2" t="s">
        <v>2270</v>
      </c>
      <c r="P299" s="2" t="s">
        <v>1127</v>
      </c>
      <c r="Q299" s="2" t="s">
        <v>1127</v>
      </c>
    </row>
    <row r="300" spans="1:17" ht="16.5" customHeight="1" x14ac:dyDescent="0.2">
      <c r="A300" s="28" t="s">
        <v>399</v>
      </c>
      <c r="B300" s="28" t="s">
        <v>2251</v>
      </c>
      <c r="C300" s="28" t="s">
        <v>4182</v>
      </c>
      <c r="D300" s="28" t="s">
        <v>1128</v>
      </c>
      <c r="E300" s="28" t="s">
        <v>2285</v>
      </c>
      <c r="F300" s="2">
        <v>11</v>
      </c>
      <c r="G300" s="2" t="s">
        <v>104</v>
      </c>
      <c r="H300" s="2">
        <v>2001</v>
      </c>
      <c r="I300" s="2" t="s">
        <v>2298</v>
      </c>
      <c r="J300" s="2" t="s">
        <v>2287</v>
      </c>
      <c r="K300" s="8" t="s">
        <v>2288</v>
      </c>
      <c r="L300"/>
      <c r="M300" s="2" t="s">
        <v>2270</v>
      </c>
      <c r="P300" s="2" t="s">
        <v>1127</v>
      </c>
      <c r="Q300" s="2" t="s">
        <v>1127</v>
      </c>
    </row>
    <row r="301" spans="1:17" ht="16.5" customHeight="1" x14ac:dyDescent="0.2">
      <c r="A301" s="28" t="s">
        <v>399</v>
      </c>
      <c r="B301" s="28" t="s">
        <v>2253</v>
      </c>
      <c r="C301" s="28" t="s">
        <v>4182</v>
      </c>
      <c r="D301" s="28" t="s">
        <v>1128</v>
      </c>
      <c r="E301" s="28" t="s">
        <v>2285</v>
      </c>
      <c r="F301" s="2">
        <v>12</v>
      </c>
      <c r="G301" s="2" t="s">
        <v>89</v>
      </c>
      <c r="H301" s="2">
        <v>2002</v>
      </c>
      <c r="I301" s="2" t="s">
        <v>2299</v>
      </c>
      <c r="J301" s="2" t="s">
        <v>2287</v>
      </c>
      <c r="K301" s="8" t="s">
        <v>2288</v>
      </c>
      <c r="L301"/>
      <c r="M301" s="2" t="s">
        <v>2270</v>
      </c>
      <c r="P301" s="2" t="s">
        <v>1127</v>
      </c>
      <c r="Q301" s="2" t="s">
        <v>1127</v>
      </c>
    </row>
    <row r="302" spans="1:17" ht="16.5" customHeight="1" x14ac:dyDescent="0.2">
      <c r="A302" s="28" t="s">
        <v>399</v>
      </c>
      <c r="B302" s="28" t="s">
        <v>2255</v>
      </c>
      <c r="C302" s="28" t="s">
        <v>4182</v>
      </c>
      <c r="D302" s="28" t="s">
        <v>1128</v>
      </c>
      <c r="E302" s="28" t="s">
        <v>2285</v>
      </c>
      <c r="F302" s="2">
        <v>13</v>
      </c>
      <c r="G302" s="2" t="s">
        <v>107</v>
      </c>
      <c r="H302" s="2">
        <v>2003</v>
      </c>
      <c r="I302" s="2" t="s">
        <v>2300</v>
      </c>
      <c r="J302" s="2" t="s">
        <v>2287</v>
      </c>
      <c r="K302" s="8" t="s">
        <v>2288</v>
      </c>
      <c r="L302"/>
      <c r="M302" s="2" t="s">
        <v>2270</v>
      </c>
      <c r="P302" s="2" t="s">
        <v>1127</v>
      </c>
      <c r="Q302" s="2" t="s">
        <v>1127</v>
      </c>
    </row>
    <row r="303" spans="1:17" ht="16.5" customHeight="1" x14ac:dyDescent="0.2">
      <c r="A303" s="28" t="s">
        <v>399</v>
      </c>
      <c r="B303" s="28" t="s">
        <v>2257</v>
      </c>
      <c r="C303" s="28" t="s">
        <v>4182</v>
      </c>
      <c r="D303" s="28" t="s">
        <v>1128</v>
      </c>
      <c r="E303" s="28" t="s">
        <v>2285</v>
      </c>
      <c r="F303" s="2">
        <v>14</v>
      </c>
      <c r="G303" s="2" t="s">
        <v>43</v>
      </c>
      <c r="H303" s="2">
        <v>2004</v>
      </c>
      <c r="I303" s="2" t="s">
        <v>2301</v>
      </c>
      <c r="J303" s="2" t="s">
        <v>2287</v>
      </c>
      <c r="K303" s="8" t="s">
        <v>2288</v>
      </c>
      <c r="L303"/>
      <c r="M303" s="2" t="s">
        <v>2270</v>
      </c>
      <c r="P303" s="2" t="s">
        <v>1127</v>
      </c>
      <c r="Q303" s="2" t="s">
        <v>1127</v>
      </c>
    </row>
    <row r="304" spans="1:17" ht="16.5" customHeight="1" x14ac:dyDescent="0.2">
      <c r="A304" s="28" t="s">
        <v>399</v>
      </c>
      <c r="B304" s="28" t="s">
        <v>2259</v>
      </c>
      <c r="C304" s="28" t="s">
        <v>4182</v>
      </c>
      <c r="D304" s="28" t="s">
        <v>1128</v>
      </c>
      <c r="E304" s="28" t="s">
        <v>2285</v>
      </c>
      <c r="F304" s="2">
        <v>15</v>
      </c>
      <c r="G304" s="2" t="s">
        <v>19</v>
      </c>
      <c r="H304" s="2">
        <v>2005</v>
      </c>
      <c r="I304" s="2" t="s">
        <v>2302</v>
      </c>
      <c r="J304" s="2" t="s">
        <v>2287</v>
      </c>
      <c r="K304" s="8" t="s">
        <v>2288</v>
      </c>
      <c r="L304"/>
      <c r="M304" s="2" t="s">
        <v>2270</v>
      </c>
      <c r="P304" s="2" t="s">
        <v>1127</v>
      </c>
      <c r="Q304" s="2" t="s">
        <v>1127</v>
      </c>
    </row>
    <row r="305" spans="1:17" ht="16.5" customHeight="1" x14ac:dyDescent="0.2">
      <c r="A305" s="28" t="s">
        <v>399</v>
      </c>
      <c r="B305" s="28" t="s">
        <v>2261</v>
      </c>
      <c r="C305" s="28" t="s">
        <v>4182</v>
      </c>
      <c r="D305" s="28" t="s">
        <v>1128</v>
      </c>
      <c r="E305" s="28" t="s">
        <v>2285</v>
      </c>
      <c r="F305" s="2">
        <v>16</v>
      </c>
      <c r="G305" s="2" t="s">
        <v>25</v>
      </c>
      <c r="H305" s="2">
        <v>2006</v>
      </c>
      <c r="I305" s="2" t="s">
        <v>2303</v>
      </c>
      <c r="J305" s="2" t="s">
        <v>2287</v>
      </c>
      <c r="K305" s="8" t="s">
        <v>2288</v>
      </c>
      <c r="L305"/>
      <c r="M305" s="2" t="s">
        <v>2270</v>
      </c>
      <c r="P305" s="2" t="s">
        <v>1127</v>
      </c>
      <c r="Q305" s="2" t="s">
        <v>1127</v>
      </c>
    </row>
    <row r="306" spans="1:17" ht="16.5" customHeight="1" x14ac:dyDescent="0.2">
      <c r="A306" s="28" t="s">
        <v>399</v>
      </c>
      <c r="B306" s="28" t="s">
        <v>2263</v>
      </c>
      <c r="C306" s="28" t="s">
        <v>4182</v>
      </c>
      <c r="D306" s="28" t="s">
        <v>1128</v>
      </c>
      <c r="E306" s="28" t="s">
        <v>2285</v>
      </c>
      <c r="F306" s="2">
        <v>17</v>
      </c>
      <c r="G306" s="2" t="s">
        <v>73</v>
      </c>
      <c r="H306" s="2">
        <v>2007</v>
      </c>
      <c r="I306" s="2" t="s">
        <v>2304</v>
      </c>
      <c r="J306" s="2" t="s">
        <v>2287</v>
      </c>
      <c r="K306" s="8" t="s">
        <v>2288</v>
      </c>
      <c r="L306"/>
      <c r="M306" s="2" t="s">
        <v>2270</v>
      </c>
      <c r="P306" s="2" t="s">
        <v>1127</v>
      </c>
      <c r="Q306" s="2" t="s">
        <v>1127</v>
      </c>
    </row>
    <row r="307" spans="1:17" ht="16.5" customHeight="1" x14ac:dyDescent="0.2">
      <c r="A307" s="28" t="s">
        <v>399</v>
      </c>
      <c r="B307" s="28" t="s">
        <v>2265</v>
      </c>
      <c r="C307" s="28" t="s">
        <v>4182</v>
      </c>
      <c r="D307" s="28" t="s">
        <v>1128</v>
      </c>
      <c r="E307" s="28" t="s">
        <v>2285</v>
      </c>
      <c r="F307" s="2">
        <v>18</v>
      </c>
      <c r="G307" s="2" t="s">
        <v>58</v>
      </c>
      <c r="H307" s="2">
        <v>2008</v>
      </c>
      <c r="I307" s="2" t="s">
        <v>2305</v>
      </c>
      <c r="J307" s="2" t="s">
        <v>2287</v>
      </c>
      <c r="K307" s="8" t="s">
        <v>2288</v>
      </c>
      <c r="L307"/>
      <c r="M307" s="2" t="s">
        <v>2270</v>
      </c>
      <c r="P307" s="2" t="s">
        <v>1127</v>
      </c>
      <c r="Q307" s="2" t="s">
        <v>1127</v>
      </c>
    </row>
    <row r="308" spans="1:17" ht="16.5" customHeight="1" x14ac:dyDescent="0.2">
      <c r="A308" s="28" t="s">
        <v>399</v>
      </c>
      <c r="B308" s="28" t="s">
        <v>2227</v>
      </c>
      <c r="C308" s="28" t="s">
        <v>4182</v>
      </c>
      <c r="D308" s="28" t="s">
        <v>1128</v>
      </c>
      <c r="E308" s="28" t="s">
        <v>1129</v>
      </c>
      <c r="F308" s="2">
        <v>1</v>
      </c>
      <c r="G308" s="2" t="s">
        <v>40</v>
      </c>
      <c r="H308" s="2">
        <v>1991</v>
      </c>
      <c r="I308" s="2" t="str">
        <f>_xlfn.CONCAT(G308,"HLPRXA")</f>
        <v>aHLPRXA</v>
      </c>
      <c r="J308" s="2" t="s">
        <v>2306</v>
      </c>
      <c r="K308" s="8" t="s">
        <v>2273</v>
      </c>
      <c r="L308"/>
      <c r="M308" s="2" t="s">
        <v>2270</v>
      </c>
      <c r="P308" s="2" t="s">
        <v>1127</v>
      </c>
      <c r="Q308" s="2" t="s">
        <v>1127</v>
      </c>
    </row>
    <row r="309" spans="1:17" ht="16.5" customHeight="1" x14ac:dyDescent="0.2">
      <c r="A309" s="28" t="s">
        <v>399</v>
      </c>
      <c r="B309" s="28" t="s">
        <v>2233</v>
      </c>
      <c r="C309" s="28" t="s">
        <v>4182</v>
      </c>
      <c r="D309" s="28" t="s">
        <v>1128</v>
      </c>
      <c r="E309" s="28" t="s">
        <v>1129</v>
      </c>
      <c r="F309" s="2">
        <v>2</v>
      </c>
      <c r="G309" s="2" t="s">
        <v>37</v>
      </c>
      <c r="H309" s="2">
        <v>1992</v>
      </c>
      <c r="I309" s="2" t="str">
        <f>_xlfn.CONCAT(G309,"HLPRXA")</f>
        <v>bHLPRXA</v>
      </c>
      <c r="J309" s="2" t="s">
        <v>2306</v>
      </c>
      <c r="K309" s="8" t="s">
        <v>2273</v>
      </c>
      <c r="L309"/>
      <c r="M309" s="2" t="s">
        <v>2270</v>
      </c>
      <c r="P309" s="2" t="s">
        <v>1127</v>
      </c>
      <c r="Q309" s="2" t="s">
        <v>1127</v>
      </c>
    </row>
    <row r="310" spans="1:17" ht="16.5" customHeight="1" x14ac:dyDescent="0.2">
      <c r="A310" s="28" t="s">
        <v>399</v>
      </c>
      <c r="B310" s="28" t="s">
        <v>2251</v>
      </c>
      <c r="C310" s="28" t="s">
        <v>4182</v>
      </c>
      <c r="D310" s="28" t="s">
        <v>1128</v>
      </c>
      <c r="E310" s="28" t="s">
        <v>1129</v>
      </c>
      <c r="F310" s="2">
        <v>11</v>
      </c>
      <c r="G310" s="2" t="s">
        <v>104</v>
      </c>
      <c r="H310" s="2">
        <v>2001</v>
      </c>
      <c r="I310" s="2" t="str">
        <f>_xlfn.CONCAT(G310,"HLPRXA")</f>
        <v>kHLPRXA</v>
      </c>
      <c r="J310" s="2" t="s">
        <v>2306</v>
      </c>
      <c r="K310" s="8" t="s">
        <v>2273</v>
      </c>
      <c r="L310"/>
      <c r="M310" s="2" t="s">
        <v>2270</v>
      </c>
      <c r="P310" s="2" t="s">
        <v>1127</v>
      </c>
      <c r="Q310" s="2" t="s">
        <v>1127</v>
      </c>
    </row>
    <row r="311" spans="1:17" ht="16.5" customHeight="1" x14ac:dyDescent="0.2">
      <c r="A311" s="28" t="s">
        <v>399</v>
      </c>
      <c r="B311" s="28" t="s">
        <v>2261</v>
      </c>
      <c r="C311" s="28" t="s">
        <v>4182</v>
      </c>
      <c r="D311" s="28" t="s">
        <v>1128</v>
      </c>
      <c r="E311" s="28" t="s">
        <v>1129</v>
      </c>
      <c r="F311" s="2">
        <v>16</v>
      </c>
      <c r="G311" s="2" t="s">
        <v>25</v>
      </c>
      <c r="H311" s="2">
        <v>2006</v>
      </c>
      <c r="I311" s="2" t="str">
        <f>_xlfn.CONCAT(G311,"HLPRXA")</f>
        <v>pHLPRXA</v>
      </c>
      <c r="J311" s="2" t="s">
        <v>2306</v>
      </c>
      <c r="K311" s="8" t="s">
        <v>2273</v>
      </c>
      <c r="L311"/>
      <c r="M311" s="2" t="s">
        <v>2270</v>
      </c>
      <c r="P311" s="2" t="s">
        <v>1127</v>
      </c>
      <c r="Q311" s="2" t="s">
        <v>1127</v>
      </c>
    </row>
    <row r="312" spans="1:17" ht="16.5" customHeight="1" x14ac:dyDescent="0.2">
      <c r="A312" s="28" t="s">
        <v>399</v>
      </c>
      <c r="B312" s="28" t="s">
        <v>2227</v>
      </c>
      <c r="C312" s="28" t="s">
        <v>4182</v>
      </c>
      <c r="D312" s="28" t="s">
        <v>1128</v>
      </c>
      <c r="E312" s="28" t="s">
        <v>2307</v>
      </c>
      <c r="F312" s="2">
        <v>1</v>
      </c>
      <c r="G312" s="2" t="s">
        <v>40</v>
      </c>
      <c r="H312" s="2">
        <v>1991</v>
      </c>
      <c r="I312" s="2" t="str">
        <f t="shared" ref="I312:I329" si="25">_xlfn.CONCAT(G312,"HLPRBE")</f>
        <v>aHLPRBE</v>
      </c>
      <c r="J312" s="2" t="s">
        <v>2308</v>
      </c>
      <c r="K312" s="8" t="s">
        <v>2273</v>
      </c>
      <c r="L312"/>
      <c r="M312" s="2" t="s">
        <v>2270</v>
      </c>
      <c r="P312" s="2" t="s">
        <v>1127</v>
      </c>
      <c r="Q312" s="2" t="s">
        <v>1127</v>
      </c>
    </row>
    <row r="313" spans="1:17" ht="16.5" customHeight="1" x14ac:dyDescent="0.2">
      <c r="A313" s="28" t="s">
        <v>399</v>
      </c>
      <c r="B313" s="28" t="s">
        <v>2233</v>
      </c>
      <c r="C313" s="28" t="s">
        <v>4182</v>
      </c>
      <c r="D313" s="28" t="s">
        <v>1128</v>
      </c>
      <c r="E313" s="28" t="s">
        <v>2307</v>
      </c>
      <c r="F313" s="2">
        <v>2</v>
      </c>
      <c r="G313" s="2" t="s">
        <v>37</v>
      </c>
      <c r="H313" s="2">
        <v>1992</v>
      </c>
      <c r="I313" s="2" t="str">
        <f t="shared" si="25"/>
        <v>bHLPRBE</v>
      </c>
      <c r="J313" s="2" t="s">
        <v>2308</v>
      </c>
      <c r="K313" s="8" t="s">
        <v>2273</v>
      </c>
      <c r="L313"/>
      <c r="M313" s="2" t="s">
        <v>2270</v>
      </c>
      <c r="P313" s="2" t="s">
        <v>1127</v>
      </c>
      <c r="Q313" s="2" t="s">
        <v>1127</v>
      </c>
    </row>
    <row r="314" spans="1:17" ht="16.5" customHeight="1" x14ac:dyDescent="0.2">
      <c r="A314" s="28" t="s">
        <v>399</v>
      </c>
      <c r="B314" s="28" t="s">
        <v>2235</v>
      </c>
      <c r="C314" s="28" t="s">
        <v>4182</v>
      </c>
      <c r="D314" s="28" t="s">
        <v>1128</v>
      </c>
      <c r="E314" s="28" t="s">
        <v>2307</v>
      </c>
      <c r="F314" s="2">
        <v>3</v>
      </c>
      <c r="G314" s="2" t="s">
        <v>80</v>
      </c>
      <c r="H314" s="2">
        <v>1993</v>
      </c>
      <c r="I314" s="2" t="str">
        <f t="shared" si="25"/>
        <v>cHLPRBE</v>
      </c>
      <c r="J314" s="2" t="s">
        <v>2308</v>
      </c>
      <c r="K314" s="8" t="s">
        <v>2273</v>
      </c>
      <c r="L314"/>
      <c r="M314" s="2" t="s">
        <v>2270</v>
      </c>
      <c r="P314" s="2" t="s">
        <v>1127</v>
      </c>
      <c r="Q314" s="2" t="s">
        <v>1127</v>
      </c>
    </row>
    <row r="315" spans="1:17" ht="16.5" customHeight="1" x14ac:dyDescent="0.2">
      <c r="A315" s="28" t="s">
        <v>399</v>
      </c>
      <c r="B315" s="28" t="s">
        <v>2237</v>
      </c>
      <c r="C315" s="28" t="s">
        <v>4182</v>
      </c>
      <c r="D315" s="28" t="s">
        <v>1128</v>
      </c>
      <c r="E315" s="28" t="s">
        <v>2307</v>
      </c>
      <c r="F315" s="2">
        <v>4</v>
      </c>
      <c r="G315" s="2" t="s">
        <v>31</v>
      </c>
      <c r="H315" s="2">
        <v>1994</v>
      </c>
      <c r="I315" s="2" t="str">
        <f t="shared" si="25"/>
        <v>dHLPRBE</v>
      </c>
      <c r="J315" s="2" t="s">
        <v>2308</v>
      </c>
      <c r="K315" s="8" t="s">
        <v>2273</v>
      </c>
      <c r="L315"/>
      <c r="M315" s="2" t="s">
        <v>2270</v>
      </c>
      <c r="P315" s="2" t="s">
        <v>1127</v>
      </c>
      <c r="Q315" s="2" t="s">
        <v>1127</v>
      </c>
    </row>
    <row r="316" spans="1:17" ht="16.5" customHeight="1" x14ac:dyDescent="0.2">
      <c r="A316" s="28" t="s">
        <v>399</v>
      </c>
      <c r="B316" s="28" t="s">
        <v>2239</v>
      </c>
      <c r="C316" s="28" t="s">
        <v>4182</v>
      </c>
      <c r="D316" s="28" t="s">
        <v>1128</v>
      </c>
      <c r="E316" s="28" t="s">
        <v>2307</v>
      </c>
      <c r="F316" s="2">
        <v>5</v>
      </c>
      <c r="G316" s="2" t="s">
        <v>13</v>
      </c>
      <c r="H316" s="2">
        <v>1995</v>
      </c>
      <c r="I316" s="2" t="str">
        <f t="shared" si="25"/>
        <v>eHLPRBE</v>
      </c>
      <c r="J316" s="2" t="s">
        <v>2308</v>
      </c>
      <c r="K316" s="8" t="s">
        <v>2273</v>
      </c>
      <c r="L316"/>
      <c r="M316" s="2" t="s">
        <v>2270</v>
      </c>
      <c r="P316" s="2" t="s">
        <v>1127</v>
      </c>
      <c r="Q316" s="2" t="s">
        <v>1127</v>
      </c>
    </row>
    <row r="317" spans="1:17" ht="16.5" customHeight="1" x14ac:dyDescent="0.2">
      <c r="A317" s="28" t="s">
        <v>399</v>
      </c>
      <c r="B317" s="28" t="s">
        <v>2241</v>
      </c>
      <c r="C317" s="28" t="s">
        <v>4182</v>
      </c>
      <c r="D317" s="28" t="s">
        <v>1128</v>
      </c>
      <c r="E317" s="28" t="s">
        <v>2307</v>
      </c>
      <c r="F317" s="2">
        <v>6</v>
      </c>
      <c r="G317" s="2" t="s">
        <v>49</v>
      </c>
      <c r="H317" s="2">
        <v>1996</v>
      </c>
      <c r="I317" s="2" t="str">
        <f t="shared" si="25"/>
        <v>fHLPRBE</v>
      </c>
      <c r="J317" s="2" t="s">
        <v>2308</v>
      </c>
      <c r="K317" s="8" t="s">
        <v>2273</v>
      </c>
      <c r="L317"/>
      <c r="M317" s="2" t="s">
        <v>2270</v>
      </c>
      <c r="P317" s="2" t="s">
        <v>1127</v>
      </c>
      <c r="Q317" s="2" t="s">
        <v>1127</v>
      </c>
    </row>
    <row r="318" spans="1:17" ht="16.5" customHeight="1" x14ac:dyDescent="0.2">
      <c r="A318" s="28" t="s">
        <v>399</v>
      </c>
      <c r="B318" s="28" t="s">
        <v>2243</v>
      </c>
      <c r="C318" s="28" t="s">
        <v>4182</v>
      </c>
      <c r="D318" s="28" t="s">
        <v>1128</v>
      </c>
      <c r="E318" s="28" t="s">
        <v>2307</v>
      </c>
      <c r="F318" s="2">
        <v>7</v>
      </c>
      <c r="G318" s="2" t="s">
        <v>101</v>
      </c>
      <c r="H318" s="2">
        <v>1997</v>
      </c>
      <c r="I318" s="2" t="str">
        <f t="shared" si="25"/>
        <v>gHLPRBE</v>
      </c>
      <c r="J318" s="2" t="s">
        <v>2308</v>
      </c>
      <c r="K318" s="8" t="s">
        <v>2273</v>
      </c>
      <c r="L318"/>
      <c r="M318" s="2" t="s">
        <v>2270</v>
      </c>
      <c r="P318" s="2" t="s">
        <v>1127</v>
      </c>
      <c r="Q318" s="2" t="s">
        <v>1127</v>
      </c>
    </row>
    <row r="319" spans="1:17" ht="16.5" customHeight="1" x14ac:dyDescent="0.2">
      <c r="A319" s="28" t="s">
        <v>399</v>
      </c>
      <c r="B319" s="28" t="s">
        <v>2245</v>
      </c>
      <c r="C319" s="28" t="s">
        <v>4182</v>
      </c>
      <c r="D319" s="28" t="s">
        <v>1128</v>
      </c>
      <c r="E319" s="28" t="s">
        <v>2307</v>
      </c>
      <c r="F319" s="2">
        <v>8</v>
      </c>
      <c r="G319" s="2" t="s">
        <v>10</v>
      </c>
      <c r="H319" s="2">
        <v>1998</v>
      </c>
      <c r="I319" s="2" t="str">
        <f t="shared" si="25"/>
        <v>hHLPRBE</v>
      </c>
      <c r="J319" s="2" t="s">
        <v>2308</v>
      </c>
      <c r="K319" s="8" t="s">
        <v>2273</v>
      </c>
      <c r="L319"/>
      <c r="M319" s="2" t="s">
        <v>2270</v>
      </c>
      <c r="P319" s="2" t="s">
        <v>1127</v>
      </c>
      <c r="Q319" s="2" t="s">
        <v>1127</v>
      </c>
    </row>
    <row r="320" spans="1:17" ht="16.5" customHeight="1" x14ac:dyDescent="0.2">
      <c r="A320" s="28" t="s">
        <v>399</v>
      </c>
      <c r="B320" s="28" t="s">
        <v>2247</v>
      </c>
      <c r="C320" s="28" t="s">
        <v>4182</v>
      </c>
      <c r="D320" s="28" t="s">
        <v>1128</v>
      </c>
      <c r="E320" s="28" t="s">
        <v>2307</v>
      </c>
      <c r="F320" s="2">
        <v>9</v>
      </c>
      <c r="G320" s="2" t="s">
        <v>55</v>
      </c>
      <c r="H320" s="2">
        <v>1999</v>
      </c>
      <c r="I320" s="2" t="str">
        <f t="shared" si="25"/>
        <v>iHLPRBE</v>
      </c>
      <c r="J320" s="2" t="s">
        <v>2308</v>
      </c>
      <c r="K320" s="8" t="s">
        <v>2273</v>
      </c>
      <c r="L320"/>
      <c r="M320" s="2" t="s">
        <v>2270</v>
      </c>
      <c r="P320" s="2" t="s">
        <v>1127</v>
      </c>
      <c r="Q320" s="2" t="s">
        <v>1127</v>
      </c>
    </row>
    <row r="321" spans="1:17" ht="16.5" customHeight="1" x14ac:dyDescent="0.2">
      <c r="A321" s="28" t="s">
        <v>399</v>
      </c>
      <c r="B321" s="28" t="s">
        <v>2249</v>
      </c>
      <c r="C321" s="28" t="s">
        <v>4182</v>
      </c>
      <c r="D321" s="28" t="s">
        <v>1128</v>
      </c>
      <c r="E321" s="28" t="s">
        <v>2307</v>
      </c>
      <c r="F321" s="2">
        <v>10</v>
      </c>
      <c r="G321" s="2" t="s">
        <v>98</v>
      </c>
      <c r="H321" s="2">
        <v>2000</v>
      </c>
      <c r="I321" s="2" t="str">
        <f t="shared" si="25"/>
        <v>jHLPRBE</v>
      </c>
      <c r="J321" s="2" t="s">
        <v>2308</v>
      </c>
      <c r="K321" s="8" t="s">
        <v>2273</v>
      </c>
      <c r="L321"/>
      <c r="M321" s="2" t="s">
        <v>2270</v>
      </c>
      <c r="P321" s="2" t="s">
        <v>1127</v>
      </c>
      <c r="Q321" s="2" t="s">
        <v>1127</v>
      </c>
    </row>
    <row r="322" spans="1:17" ht="16.5" customHeight="1" x14ac:dyDescent="0.2">
      <c r="A322" s="28" t="s">
        <v>399</v>
      </c>
      <c r="B322" s="28" t="s">
        <v>2251</v>
      </c>
      <c r="C322" s="28" t="s">
        <v>4182</v>
      </c>
      <c r="D322" s="28" t="s">
        <v>1128</v>
      </c>
      <c r="E322" s="28" t="s">
        <v>2307</v>
      </c>
      <c r="F322" s="2">
        <v>11</v>
      </c>
      <c r="G322" s="2" t="s">
        <v>104</v>
      </c>
      <c r="H322" s="2">
        <v>2001</v>
      </c>
      <c r="I322" s="2" t="str">
        <f t="shared" si="25"/>
        <v>kHLPRBE</v>
      </c>
      <c r="J322" s="2" t="s">
        <v>2308</v>
      </c>
      <c r="K322" s="8" t="s">
        <v>2273</v>
      </c>
      <c r="L322"/>
      <c r="M322" s="2" t="s">
        <v>2270</v>
      </c>
      <c r="P322" s="2" t="s">
        <v>1127</v>
      </c>
      <c r="Q322" s="2" t="s">
        <v>1127</v>
      </c>
    </row>
    <row r="323" spans="1:17" ht="16.5" customHeight="1" x14ac:dyDescent="0.2">
      <c r="A323" s="28" t="s">
        <v>399</v>
      </c>
      <c r="B323" s="28" t="s">
        <v>2253</v>
      </c>
      <c r="C323" s="28" t="s">
        <v>4182</v>
      </c>
      <c r="D323" s="28" t="s">
        <v>1128</v>
      </c>
      <c r="E323" s="28" t="s">
        <v>2307</v>
      </c>
      <c r="F323" s="2">
        <v>12</v>
      </c>
      <c r="G323" s="2" t="s">
        <v>89</v>
      </c>
      <c r="H323" s="2">
        <v>2002</v>
      </c>
      <c r="I323" s="2" t="str">
        <f t="shared" si="25"/>
        <v>lHLPRBE</v>
      </c>
      <c r="J323" s="2" t="s">
        <v>2308</v>
      </c>
      <c r="K323" s="8" t="s">
        <v>2273</v>
      </c>
      <c r="L323"/>
      <c r="M323" s="2" t="s">
        <v>2270</v>
      </c>
      <c r="P323" s="2" t="s">
        <v>1127</v>
      </c>
      <c r="Q323" s="2" t="s">
        <v>1127</v>
      </c>
    </row>
    <row r="324" spans="1:17" ht="16.5" customHeight="1" x14ac:dyDescent="0.2">
      <c r="A324" s="28" t="s">
        <v>399</v>
      </c>
      <c r="B324" s="28" t="s">
        <v>2255</v>
      </c>
      <c r="C324" s="28" t="s">
        <v>4182</v>
      </c>
      <c r="D324" s="28" t="s">
        <v>1128</v>
      </c>
      <c r="E324" s="28" t="s">
        <v>2307</v>
      </c>
      <c r="F324" s="2">
        <v>13</v>
      </c>
      <c r="G324" s="2" t="s">
        <v>107</v>
      </c>
      <c r="H324" s="2">
        <v>2003</v>
      </c>
      <c r="I324" s="2" t="str">
        <f t="shared" si="25"/>
        <v>mHLPRBE</v>
      </c>
      <c r="J324" s="2" t="s">
        <v>2308</v>
      </c>
      <c r="K324" s="8" t="s">
        <v>2273</v>
      </c>
      <c r="L324"/>
      <c r="M324" s="2" t="s">
        <v>2270</v>
      </c>
      <c r="P324" s="2" t="s">
        <v>1127</v>
      </c>
      <c r="Q324" s="2" t="s">
        <v>1127</v>
      </c>
    </row>
    <row r="325" spans="1:17" ht="16.5" customHeight="1" x14ac:dyDescent="0.2">
      <c r="A325" s="28" t="s">
        <v>399</v>
      </c>
      <c r="B325" s="28" t="s">
        <v>2257</v>
      </c>
      <c r="C325" s="28" t="s">
        <v>4182</v>
      </c>
      <c r="D325" s="28" t="s">
        <v>1128</v>
      </c>
      <c r="E325" s="28" t="s">
        <v>2307</v>
      </c>
      <c r="F325" s="2">
        <v>14</v>
      </c>
      <c r="G325" s="2" t="s">
        <v>43</v>
      </c>
      <c r="H325" s="2">
        <v>2004</v>
      </c>
      <c r="I325" s="2" t="str">
        <f t="shared" si="25"/>
        <v>nHLPRBE</v>
      </c>
      <c r="J325" s="2" t="s">
        <v>2308</v>
      </c>
      <c r="K325" s="8" t="s">
        <v>2273</v>
      </c>
      <c r="L325"/>
      <c r="M325" s="2" t="s">
        <v>2270</v>
      </c>
      <c r="P325" s="2" t="s">
        <v>1127</v>
      </c>
      <c r="Q325" s="2" t="s">
        <v>1127</v>
      </c>
    </row>
    <row r="326" spans="1:17" ht="16.5" customHeight="1" x14ac:dyDescent="0.2">
      <c r="A326" s="28" t="s">
        <v>399</v>
      </c>
      <c r="B326" s="28" t="s">
        <v>2259</v>
      </c>
      <c r="C326" s="28" t="s">
        <v>4182</v>
      </c>
      <c r="D326" s="28" t="s">
        <v>1128</v>
      </c>
      <c r="E326" s="28" t="s">
        <v>2307</v>
      </c>
      <c r="F326" s="2">
        <v>15</v>
      </c>
      <c r="G326" s="2" t="s">
        <v>19</v>
      </c>
      <c r="H326" s="2">
        <v>2005</v>
      </c>
      <c r="I326" s="2" t="str">
        <f t="shared" si="25"/>
        <v>oHLPRBE</v>
      </c>
      <c r="J326" s="2" t="s">
        <v>2308</v>
      </c>
      <c r="K326" s="8" t="s">
        <v>2273</v>
      </c>
      <c r="L326"/>
      <c r="M326" s="2" t="s">
        <v>2270</v>
      </c>
      <c r="P326" s="2" t="s">
        <v>1127</v>
      </c>
      <c r="Q326" s="2" t="s">
        <v>1127</v>
      </c>
    </row>
    <row r="327" spans="1:17" ht="16.5" customHeight="1" x14ac:dyDescent="0.2">
      <c r="A327" s="28" t="s">
        <v>399</v>
      </c>
      <c r="B327" s="28" t="s">
        <v>2261</v>
      </c>
      <c r="C327" s="28" t="s">
        <v>4182</v>
      </c>
      <c r="D327" s="28" t="s">
        <v>1128</v>
      </c>
      <c r="E327" s="28" t="s">
        <v>2307</v>
      </c>
      <c r="F327" s="2">
        <v>16</v>
      </c>
      <c r="G327" s="2" t="s">
        <v>25</v>
      </c>
      <c r="H327" s="2">
        <v>2006</v>
      </c>
      <c r="I327" s="2" t="str">
        <f t="shared" si="25"/>
        <v>pHLPRBE</v>
      </c>
      <c r="J327" s="2" t="s">
        <v>2308</v>
      </c>
      <c r="K327" s="8" t="s">
        <v>2273</v>
      </c>
      <c r="L327"/>
      <c r="M327" s="2" t="s">
        <v>2270</v>
      </c>
      <c r="P327" s="2" t="s">
        <v>1127</v>
      </c>
      <c r="Q327" s="2" t="s">
        <v>1127</v>
      </c>
    </row>
    <row r="328" spans="1:17" ht="16.5" customHeight="1" x14ac:dyDescent="0.2">
      <c r="A328" s="28" t="s">
        <v>399</v>
      </c>
      <c r="B328" s="28" t="s">
        <v>2263</v>
      </c>
      <c r="C328" s="28" t="s">
        <v>4182</v>
      </c>
      <c r="D328" s="28" t="s">
        <v>1128</v>
      </c>
      <c r="E328" s="28" t="s">
        <v>2307</v>
      </c>
      <c r="F328" s="2">
        <v>17</v>
      </c>
      <c r="G328" s="2" t="s">
        <v>73</v>
      </c>
      <c r="H328" s="2">
        <v>2007</v>
      </c>
      <c r="I328" s="2" t="str">
        <f t="shared" si="25"/>
        <v>qHLPRBE</v>
      </c>
      <c r="J328" s="2" t="s">
        <v>2308</v>
      </c>
      <c r="K328" s="8" t="s">
        <v>2273</v>
      </c>
      <c r="L328"/>
      <c r="M328" s="2" t="s">
        <v>2270</v>
      </c>
      <c r="P328" s="2" t="s">
        <v>1127</v>
      </c>
      <c r="Q328" s="2" t="s">
        <v>1127</v>
      </c>
    </row>
    <row r="329" spans="1:17" ht="16.5" customHeight="1" x14ac:dyDescent="0.2">
      <c r="A329" s="28" t="s">
        <v>399</v>
      </c>
      <c r="B329" s="28" t="s">
        <v>2265</v>
      </c>
      <c r="C329" s="28" t="s">
        <v>4182</v>
      </c>
      <c r="D329" s="28" t="s">
        <v>1128</v>
      </c>
      <c r="E329" s="28" t="s">
        <v>2307</v>
      </c>
      <c r="F329" s="2">
        <v>18</v>
      </c>
      <c r="G329" s="2" t="s">
        <v>58</v>
      </c>
      <c r="H329" s="2">
        <v>2008</v>
      </c>
      <c r="I329" s="2" t="str">
        <f t="shared" si="25"/>
        <v>rHLPRBE</v>
      </c>
      <c r="J329" s="2" t="s">
        <v>2308</v>
      </c>
      <c r="K329" s="8" t="s">
        <v>2273</v>
      </c>
      <c r="L329"/>
      <c r="M329" s="2" t="s">
        <v>2270</v>
      </c>
      <c r="P329" s="2" t="s">
        <v>1127</v>
      </c>
      <c r="Q329" s="2" t="s">
        <v>1127</v>
      </c>
    </row>
    <row r="330" spans="1:17" ht="16.5" customHeight="1" x14ac:dyDescent="0.2">
      <c r="A330" s="28" t="s">
        <v>399</v>
      </c>
      <c r="B330" s="28" t="s">
        <v>2251</v>
      </c>
      <c r="C330" s="28" t="s">
        <v>4182</v>
      </c>
      <c r="D330" s="28" t="s">
        <v>1128</v>
      </c>
      <c r="E330" s="28" t="s">
        <v>1165</v>
      </c>
      <c r="F330" s="2">
        <v>11</v>
      </c>
      <c r="G330" s="2" t="s">
        <v>104</v>
      </c>
      <c r="H330" s="2">
        <v>2001</v>
      </c>
      <c r="I330" s="2" t="str">
        <f t="shared" ref="I330:I337" si="26">_xlfn.CONCAT(G330,"HLPRBN")</f>
        <v>kHLPRBN</v>
      </c>
      <c r="J330" s="2" t="s">
        <v>2309</v>
      </c>
      <c r="K330" s="8" t="s">
        <v>2273</v>
      </c>
      <c r="L330"/>
      <c r="M330" s="2" t="s">
        <v>2270</v>
      </c>
      <c r="P330" s="2" t="s">
        <v>1127</v>
      </c>
      <c r="Q330" s="2" t="s">
        <v>1127</v>
      </c>
    </row>
    <row r="331" spans="1:17" ht="16.5" customHeight="1" x14ac:dyDescent="0.2">
      <c r="A331" s="28" t="s">
        <v>399</v>
      </c>
      <c r="B331" s="28" t="s">
        <v>2253</v>
      </c>
      <c r="C331" s="28" t="s">
        <v>4182</v>
      </c>
      <c r="D331" s="28" t="s">
        <v>1128</v>
      </c>
      <c r="E331" s="28" t="s">
        <v>1165</v>
      </c>
      <c r="F331" s="2">
        <v>12</v>
      </c>
      <c r="G331" s="2" t="s">
        <v>89</v>
      </c>
      <c r="H331" s="2">
        <v>2002</v>
      </c>
      <c r="I331" s="2" t="str">
        <f t="shared" si="26"/>
        <v>lHLPRBN</v>
      </c>
      <c r="J331" s="2" t="s">
        <v>2309</v>
      </c>
      <c r="K331" s="8" t="s">
        <v>2273</v>
      </c>
      <c r="L331"/>
      <c r="M331" s="2" t="s">
        <v>2270</v>
      </c>
      <c r="P331" s="2" t="s">
        <v>1127</v>
      </c>
      <c r="Q331" s="2" t="s">
        <v>1127</v>
      </c>
    </row>
    <row r="332" spans="1:17" ht="16.5" customHeight="1" x14ac:dyDescent="0.2">
      <c r="A332" s="28" t="s">
        <v>399</v>
      </c>
      <c r="B332" s="28" t="s">
        <v>2255</v>
      </c>
      <c r="C332" s="28" t="s">
        <v>4182</v>
      </c>
      <c r="D332" s="28" t="s">
        <v>1128</v>
      </c>
      <c r="E332" s="28" t="s">
        <v>1165</v>
      </c>
      <c r="F332" s="2">
        <v>13</v>
      </c>
      <c r="G332" s="2" t="s">
        <v>107</v>
      </c>
      <c r="H332" s="2">
        <v>2003</v>
      </c>
      <c r="I332" s="2" t="str">
        <f t="shared" si="26"/>
        <v>mHLPRBN</v>
      </c>
      <c r="J332" s="2" t="s">
        <v>2309</v>
      </c>
      <c r="K332" s="8" t="s">
        <v>2273</v>
      </c>
      <c r="L332"/>
      <c r="M332" s="2" t="s">
        <v>2270</v>
      </c>
      <c r="P332" s="2" t="s">
        <v>1127</v>
      </c>
      <c r="Q332" s="2" t="s">
        <v>1127</v>
      </c>
    </row>
    <row r="333" spans="1:17" ht="16.5" customHeight="1" x14ac:dyDescent="0.2">
      <c r="A333" s="28" t="s">
        <v>399</v>
      </c>
      <c r="B333" s="28" t="s">
        <v>2257</v>
      </c>
      <c r="C333" s="28" t="s">
        <v>4182</v>
      </c>
      <c r="D333" s="28" t="s">
        <v>1128</v>
      </c>
      <c r="E333" s="28" t="s">
        <v>1165</v>
      </c>
      <c r="F333" s="2">
        <v>14</v>
      </c>
      <c r="G333" s="2" t="s">
        <v>43</v>
      </c>
      <c r="H333" s="2">
        <v>2004</v>
      </c>
      <c r="I333" s="2" t="str">
        <f t="shared" si="26"/>
        <v>nHLPRBN</v>
      </c>
      <c r="J333" s="2" t="s">
        <v>2309</v>
      </c>
      <c r="K333" s="8" t="s">
        <v>2273</v>
      </c>
      <c r="L333"/>
      <c r="M333" s="2" t="s">
        <v>2270</v>
      </c>
      <c r="P333" s="2" t="s">
        <v>1127</v>
      </c>
      <c r="Q333" s="2" t="s">
        <v>1127</v>
      </c>
    </row>
    <row r="334" spans="1:17" ht="16.5" customHeight="1" x14ac:dyDescent="0.2">
      <c r="A334" s="28" t="s">
        <v>399</v>
      </c>
      <c r="B334" s="28" t="s">
        <v>2259</v>
      </c>
      <c r="C334" s="28" t="s">
        <v>4182</v>
      </c>
      <c r="D334" s="28" t="s">
        <v>1128</v>
      </c>
      <c r="E334" s="28" t="s">
        <v>1165</v>
      </c>
      <c r="F334" s="2">
        <v>15</v>
      </c>
      <c r="G334" s="2" t="s">
        <v>19</v>
      </c>
      <c r="H334" s="2">
        <v>2005</v>
      </c>
      <c r="I334" s="2" t="str">
        <f t="shared" si="26"/>
        <v>oHLPRBN</v>
      </c>
      <c r="J334" s="2" t="s">
        <v>2309</v>
      </c>
      <c r="K334" s="8" t="s">
        <v>2273</v>
      </c>
      <c r="L334"/>
      <c r="M334" s="2" t="s">
        <v>2270</v>
      </c>
      <c r="P334" s="2" t="s">
        <v>1127</v>
      </c>
      <c r="Q334" s="2" t="s">
        <v>1127</v>
      </c>
    </row>
    <row r="335" spans="1:17" ht="16.5" customHeight="1" x14ac:dyDescent="0.2">
      <c r="A335" s="28" t="s">
        <v>399</v>
      </c>
      <c r="B335" s="28" t="s">
        <v>2261</v>
      </c>
      <c r="C335" s="28" t="s">
        <v>4182</v>
      </c>
      <c r="D335" s="28" t="s">
        <v>1128</v>
      </c>
      <c r="E335" s="28" t="s">
        <v>1165</v>
      </c>
      <c r="F335" s="2">
        <v>16</v>
      </c>
      <c r="G335" s="2" t="s">
        <v>25</v>
      </c>
      <c r="H335" s="2">
        <v>2006</v>
      </c>
      <c r="I335" s="2" t="str">
        <f t="shared" si="26"/>
        <v>pHLPRBN</v>
      </c>
      <c r="J335" s="2" t="s">
        <v>2309</v>
      </c>
      <c r="K335" s="8" t="s">
        <v>2273</v>
      </c>
      <c r="L335"/>
      <c r="M335" s="2" t="s">
        <v>2270</v>
      </c>
      <c r="P335" s="2" t="s">
        <v>1127</v>
      </c>
      <c r="Q335" s="2" t="s">
        <v>1127</v>
      </c>
    </row>
    <row r="336" spans="1:17" ht="16.5" customHeight="1" x14ac:dyDescent="0.2">
      <c r="A336" s="28" t="s">
        <v>399</v>
      </c>
      <c r="B336" s="28" t="s">
        <v>2263</v>
      </c>
      <c r="C336" s="28" t="s">
        <v>4182</v>
      </c>
      <c r="D336" s="28" t="s">
        <v>1128</v>
      </c>
      <c r="E336" s="28" t="s">
        <v>1165</v>
      </c>
      <c r="F336" s="2">
        <v>17</v>
      </c>
      <c r="G336" s="2" t="s">
        <v>73</v>
      </c>
      <c r="H336" s="2">
        <v>2007</v>
      </c>
      <c r="I336" s="2" t="str">
        <f t="shared" si="26"/>
        <v>qHLPRBN</v>
      </c>
      <c r="J336" s="2" t="s">
        <v>2309</v>
      </c>
      <c r="K336" s="8" t="s">
        <v>2273</v>
      </c>
      <c r="L336"/>
      <c r="M336" s="2" t="s">
        <v>2270</v>
      </c>
      <c r="P336" s="2" t="s">
        <v>1127</v>
      </c>
      <c r="Q336" s="2" t="s">
        <v>1127</v>
      </c>
    </row>
    <row r="337" spans="1:17" ht="16.5" customHeight="1" x14ac:dyDescent="0.2">
      <c r="A337" s="28" t="s">
        <v>399</v>
      </c>
      <c r="B337" s="28" t="s">
        <v>2265</v>
      </c>
      <c r="C337" s="28" t="s">
        <v>4182</v>
      </c>
      <c r="D337" s="28" t="s">
        <v>1128</v>
      </c>
      <c r="E337" s="28" t="s">
        <v>1165</v>
      </c>
      <c r="F337" s="2">
        <v>18</v>
      </c>
      <c r="G337" s="2" t="s">
        <v>58</v>
      </c>
      <c r="H337" s="2">
        <v>2008</v>
      </c>
      <c r="I337" s="2" t="str">
        <f t="shared" si="26"/>
        <v>rHLPRBN</v>
      </c>
      <c r="J337" s="2" t="s">
        <v>2309</v>
      </c>
      <c r="K337" s="8" t="s">
        <v>2273</v>
      </c>
      <c r="L337"/>
      <c r="M337" s="2" t="s">
        <v>2270</v>
      </c>
      <c r="P337" s="2" t="s">
        <v>1127</v>
      </c>
      <c r="Q337" s="2" t="s">
        <v>1127</v>
      </c>
    </row>
    <row r="338" spans="1:17" ht="16.5" customHeight="1" x14ac:dyDescent="0.2">
      <c r="A338" s="28" t="s">
        <v>399</v>
      </c>
      <c r="B338" s="28" t="s">
        <v>2227</v>
      </c>
      <c r="C338" s="28" t="s">
        <v>4182</v>
      </c>
      <c r="D338" s="28" t="s">
        <v>1128</v>
      </c>
      <c r="E338" s="28" t="s">
        <v>1232</v>
      </c>
      <c r="F338" s="2">
        <v>1</v>
      </c>
      <c r="G338" s="2" t="s">
        <v>40</v>
      </c>
      <c r="H338" s="2">
        <v>1991</v>
      </c>
      <c r="I338" s="2" t="str">
        <f t="shared" ref="I338:I355" si="27">_xlfn.CONCAT(G338,"HLPRBH")</f>
        <v>aHLPRBH</v>
      </c>
      <c r="J338" s="2" t="s">
        <v>2310</v>
      </c>
      <c r="K338" s="8" t="s">
        <v>2273</v>
      </c>
      <c r="L338"/>
      <c r="M338" s="2" t="s">
        <v>2270</v>
      </c>
      <c r="P338" s="2" t="s">
        <v>1127</v>
      </c>
      <c r="Q338" s="2" t="s">
        <v>1127</v>
      </c>
    </row>
    <row r="339" spans="1:17" ht="16.5" customHeight="1" x14ac:dyDescent="0.2">
      <c r="A339" s="28" t="s">
        <v>399</v>
      </c>
      <c r="B339" s="28" t="s">
        <v>2233</v>
      </c>
      <c r="C339" s="28" t="s">
        <v>4182</v>
      </c>
      <c r="D339" s="28" t="s">
        <v>1128</v>
      </c>
      <c r="E339" s="28" t="s">
        <v>1232</v>
      </c>
      <c r="F339" s="2">
        <v>2</v>
      </c>
      <c r="G339" s="2" t="s">
        <v>37</v>
      </c>
      <c r="H339" s="2">
        <v>1992</v>
      </c>
      <c r="I339" s="2" t="str">
        <f t="shared" si="27"/>
        <v>bHLPRBH</v>
      </c>
      <c r="J339" s="2" t="s">
        <v>2310</v>
      </c>
      <c r="K339" s="8" t="s">
        <v>2273</v>
      </c>
      <c r="L339"/>
      <c r="M339" s="2" t="s">
        <v>2270</v>
      </c>
      <c r="P339" s="2" t="s">
        <v>1127</v>
      </c>
      <c r="Q339" s="2" t="s">
        <v>1127</v>
      </c>
    </row>
    <row r="340" spans="1:17" ht="16.5" customHeight="1" x14ac:dyDescent="0.2">
      <c r="A340" s="28" t="s">
        <v>399</v>
      </c>
      <c r="B340" s="28" t="s">
        <v>2235</v>
      </c>
      <c r="C340" s="28" t="s">
        <v>4182</v>
      </c>
      <c r="D340" s="28" t="s">
        <v>1128</v>
      </c>
      <c r="E340" s="28" t="s">
        <v>1232</v>
      </c>
      <c r="F340" s="2">
        <v>3</v>
      </c>
      <c r="G340" s="2" t="s">
        <v>80</v>
      </c>
      <c r="H340" s="2">
        <v>1993</v>
      </c>
      <c r="I340" s="2" t="str">
        <f t="shared" si="27"/>
        <v>cHLPRBH</v>
      </c>
      <c r="J340" s="2" t="s">
        <v>2310</v>
      </c>
      <c r="K340" s="8" t="s">
        <v>2273</v>
      </c>
      <c r="L340"/>
      <c r="M340" s="2" t="s">
        <v>2270</v>
      </c>
      <c r="P340" s="2" t="s">
        <v>1127</v>
      </c>
      <c r="Q340" s="2" t="s">
        <v>1127</v>
      </c>
    </row>
    <row r="341" spans="1:17" ht="16.5" customHeight="1" x14ac:dyDescent="0.2">
      <c r="A341" s="28" t="s">
        <v>399</v>
      </c>
      <c r="B341" s="28" t="s">
        <v>2237</v>
      </c>
      <c r="C341" s="28" t="s">
        <v>4182</v>
      </c>
      <c r="D341" s="28" t="s">
        <v>1128</v>
      </c>
      <c r="E341" s="28" t="s">
        <v>1232</v>
      </c>
      <c r="F341" s="2">
        <v>4</v>
      </c>
      <c r="G341" s="2" t="s">
        <v>31</v>
      </c>
      <c r="H341" s="2">
        <v>1994</v>
      </c>
      <c r="I341" s="2" t="str">
        <f t="shared" si="27"/>
        <v>dHLPRBH</v>
      </c>
      <c r="J341" s="2" t="s">
        <v>2310</v>
      </c>
      <c r="K341" s="8" t="s">
        <v>2273</v>
      </c>
      <c r="L341"/>
      <c r="M341" s="2" t="s">
        <v>2270</v>
      </c>
      <c r="P341" s="2" t="s">
        <v>1127</v>
      </c>
      <c r="Q341" s="2" t="s">
        <v>1127</v>
      </c>
    </row>
    <row r="342" spans="1:17" ht="16.5" customHeight="1" x14ac:dyDescent="0.2">
      <c r="A342" s="28" t="s">
        <v>399</v>
      </c>
      <c r="B342" s="28" t="s">
        <v>2239</v>
      </c>
      <c r="C342" s="28" t="s">
        <v>4182</v>
      </c>
      <c r="D342" s="28" t="s">
        <v>1128</v>
      </c>
      <c r="E342" s="28" t="s">
        <v>1232</v>
      </c>
      <c r="F342" s="2">
        <v>5</v>
      </c>
      <c r="G342" s="2" t="s">
        <v>13</v>
      </c>
      <c r="H342" s="2">
        <v>1995</v>
      </c>
      <c r="I342" s="2" t="str">
        <f t="shared" si="27"/>
        <v>eHLPRBH</v>
      </c>
      <c r="J342" s="2" t="s">
        <v>2310</v>
      </c>
      <c r="K342" s="8" t="s">
        <v>2273</v>
      </c>
      <c r="L342"/>
      <c r="M342" s="2" t="s">
        <v>2270</v>
      </c>
      <c r="P342" s="2" t="s">
        <v>1127</v>
      </c>
      <c r="Q342" s="2" t="s">
        <v>1127</v>
      </c>
    </row>
    <row r="343" spans="1:17" ht="16.5" customHeight="1" x14ac:dyDescent="0.2">
      <c r="A343" s="28" t="s">
        <v>399</v>
      </c>
      <c r="B343" s="28" t="s">
        <v>2241</v>
      </c>
      <c r="C343" s="28" t="s">
        <v>4182</v>
      </c>
      <c r="D343" s="28" t="s">
        <v>1128</v>
      </c>
      <c r="E343" s="28" t="s">
        <v>1232</v>
      </c>
      <c r="F343" s="2">
        <v>6</v>
      </c>
      <c r="G343" s="2" t="s">
        <v>49</v>
      </c>
      <c r="H343" s="2">
        <v>1996</v>
      </c>
      <c r="I343" s="2" t="str">
        <f t="shared" si="27"/>
        <v>fHLPRBH</v>
      </c>
      <c r="J343" s="2" t="s">
        <v>2310</v>
      </c>
      <c r="K343" s="8" t="s">
        <v>2273</v>
      </c>
      <c r="L343"/>
      <c r="M343" s="2" t="s">
        <v>2270</v>
      </c>
      <c r="P343" s="2" t="s">
        <v>1127</v>
      </c>
      <c r="Q343" s="2" t="s">
        <v>1127</v>
      </c>
    </row>
    <row r="344" spans="1:17" ht="16.5" customHeight="1" x14ac:dyDescent="0.2">
      <c r="A344" s="28" t="s">
        <v>399</v>
      </c>
      <c r="B344" s="28" t="s">
        <v>2243</v>
      </c>
      <c r="C344" s="28" t="s">
        <v>4182</v>
      </c>
      <c r="D344" s="28" t="s">
        <v>1128</v>
      </c>
      <c r="E344" s="28" t="s">
        <v>1232</v>
      </c>
      <c r="F344" s="2">
        <v>7</v>
      </c>
      <c r="G344" s="2" t="s">
        <v>101</v>
      </c>
      <c r="H344" s="2">
        <v>1997</v>
      </c>
      <c r="I344" s="2" t="str">
        <f t="shared" si="27"/>
        <v>gHLPRBH</v>
      </c>
      <c r="J344" s="2" t="s">
        <v>2310</v>
      </c>
      <c r="K344" s="8" t="s">
        <v>2273</v>
      </c>
      <c r="L344"/>
      <c r="M344" s="2" t="s">
        <v>2270</v>
      </c>
      <c r="P344" s="2" t="s">
        <v>1127</v>
      </c>
      <c r="Q344" s="2" t="s">
        <v>1127</v>
      </c>
    </row>
    <row r="345" spans="1:17" ht="16.5" customHeight="1" x14ac:dyDescent="0.2">
      <c r="A345" s="28" t="s">
        <v>399</v>
      </c>
      <c r="B345" s="28" t="s">
        <v>2245</v>
      </c>
      <c r="C345" s="28" t="s">
        <v>4182</v>
      </c>
      <c r="D345" s="28" t="s">
        <v>1128</v>
      </c>
      <c r="E345" s="28" t="s">
        <v>1232</v>
      </c>
      <c r="F345" s="2">
        <v>8</v>
      </c>
      <c r="G345" s="2" t="s">
        <v>10</v>
      </c>
      <c r="H345" s="2">
        <v>1998</v>
      </c>
      <c r="I345" s="2" t="str">
        <f t="shared" si="27"/>
        <v>hHLPRBH</v>
      </c>
      <c r="J345" s="2" t="s">
        <v>2310</v>
      </c>
      <c r="K345" s="8" t="s">
        <v>2273</v>
      </c>
      <c r="L345"/>
      <c r="M345" s="2" t="s">
        <v>2270</v>
      </c>
      <c r="P345" s="2" t="s">
        <v>1127</v>
      </c>
      <c r="Q345" s="2" t="s">
        <v>1127</v>
      </c>
    </row>
    <row r="346" spans="1:17" ht="16.5" customHeight="1" x14ac:dyDescent="0.2">
      <c r="A346" s="28" t="s">
        <v>399</v>
      </c>
      <c r="B346" s="28" t="s">
        <v>2247</v>
      </c>
      <c r="C346" s="28" t="s">
        <v>4182</v>
      </c>
      <c r="D346" s="28" t="s">
        <v>1128</v>
      </c>
      <c r="E346" s="28" t="s">
        <v>1232</v>
      </c>
      <c r="F346" s="2">
        <v>9</v>
      </c>
      <c r="G346" s="2" t="s">
        <v>55</v>
      </c>
      <c r="H346" s="2">
        <v>1999</v>
      </c>
      <c r="I346" s="2" t="str">
        <f t="shared" si="27"/>
        <v>iHLPRBH</v>
      </c>
      <c r="J346" s="2" t="s">
        <v>2310</v>
      </c>
      <c r="K346" s="8" t="s">
        <v>2273</v>
      </c>
      <c r="L346"/>
      <c r="M346" s="2" t="s">
        <v>2270</v>
      </c>
      <c r="P346" s="2" t="s">
        <v>1127</v>
      </c>
      <c r="Q346" s="2" t="s">
        <v>1127</v>
      </c>
    </row>
    <row r="347" spans="1:17" ht="16.5" customHeight="1" x14ac:dyDescent="0.2">
      <c r="A347" s="28" t="s">
        <v>399</v>
      </c>
      <c r="B347" s="28" t="s">
        <v>2249</v>
      </c>
      <c r="C347" s="28" t="s">
        <v>4182</v>
      </c>
      <c r="D347" s="28" t="s">
        <v>1128</v>
      </c>
      <c r="E347" s="28" t="s">
        <v>1232</v>
      </c>
      <c r="F347" s="2">
        <v>10</v>
      </c>
      <c r="G347" s="2" t="s">
        <v>98</v>
      </c>
      <c r="H347" s="2">
        <v>2000</v>
      </c>
      <c r="I347" s="2" t="str">
        <f t="shared" si="27"/>
        <v>jHLPRBH</v>
      </c>
      <c r="J347" s="2" t="s">
        <v>2310</v>
      </c>
      <c r="K347" s="8" t="s">
        <v>2273</v>
      </c>
      <c r="L347"/>
      <c r="M347" s="2" t="s">
        <v>2270</v>
      </c>
      <c r="P347" s="2" t="s">
        <v>1127</v>
      </c>
      <c r="Q347" s="2" t="s">
        <v>1127</v>
      </c>
    </row>
    <row r="348" spans="1:17" ht="16.5" customHeight="1" x14ac:dyDescent="0.2">
      <c r="A348" s="28" t="s">
        <v>399</v>
      </c>
      <c r="B348" s="28" t="s">
        <v>2251</v>
      </c>
      <c r="C348" s="28" t="s">
        <v>4182</v>
      </c>
      <c r="D348" s="28" t="s">
        <v>1128</v>
      </c>
      <c r="E348" s="28" t="s">
        <v>1232</v>
      </c>
      <c r="F348" s="2">
        <v>11</v>
      </c>
      <c r="G348" s="2" t="s">
        <v>104</v>
      </c>
      <c r="H348" s="2">
        <v>2001</v>
      </c>
      <c r="I348" s="2" t="str">
        <f t="shared" si="27"/>
        <v>kHLPRBH</v>
      </c>
      <c r="J348" s="2" t="s">
        <v>2310</v>
      </c>
      <c r="K348" s="8" t="s">
        <v>2273</v>
      </c>
      <c r="L348"/>
      <c r="M348" s="2" t="s">
        <v>2270</v>
      </c>
      <c r="P348" s="2" t="s">
        <v>1127</v>
      </c>
      <c r="Q348" s="2" t="s">
        <v>1127</v>
      </c>
    </row>
    <row r="349" spans="1:17" ht="16.5" customHeight="1" x14ac:dyDescent="0.2">
      <c r="A349" s="28" t="s">
        <v>399</v>
      </c>
      <c r="B349" s="28" t="s">
        <v>2253</v>
      </c>
      <c r="C349" s="28" t="s">
        <v>4182</v>
      </c>
      <c r="D349" s="28" t="s">
        <v>1128</v>
      </c>
      <c r="E349" s="28" t="s">
        <v>1232</v>
      </c>
      <c r="F349" s="2">
        <v>12</v>
      </c>
      <c r="G349" s="2" t="s">
        <v>89</v>
      </c>
      <c r="H349" s="2">
        <v>2002</v>
      </c>
      <c r="I349" s="2" t="str">
        <f t="shared" si="27"/>
        <v>lHLPRBH</v>
      </c>
      <c r="J349" s="2" t="s">
        <v>2310</v>
      </c>
      <c r="K349" s="8" t="s">
        <v>2273</v>
      </c>
      <c r="L349"/>
      <c r="M349" s="2" t="s">
        <v>2270</v>
      </c>
      <c r="P349" s="2" t="s">
        <v>1127</v>
      </c>
      <c r="Q349" s="2" t="s">
        <v>1127</v>
      </c>
    </row>
    <row r="350" spans="1:17" ht="16.5" customHeight="1" x14ac:dyDescent="0.2">
      <c r="A350" s="28" t="s">
        <v>399</v>
      </c>
      <c r="B350" s="28" t="s">
        <v>2255</v>
      </c>
      <c r="C350" s="28" t="s">
        <v>4182</v>
      </c>
      <c r="D350" s="28" t="s">
        <v>1128</v>
      </c>
      <c r="E350" s="28" t="s">
        <v>1232</v>
      </c>
      <c r="F350" s="2">
        <v>13</v>
      </c>
      <c r="G350" s="2" t="s">
        <v>107</v>
      </c>
      <c r="H350" s="2">
        <v>2003</v>
      </c>
      <c r="I350" s="2" t="str">
        <f t="shared" si="27"/>
        <v>mHLPRBH</v>
      </c>
      <c r="J350" s="2" t="s">
        <v>2310</v>
      </c>
      <c r="K350" s="8" t="s">
        <v>2273</v>
      </c>
      <c r="L350"/>
      <c r="M350" s="2" t="s">
        <v>2270</v>
      </c>
      <c r="P350" s="2" t="s">
        <v>1127</v>
      </c>
      <c r="Q350" s="2" t="s">
        <v>1127</v>
      </c>
    </row>
    <row r="351" spans="1:17" ht="16.5" customHeight="1" x14ac:dyDescent="0.2">
      <c r="A351" s="28" t="s">
        <v>399</v>
      </c>
      <c r="B351" s="28" t="s">
        <v>2257</v>
      </c>
      <c r="C351" s="28" t="s">
        <v>4182</v>
      </c>
      <c r="D351" s="28" t="s">
        <v>1128</v>
      </c>
      <c r="E351" s="28" t="s">
        <v>1232</v>
      </c>
      <c r="F351" s="2">
        <v>14</v>
      </c>
      <c r="G351" s="2" t="s">
        <v>43</v>
      </c>
      <c r="H351" s="2">
        <v>2004</v>
      </c>
      <c r="I351" s="2" t="str">
        <f t="shared" si="27"/>
        <v>nHLPRBH</v>
      </c>
      <c r="J351" s="2" t="s">
        <v>2310</v>
      </c>
      <c r="K351" s="8" t="s">
        <v>2273</v>
      </c>
      <c r="L351"/>
      <c r="M351" s="2" t="s">
        <v>2270</v>
      </c>
      <c r="P351" s="2" t="s">
        <v>1127</v>
      </c>
      <c r="Q351" s="2" t="s">
        <v>1127</v>
      </c>
    </row>
    <row r="352" spans="1:17" ht="16.5" customHeight="1" x14ac:dyDescent="0.2">
      <c r="A352" s="28" t="s">
        <v>399</v>
      </c>
      <c r="B352" s="28" t="s">
        <v>2259</v>
      </c>
      <c r="C352" s="28" t="s">
        <v>4182</v>
      </c>
      <c r="D352" s="28" t="s">
        <v>1128</v>
      </c>
      <c r="E352" s="28" t="s">
        <v>1232</v>
      </c>
      <c r="F352" s="2">
        <v>15</v>
      </c>
      <c r="G352" s="2" t="s">
        <v>19</v>
      </c>
      <c r="H352" s="2">
        <v>2005</v>
      </c>
      <c r="I352" s="2" t="str">
        <f t="shared" si="27"/>
        <v>oHLPRBH</v>
      </c>
      <c r="J352" s="2" t="s">
        <v>2310</v>
      </c>
      <c r="K352" s="8" t="s">
        <v>2273</v>
      </c>
      <c r="L352"/>
      <c r="M352" s="2" t="s">
        <v>2270</v>
      </c>
      <c r="P352" s="2" t="s">
        <v>1127</v>
      </c>
      <c r="Q352" s="2" t="s">
        <v>1127</v>
      </c>
    </row>
    <row r="353" spans="1:17" ht="16.5" customHeight="1" x14ac:dyDescent="0.2">
      <c r="A353" s="28" t="s">
        <v>399</v>
      </c>
      <c r="B353" s="28" t="s">
        <v>2261</v>
      </c>
      <c r="C353" s="28" t="s">
        <v>4182</v>
      </c>
      <c r="D353" s="28" t="s">
        <v>1128</v>
      </c>
      <c r="E353" s="28" t="s">
        <v>1232</v>
      </c>
      <c r="F353" s="2">
        <v>16</v>
      </c>
      <c r="G353" s="2" t="s">
        <v>25</v>
      </c>
      <c r="H353" s="2">
        <v>2006</v>
      </c>
      <c r="I353" s="2" t="str">
        <f t="shared" si="27"/>
        <v>pHLPRBH</v>
      </c>
      <c r="J353" s="2" t="s">
        <v>2310</v>
      </c>
      <c r="K353" s="8" t="s">
        <v>2273</v>
      </c>
      <c r="L353"/>
      <c r="M353" s="2" t="s">
        <v>2270</v>
      </c>
      <c r="P353" s="2" t="s">
        <v>1127</v>
      </c>
      <c r="Q353" s="2" t="s">
        <v>1127</v>
      </c>
    </row>
    <row r="354" spans="1:17" ht="16.5" customHeight="1" x14ac:dyDescent="0.2">
      <c r="A354" s="28" t="s">
        <v>399</v>
      </c>
      <c r="B354" s="28" t="s">
        <v>2263</v>
      </c>
      <c r="C354" s="28" t="s">
        <v>4182</v>
      </c>
      <c r="D354" s="28" t="s">
        <v>1128</v>
      </c>
      <c r="E354" s="28" t="s">
        <v>1232</v>
      </c>
      <c r="F354" s="2">
        <v>17</v>
      </c>
      <c r="G354" s="2" t="s">
        <v>73</v>
      </c>
      <c r="H354" s="2">
        <v>2007</v>
      </c>
      <c r="I354" s="2" t="str">
        <f t="shared" si="27"/>
        <v>qHLPRBH</v>
      </c>
      <c r="J354" s="2" t="s">
        <v>2310</v>
      </c>
      <c r="K354" s="8" t="s">
        <v>2273</v>
      </c>
      <c r="L354"/>
      <c r="M354" s="2" t="s">
        <v>2270</v>
      </c>
      <c r="P354" s="2" t="s">
        <v>1127</v>
      </c>
      <c r="Q354" s="2" t="s">
        <v>1127</v>
      </c>
    </row>
    <row r="355" spans="1:17" ht="16.5" customHeight="1" x14ac:dyDescent="0.2">
      <c r="A355" s="28" t="s">
        <v>399</v>
      </c>
      <c r="B355" s="28" t="s">
        <v>2265</v>
      </c>
      <c r="C355" s="28" t="s">
        <v>4182</v>
      </c>
      <c r="D355" s="28" t="s">
        <v>1128</v>
      </c>
      <c r="E355" s="28" t="s">
        <v>1232</v>
      </c>
      <c r="F355" s="2">
        <v>18</v>
      </c>
      <c r="G355" s="2" t="s">
        <v>58</v>
      </c>
      <c r="H355" s="2">
        <v>2008</v>
      </c>
      <c r="I355" s="2" t="str">
        <f t="shared" si="27"/>
        <v>rHLPRBH</v>
      </c>
      <c r="J355" s="2" t="s">
        <v>2310</v>
      </c>
      <c r="K355" s="8" t="s">
        <v>2273</v>
      </c>
      <c r="L355"/>
      <c r="M355" s="2" t="s">
        <v>2270</v>
      </c>
      <c r="P355" s="2" t="s">
        <v>1127</v>
      </c>
      <c r="Q355" s="2" t="s">
        <v>1127</v>
      </c>
    </row>
    <row r="356" spans="1:17" ht="16.5" customHeight="1" x14ac:dyDescent="0.2">
      <c r="A356" s="28" t="s">
        <v>399</v>
      </c>
      <c r="B356" s="28" t="s">
        <v>2227</v>
      </c>
      <c r="C356" s="28" t="s">
        <v>4182</v>
      </c>
      <c r="D356" s="28" t="s">
        <v>1128</v>
      </c>
      <c r="E356" s="28" t="s">
        <v>2311</v>
      </c>
      <c r="F356" s="2">
        <v>1</v>
      </c>
      <c r="G356" s="2" t="s">
        <v>40</v>
      </c>
      <c r="H356" s="2">
        <v>1991</v>
      </c>
      <c r="I356" s="2" t="str">
        <f t="shared" ref="I356:I373" si="28">_xlfn.CONCAT(G356,"HLPRBK")</f>
        <v>aHLPRBK</v>
      </c>
      <c r="J356" s="2" t="s">
        <v>2312</v>
      </c>
      <c r="K356" s="8" t="s">
        <v>2273</v>
      </c>
      <c r="L356"/>
      <c r="M356" s="2" t="s">
        <v>2270</v>
      </c>
      <c r="P356" s="2" t="s">
        <v>1127</v>
      </c>
      <c r="Q356" s="2" t="s">
        <v>1127</v>
      </c>
    </row>
    <row r="357" spans="1:17" ht="16.5" customHeight="1" x14ac:dyDescent="0.2">
      <c r="A357" s="28" t="s">
        <v>399</v>
      </c>
      <c r="B357" s="28" t="s">
        <v>2233</v>
      </c>
      <c r="C357" s="28" t="s">
        <v>4182</v>
      </c>
      <c r="D357" s="28" t="s">
        <v>1128</v>
      </c>
      <c r="E357" s="28" t="s">
        <v>2311</v>
      </c>
      <c r="F357" s="2">
        <v>2</v>
      </c>
      <c r="G357" s="2" t="s">
        <v>37</v>
      </c>
      <c r="H357" s="2">
        <v>1992</v>
      </c>
      <c r="I357" s="2" t="str">
        <f t="shared" si="28"/>
        <v>bHLPRBK</v>
      </c>
      <c r="J357" s="2" t="s">
        <v>2312</v>
      </c>
      <c r="K357" s="8" t="s">
        <v>2273</v>
      </c>
      <c r="L357"/>
      <c r="M357" s="2" t="s">
        <v>2270</v>
      </c>
      <c r="P357" s="2" t="s">
        <v>1127</v>
      </c>
      <c r="Q357" s="2" t="s">
        <v>1127</v>
      </c>
    </row>
    <row r="358" spans="1:17" ht="16.5" customHeight="1" x14ac:dyDescent="0.2">
      <c r="A358" s="28" t="s">
        <v>399</v>
      </c>
      <c r="B358" s="28" t="s">
        <v>2235</v>
      </c>
      <c r="C358" s="28" t="s">
        <v>4182</v>
      </c>
      <c r="D358" s="28" t="s">
        <v>1128</v>
      </c>
      <c r="E358" s="28" t="s">
        <v>2311</v>
      </c>
      <c r="F358" s="2">
        <v>3</v>
      </c>
      <c r="G358" s="2" t="s">
        <v>80</v>
      </c>
      <c r="H358" s="2">
        <v>1993</v>
      </c>
      <c r="I358" s="2" t="str">
        <f t="shared" si="28"/>
        <v>cHLPRBK</v>
      </c>
      <c r="J358" s="2" t="s">
        <v>2312</v>
      </c>
      <c r="K358" s="8" t="s">
        <v>2273</v>
      </c>
      <c r="L358"/>
      <c r="M358" s="2" t="s">
        <v>2270</v>
      </c>
      <c r="P358" s="2" t="s">
        <v>1127</v>
      </c>
      <c r="Q358" s="2" t="s">
        <v>1127</v>
      </c>
    </row>
    <row r="359" spans="1:17" ht="16.5" customHeight="1" x14ac:dyDescent="0.2">
      <c r="A359" s="28" t="s">
        <v>399</v>
      </c>
      <c r="B359" s="28" t="s">
        <v>2237</v>
      </c>
      <c r="C359" s="28" t="s">
        <v>4182</v>
      </c>
      <c r="D359" s="28" t="s">
        <v>1128</v>
      </c>
      <c r="E359" s="28" t="s">
        <v>2311</v>
      </c>
      <c r="F359" s="2">
        <v>4</v>
      </c>
      <c r="G359" s="2" t="s">
        <v>31</v>
      </c>
      <c r="H359" s="2">
        <v>1994</v>
      </c>
      <c r="I359" s="2" t="str">
        <f t="shared" si="28"/>
        <v>dHLPRBK</v>
      </c>
      <c r="J359" s="2" t="s">
        <v>2312</v>
      </c>
      <c r="K359" s="8" t="s">
        <v>2273</v>
      </c>
      <c r="L359"/>
      <c r="M359" s="2" t="s">
        <v>2270</v>
      </c>
      <c r="P359" s="2" t="s">
        <v>1127</v>
      </c>
      <c r="Q359" s="2" t="s">
        <v>1127</v>
      </c>
    </row>
    <row r="360" spans="1:17" ht="16.5" customHeight="1" x14ac:dyDescent="0.2">
      <c r="A360" s="28" t="s">
        <v>399</v>
      </c>
      <c r="B360" s="28" t="s">
        <v>2239</v>
      </c>
      <c r="C360" s="28" t="s">
        <v>4182</v>
      </c>
      <c r="D360" s="28" t="s">
        <v>1128</v>
      </c>
      <c r="E360" s="28" t="s">
        <v>2311</v>
      </c>
      <c r="F360" s="2">
        <v>5</v>
      </c>
      <c r="G360" s="2" t="s">
        <v>13</v>
      </c>
      <c r="H360" s="2">
        <v>1995</v>
      </c>
      <c r="I360" s="2" t="str">
        <f t="shared" si="28"/>
        <v>eHLPRBK</v>
      </c>
      <c r="J360" s="2" t="s">
        <v>2312</v>
      </c>
      <c r="K360" s="8" t="s">
        <v>2273</v>
      </c>
      <c r="L360"/>
      <c r="M360" s="2" t="s">
        <v>2270</v>
      </c>
      <c r="P360" s="2" t="s">
        <v>1127</v>
      </c>
      <c r="Q360" s="2" t="s">
        <v>1127</v>
      </c>
    </row>
    <row r="361" spans="1:17" ht="16.5" customHeight="1" x14ac:dyDescent="0.2">
      <c r="A361" s="28" t="s">
        <v>399</v>
      </c>
      <c r="B361" s="28" t="s">
        <v>2241</v>
      </c>
      <c r="C361" s="28" t="s">
        <v>4182</v>
      </c>
      <c r="D361" s="28" t="s">
        <v>1128</v>
      </c>
      <c r="E361" s="28" t="s">
        <v>2311</v>
      </c>
      <c r="F361" s="2">
        <v>6</v>
      </c>
      <c r="G361" s="2" t="s">
        <v>49</v>
      </c>
      <c r="H361" s="2">
        <v>1996</v>
      </c>
      <c r="I361" s="2" t="str">
        <f t="shared" si="28"/>
        <v>fHLPRBK</v>
      </c>
      <c r="J361" s="2" t="s">
        <v>2312</v>
      </c>
      <c r="K361" s="8" t="s">
        <v>2273</v>
      </c>
      <c r="L361"/>
      <c r="M361" s="2" t="s">
        <v>2270</v>
      </c>
      <c r="P361" s="2" t="s">
        <v>1127</v>
      </c>
      <c r="Q361" s="2" t="s">
        <v>1127</v>
      </c>
    </row>
    <row r="362" spans="1:17" ht="16.5" customHeight="1" x14ac:dyDescent="0.2">
      <c r="A362" s="28" t="s">
        <v>399</v>
      </c>
      <c r="B362" s="28" t="s">
        <v>2243</v>
      </c>
      <c r="C362" s="28" t="s">
        <v>4182</v>
      </c>
      <c r="D362" s="28" t="s">
        <v>1128</v>
      </c>
      <c r="E362" s="28" t="s">
        <v>2311</v>
      </c>
      <c r="F362" s="2">
        <v>7</v>
      </c>
      <c r="G362" s="2" t="s">
        <v>101</v>
      </c>
      <c r="H362" s="2">
        <v>1997</v>
      </c>
      <c r="I362" s="2" t="str">
        <f t="shared" si="28"/>
        <v>gHLPRBK</v>
      </c>
      <c r="J362" s="2" t="s">
        <v>2312</v>
      </c>
      <c r="K362" s="8" t="s">
        <v>2273</v>
      </c>
      <c r="L362"/>
      <c r="M362" s="2" t="s">
        <v>2270</v>
      </c>
      <c r="P362" s="2" t="s">
        <v>1127</v>
      </c>
      <c r="Q362" s="2" t="s">
        <v>1127</v>
      </c>
    </row>
    <row r="363" spans="1:17" ht="16.5" customHeight="1" x14ac:dyDescent="0.2">
      <c r="A363" s="28" t="s">
        <v>399</v>
      </c>
      <c r="B363" s="28" t="s">
        <v>2245</v>
      </c>
      <c r="C363" s="28" t="s">
        <v>4182</v>
      </c>
      <c r="D363" s="28" t="s">
        <v>1128</v>
      </c>
      <c r="E363" s="28" t="s">
        <v>2311</v>
      </c>
      <c r="F363" s="2">
        <v>8</v>
      </c>
      <c r="G363" s="2" t="s">
        <v>10</v>
      </c>
      <c r="H363" s="2">
        <v>1998</v>
      </c>
      <c r="I363" s="2" t="str">
        <f t="shared" si="28"/>
        <v>hHLPRBK</v>
      </c>
      <c r="J363" s="2" t="s">
        <v>2312</v>
      </c>
      <c r="K363" s="8" t="s">
        <v>2273</v>
      </c>
      <c r="L363"/>
      <c r="M363" s="2" t="s">
        <v>2270</v>
      </c>
      <c r="P363" s="2" t="s">
        <v>1127</v>
      </c>
      <c r="Q363" s="2" t="s">
        <v>1127</v>
      </c>
    </row>
    <row r="364" spans="1:17" ht="16.5" customHeight="1" x14ac:dyDescent="0.2">
      <c r="A364" s="28" t="s">
        <v>399</v>
      </c>
      <c r="B364" s="28" t="s">
        <v>2247</v>
      </c>
      <c r="C364" s="28" t="s">
        <v>4182</v>
      </c>
      <c r="D364" s="28" t="s">
        <v>1128</v>
      </c>
      <c r="E364" s="28" t="s">
        <v>2311</v>
      </c>
      <c r="F364" s="2">
        <v>9</v>
      </c>
      <c r="G364" s="2" t="s">
        <v>55</v>
      </c>
      <c r="H364" s="2">
        <v>1999</v>
      </c>
      <c r="I364" s="2" t="str">
        <f t="shared" si="28"/>
        <v>iHLPRBK</v>
      </c>
      <c r="J364" s="2" t="s">
        <v>2312</v>
      </c>
      <c r="K364" s="8" t="s">
        <v>2273</v>
      </c>
      <c r="L364"/>
      <c r="M364" s="2" t="s">
        <v>2270</v>
      </c>
      <c r="P364" s="2" t="s">
        <v>1127</v>
      </c>
      <c r="Q364" s="2" t="s">
        <v>1127</v>
      </c>
    </row>
    <row r="365" spans="1:17" ht="16.5" customHeight="1" x14ac:dyDescent="0.2">
      <c r="A365" s="28" t="s">
        <v>399</v>
      </c>
      <c r="B365" s="28" t="s">
        <v>2249</v>
      </c>
      <c r="C365" s="28" t="s">
        <v>4182</v>
      </c>
      <c r="D365" s="28" t="s">
        <v>1128</v>
      </c>
      <c r="E365" s="28" t="s">
        <v>2311</v>
      </c>
      <c r="F365" s="2">
        <v>10</v>
      </c>
      <c r="G365" s="2" t="s">
        <v>98</v>
      </c>
      <c r="H365" s="2">
        <v>2000</v>
      </c>
      <c r="I365" s="2" t="str">
        <f t="shared" si="28"/>
        <v>jHLPRBK</v>
      </c>
      <c r="J365" s="2" t="s">
        <v>2312</v>
      </c>
      <c r="K365" s="8" t="s">
        <v>2273</v>
      </c>
      <c r="L365"/>
      <c r="M365" s="2" t="s">
        <v>2270</v>
      </c>
      <c r="P365" s="2" t="s">
        <v>1127</v>
      </c>
      <c r="Q365" s="2" t="s">
        <v>1127</v>
      </c>
    </row>
    <row r="366" spans="1:17" ht="16.5" customHeight="1" x14ac:dyDescent="0.2">
      <c r="A366" s="28" t="s">
        <v>399</v>
      </c>
      <c r="B366" s="28" t="s">
        <v>2251</v>
      </c>
      <c r="C366" s="28" t="s">
        <v>4182</v>
      </c>
      <c r="D366" s="28" t="s">
        <v>1128</v>
      </c>
      <c r="E366" s="28" t="s">
        <v>2311</v>
      </c>
      <c r="F366" s="2">
        <v>11</v>
      </c>
      <c r="G366" s="2" t="s">
        <v>104</v>
      </c>
      <c r="H366" s="2">
        <v>2001</v>
      </c>
      <c r="I366" s="2" t="str">
        <f t="shared" si="28"/>
        <v>kHLPRBK</v>
      </c>
      <c r="J366" s="2" t="s">
        <v>2312</v>
      </c>
      <c r="K366" s="8" t="s">
        <v>2273</v>
      </c>
      <c r="L366"/>
      <c r="M366" s="2" t="s">
        <v>2270</v>
      </c>
      <c r="P366" s="2" t="s">
        <v>1127</v>
      </c>
      <c r="Q366" s="2" t="s">
        <v>1127</v>
      </c>
    </row>
    <row r="367" spans="1:17" ht="16.5" customHeight="1" x14ac:dyDescent="0.2">
      <c r="A367" s="28" t="s">
        <v>399</v>
      </c>
      <c r="B367" s="28" t="s">
        <v>2253</v>
      </c>
      <c r="C367" s="28" t="s">
        <v>4182</v>
      </c>
      <c r="D367" s="28" t="s">
        <v>1128</v>
      </c>
      <c r="E367" s="28" t="s">
        <v>2311</v>
      </c>
      <c r="F367" s="2">
        <v>12</v>
      </c>
      <c r="G367" s="2" t="s">
        <v>89</v>
      </c>
      <c r="H367" s="2">
        <v>2002</v>
      </c>
      <c r="I367" s="2" t="str">
        <f t="shared" si="28"/>
        <v>lHLPRBK</v>
      </c>
      <c r="J367" s="2" t="s">
        <v>2312</v>
      </c>
      <c r="K367" s="8" t="s">
        <v>2273</v>
      </c>
      <c r="L367"/>
      <c r="M367" s="2" t="s">
        <v>2270</v>
      </c>
      <c r="P367" s="2" t="s">
        <v>1127</v>
      </c>
      <c r="Q367" s="2" t="s">
        <v>1127</v>
      </c>
    </row>
    <row r="368" spans="1:17" ht="16.5" customHeight="1" x14ac:dyDescent="0.2">
      <c r="A368" s="28" t="s">
        <v>399</v>
      </c>
      <c r="B368" s="28" t="s">
        <v>2255</v>
      </c>
      <c r="C368" s="28" t="s">
        <v>4182</v>
      </c>
      <c r="D368" s="28" t="s">
        <v>1128</v>
      </c>
      <c r="E368" s="28" t="s">
        <v>2311</v>
      </c>
      <c r="F368" s="2">
        <v>13</v>
      </c>
      <c r="G368" s="2" t="s">
        <v>107</v>
      </c>
      <c r="H368" s="2">
        <v>2003</v>
      </c>
      <c r="I368" s="2" t="str">
        <f t="shared" si="28"/>
        <v>mHLPRBK</v>
      </c>
      <c r="J368" s="2" t="s">
        <v>2312</v>
      </c>
      <c r="K368" s="8" t="s">
        <v>2273</v>
      </c>
      <c r="L368"/>
      <c r="M368" s="2" t="s">
        <v>2270</v>
      </c>
      <c r="P368" s="2" t="s">
        <v>1127</v>
      </c>
      <c r="Q368" s="2" t="s">
        <v>1127</v>
      </c>
    </row>
    <row r="369" spans="1:17" ht="16.5" customHeight="1" x14ac:dyDescent="0.2">
      <c r="A369" s="28" t="s">
        <v>399</v>
      </c>
      <c r="B369" s="28" t="s">
        <v>2257</v>
      </c>
      <c r="C369" s="28" t="s">
        <v>4182</v>
      </c>
      <c r="D369" s="28" t="s">
        <v>1128</v>
      </c>
      <c r="E369" s="28" t="s">
        <v>2311</v>
      </c>
      <c r="F369" s="2">
        <v>14</v>
      </c>
      <c r="G369" s="2" t="s">
        <v>43</v>
      </c>
      <c r="H369" s="2">
        <v>2004</v>
      </c>
      <c r="I369" s="2" t="str">
        <f t="shared" si="28"/>
        <v>nHLPRBK</v>
      </c>
      <c r="J369" s="2" t="s">
        <v>2312</v>
      </c>
      <c r="K369" s="8" t="s">
        <v>2273</v>
      </c>
      <c r="L369"/>
      <c r="M369" s="2" t="s">
        <v>2270</v>
      </c>
      <c r="P369" s="2" t="s">
        <v>1127</v>
      </c>
      <c r="Q369" s="2" t="s">
        <v>1127</v>
      </c>
    </row>
    <row r="370" spans="1:17" ht="16.5" customHeight="1" x14ac:dyDescent="0.2">
      <c r="A370" s="28" t="s">
        <v>399</v>
      </c>
      <c r="B370" s="28" t="s">
        <v>2259</v>
      </c>
      <c r="C370" s="28" t="s">
        <v>4182</v>
      </c>
      <c r="D370" s="28" t="s">
        <v>1128</v>
      </c>
      <c r="E370" s="28" t="s">
        <v>2311</v>
      </c>
      <c r="F370" s="2">
        <v>15</v>
      </c>
      <c r="G370" s="2" t="s">
        <v>19</v>
      </c>
      <c r="H370" s="2">
        <v>2005</v>
      </c>
      <c r="I370" s="2" t="str">
        <f t="shared" si="28"/>
        <v>oHLPRBK</v>
      </c>
      <c r="J370" s="2" t="s">
        <v>2312</v>
      </c>
      <c r="K370" s="8" t="s">
        <v>2273</v>
      </c>
      <c r="L370"/>
      <c r="M370" s="2" t="s">
        <v>2270</v>
      </c>
      <c r="P370" s="2" t="s">
        <v>1127</v>
      </c>
      <c r="Q370" s="2" t="s">
        <v>1127</v>
      </c>
    </row>
    <row r="371" spans="1:17" ht="16.5" customHeight="1" x14ac:dyDescent="0.2">
      <c r="A371" s="28" t="s">
        <v>399</v>
      </c>
      <c r="B371" s="28" t="s">
        <v>2261</v>
      </c>
      <c r="C371" s="28" t="s">
        <v>4182</v>
      </c>
      <c r="D371" s="28" t="s">
        <v>1128</v>
      </c>
      <c r="E371" s="28" t="s">
        <v>2311</v>
      </c>
      <c r="F371" s="2">
        <v>16</v>
      </c>
      <c r="G371" s="2" t="s">
        <v>25</v>
      </c>
      <c r="H371" s="2">
        <v>2006</v>
      </c>
      <c r="I371" s="2" t="str">
        <f t="shared" si="28"/>
        <v>pHLPRBK</v>
      </c>
      <c r="J371" s="2" t="s">
        <v>2312</v>
      </c>
      <c r="K371" s="8" t="s">
        <v>2273</v>
      </c>
      <c r="L371"/>
      <c r="M371" s="2" t="s">
        <v>2270</v>
      </c>
      <c r="P371" s="2" t="s">
        <v>1127</v>
      </c>
      <c r="Q371" s="2" t="s">
        <v>1127</v>
      </c>
    </row>
    <row r="372" spans="1:17" ht="16.5" customHeight="1" x14ac:dyDescent="0.2">
      <c r="A372" s="28" t="s">
        <v>399</v>
      </c>
      <c r="B372" s="28" t="s">
        <v>2263</v>
      </c>
      <c r="C372" s="28" t="s">
        <v>4182</v>
      </c>
      <c r="D372" s="28" t="s">
        <v>1128</v>
      </c>
      <c r="E372" s="28" t="s">
        <v>2311</v>
      </c>
      <c r="F372" s="2">
        <v>17</v>
      </c>
      <c r="G372" s="2" t="s">
        <v>73</v>
      </c>
      <c r="H372" s="2">
        <v>2007</v>
      </c>
      <c r="I372" s="2" t="str">
        <f t="shared" si="28"/>
        <v>qHLPRBK</v>
      </c>
      <c r="J372" s="2" t="s">
        <v>2312</v>
      </c>
      <c r="K372" s="8" t="s">
        <v>2273</v>
      </c>
      <c r="L372"/>
      <c r="M372" s="2" t="s">
        <v>2270</v>
      </c>
      <c r="P372" s="2" t="s">
        <v>1127</v>
      </c>
      <c r="Q372" s="2" t="s">
        <v>1127</v>
      </c>
    </row>
    <row r="373" spans="1:17" ht="16.5" customHeight="1" x14ac:dyDescent="0.2">
      <c r="A373" s="28" t="s">
        <v>399</v>
      </c>
      <c r="B373" s="28" t="s">
        <v>2265</v>
      </c>
      <c r="C373" s="28" t="s">
        <v>4182</v>
      </c>
      <c r="D373" s="28" t="s">
        <v>1128</v>
      </c>
      <c r="E373" s="28" t="s">
        <v>2311</v>
      </c>
      <c r="F373" s="2">
        <v>18</v>
      </c>
      <c r="G373" s="2" t="s">
        <v>58</v>
      </c>
      <c r="H373" s="2">
        <v>2008</v>
      </c>
      <c r="I373" s="2" t="str">
        <f t="shared" si="28"/>
        <v>rHLPRBK</v>
      </c>
      <c r="J373" s="2" t="s">
        <v>2312</v>
      </c>
      <c r="K373" s="8" t="s">
        <v>2273</v>
      </c>
      <c r="L373"/>
      <c r="M373" s="2" t="s">
        <v>2270</v>
      </c>
      <c r="P373" s="2" t="s">
        <v>1127</v>
      </c>
      <c r="Q373" s="2" t="s">
        <v>1127</v>
      </c>
    </row>
    <row r="374" spans="1:17" ht="16.5" customHeight="1" x14ac:dyDescent="0.2">
      <c r="A374" s="28" t="s">
        <v>399</v>
      </c>
      <c r="B374" s="28" t="s">
        <v>2227</v>
      </c>
      <c r="C374" s="28" t="s">
        <v>4182</v>
      </c>
      <c r="D374" s="28" t="s">
        <v>1128</v>
      </c>
      <c r="E374" s="28" t="s">
        <v>1610</v>
      </c>
      <c r="F374" s="2">
        <v>1</v>
      </c>
      <c r="G374" s="2" t="s">
        <v>40</v>
      </c>
      <c r="H374" s="2">
        <v>1991</v>
      </c>
      <c r="I374" s="2" t="str">
        <f t="shared" ref="I374:I391" si="29">_xlfn.CONCAT(G374,"HLPRBF")</f>
        <v>aHLPRBF</v>
      </c>
      <c r="J374" s="2" t="s">
        <v>2313</v>
      </c>
      <c r="K374" s="8" t="s">
        <v>2273</v>
      </c>
      <c r="L374"/>
      <c r="M374" s="2" t="s">
        <v>2270</v>
      </c>
      <c r="P374" s="2" t="s">
        <v>1127</v>
      </c>
      <c r="Q374" s="2" t="s">
        <v>1127</v>
      </c>
    </row>
    <row r="375" spans="1:17" ht="16.5" customHeight="1" x14ac:dyDescent="0.2">
      <c r="A375" s="28" t="s">
        <v>399</v>
      </c>
      <c r="B375" s="28" t="s">
        <v>2233</v>
      </c>
      <c r="C375" s="28" t="s">
        <v>4182</v>
      </c>
      <c r="D375" s="28" t="s">
        <v>1128</v>
      </c>
      <c r="E375" s="28" t="s">
        <v>1610</v>
      </c>
      <c r="F375" s="2">
        <v>2</v>
      </c>
      <c r="G375" s="2" t="s">
        <v>37</v>
      </c>
      <c r="H375" s="2">
        <v>1992</v>
      </c>
      <c r="I375" s="2" t="str">
        <f t="shared" si="29"/>
        <v>bHLPRBF</v>
      </c>
      <c r="J375" s="2" t="s">
        <v>2313</v>
      </c>
      <c r="K375" s="8" t="s">
        <v>2273</v>
      </c>
      <c r="L375"/>
      <c r="M375" s="2" t="s">
        <v>2270</v>
      </c>
      <c r="P375" s="2" t="s">
        <v>1127</v>
      </c>
      <c r="Q375" s="2" t="s">
        <v>1127</v>
      </c>
    </row>
    <row r="376" spans="1:17" ht="16.5" customHeight="1" x14ac:dyDescent="0.2">
      <c r="A376" s="28" t="s">
        <v>399</v>
      </c>
      <c r="B376" s="28" t="s">
        <v>2235</v>
      </c>
      <c r="C376" s="28" t="s">
        <v>4182</v>
      </c>
      <c r="D376" s="28" t="s">
        <v>1128</v>
      </c>
      <c r="E376" s="28" t="s">
        <v>1610</v>
      </c>
      <c r="F376" s="2">
        <v>3</v>
      </c>
      <c r="G376" s="2" t="s">
        <v>80</v>
      </c>
      <c r="H376" s="2">
        <v>1993</v>
      </c>
      <c r="I376" s="2" t="str">
        <f t="shared" si="29"/>
        <v>cHLPRBF</v>
      </c>
      <c r="J376" s="2" t="s">
        <v>2313</v>
      </c>
      <c r="K376" s="8" t="s">
        <v>2273</v>
      </c>
      <c r="L376"/>
      <c r="M376" s="2" t="s">
        <v>2270</v>
      </c>
      <c r="P376" s="2" t="s">
        <v>1127</v>
      </c>
      <c r="Q376" s="2" t="s">
        <v>1127</v>
      </c>
    </row>
    <row r="377" spans="1:17" ht="16.5" customHeight="1" x14ac:dyDescent="0.2">
      <c r="A377" s="28" t="s">
        <v>399</v>
      </c>
      <c r="B377" s="28" t="s">
        <v>2237</v>
      </c>
      <c r="C377" s="28" t="s">
        <v>4182</v>
      </c>
      <c r="D377" s="28" t="s">
        <v>1128</v>
      </c>
      <c r="E377" s="28" t="s">
        <v>1610</v>
      </c>
      <c r="F377" s="2">
        <v>4</v>
      </c>
      <c r="G377" s="2" t="s">
        <v>31</v>
      </c>
      <c r="H377" s="2">
        <v>1994</v>
      </c>
      <c r="I377" s="2" t="str">
        <f t="shared" si="29"/>
        <v>dHLPRBF</v>
      </c>
      <c r="J377" s="2" t="s">
        <v>2313</v>
      </c>
      <c r="K377" s="8" t="s">
        <v>2273</v>
      </c>
      <c r="L377"/>
      <c r="M377" s="2" t="s">
        <v>2270</v>
      </c>
      <c r="P377" s="2" t="s">
        <v>1127</v>
      </c>
      <c r="Q377" s="2" t="s">
        <v>1127</v>
      </c>
    </row>
    <row r="378" spans="1:17" ht="16.5" customHeight="1" x14ac:dyDescent="0.2">
      <c r="A378" s="28" t="s">
        <v>399</v>
      </c>
      <c r="B378" s="28" t="s">
        <v>2239</v>
      </c>
      <c r="C378" s="28" t="s">
        <v>4182</v>
      </c>
      <c r="D378" s="28" t="s">
        <v>1128</v>
      </c>
      <c r="E378" s="28" t="s">
        <v>1610</v>
      </c>
      <c r="F378" s="2">
        <v>5</v>
      </c>
      <c r="G378" s="2" t="s">
        <v>13</v>
      </c>
      <c r="H378" s="2">
        <v>1995</v>
      </c>
      <c r="I378" s="2" t="str">
        <f t="shared" si="29"/>
        <v>eHLPRBF</v>
      </c>
      <c r="J378" s="2" t="s">
        <v>2313</v>
      </c>
      <c r="K378" s="8" t="s">
        <v>2273</v>
      </c>
      <c r="L378"/>
      <c r="M378" s="2" t="s">
        <v>2270</v>
      </c>
      <c r="P378" s="2" t="s">
        <v>1127</v>
      </c>
      <c r="Q378" s="2" t="s">
        <v>1127</v>
      </c>
    </row>
    <row r="379" spans="1:17" ht="16.5" customHeight="1" x14ac:dyDescent="0.2">
      <c r="A379" s="28" t="s">
        <v>399</v>
      </c>
      <c r="B379" s="28" t="s">
        <v>2241</v>
      </c>
      <c r="C379" s="28" t="s">
        <v>4182</v>
      </c>
      <c r="D379" s="28" t="s">
        <v>1128</v>
      </c>
      <c r="E379" s="28" t="s">
        <v>1610</v>
      </c>
      <c r="F379" s="2">
        <v>6</v>
      </c>
      <c r="G379" s="2" t="s">
        <v>49</v>
      </c>
      <c r="H379" s="2">
        <v>1996</v>
      </c>
      <c r="I379" s="2" t="str">
        <f t="shared" si="29"/>
        <v>fHLPRBF</v>
      </c>
      <c r="J379" s="2" t="s">
        <v>2313</v>
      </c>
      <c r="K379" s="8" t="s">
        <v>2273</v>
      </c>
      <c r="L379"/>
      <c r="M379" s="2" t="s">
        <v>2270</v>
      </c>
      <c r="P379" s="2" t="s">
        <v>1127</v>
      </c>
      <c r="Q379" s="2" t="s">
        <v>1127</v>
      </c>
    </row>
    <row r="380" spans="1:17" ht="16.5" customHeight="1" x14ac:dyDescent="0.2">
      <c r="A380" s="28" t="s">
        <v>399</v>
      </c>
      <c r="B380" s="28" t="s">
        <v>2243</v>
      </c>
      <c r="C380" s="28" t="s">
        <v>4182</v>
      </c>
      <c r="D380" s="28" t="s">
        <v>1128</v>
      </c>
      <c r="E380" s="28" t="s">
        <v>1610</v>
      </c>
      <c r="F380" s="2">
        <v>7</v>
      </c>
      <c r="G380" s="2" t="s">
        <v>101</v>
      </c>
      <c r="H380" s="2">
        <v>1997</v>
      </c>
      <c r="I380" s="2" t="str">
        <f t="shared" si="29"/>
        <v>gHLPRBF</v>
      </c>
      <c r="J380" s="2" t="s">
        <v>2313</v>
      </c>
      <c r="K380" s="8" t="s">
        <v>2273</v>
      </c>
      <c r="L380"/>
      <c r="M380" s="2" t="s">
        <v>2270</v>
      </c>
      <c r="P380" s="2" t="s">
        <v>1127</v>
      </c>
      <c r="Q380" s="2" t="s">
        <v>1127</v>
      </c>
    </row>
    <row r="381" spans="1:17" ht="16.5" customHeight="1" x14ac:dyDescent="0.2">
      <c r="A381" s="28" t="s">
        <v>399</v>
      </c>
      <c r="B381" s="28" t="s">
        <v>2245</v>
      </c>
      <c r="C381" s="28" t="s">
        <v>4182</v>
      </c>
      <c r="D381" s="28" t="s">
        <v>1128</v>
      </c>
      <c r="E381" s="28" t="s">
        <v>1610</v>
      </c>
      <c r="F381" s="2">
        <v>8</v>
      </c>
      <c r="G381" s="2" t="s">
        <v>10</v>
      </c>
      <c r="H381" s="2">
        <v>1998</v>
      </c>
      <c r="I381" s="2" t="str">
        <f t="shared" si="29"/>
        <v>hHLPRBF</v>
      </c>
      <c r="J381" s="2" t="s">
        <v>2313</v>
      </c>
      <c r="K381" s="8" t="s">
        <v>2273</v>
      </c>
      <c r="L381"/>
      <c r="M381" s="2" t="s">
        <v>2270</v>
      </c>
      <c r="P381" s="2" t="s">
        <v>1127</v>
      </c>
      <c r="Q381" s="2" t="s">
        <v>1127</v>
      </c>
    </row>
    <row r="382" spans="1:17" ht="16.5" customHeight="1" x14ac:dyDescent="0.2">
      <c r="A382" s="28" t="s">
        <v>399</v>
      </c>
      <c r="B382" s="28" t="s">
        <v>2247</v>
      </c>
      <c r="C382" s="28" t="s">
        <v>4182</v>
      </c>
      <c r="D382" s="28" t="s">
        <v>1128</v>
      </c>
      <c r="E382" s="28" t="s">
        <v>1610</v>
      </c>
      <c r="F382" s="2">
        <v>9</v>
      </c>
      <c r="G382" s="2" t="s">
        <v>55</v>
      </c>
      <c r="H382" s="2">
        <v>1999</v>
      </c>
      <c r="I382" s="2" t="str">
        <f t="shared" si="29"/>
        <v>iHLPRBF</v>
      </c>
      <c r="J382" s="2" t="s">
        <v>2313</v>
      </c>
      <c r="K382" s="8" t="s">
        <v>2273</v>
      </c>
      <c r="L382"/>
      <c r="M382" s="2" t="s">
        <v>2270</v>
      </c>
      <c r="P382" s="2" t="s">
        <v>1127</v>
      </c>
      <c r="Q382" s="2" t="s">
        <v>1127</v>
      </c>
    </row>
    <row r="383" spans="1:17" ht="16.5" customHeight="1" x14ac:dyDescent="0.2">
      <c r="A383" s="28" t="s">
        <v>399</v>
      </c>
      <c r="B383" s="28" t="s">
        <v>2249</v>
      </c>
      <c r="C383" s="28" t="s">
        <v>4182</v>
      </c>
      <c r="D383" s="28" t="s">
        <v>1128</v>
      </c>
      <c r="E383" s="28" t="s">
        <v>1610</v>
      </c>
      <c r="F383" s="2">
        <v>10</v>
      </c>
      <c r="G383" s="2" t="s">
        <v>98</v>
      </c>
      <c r="H383" s="2">
        <v>2000</v>
      </c>
      <c r="I383" s="2" t="str">
        <f t="shared" si="29"/>
        <v>jHLPRBF</v>
      </c>
      <c r="J383" s="2" t="s">
        <v>2313</v>
      </c>
      <c r="K383" s="8" t="s">
        <v>2273</v>
      </c>
      <c r="L383"/>
      <c r="M383" s="2" t="s">
        <v>2270</v>
      </c>
      <c r="P383" s="2" t="s">
        <v>1127</v>
      </c>
      <c r="Q383" s="2" t="s">
        <v>1127</v>
      </c>
    </row>
    <row r="384" spans="1:17" ht="16.5" customHeight="1" x14ac:dyDescent="0.2">
      <c r="A384" s="28" t="s">
        <v>399</v>
      </c>
      <c r="B384" s="28" t="s">
        <v>2251</v>
      </c>
      <c r="C384" s="28" t="s">
        <v>4182</v>
      </c>
      <c r="D384" s="28" t="s">
        <v>1128</v>
      </c>
      <c r="E384" s="28" t="s">
        <v>1610</v>
      </c>
      <c r="F384" s="2">
        <v>11</v>
      </c>
      <c r="G384" s="2" t="s">
        <v>104</v>
      </c>
      <c r="H384" s="2">
        <v>2001</v>
      </c>
      <c r="I384" s="2" t="str">
        <f t="shared" si="29"/>
        <v>kHLPRBF</v>
      </c>
      <c r="J384" s="2" t="s">
        <v>2313</v>
      </c>
      <c r="K384" s="8" t="s">
        <v>2273</v>
      </c>
      <c r="L384"/>
      <c r="M384" s="2" t="s">
        <v>2270</v>
      </c>
      <c r="P384" s="2" t="s">
        <v>1127</v>
      </c>
      <c r="Q384" s="2" t="s">
        <v>1127</v>
      </c>
    </row>
    <row r="385" spans="1:17" ht="16.5" customHeight="1" x14ac:dyDescent="0.2">
      <c r="A385" s="28" t="s">
        <v>399</v>
      </c>
      <c r="B385" s="28" t="s">
        <v>2253</v>
      </c>
      <c r="C385" s="28" t="s">
        <v>4182</v>
      </c>
      <c r="D385" s="28" t="s">
        <v>1128</v>
      </c>
      <c r="E385" s="28" t="s">
        <v>1610</v>
      </c>
      <c r="F385" s="2">
        <v>12</v>
      </c>
      <c r="G385" s="2" t="s">
        <v>89</v>
      </c>
      <c r="H385" s="2">
        <v>2002</v>
      </c>
      <c r="I385" s="2" t="str">
        <f t="shared" si="29"/>
        <v>lHLPRBF</v>
      </c>
      <c r="J385" s="2" t="s">
        <v>2313</v>
      </c>
      <c r="K385" s="8" t="s">
        <v>2273</v>
      </c>
      <c r="L385"/>
      <c r="M385" s="2" t="s">
        <v>2270</v>
      </c>
      <c r="P385" s="2" t="s">
        <v>1127</v>
      </c>
      <c r="Q385" s="2" t="s">
        <v>1127</v>
      </c>
    </row>
    <row r="386" spans="1:17" ht="16.5" customHeight="1" x14ac:dyDescent="0.2">
      <c r="A386" s="28" t="s">
        <v>399</v>
      </c>
      <c r="B386" s="28" t="s">
        <v>2255</v>
      </c>
      <c r="C386" s="28" t="s">
        <v>4182</v>
      </c>
      <c r="D386" s="28" t="s">
        <v>1128</v>
      </c>
      <c r="E386" s="28" t="s">
        <v>1610</v>
      </c>
      <c r="F386" s="2">
        <v>13</v>
      </c>
      <c r="G386" s="2" t="s">
        <v>107</v>
      </c>
      <c r="H386" s="2">
        <v>2003</v>
      </c>
      <c r="I386" s="2" t="str">
        <f t="shared" si="29"/>
        <v>mHLPRBF</v>
      </c>
      <c r="J386" s="2" t="s">
        <v>2313</v>
      </c>
      <c r="K386" s="8" t="s">
        <v>2273</v>
      </c>
      <c r="L386"/>
      <c r="M386" s="2" t="s">
        <v>2270</v>
      </c>
      <c r="P386" s="2" t="s">
        <v>1127</v>
      </c>
      <c r="Q386" s="2" t="s">
        <v>1127</v>
      </c>
    </row>
    <row r="387" spans="1:17" ht="16.5" customHeight="1" x14ac:dyDescent="0.2">
      <c r="A387" s="28" t="s">
        <v>399</v>
      </c>
      <c r="B387" s="28" t="s">
        <v>2257</v>
      </c>
      <c r="C387" s="28" t="s">
        <v>4182</v>
      </c>
      <c r="D387" s="28" t="s">
        <v>1128</v>
      </c>
      <c r="E387" s="28" t="s">
        <v>1610</v>
      </c>
      <c r="F387" s="2">
        <v>14</v>
      </c>
      <c r="G387" s="2" t="s">
        <v>43</v>
      </c>
      <c r="H387" s="2">
        <v>2004</v>
      </c>
      <c r="I387" s="2" t="str">
        <f t="shared" si="29"/>
        <v>nHLPRBF</v>
      </c>
      <c r="J387" s="2" t="s">
        <v>2313</v>
      </c>
      <c r="K387" s="8" t="s">
        <v>2273</v>
      </c>
      <c r="L387"/>
      <c r="M387" s="2" t="s">
        <v>2270</v>
      </c>
      <c r="P387" s="2" t="s">
        <v>1127</v>
      </c>
      <c r="Q387" s="2" t="s">
        <v>1127</v>
      </c>
    </row>
    <row r="388" spans="1:17" ht="16.5" customHeight="1" x14ac:dyDescent="0.2">
      <c r="A388" s="28" t="s">
        <v>399</v>
      </c>
      <c r="B388" s="28" t="s">
        <v>2259</v>
      </c>
      <c r="C388" s="28" t="s">
        <v>4182</v>
      </c>
      <c r="D388" s="28" t="s">
        <v>1128</v>
      </c>
      <c r="E388" s="28" t="s">
        <v>1610</v>
      </c>
      <c r="F388" s="2">
        <v>15</v>
      </c>
      <c r="G388" s="2" t="s">
        <v>19</v>
      </c>
      <c r="H388" s="2">
        <v>2005</v>
      </c>
      <c r="I388" s="2" t="str">
        <f t="shared" si="29"/>
        <v>oHLPRBF</v>
      </c>
      <c r="J388" s="2" t="s">
        <v>2313</v>
      </c>
      <c r="K388" s="8" t="s">
        <v>2273</v>
      </c>
      <c r="L388"/>
      <c r="M388" s="2" t="s">
        <v>2270</v>
      </c>
      <c r="P388" s="2" t="s">
        <v>1127</v>
      </c>
      <c r="Q388" s="2" t="s">
        <v>1127</v>
      </c>
    </row>
    <row r="389" spans="1:17" ht="16.5" customHeight="1" x14ac:dyDescent="0.2">
      <c r="A389" s="28" t="s">
        <v>399</v>
      </c>
      <c r="B389" s="28" t="s">
        <v>2261</v>
      </c>
      <c r="C389" s="28" t="s">
        <v>4182</v>
      </c>
      <c r="D389" s="28" t="s">
        <v>1128</v>
      </c>
      <c r="E389" s="28" t="s">
        <v>1610</v>
      </c>
      <c r="F389" s="2">
        <v>16</v>
      </c>
      <c r="G389" s="2" t="s">
        <v>25</v>
      </c>
      <c r="H389" s="2">
        <v>2006</v>
      </c>
      <c r="I389" s="2" t="str">
        <f t="shared" si="29"/>
        <v>pHLPRBF</v>
      </c>
      <c r="J389" s="2" t="s">
        <v>2313</v>
      </c>
      <c r="K389" s="8" t="s">
        <v>2273</v>
      </c>
      <c r="L389"/>
      <c r="M389" s="2" t="s">
        <v>2270</v>
      </c>
      <c r="P389" s="2" t="s">
        <v>1127</v>
      </c>
      <c r="Q389" s="2" t="s">
        <v>1127</v>
      </c>
    </row>
    <row r="390" spans="1:17" ht="16.5" customHeight="1" x14ac:dyDescent="0.2">
      <c r="A390" s="28" t="s">
        <v>399</v>
      </c>
      <c r="B390" s="28" t="s">
        <v>2263</v>
      </c>
      <c r="C390" s="28" t="s">
        <v>4182</v>
      </c>
      <c r="D390" s="28" t="s">
        <v>1128</v>
      </c>
      <c r="E390" s="28" t="s">
        <v>1610</v>
      </c>
      <c r="F390" s="2">
        <v>17</v>
      </c>
      <c r="G390" s="2" t="s">
        <v>73</v>
      </c>
      <c r="H390" s="2">
        <v>2007</v>
      </c>
      <c r="I390" s="2" t="str">
        <f t="shared" si="29"/>
        <v>qHLPRBF</v>
      </c>
      <c r="J390" s="2" t="s">
        <v>2313</v>
      </c>
      <c r="K390" s="8" t="s">
        <v>2273</v>
      </c>
      <c r="L390"/>
      <c r="M390" s="2" t="s">
        <v>2270</v>
      </c>
      <c r="P390" s="2" t="s">
        <v>1127</v>
      </c>
      <c r="Q390" s="2" t="s">
        <v>1127</v>
      </c>
    </row>
    <row r="391" spans="1:17" ht="16.5" customHeight="1" x14ac:dyDescent="0.2">
      <c r="A391" s="28" t="s">
        <v>399</v>
      </c>
      <c r="B391" s="28" t="s">
        <v>2265</v>
      </c>
      <c r="C391" s="28" t="s">
        <v>4182</v>
      </c>
      <c r="D391" s="28" t="s">
        <v>1128</v>
      </c>
      <c r="E391" s="28" t="s">
        <v>1610</v>
      </c>
      <c r="F391" s="2">
        <v>18</v>
      </c>
      <c r="G391" s="2" t="s">
        <v>58</v>
      </c>
      <c r="H391" s="2">
        <v>2008</v>
      </c>
      <c r="I391" s="2" t="str">
        <f t="shared" si="29"/>
        <v>rHLPRBF</v>
      </c>
      <c r="J391" s="2" t="s">
        <v>2313</v>
      </c>
      <c r="K391" s="8" t="s">
        <v>2273</v>
      </c>
      <c r="L391"/>
      <c r="M391" s="2" t="s">
        <v>2270</v>
      </c>
      <c r="P391" s="2" t="s">
        <v>1127</v>
      </c>
      <c r="Q391" s="2" t="s">
        <v>1127</v>
      </c>
    </row>
    <row r="392" spans="1:17" ht="16.5" customHeight="1" x14ac:dyDescent="0.2">
      <c r="A392" s="28" t="s">
        <v>399</v>
      </c>
      <c r="B392" s="28" t="s">
        <v>2227</v>
      </c>
      <c r="C392" s="28" t="s">
        <v>4182</v>
      </c>
      <c r="D392" s="28" t="s">
        <v>1128</v>
      </c>
      <c r="E392" s="28" t="s">
        <v>2314</v>
      </c>
      <c r="F392" s="2">
        <v>1</v>
      </c>
      <c r="G392" s="2" t="s">
        <v>40</v>
      </c>
      <c r="H392" s="2">
        <v>1991</v>
      </c>
      <c r="I392" s="2" t="str">
        <f t="shared" ref="I392:I409" si="30">_xlfn.CONCAT(G392,"HLPRXF")</f>
        <v>aHLPRXF</v>
      </c>
      <c r="J392" s="2" t="s">
        <v>2315</v>
      </c>
      <c r="K392" s="8" t="s">
        <v>2273</v>
      </c>
      <c r="L392"/>
      <c r="M392" s="2" t="s">
        <v>2270</v>
      </c>
      <c r="P392" s="2" t="s">
        <v>1127</v>
      </c>
      <c r="Q392" s="2" t="s">
        <v>1127</v>
      </c>
    </row>
    <row r="393" spans="1:17" ht="16.5" customHeight="1" x14ac:dyDescent="0.2">
      <c r="A393" s="28" t="s">
        <v>399</v>
      </c>
      <c r="B393" s="28" t="s">
        <v>2233</v>
      </c>
      <c r="C393" s="28" t="s">
        <v>4182</v>
      </c>
      <c r="D393" s="28" t="s">
        <v>1128</v>
      </c>
      <c r="E393" s="28" t="s">
        <v>2314</v>
      </c>
      <c r="F393" s="2">
        <v>2</v>
      </c>
      <c r="G393" s="2" t="s">
        <v>37</v>
      </c>
      <c r="H393" s="2">
        <v>1992</v>
      </c>
      <c r="I393" s="2" t="str">
        <f t="shared" si="30"/>
        <v>bHLPRXF</v>
      </c>
      <c r="J393" s="2" t="s">
        <v>2315</v>
      </c>
      <c r="K393" s="8" t="s">
        <v>2273</v>
      </c>
      <c r="L393"/>
      <c r="M393" s="2" t="s">
        <v>2270</v>
      </c>
      <c r="P393" s="2" t="s">
        <v>1127</v>
      </c>
      <c r="Q393" s="2" t="s">
        <v>1127</v>
      </c>
    </row>
    <row r="394" spans="1:17" ht="16.5" customHeight="1" x14ac:dyDescent="0.2">
      <c r="A394" s="28" t="s">
        <v>399</v>
      </c>
      <c r="B394" s="28" t="s">
        <v>2235</v>
      </c>
      <c r="C394" s="28" t="s">
        <v>4182</v>
      </c>
      <c r="D394" s="28" t="s">
        <v>1128</v>
      </c>
      <c r="E394" s="28" t="s">
        <v>2314</v>
      </c>
      <c r="F394" s="2">
        <v>3</v>
      </c>
      <c r="G394" s="2" t="s">
        <v>80</v>
      </c>
      <c r="H394" s="2">
        <v>1993</v>
      </c>
      <c r="I394" s="2" t="str">
        <f t="shared" si="30"/>
        <v>cHLPRXF</v>
      </c>
      <c r="J394" s="2" t="s">
        <v>2315</v>
      </c>
      <c r="K394" s="8" t="s">
        <v>2273</v>
      </c>
      <c r="L394"/>
      <c r="M394" s="2" t="s">
        <v>2270</v>
      </c>
      <c r="P394" s="2" t="s">
        <v>1127</v>
      </c>
      <c r="Q394" s="2" t="s">
        <v>1127</v>
      </c>
    </row>
    <row r="395" spans="1:17" ht="16.5" customHeight="1" x14ac:dyDescent="0.2">
      <c r="A395" s="28" t="s">
        <v>399</v>
      </c>
      <c r="B395" s="28" t="s">
        <v>2237</v>
      </c>
      <c r="C395" s="28" t="s">
        <v>4182</v>
      </c>
      <c r="D395" s="28" t="s">
        <v>1128</v>
      </c>
      <c r="E395" s="28" t="s">
        <v>2314</v>
      </c>
      <c r="F395" s="2">
        <v>4</v>
      </c>
      <c r="G395" s="2" t="s">
        <v>31</v>
      </c>
      <c r="H395" s="2">
        <v>1994</v>
      </c>
      <c r="I395" s="2" t="str">
        <f t="shared" si="30"/>
        <v>dHLPRXF</v>
      </c>
      <c r="J395" s="2" t="s">
        <v>2315</v>
      </c>
      <c r="K395" s="8" t="s">
        <v>2273</v>
      </c>
      <c r="L395"/>
      <c r="M395" s="2" t="s">
        <v>2270</v>
      </c>
      <c r="P395" s="2" t="s">
        <v>1127</v>
      </c>
      <c r="Q395" s="2" t="s">
        <v>1127</v>
      </c>
    </row>
    <row r="396" spans="1:17" ht="16.5" customHeight="1" x14ac:dyDescent="0.2">
      <c r="A396" s="28" t="s">
        <v>399</v>
      </c>
      <c r="B396" s="28" t="s">
        <v>2239</v>
      </c>
      <c r="C396" s="28" t="s">
        <v>4182</v>
      </c>
      <c r="D396" s="28" t="s">
        <v>1128</v>
      </c>
      <c r="E396" s="28" t="s">
        <v>2314</v>
      </c>
      <c r="F396" s="2">
        <v>5</v>
      </c>
      <c r="G396" s="2" t="s">
        <v>13</v>
      </c>
      <c r="H396" s="2">
        <v>1995</v>
      </c>
      <c r="I396" s="2" t="str">
        <f t="shared" si="30"/>
        <v>eHLPRXF</v>
      </c>
      <c r="J396" s="2" t="s">
        <v>2315</v>
      </c>
      <c r="K396" s="8" t="s">
        <v>2273</v>
      </c>
      <c r="L396"/>
      <c r="M396" s="2" t="s">
        <v>2270</v>
      </c>
      <c r="P396" s="2" t="s">
        <v>1127</v>
      </c>
      <c r="Q396" s="2" t="s">
        <v>1127</v>
      </c>
    </row>
    <row r="397" spans="1:17" ht="16.5" customHeight="1" x14ac:dyDescent="0.2">
      <c r="A397" s="28" t="s">
        <v>399</v>
      </c>
      <c r="B397" s="28" t="s">
        <v>2241</v>
      </c>
      <c r="C397" s="28" t="s">
        <v>4182</v>
      </c>
      <c r="D397" s="28" t="s">
        <v>1128</v>
      </c>
      <c r="E397" s="28" t="s">
        <v>2314</v>
      </c>
      <c r="F397" s="2">
        <v>6</v>
      </c>
      <c r="G397" s="2" t="s">
        <v>49</v>
      </c>
      <c r="H397" s="2">
        <v>1996</v>
      </c>
      <c r="I397" s="2" t="str">
        <f t="shared" si="30"/>
        <v>fHLPRXF</v>
      </c>
      <c r="J397" s="2" t="s">
        <v>2315</v>
      </c>
      <c r="K397" s="8" t="s">
        <v>2273</v>
      </c>
      <c r="L397"/>
      <c r="M397" s="2" t="s">
        <v>2270</v>
      </c>
      <c r="P397" s="2" t="s">
        <v>1127</v>
      </c>
      <c r="Q397" s="2" t="s">
        <v>1127</v>
      </c>
    </row>
    <row r="398" spans="1:17" ht="16.5" customHeight="1" x14ac:dyDescent="0.2">
      <c r="A398" s="28" t="s">
        <v>399</v>
      </c>
      <c r="B398" s="28" t="s">
        <v>2243</v>
      </c>
      <c r="C398" s="28" t="s">
        <v>4182</v>
      </c>
      <c r="D398" s="28" t="s">
        <v>1128</v>
      </c>
      <c r="E398" s="28" t="s">
        <v>2314</v>
      </c>
      <c r="F398" s="2">
        <v>7</v>
      </c>
      <c r="G398" s="2" t="s">
        <v>101</v>
      </c>
      <c r="H398" s="2">
        <v>1997</v>
      </c>
      <c r="I398" s="2" t="str">
        <f t="shared" si="30"/>
        <v>gHLPRXF</v>
      </c>
      <c r="J398" s="2" t="s">
        <v>2315</v>
      </c>
      <c r="K398" s="8" t="s">
        <v>2273</v>
      </c>
      <c r="L398"/>
      <c r="M398" s="2" t="s">
        <v>2270</v>
      </c>
      <c r="P398" s="2" t="s">
        <v>1127</v>
      </c>
      <c r="Q398" s="2" t="s">
        <v>1127</v>
      </c>
    </row>
    <row r="399" spans="1:17" ht="16.5" customHeight="1" x14ac:dyDescent="0.2">
      <c r="A399" s="28" t="s">
        <v>399</v>
      </c>
      <c r="B399" s="28" t="s">
        <v>2245</v>
      </c>
      <c r="C399" s="28" t="s">
        <v>4182</v>
      </c>
      <c r="D399" s="28" t="s">
        <v>1128</v>
      </c>
      <c r="E399" s="28" t="s">
        <v>2314</v>
      </c>
      <c r="F399" s="2">
        <v>8</v>
      </c>
      <c r="G399" s="2" t="s">
        <v>10</v>
      </c>
      <c r="H399" s="2">
        <v>1998</v>
      </c>
      <c r="I399" s="2" t="str">
        <f t="shared" si="30"/>
        <v>hHLPRXF</v>
      </c>
      <c r="J399" s="2" t="s">
        <v>2315</v>
      </c>
      <c r="K399" s="8" t="s">
        <v>2273</v>
      </c>
      <c r="L399"/>
      <c r="M399" s="2" t="s">
        <v>2270</v>
      </c>
      <c r="P399" s="2" t="s">
        <v>1127</v>
      </c>
      <c r="Q399" s="2" t="s">
        <v>1127</v>
      </c>
    </row>
    <row r="400" spans="1:17" ht="16.5" customHeight="1" x14ac:dyDescent="0.2">
      <c r="A400" s="28" t="s">
        <v>399</v>
      </c>
      <c r="B400" s="28" t="s">
        <v>2247</v>
      </c>
      <c r="C400" s="28" t="s">
        <v>4182</v>
      </c>
      <c r="D400" s="28" t="s">
        <v>1128</v>
      </c>
      <c r="E400" s="28" t="s">
        <v>2314</v>
      </c>
      <c r="F400" s="2">
        <v>9</v>
      </c>
      <c r="G400" s="2" t="s">
        <v>55</v>
      </c>
      <c r="H400" s="2">
        <v>1999</v>
      </c>
      <c r="I400" s="2" t="str">
        <f t="shared" si="30"/>
        <v>iHLPRXF</v>
      </c>
      <c r="J400" s="2" t="s">
        <v>2315</v>
      </c>
      <c r="K400" s="8" t="s">
        <v>2273</v>
      </c>
      <c r="L400"/>
      <c r="M400" s="2" t="s">
        <v>2270</v>
      </c>
      <c r="P400" s="2" t="s">
        <v>1127</v>
      </c>
      <c r="Q400" s="2" t="s">
        <v>1127</v>
      </c>
    </row>
    <row r="401" spans="1:17" ht="16.5" customHeight="1" x14ac:dyDescent="0.2">
      <c r="A401" s="28" t="s">
        <v>399</v>
      </c>
      <c r="B401" s="28" t="s">
        <v>2249</v>
      </c>
      <c r="C401" s="28" t="s">
        <v>4182</v>
      </c>
      <c r="D401" s="28" t="s">
        <v>1128</v>
      </c>
      <c r="E401" s="28" t="s">
        <v>2314</v>
      </c>
      <c r="F401" s="2">
        <v>10</v>
      </c>
      <c r="G401" s="2" t="s">
        <v>98</v>
      </c>
      <c r="H401" s="2">
        <v>2000</v>
      </c>
      <c r="I401" s="2" t="str">
        <f t="shared" si="30"/>
        <v>jHLPRXF</v>
      </c>
      <c r="J401" s="2" t="s">
        <v>2315</v>
      </c>
      <c r="K401" s="8" t="s">
        <v>2273</v>
      </c>
      <c r="L401"/>
      <c r="M401" s="2" t="s">
        <v>2270</v>
      </c>
      <c r="P401" s="2" t="s">
        <v>1127</v>
      </c>
      <c r="Q401" s="2" t="s">
        <v>1127</v>
      </c>
    </row>
    <row r="402" spans="1:17" ht="16.5" customHeight="1" x14ac:dyDescent="0.2">
      <c r="A402" s="28" t="s">
        <v>399</v>
      </c>
      <c r="B402" s="28" t="s">
        <v>2251</v>
      </c>
      <c r="C402" s="28" t="s">
        <v>4182</v>
      </c>
      <c r="D402" s="28" t="s">
        <v>1128</v>
      </c>
      <c r="E402" s="28" t="s">
        <v>2314</v>
      </c>
      <c r="F402" s="2">
        <v>11</v>
      </c>
      <c r="G402" s="2" t="s">
        <v>104</v>
      </c>
      <c r="H402" s="2">
        <v>2001</v>
      </c>
      <c r="I402" s="2" t="str">
        <f t="shared" si="30"/>
        <v>kHLPRXF</v>
      </c>
      <c r="J402" s="2" t="s">
        <v>2315</v>
      </c>
      <c r="K402" s="8" t="s">
        <v>2273</v>
      </c>
      <c r="L402"/>
      <c r="M402" s="2" t="s">
        <v>2270</v>
      </c>
      <c r="P402" s="2" t="s">
        <v>1127</v>
      </c>
      <c r="Q402" s="2" t="s">
        <v>1127</v>
      </c>
    </row>
    <row r="403" spans="1:17" ht="16.5" customHeight="1" x14ac:dyDescent="0.2">
      <c r="A403" s="28" t="s">
        <v>399</v>
      </c>
      <c r="B403" s="28" t="s">
        <v>2253</v>
      </c>
      <c r="C403" s="28" t="s">
        <v>4182</v>
      </c>
      <c r="D403" s="28" t="s">
        <v>1128</v>
      </c>
      <c r="E403" s="28" t="s">
        <v>2314</v>
      </c>
      <c r="F403" s="2">
        <v>12</v>
      </c>
      <c r="G403" s="2" t="s">
        <v>89</v>
      </c>
      <c r="H403" s="2">
        <v>2002</v>
      </c>
      <c r="I403" s="2" t="str">
        <f t="shared" si="30"/>
        <v>lHLPRXF</v>
      </c>
      <c r="J403" s="2" t="s">
        <v>2315</v>
      </c>
      <c r="K403" s="8" t="s">
        <v>2273</v>
      </c>
      <c r="L403"/>
      <c r="M403" s="2" t="s">
        <v>2270</v>
      </c>
      <c r="P403" s="2" t="s">
        <v>1127</v>
      </c>
      <c r="Q403" s="2" t="s">
        <v>1127</v>
      </c>
    </row>
    <row r="404" spans="1:17" ht="16.5" customHeight="1" x14ac:dyDescent="0.2">
      <c r="A404" s="28" t="s">
        <v>399</v>
      </c>
      <c r="B404" s="28" t="s">
        <v>2255</v>
      </c>
      <c r="C404" s="28" t="s">
        <v>4182</v>
      </c>
      <c r="D404" s="28" t="s">
        <v>1128</v>
      </c>
      <c r="E404" s="28" t="s">
        <v>2314</v>
      </c>
      <c r="F404" s="2">
        <v>13</v>
      </c>
      <c r="G404" s="2" t="s">
        <v>107</v>
      </c>
      <c r="H404" s="2">
        <v>2003</v>
      </c>
      <c r="I404" s="2" t="str">
        <f t="shared" si="30"/>
        <v>mHLPRXF</v>
      </c>
      <c r="J404" s="2" t="s">
        <v>2315</v>
      </c>
      <c r="K404" s="8" t="s">
        <v>2273</v>
      </c>
      <c r="L404"/>
      <c r="M404" s="2" t="s">
        <v>2270</v>
      </c>
      <c r="P404" s="2" t="s">
        <v>1127</v>
      </c>
      <c r="Q404" s="2" t="s">
        <v>1127</v>
      </c>
    </row>
    <row r="405" spans="1:17" ht="16.5" customHeight="1" x14ac:dyDescent="0.2">
      <c r="A405" s="28" t="s">
        <v>399</v>
      </c>
      <c r="B405" s="28" t="s">
        <v>2257</v>
      </c>
      <c r="C405" s="28" t="s">
        <v>4182</v>
      </c>
      <c r="D405" s="28" t="s">
        <v>1128</v>
      </c>
      <c r="E405" s="28" t="s">
        <v>2314</v>
      </c>
      <c r="F405" s="2">
        <v>14</v>
      </c>
      <c r="G405" s="2" t="s">
        <v>43</v>
      </c>
      <c r="H405" s="2">
        <v>2004</v>
      </c>
      <c r="I405" s="2" t="str">
        <f t="shared" si="30"/>
        <v>nHLPRXF</v>
      </c>
      <c r="J405" s="2" t="s">
        <v>2315</v>
      </c>
      <c r="K405" s="8" t="s">
        <v>2273</v>
      </c>
      <c r="L405"/>
      <c r="M405" s="2" t="s">
        <v>2270</v>
      </c>
      <c r="P405" s="2" t="s">
        <v>1127</v>
      </c>
      <c r="Q405" s="2" t="s">
        <v>1127</v>
      </c>
    </row>
    <row r="406" spans="1:17" ht="16.5" customHeight="1" x14ac:dyDescent="0.2">
      <c r="A406" s="28" t="s">
        <v>399</v>
      </c>
      <c r="B406" s="28" t="s">
        <v>2259</v>
      </c>
      <c r="C406" s="28" t="s">
        <v>4182</v>
      </c>
      <c r="D406" s="28" t="s">
        <v>1128</v>
      </c>
      <c r="E406" s="28" t="s">
        <v>2314</v>
      </c>
      <c r="F406" s="2">
        <v>15</v>
      </c>
      <c r="G406" s="2" t="s">
        <v>19</v>
      </c>
      <c r="H406" s="2">
        <v>2005</v>
      </c>
      <c r="I406" s="2" t="str">
        <f t="shared" si="30"/>
        <v>oHLPRXF</v>
      </c>
      <c r="J406" s="2" t="s">
        <v>2315</v>
      </c>
      <c r="K406" s="8" t="s">
        <v>2273</v>
      </c>
      <c r="L406"/>
      <c r="M406" s="2" t="s">
        <v>2270</v>
      </c>
      <c r="P406" s="2" t="s">
        <v>1127</v>
      </c>
      <c r="Q406" s="2" t="s">
        <v>1127</v>
      </c>
    </row>
    <row r="407" spans="1:17" ht="16.5" customHeight="1" x14ac:dyDescent="0.2">
      <c r="A407" s="28" t="s">
        <v>399</v>
      </c>
      <c r="B407" s="28" t="s">
        <v>2261</v>
      </c>
      <c r="C407" s="28" t="s">
        <v>4182</v>
      </c>
      <c r="D407" s="28" t="s">
        <v>1128</v>
      </c>
      <c r="E407" s="28" t="s">
        <v>2314</v>
      </c>
      <c r="F407" s="2">
        <v>16</v>
      </c>
      <c r="G407" s="2" t="s">
        <v>25</v>
      </c>
      <c r="H407" s="2">
        <v>2006</v>
      </c>
      <c r="I407" s="2" t="str">
        <f t="shared" si="30"/>
        <v>pHLPRXF</v>
      </c>
      <c r="J407" s="2" t="s">
        <v>2315</v>
      </c>
      <c r="K407" s="8" t="s">
        <v>2273</v>
      </c>
      <c r="L407"/>
      <c r="M407" s="2" t="s">
        <v>2270</v>
      </c>
      <c r="P407" s="2" t="s">
        <v>1127</v>
      </c>
      <c r="Q407" s="2" t="s">
        <v>1127</v>
      </c>
    </row>
    <row r="408" spans="1:17" ht="16.5" customHeight="1" x14ac:dyDescent="0.2">
      <c r="A408" s="28" t="s">
        <v>399</v>
      </c>
      <c r="B408" s="28" t="s">
        <v>2263</v>
      </c>
      <c r="C408" s="28" t="s">
        <v>4182</v>
      </c>
      <c r="D408" s="28" t="s">
        <v>1128</v>
      </c>
      <c r="E408" s="28" t="s">
        <v>2314</v>
      </c>
      <c r="F408" s="2">
        <v>17</v>
      </c>
      <c r="G408" s="2" t="s">
        <v>73</v>
      </c>
      <c r="H408" s="2">
        <v>2007</v>
      </c>
      <c r="I408" s="2" t="str">
        <f t="shared" si="30"/>
        <v>qHLPRXF</v>
      </c>
      <c r="J408" s="2" t="s">
        <v>2315</v>
      </c>
      <c r="K408" s="8" t="s">
        <v>2273</v>
      </c>
      <c r="L408"/>
      <c r="M408" s="2" t="s">
        <v>2270</v>
      </c>
      <c r="P408" s="2" t="s">
        <v>1127</v>
      </c>
      <c r="Q408" s="2" t="s">
        <v>1127</v>
      </c>
    </row>
    <row r="409" spans="1:17" ht="16.5" customHeight="1" x14ac:dyDescent="0.2">
      <c r="A409" s="28" t="s">
        <v>399</v>
      </c>
      <c r="B409" s="28" t="s">
        <v>2265</v>
      </c>
      <c r="C409" s="28" t="s">
        <v>4182</v>
      </c>
      <c r="D409" s="28" t="s">
        <v>1128</v>
      </c>
      <c r="E409" s="28" t="s">
        <v>2314</v>
      </c>
      <c r="F409" s="2">
        <v>18</v>
      </c>
      <c r="G409" s="2" t="s">
        <v>58</v>
      </c>
      <c r="H409" s="2">
        <v>2008</v>
      </c>
      <c r="I409" s="2" t="str">
        <f t="shared" si="30"/>
        <v>rHLPRXF</v>
      </c>
      <c r="J409" s="2" t="s">
        <v>2315</v>
      </c>
      <c r="K409" s="8" t="s">
        <v>2273</v>
      </c>
      <c r="L409"/>
      <c r="M409" s="2" t="s">
        <v>2270</v>
      </c>
      <c r="P409" s="2" t="s">
        <v>1127</v>
      </c>
      <c r="Q409" s="2" t="s">
        <v>1127</v>
      </c>
    </row>
    <row r="410" spans="1:17" ht="16.5" customHeight="1" x14ac:dyDescent="0.2">
      <c r="A410" s="28" t="s">
        <v>399</v>
      </c>
      <c r="B410" s="28" t="s">
        <v>2251</v>
      </c>
      <c r="C410" s="28" t="s">
        <v>4182</v>
      </c>
      <c r="D410" s="28" t="s">
        <v>1128</v>
      </c>
      <c r="E410" s="28" t="s">
        <v>1318</v>
      </c>
      <c r="F410" s="2">
        <v>11</v>
      </c>
      <c r="G410" s="2" t="s">
        <v>104</v>
      </c>
      <c r="H410" s="2">
        <v>2001</v>
      </c>
      <c r="I410" s="2" t="str">
        <f t="shared" ref="I410:I417" si="31">_xlfn.CONCAT(G410,"HLPRBO")</f>
        <v>kHLPRBO</v>
      </c>
      <c r="J410" s="2" t="s">
        <v>2316</v>
      </c>
      <c r="K410" s="8" t="s">
        <v>2273</v>
      </c>
      <c r="L410"/>
      <c r="M410" s="2" t="s">
        <v>2270</v>
      </c>
      <c r="P410" s="2" t="s">
        <v>1127</v>
      </c>
      <c r="Q410" s="2" t="s">
        <v>1127</v>
      </c>
    </row>
    <row r="411" spans="1:17" ht="16.5" customHeight="1" x14ac:dyDescent="0.2">
      <c r="A411" s="28" t="s">
        <v>399</v>
      </c>
      <c r="B411" s="28" t="s">
        <v>2253</v>
      </c>
      <c r="C411" s="28" t="s">
        <v>4182</v>
      </c>
      <c r="D411" s="28" t="s">
        <v>1128</v>
      </c>
      <c r="E411" s="28" t="s">
        <v>1318</v>
      </c>
      <c r="F411" s="2">
        <v>12</v>
      </c>
      <c r="G411" s="2" t="s">
        <v>89</v>
      </c>
      <c r="H411" s="2">
        <v>2002</v>
      </c>
      <c r="I411" s="2" t="str">
        <f t="shared" si="31"/>
        <v>lHLPRBO</v>
      </c>
      <c r="J411" s="2" t="s">
        <v>2316</v>
      </c>
      <c r="K411" s="8" t="s">
        <v>2273</v>
      </c>
      <c r="L411"/>
      <c r="M411" s="2" t="s">
        <v>2270</v>
      </c>
      <c r="P411" s="2" t="s">
        <v>1127</v>
      </c>
      <c r="Q411" s="2" t="s">
        <v>1127</v>
      </c>
    </row>
    <row r="412" spans="1:17" ht="16.5" customHeight="1" x14ac:dyDescent="0.2">
      <c r="A412" s="28" t="s">
        <v>399</v>
      </c>
      <c r="B412" s="28" t="s">
        <v>2255</v>
      </c>
      <c r="C412" s="28" t="s">
        <v>4182</v>
      </c>
      <c r="D412" s="28" t="s">
        <v>1128</v>
      </c>
      <c r="E412" s="28" t="s">
        <v>1318</v>
      </c>
      <c r="F412" s="2">
        <v>13</v>
      </c>
      <c r="G412" s="2" t="s">
        <v>107</v>
      </c>
      <c r="H412" s="2">
        <v>2003</v>
      </c>
      <c r="I412" s="2" t="str">
        <f t="shared" si="31"/>
        <v>mHLPRBO</v>
      </c>
      <c r="J412" s="2" t="s">
        <v>2316</v>
      </c>
      <c r="K412" s="8" t="s">
        <v>2273</v>
      </c>
      <c r="L412"/>
      <c r="M412" s="2" t="s">
        <v>2270</v>
      </c>
      <c r="P412" s="2" t="s">
        <v>1127</v>
      </c>
      <c r="Q412" s="2" t="s">
        <v>1127</v>
      </c>
    </row>
    <row r="413" spans="1:17" ht="16.5" customHeight="1" x14ac:dyDescent="0.2">
      <c r="A413" s="28" t="s">
        <v>399</v>
      </c>
      <c r="B413" s="28" t="s">
        <v>2257</v>
      </c>
      <c r="C413" s="28" t="s">
        <v>4182</v>
      </c>
      <c r="D413" s="28" t="s">
        <v>1128</v>
      </c>
      <c r="E413" s="28" t="s">
        <v>1318</v>
      </c>
      <c r="F413" s="2">
        <v>14</v>
      </c>
      <c r="G413" s="2" t="s">
        <v>43</v>
      </c>
      <c r="H413" s="2">
        <v>2004</v>
      </c>
      <c r="I413" s="2" t="str">
        <f t="shared" si="31"/>
        <v>nHLPRBO</v>
      </c>
      <c r="J413" s="2" t="s">
        <v>2316</v>
      </c>
      <c r="K413" s="8" t="s">
        <v>2273</v>
      </c>
      <c r="L413"/>
      <c r="M413" s="2" t="s">
        <v>2270</v>
      </c>
      <c r="P413" s="2" t="s">
        <v>1127</v>
      </c>
      <c r="Q413" s="2" t="s">
        <v>1127</v>
      </c>
    </row>
    <row r="414" spans="1:17" ht="16.5" customHeight="1" x14ac:dyDescent="0.2">
      <c r="A414" s="28" t="s">
        <v>399</v>
      </c>
      <c r="B414" s="28" t="s">
        <v>2259</v>
      </c>
      <c r="C414" s="28" t="s">
        <v>4182</v>
      </c>
      <c r="D414" s="28" t="s">
        <v>1128</v>
      </c>
      <c r="E414" s="28" t="s">
        <v>1318</v>
      </c>
      <c r="F414" s="2">
        <v>15</v>
      </c>
      <c r="G414" s="2" t="s">
        <v>19</v>
      </c>
      <c r="H414" s="2">
        <v>2005</v>
      </c>
      <c r="I414" s="2" t="str">
        <f t="shared" si="31"/>
        <v>oHLPRBO</v>
      </c>
      <c r="J414" s="2" t="s">
        <v>2316</v>
      </c>
      <c r="K414" s="8" t="s">
        <v>2273</v>
      </c>
      <c r="L414"/>
      <c r="M414" s="2" t="s">
        <v>2270</v>
      </c>
      <c r="P414" s="2" t="s">
        <v>1127</v>
      </c>
      <c r="Q414" s="2" t="s">
        <v>1127</v>
      </c>
    </row>
    <row r="415" spans="1:17" ht="16.5" customHeight="1" x14ac:dyDescent="0.2">
      <c r="A415" s="28" t="s">
        <v>399</v>
      </c>
      <c r="B415" s="28" t="s">
        <v>2261</v>
      </c>
      <c r="C415" s="28" t="s">
        <v>4182</v>
      </c>
      <c r="D415" s="28" t="s">
        <v>1128</v>
      </c>
      <c r="E415" s="28" t="s">
        <v>1318</v>
      </c>
      <c r="F415" s="2">
        <v>16</v>
      </c>
      <c r="G415" s="2" t="s">
        <v>25</v>
      </c>
      <c r="H415" s="2">
        <v>2006</v>
      </c>
      <c r="I415" s="2" t="str">
        <f t="shared" si="31"/>
        <v>pHLPRBO</v>
      </c>
      <c r="J415" s="2" t="s">
        <v>2316</v>
      </c>
      <c r="K415" s="8" t="s">
        <v>2273</v>
      </c>
      <c r="L415"/>
      <c r="M415" s="2" t="s">
        <v>2270</v>
      </c>
      <c r="P415" s="2" t="s">
        <v>1127</v>
      </c>
      <c r="Q415" s="2" t="s">
        <v>1127</v>
      </c>
    </row>
    <row r="416" spans="1:17" ht="16.5" customHeight="1" x14ac:dyDescent="0.2">
      <c r="A416" s="28" t="s">
        <v>399</v>
      </c>
      <c r="B416" s="28" t="s">
        <v>2263</v>
      </c>
      <c r="C416" s="28" t="s">
        <v>4182</v>
      </c>
      <c r="D416" s="28" t="s">
        <v>1128</v>
      </c>
      <c r="E416" s="28" t="s">
        <v>1318</v>
      </c>
      <c r="F416" s="2">
        <v>17</v>
      </c>
      <c r="G416" s="2" t="s">
        <v>73</v>
      </c>
      <c r="H416" s="2">
        <v>2007</v>
      </c>
      <c r="I416" s="2" t="str">
        <f t="shared" si="31"/>
        <v>qHLPRBO</v>
      </c>
      <c r="J416" s="2" t="s">
        <v>2316</v>
      </c>
      <c r="K416" s="8" t="s">
        <v>2273</v>
      </c>
      <c r="L416"/>
      <c r="M416" s="2" t="s">
        <v>2270</v>
      </c>
      <c r="P416" s="2" t="s">
        <v>1127</v>
      </c>
      <c r="Q416" s="2" t="s">
        <v>1127</v>
      </c>
    </row>
    <row r="417" spans="1:17" ht="16.5" customHeight="1" x14ac:dyDescent="0.2">
      <c r="A417" s="28" t="s">
        <v>399</v>
      </c>
      <c r="B417" s="28" t="s">
        <v>2265</v>
      </c>
      <c r="C417" s="28" t="s">
        <v>4182</v>
      </c>
      <c r="D417" s="28" t="s">
        <v>1128</v>
      </c>
      <c r="E417" s="28" t="s">
        <v>1318</v>
      </c>
      <c r="F417" s="2">
        <v>18</v>
      </c>
      <c r="G417" s="2" t="s">
        <v>58</v>
      </c>
      <c r="H417" s="2">
        <v>2008</v>
      </c>
      <c r="I417" s="2" t="str">
        <f t="shared" si="31"/>
        <v>rHLPRBO</v>
      </c>
      <c r="J417" s="2" t="s">
        <v>2316</v>
      </c>
      <c r="K417" s="8" t="s">
        <v>2273</v>
      </c>
      <c r="L417"/>
      <c r="M417" s="2" t="s">
        <v>2270</v>
      </c>
      <c r="P417" s="2" t="s">
        <v>1127</v>
      </c>
      <c r="Q417" s="2" t="s">
        <v>1127</v>
      </c>
    </row>
    <row r="418" spans="1:17" ht="16.5" customHeight="1" x14ac:dyDescent="0.2">
      <c r="A418" s="28" t="s">
        <v>399</v>
      </c>
      <c r="B418" s="28" t="s">
        <v>2227</v>
      </c>
      <c r="C418" s="28" t="s">
        <v>4182</v>
      </c>
      <c r="D418" s="28" t="s">
        <v>1410</v>
      </c>
      <c r="E418" s="28" t="s">
        <v>2317</v>
      </c>
      <c r="F418" s="2">
        <v>1</v>
      </c>
      <c r="G418" s="2" t="s">
        <v>40</v>
      </c>
      <c r="H418" s="2">
        <v>1991</v>
      </c>
      <c r="I418" s="2" t="str">
        <f t="shared" ref="I418:I435" si="32">_xlfn.CONCAT(G418,"JBSTATT")</f>
        <v>aJBSTATT</v>
      </c>
      <c r="J418" s="2" t="s">
        <v>2287</v>
      </c>
      <c r="K418" s="8" t="s">
        <v>2318</v>
      </c>
      <c r="L418"/>
      <c r="M418" s="2" t="s">
        <v>2319</v>
      </c>
      <c r="P418" s="2" t="s">
        <v>1127</v>
      </c>
      <c r="Q418" s="2" t="s">
        <v>1127</v>
      </c>
    </row>
    <row r="419" spans="1:17" ht="16.5" customHeight="1" x14ac:dyDescent="0.2">
      <c r="A419" s="28" t="s">
        <v>399</v>
      </c>
      <c r="B419" s="28" t="s">
        <v>2233</v>
      </c>
      <c r="C419" s="28" t="s">
        <v>4182</v>
      </c>
      <c r="D419" s="28" t="s">
        <v>1410</v>
      </c>
      <c r="E419" s="28" t="s">
        <v>2317</v>
      </c>
      <c r="F419" s="2">
        <v>2</v>
      </c>
      <c r="G419" s="2" t="s">
        <v>37</v>
      </c>
      <c r="H419" s="2">
        <v>1992</v>
      </c>
      <c r="I419" s="2" t="str">
        <f t="shared" si="32"/>
        <v>bJBSTATT</v>
      </c>
      <c r="J419" s="2" t="s">
        <v>2287</v>
      </c>
      <c r="K419" s="8" t="s">
        <v>2318</v>
      </c>
      <c r="L419"/>
      <c r="M419" s="2" t="s">
        <v>2319</v>
      </c>
      <c r="P419" s="2" t="s">
        <v>1127</v>
      </c>
      <c r="Q419" s="2" t="s">
        <v>1127</v>
      </c>
    </row>
    <row r="420" spans="1:17" ht="16.5" customHeight="1" x14ac:dyDescent="0.2">
      <c r="A420" s="28" t="s">
        <v>399</v>
      </c>
      <c r="B420" s="28" t="s">
        <v>2235</v>
      </c>
      <c r="C420" s="28" t="s">
        <v>4182</v>
      </c>
      <c r="D420" s="28" t="s">
        <v>1410</v>
      </c>
      <c r="E420" s="28" t="s">
        <v>2317</v>
      </c>
      <c r="F420" s="2">
        <v>3</v>
      </c>
      <c r="G420" s="2" t="s">
        <v>80</v>
      </c>
      <c r="H420" s="2">
        <v>1993</v>
      </c>
      <c r="I420" s="2" t="str">
        <f t="shared" si="32"/>
        <v>cJBSTATT</v>
      </c>
      <c r="J420" s="2" t="s">
        <v>2287</v>
      </c>
      <c r="K420" s="8" t="s">
        <v>2318</v>
      </c>
      <c r="L420"/>
      <c r="M420" s="2" t="s">
        <v>2319</v>
      </c>
      <c r="P420" s="2" t="s">
        <v>1127</v>
      </c>
      <c r="Q420" s="2" t="s">
        <v>1127</v>
      </c>
    </row>
    <row r="421" spans="1:17" ht="16.5" customHeight="1" x14ac:dyDescent="0.2">
      <c r="A421" s="28" t="s">
        <v>399</v>
      </c>
      <c r="B421" s="28" t="s">
        <v>2237</v>
      </c>
      <c r="C421" s="28" t="s">
        <v>4182</v>
      </c>
      <c r="D421" s="28" t="s">
        <v>1410</v>
      </c>
      <c r="E421" s="28" t="s">
        <v>2317</v>
      </c>
      <c r="F421" s="2">
        <v>4</v>
      </c>
      <c r="G421" s="2" t="s">
        <v>31</v>
      </c>
      <c r="H421" s="2">
        <v>1994</v>
      </c>
      <c r="I421" s="2" t="str">
        <f t="shared" si="32"/>
        <v>dJBSTATT</v>
      </c>
      <c r="J421" s="2" t="s">
        <v>2287</v>
      </c>
      <c r="K421" s="8" t="s">
        <v>2318</v>
      </c>
      <c r="L421"/>
      <c r="M421" s="2" t="s">
        <v>2319</v>
      </c>
      <c r="P421" s="2" t="s">
        <v>1127</v>
      </c>
      <c r="Q421" s="2" t="s">
        <v>1127</v>
      </c>
    </row>
    <row r="422" spans="1:17" ht="16.5" customHeight="1" x14ac:dyDescent="0.2">
      <c r="A422" s="28" t="s">
        <v>399</v>
      </c>
      <c r="B422" s="28" t="s">
        <v>2239</v>
      </c>
      <c r="C422" s="28" t="s">
        <v>4182</v>
      </c>
      <c r="D422" s="28" t="s">
        <v>1410</v>
      </c>
      <c r="E422" s="28" t="s">
        <v>2317</v>
      </c>
      <c r="F422" s="2">
        <v>5</v>
      </c>
      <c r="G422" s="2" t="s">
        <v>13</v>
      </c>
      <c r="H422" s="2">
        <v>1995</v>
      </c>
      <c r="I422" s="2" t="str">
        <f t="shared" si="32"/>
        <v>eJBSTATT</v>
      </c>
      <c r="J422" s="2" t="s">
        <v>2287</v>
      </c>
      <c r="K422" s="8" t="s">
        <v>2318</v>
      </c>
      <c r="L422"/>
      <c r="M422" s="2" t="s">
        <v>2319</v>
      </c>
      <c r="P422" s="2" t="s">
        <v>1127</v>
      </c>
      <c r="Q422" s="2" t="s">
        <v>1127</v>
      </c>
    </row>
    <row r="423" spans="1:17" ht="16.5" customHeight="1" x14ac:dyDescent="0.2">
      <c r="A423" s="28" t="s">
        <v>399</v>
      </c>
      <c r="B423" s="28" t="s">
        <v>2241</v>
      </c>
      <c r="C423" s="28" t="s">
        <v>4182</v>
      </c>
      <c r="D423" s="28" t="s">
        <v>1410</v>
      </c>
      <c r="E423" s="28" t="s">
        <v>2317</v>
      </c>
      <c r="F423" s="2">
        <v>6</v>
      </c>
      <c r="G423" s="2" t="s">
        <v>49</v>
      </c>
      <c r="H423" s="2">
        <v>1996</v>
      </c>
      <c r="I423" s="2" t="str">
        <f t="shared" si="32"/>
        <v>fJBSTATT</v>
      </c>
      <c r="J423" s="2" t="s">
        <v>2287</v>
      </c>
      <c r="K423" s="8" t="s">
        <v>2318</v>
      </c>
      <c r="L423"/>
      <c r="M423" s="2" t="s">
        <v>2319</v>
      </c>
      <c r="P423" s="2" t="s">
        <v>1127</v>
      </c>
      <c r="Q423" s="2" t="s">
        <v>1127</v>
      </c>
    </row>
    <row r="424" spans="1:17" ht="16.5" customHeight="1" x14ac:dyDescent="0.2">
      <c r="A424" s="28" t="s">
        <v>399</v>
      </c>
      <c r="B424" s="28" t="s">
        <v>2243</v>
      </c>
      <c r="C424" s="28" t="s">
        <v>4182</v>
      </c>
      <c r="D424" s="28" t="s">
        <v>1410</v>
      </c>
      <c r="E424" s="28" t="s">
        <v>2317</v>
      </c>
      <c r="F424" s="2">
        <v>7</v>
      </c>
      <c r="G424" s="2" t="s">
        <v>101</v>
      </c>
      <c r="H424" s="2">
        <v>1997</v>
      </c>
      <c r="I424" s="2" t="str">
        <f t="shared" si="32"/>
        <v>gJBSTATT</v>
      </c>
      <c r="J424" s="2" t="s">
        <v>2287</v>
      </c>
      <c r="K424" s="8" t="s">
        <v>2318</v>
      </c>
      <c r="L424"/>
      <c r="M424" s="2" t="s">
        <v>2319</v>
      </c>
      <c r="P424" s="2" t="s">
        <v>1127</v>
      </c>
      <c r="Q424" s="2" t="s">
        <v>1127</v>
      </c>
    </row>
    <row r="425" spans="1:17" ht="16.5" customHeight="1" x14ac:dyDescent="0.2">
      <c r="A425" s="28" t="s">
        <v>399</v>
      </c>
      <c r="B425" s="28" t="s">
        <v>2245</v>
      </c>
      <c r="C425" s="28" t="s">
        <v>4182</v>
      </c>
      <c r="D425" s="28" t="s">
        <v>1410</v>
      </c>
      <c r="E425" s="28" t="s">
        <v>2317</v>
      </c>
      <c r="F425" s="2">
        <v>8</v>
      </c>
      <c r="G425" s="2" t="s">
        <v>10</v>
      </c>
      <c r="H425" s="2">
        <v>1998</v>
      </c>
      <c r="I425" s="2" t="str">
        <f t="shared" si="32"/>
        <v>hJBSTATT</v>
      </c>
      <c r="J425" s="2" t="s">
        <v>2287</v>
      </c>
      <c r="K425" s="8" t="s">
        <v>2318</v>
      </c>
      <c r="L425"/>
      <c r="M425" s="2" t="s">
        <v>2319</v>
      </c>
      <c r="P425" s="2" t="s">
        <v>1127</v>
      </c>
      <c r="Q425" s="2" t="s">
        <v>1127</v>
      </c>
    </row>
    <row r="426" spans="1:17" ht="16.5" customHeight="1" x14ac:dyDescent="0.2">
      <c r="A426" s="28" t="s">
        <v>399</v>
      </c>
      <c r="B426" s="28" t="s">
        <v>2247</v>
      </c>
      <c r="C426" s="28" t="s">
        <v>4182</v>
      </c>
      <c r="D426" s="28" t="s">
        <v>1410</v>
      </c>
      <c r="E426" s="28" t="s">
        <v>2317</v>
      </c>
      <c r="F426" s="2">
        <v>9</v>
      </c>
      <c r="G426" s="2" t="s">
        <v>55</v>
      </c>
      <c r="H426" s="2">
        <v>1999</v>
      </c>
      <c r="I426" s="2" t="str">
        <f t="shared" si="32"/>
        <v>iJBSTATT</v>
      </c>
      <c r="J426" s="2" t="s">
        <v>2287</v>
      </c>
      <c r="K426" s="8" t="s">
        <v>2318</v>
      </c>
      <c r="L426"/>
      <c r="M426" s="2" t="s">
        <v>2319</v>
      </c>
      <c r="P426" s="2" t="s">
        <v>1127</v>
      </c>
      <c r="Q426" s="2" t="s">
        <v>1127</v>
      </c>
    </row>
    <row r="427" spans="1:17" ht="16.5" customHeight="1" x14ac:dyDescent="0.2">
      <c r="A427" s="28" t="s">
        <v>399</v>
      </c>
      <c r="B427" s="28" t="s">
        <v>2249</v>
      </c>
      <c r="C427" s="28" t="s">
        <v>4182</v>
      </c>
      <c r="D427" s="28" t="s">
        <v>1410</v>
      </c>
      <c r="E427" s="28" t="s">
        <v>2317</v>
      </c>
      <c r="F427" s="2">
        <v>10</v>
      </c>
      <c r="G427" s="2" t="s">
        <v>98</v>
      </c>
      <c r="H427" s="2">
        <v>2000</v>
      </c>
      <c r="I427" s="2" t="str">
        <f t="shared" si="32"/>
        <v>jJBSTATT</v>
      </c>
      <c r="J427" s="2" t="s">
        <v>2287</v>
      </c>
      <c r="K427" s="8" t="s">
        <v>2318</v>
      </c>
      <c r="L427"/>
      <c r="M427" s="2" t="s">
        <v>2319</v>
      </c>
      <c r="P427" s="2" t="s">
        <v>1127</v>
      </c>
      <c r="Q427" s="2" t="s">
        <v>1127</v>
      </c>
    </row>
    <row r="428" spans="1:17" ht="16.5" customHeight="1" x14ac:dyDescent="0.2">
      <c r="A428" s="28" t="s">
        <v>399</v>
      </c>
      <c r="B428" s="28" t="s">
        <v>2251</v>
      </c>
      <c r="C428" s="28" t="s">
        <v>4182</v>
      </c>
      <c r="D428" s="28" t="s">
        <v>1410</v>
      </c>
      <c r="E428" s="28" t="s">
        <v>2317</v>
      </c>
      <c r="F428" s="2">
        <v>11</v>
      </c>
      <c r="G428" s="2" t="s">
        <v>104</v>
      </c>
      <c r="H428" s="2">
        <v>2001</v>
      </c>
      <c r="I428" s="2" t="str">
        <f t="shared" si="32"/>
        <v>kJBSTATT</v>
      </c>
      <c r="J428" s="2" t="s">
        <v>2287</v>
      </c>
      <c r="K428" s="8" t="s">
        <v>2318</v>
      </c>
      <c r="L428"/>
      <c r="M428" s="2" t="s">
        <v>2319</v>
      </c>
      <c r="P428" s="2" t="s">
        <v>1127</v>
      </c>
      <c r="Q428" s="2" t="s">
        <v>1127</v>
      </c>
    </row>
    <row r="429" spans="1:17" ht="16.5" customHeight="1" x14ac:dyDescent="0.2">
      <c r="A429" s="28" t="s">
        <v>399</v>
      </c>
      <c r="B429" s="28" t="s">
        <v>2253</v>
      </c>
      <c r="C429" s="28" t="s">
        <v>4182</v>
      </c>
      <c r="D429" s="28" t="s">
        <v>1410</v>
      </c>
      <c r="E429" s="28" t="s">
        <v>2317</v>
      </c>
      <c r="F429" s="2">
        <v>12</v>
      </c>
      <c r="G429" s="2" t="s">
        <v>89</v>
      </c>
      <c r="H429" s="2">
        <v>2002</v>
      </c>
      <c r="I429" s="2" t="str">
        <f t="shared" si="32"/>
        <v>lJBSTATT</v>
      </c>
      <c r="J429" s="2" t="s">
        <v>2287</v>
      </c>
      <c r="K429" s="8" t="s">
        <v>2318</v>
      </c>
      <c r="L429"/>
      <c r="M429" s="2" t="s">
        <v>2319</v>
      </c>
      <c r="P429" s="2" t="s">
        <v>1127</v>
      </c>
      <c r="Q429" s="2" t="s">
        <v>1127</v>
      </c>
    </row>
    <row r="430" spans="1:17" ht="16.5" customHeight="1" x14ac:dyDescent="0.2">
      <c r="A430" s="28" t="s">
        <v>399</v>
      </c>
      <c r="B430" s="28" t="s">
        <v>2255</v>
      </c>
      <c r="C430" s="28" t="s">
        <v>4182</v>
      </c>
      <c r="D430" s="28" t="s">
        <v>1410</v>
      </c>
      <c r="E430" s="28" t="s">
        <v>2317</v>
      </c>
      <c r="F430" s="2">
        <v>13</v>
      </c>
      <c r="G430" s="2" t="s">
        <v>107</v>
      </c>
      <c r="H430" s="2">
        <v>2003</v>
      </c>
      <c r="I430" s="2" t="str">
        <f t="shared" si="32"/>
        <v>mJBSTATT</v>
      </c>
      <c r="J430" s="2" t="s">
        <v>2287</v>
      </c>
      <c r="K430" s="8" t="s">
        <v>2318</v>
      </c>
      <c r="L430"/>
      <c r="M430" s="2" t="s">
        <v>2319</v>
      </c>
      <c r="P430" s="2" t="s">
        <v>1127</v>
      </c>
      <c r="Q430" s="2" t="s">
        <v>1127</v>
      </c>
    </row>
    <row r="431" spans="1:17" ht="16.5" customHeight="1" x14ac:dyDescent="0.2">
      <c r="A431" s="28" t="s">
        <v>399</v>
      </c>
      <c r="B431" s="28" t="s">
        <v>2257</v>
      </c>
      <c r="C431" s="28" t="s">
        <v>4182</v>
      </c>
      <c r="D431" s="28" t="s">
        <v>1410</v>
      </c>
      <c r="E431" s="28" t="s">
        <v>2317</v>
      </c>
      <c r="F431" s="2">
        <v>14</v>
      </c>
      <c r="G431" s="2" t="s">
        <v>43</v>
      </c>
      <c r="H431" s="2">
        <v>2004</v>
      </c>
      <c r="I431" s="2" t="str">
        <f t="shared" si="32"/>
        <v>nJBSTATT</v>
      </c>
      <c r="J431" s="2" t="s">
        <v>2287</v>
      </c>
      <c r="K431" s="8" t="s">
        <v>2318</v>
      </c>
      <c r="L431"/>
      <c r="M431" s="2" t="s">
        <v>2319</v>
      </c>
      <c r="P431" s="2" t="s">
        <v>1127</v>
      </c>
      <c r="Q431" s="2" t="s">
        <v>1127</v>
      </c>
    </row>
    <row r="432" spans="1:17" ht="16.5" customHeight="1" x14ac:dyDescent="0.2">
      <c r="A432" s="28" t="s">
        <v>399</v>
      </c>
      <c r="B432" s="28" t="s">
        <v>2259</v>
      </c>
      <c r="C432" s="28" t="s">
        <v>4182</v>
      </c>
      <c r="D432" s="28" t="s">
        <v>1410</v>
      </c>
      <c r="E432" s="28" t="s">
        <v>2317</v>
      </c>
      <c r="F432" s="2">
        <v>15</v>
      </c>
      <c r="G432" s="2" t="s">
        <v>19</v>
      </c>
      <c r="H432" s="2">
        <v>2005</v>
      </c>
      <c r="I432" s="2" t="str">
        <f t="shared" si="32"/>
        <v>oJBSTATT</v>
      </c>
      <c r="J432" s="2" t="s">
        <v>2287</v>
      </c>
      <c r="K432" s="8" t="s">
        <v>2318</v>
      </c>
      <c r="L432"/>
      <c r="M432" s="2" t="s">
        <v>2319</v>
      </c>
      <c r="P432" s="2" t="s">
        <v>1127</v>
      </c>
      <c r="Q432" s="2" t="s">
        <v>1127</v>
      </c>
    </row>
    <row r="433" spans="1:17" ht="16.5" customHeight="1" x14ac:dyDescent="0.2">
      <c r="A433" s="28" t="s">
        <v>399</v>
      </c>
      <c r="B433" s="28" t="s">
        <v>2261</v>
      </c>
      <c r="C433" s="28" t="s">
        <v>4182</v>
      </c>
      <c r="D433" s="28" t="s">
        <v>1410</v>
      </c>
      <c r="E433" s="28" t="s">
        <v>2317</v>
      </c>
      <c r="F433" s="2">
        <v>16</v>
      </c>
      <c r="G433" s="2" t="s">
        <v>25</v>
      </c>
      <c r="H433" s="2">
        <v>2006</v>
      </c>
      <c r="I433" s="2" t="str">
        <f t="shared" si="32"/>
        <v>pJBSTATT</v>
      </c>
      <c r="J433" s="2" t="s">
        <v>2287</v>
      </c>
      <c r="K433" s="8" t="s">
        <v>2318</v>
      </c>
      <c r="L433"/>
      <c r="M433" s="2" t="s">
        <v>2319</v>
      </c>
      <c r="P433" s="2" t="s">
        <v>1127</v>
      </c>
      <c r="Q433" s="2" t="s">
        <v>1127</v>
      </c>
    </row>
    <row r="434" spans="1:17" ht="16.5" customHeight="1" x14ac:dyDescent="0.2">
      <c r="A434" s="28" t="s">
        <v>399</v>
      </c>
      <c r="B434" s="28" t="s">
        <v>2263</v>
      </c>
      <c r="C434" s="28" t="s">
        <v>4182</v>
      </c>
      <c r="D434" s="28" t="s">
        <v>1410</v>
      </c>
      <c r="E434" s="28" t="s">
        <v>2317</v>
      </c>
      <c r="F434" s="2">
        <v>17</v>
      </c>
      <c r="G434" s="2" t="s">
        <v>73</v>
      </c>
      <c r="H434" s="2">
        <v>2007</v>
      </c>
      <c r="I434" s="2" t="str">
        <f t="shared" si="32"/>
        <v>qJBSTATT</v>
      </c>
      <c r="J434" s="2" t="s">
        <v>2287</v>
      </c>
      <c r="K434" s="8" t="s">
        <v>2318</v>
      </c>
      <c r="L434"/>
      <c r="M434" s="2" t="s">
        <v>2319</v>
      </c>
      <c r="P434" s="2" t="s">
        <v>1127</v>
      </c>
      <c r="Q434" s="2" t="s">
        <v>1127</v>
      </c>
    </row>
    <row r="435" spans="1:17" ht="16.5" customHeight="1" x14ac:dyDescent="0.2">
      <c r="A435" s="28" t="s">
        <v>399</v>
      </c>
      <c r="B435" s="28" t="s">
        <v>2265</v>
      </c>
      <c r="C435" s="28" t="s">
        <v>4182</v>
      </c>
      <c r="D435" s="28" t="s">
        <v>1410</v>
      </c>
      <c r="E435" s="28" t="s">
        <v>2317</v>
      </c>
      <c r="F435" s="2">
        <v>18</v>
      </c>
      <c r="G435" s="2" t="s">
        <v>58</v>
      </c>
      <c r="H435" s="2">
        <v>2008</v>
      </c>
      <c r="I435" s="2" t="str">
        <f t="shared" si="32"/>
        <v>rJBSTATT</v>
      </c>
      <c r="J435" s="2" t="s">
        <v>2287</v>
      </c>
      <c r="K435" s="8" t="s">
        <v>2318</v>
      </c>
      <c r="L435"/>
      <c r="M435" s="2" t="s">
        <v>2319</v>
      </c>
      <c r="P435" s="2" t="s">
        <v>1127</v>
      </c>
      <c r="Q435" s="2" t="s">
        <v>1127</v>
      </c>
    </row>
    <row r="436" spans="1:17" ht="16.5" customHeight="1" x14ac:dyDescent="0.2">
      <c r="A436" s="28" t="s">
        <v>399</v>
      </c>
      <c r="B436" s="28" t="s">
        <v>2227</v>
      </c>
      <c r="C436" s="28" t="s">
        <v>4182</v>
      </c>
      <c r="D436" s="28" t="s">
        <v>1410</v>
      </c>
      <c r="E436" s="28" t="s">
        <v>2320</v>
      </c>
      <c r="F436" s="2">
        <v>1</v>
      </c>
      <c r="G436" s="2" t="s">
        <v>40</v>
      </c>
      <c r="H436" s="2">
        <v>1991</v>
      </c>
      <c r="I436" s="2" t="s">
        <v>2321</v>
      </c>
      <c r="J436" s="2" t="s">
        <v>2322</v>
      </c>
      <c r="K436" s="8" t="s">
        <v>2323</v>
      </c>
      <c r="L436"/>
      <c r="M436" s="2" t="s">
        <v>2232</v>
      </c>
      <c r="P436" s="2" t="s">
        <v>1127</v>
      </c>
      <c r="Q436" s="2" t="s">
        <v>1127</v>
      </c>
    </row>
    <row r="437" spans="1:17" ht="16.5" customHeight="1" x14ac:dyDescent="0.2">
      <c r="A437" s="28" t="s">
        <v>399</v>
      </c>
      <c r="B437" s="28" t="s">
        <v>2233</v>
      </c>
      <c r="C437" s="28" t="s">
        <v>4182</v>
      </c>
      <c r="D437" s="28" t="s">
        <v>1410</v>
      </c>
      <c r="E437" s="28" t="s">
        <v>2320</v>
      </c>
      <c r="F437" s="2">
        <v>2</v>
      </c>
      <c r="G437" s="2" t="s">
        <v>37</v>
      </c>
      <c r="H437" s="2">
        <v>1992</v>
      </c>
      <c r="I437" s="2" t="s">
        <v>2324</v>
      </c>
      <c r="J437" s="2" t="s">
        <v>2322</v>
      </c>
      <c r="K437" s="8" t="s">
        <v>2323</v>
      </c>
      <c r="L437"/>
      <c r="M437" s="2" t="s">
        <v>2232</v>
      </c>
      <c r="P437" s="2" t="s">
        <v>1127</v>
      </c>
      <c r="Q437" s="2" t="s">
        <v>1127</v>
      </c>
    </row>
    <row r="438" spans="1:17" ht="16.5" customHeight="1" x14ac:dyDescent="0.2">
      <c r="A438" s="28" t="s">
        <v>399</v>
      </c>
      <c r="B438" s="28" t="s">
        <v>2235</v>
      </c>
      <c r="C438" s="28" t="s">
        <v>4182</v>
      </c>
      <c r="D438" s="28" t="s">
        <v>1410</v>
      </c>
      <c r="E438" s="28" t="s">
        <v>2320</v>
      </c>
      <c r="F438" s="2">
        <v>3</v>
      </c>
      <c r="G438" s="2" t="s">
        <v>80</v>
      </c>
      <c r="H438" s="2">
        <v>1993</v>
      </c>
      <c r="I438" s="2" t="s">
        <v>2325</v>
      </c>
      <c r="J438" s="2" t="s">
        <v>2322</v>
      </c>
      <c r="K438" s="8" t="s">
        <v>2323</v>
      </c>
      <c r="L438"/>
      <c r="M438" s="2" t="s">
        <v>2232</v>
      </c>
      <c r="P438" s="2" t="s">
        <v>1127</v>
      </c>
      <c r="Q438" s="2" t="s">
        <v>1127</v>
      </c>
    </row>
    <row r="439" spans="1:17" ht="16.5" customHeight="1" x14ac:dyDescent="0.2">
      <c r="A439" s="28" t="s">
        <v>399</v>
      </c>
      <c r="B439" s="28" t="s">
        <v>2237</v>
      </c>
      <c r="C439" s="28" t="s">
        <v>4182</v>
      </c>
      <c r="D439" s="28" t="s">
        <v>1410</v>
      </c>
      <c r="E439" s="28" t="s">
        <v>2320</v>
      </c>
      <c r="F439" s="2">
        <v>4</v>
      </c>
      <c r="G439" s="2" t="s">
        <v>31</v>
      </c>
      <c r="H439" s="2">
        <v>1994</v>
      </c>
      <c r="I439" s="2" t="s">
        <v>2326</v>
      </c>
      <c r="J439" s="2" t="s">
        <v>2322</v>
      </c>
      <c r="K439" s="8" t="s">
        <v>2323</v>
      </c>
      <c r="L439"/>
      <c r="M439" s="2" t="s">
        <v>2232</v>
      </c>
      <c r="P439" s="2" t="s">
        <v>1127</v>
      </c>
      <c r="Q439" s="2" t="s">
        <v>1127</v>
      </c>
    </row>
    <row r="440" spans="1:17" ht="16.5" customHeight="1" x14ac:dyDescent="0.2">
      <c r="A440" s="28" t="s">
        <v>399</v>
      </c>
      <c r="B440" s="28" t="s">
        <v>2239</v>
      </c>
      <c r="C440" s="28" t="s">
        <v>4182</v>
      </c>
      <c r="D440" s="28" t="s">
        <v>1410</v>
      </c>
      <c r="E440" s="28" t="s">
        <v>2320</v>
      </c>
      <c r="F440" s="2">
        <v>5</v>
      </c>
      <c r="G440" s="2" t="s">
        <v>13</v>
      </c>
      <c r="H440" s="2">
        <v>1995</v>
      </c>
      <c r="I440" s="2" t="s">
        <v>2327</v>
      </c>
      <c r="J440" s="2" t="s">
        <v>2322</v>
      </c>
      <c r="K440" s="8" t="s">
        <v>2323</v>
      </c>
      <c r="L440"/>
      <c r="M440" s="2" t="s">
        <v>2232</v>
      </c>
      <c r="P440" s="2" t="s">
        <v>1127</v>
      </c>
      <c r="Q440" s="2" t="s">
        <v>1127</v>
      </c>
    </row>
    <row r="441" spans="1:17" ht="16.5" customHeight="1" x14ac:dyDescent="0.2">
      <c r="A441" s="28" t="s">
        <v>399</v>
      </c>
      <c r="B441" s="28" t="s">
        <v>2241</v>
      </c>
      <c r="C441" s="28" t="s">
        <v>4182</v>
      </c>
      <c r="D441" s="28" t="s">
        <v>1410</v>
      </c>
      <c r="E441" s="28" t="s">
        <v>2320</v>
      </c>
      <c r="F441" s="2">
        <v>6</v>
      </c>
      <c r="G441" s="2" t="s">
        <v>49</v>
      </c>
      <c r="H441" s="2">
        <v>1996</v>
      </c>
      <c r="I441" s="2" t="s">
        <v>2328</v>
      </c>
      <c r="J441" s="2" t="s">
        <v>2322</v>
      </c>
      <c r="K441" s="8" t="s">
        <v>2323</v>
      </c>
      <c r="L441"/>
      <c r="M441" s="2" t="s">
        <v>2232</v>
      </c>
      <c r="P441" s="2" t="s">
        <v>1127</v>
      </c>
      <c r="Q441" s="2" t="s">
        <v>1127</v>
      </c>
    </row>
    <row r="442" spans="1:17" ht="16.5" customHeight="1" x14ac:dyDescent="0.2">
      <c r="A442" s="28" t="s">
        <v>399</v>
      </c>
      <c r="B442" s="28" t="s">
        <v>2243</v>
      </c>
      <c r="C442" s="28" t="s">
        <v>4182</v>
      </c>
      <c r="D442" s="28" t="s">
        <v>1410</v>
      </c>
      <c r="E442" s="28" t="s">
        <v>2320</v>
      </c>
      <c r="F442" s="2">
        <v>7</v>
      </c>
      <c r="G442" s="2" t="s">
        <v>101</v>
      </c>
      <c r="H442" s="2">
        <v>1997</v>
      </c>
      <c r="I442" s="2" t="s">
        <v>2329</v>
      </c>
      <c r="J442" s="2" t="s">
        <v>2322</v>
      </c>
      <c r="K442" s="8" t="s">
        <v>2323</v>
      </c>
      <c r="L442"/>
      <c r="M442" s="2" t="s">
        <v>2232</v>
      </c>
      <c r="P442" s="2" t="s">
        <v>1127</v>
      </c>
      <c r="Q442" s="2" t="s">
        <v>1127</v>
      </c>
    </row>
    <row r="443" spans="1:17" ht="16.5" customHeight="1" x14ac:dyDescent="0.2">
      <c r="A443" s="28" t="s">
        <v>399</v>
      </c>
      <c r="B443" s="28" t="s">
        <v>2245</v>
      </c>
      <c r="C443" s="28" t="s">
        <v>4182</v>
      </c>
      <c r="D443" s="28" t="s">
        <v>1410</v>
      </c>
      <c r="E443" s="28" t="s">
        <v>2320</v>
      </c>
      <c r="F443" s="2">
        <v>8</v>
      </c>
      <c r="G443" s="2" t="s">
        <v>10</v>
      </c>
      <c r="H443" s="2">
        <v>1998</v>
      </c>
      <c r="I443" s="2" t="s">
        <v>2330</v>
      </c>
      <c r="J443" s="2" t="s">
        <v>2322</v>
      </c>
      <c r="K443" s="8" t="s">
        <v>2323</v>
      </c>
      <c r="L443"/>
      <c r="M443" s="2" t="s">
        <v>2232</v>
      </c>
      <c r="P443" s="2" t="s">
        <v>1127</v>
      </c>
      <c r="Q443" s="2" t="s">
        <v>1127</v>
      </c>
    </row>
    <row r="444" spans="1:17" ht="16.5" customHeight="1" x14ac:dyDescent="0.2">
      <c r="A444" s="28" t="s">
        <v>399</v>
      </c>
      <c r="B444" s="28" t="s">
        <v>2247</v>
      </c>
      <c r="C444" s="28" t="s">
        <v>4182</v>
      </c>
      <c r="D444" s="28" t="s">
        <v>1410</v>
      </c>
      <c r="E444" s="28" t="s">
        <v>2320</v>
      </c>
      <c r="F444" s="2">
        <v>9</v>
      </c>
      <c r="G444" s="2" t="s">
        <v>55</v>
      </c>
      <c r="H444" s="2">
        <v>1999</v>
      </c>
      <c r="I444" s="2" t="s">
        <v>2331</v>
      </c>
      <c r="J444" s="2" t="s">
        <v>2322</v>
      </c>
      <c r="K444" s="8" t="s">
        <v>2323</v>
      </c>
      <c r="L444"/>
      <c r="M444" s="2" t="s">
        <v>2232</v>
      </c>
      <c r="P444" s="2" t="s">
        <v>1127</v>
      </c>
      <c r="Q444" s="2" t="s">
        <v>1127</v>
      </c>
    </row>
    <row r="445" spans="1:17" ht="16.5" customHeight="1" x14ac:dyDescent="0.2">
      <c r="A445" s="28" t="s">
        <v>399</v>
      </c>
      <c r="B445" s="28" t="s">
        <v>2249</v>
      </c>
      <c r="C445" s="28" t="s">
        <v>4182</v>
      </c>
      <c r="D445" s="28" t="s">
        <v>1410</v>
      </c>
      <c r="E445" s="28" t="s">
        <v>2320</v>
      </c>
      <c r="F445" s="2">
        <v>10</v>
      </c>
      <c r="G445" s="2" t="s">
        <v>98</v>
      </c>
      <c r="H445" s="2">
        <v>2000</v>
      </c>
      <c r="I445" s="2" t="s">
        <v>2332</v>
      </c>
      <c r="J445" s="2" t="s">
        <v>2322</v>
      </c>
      <c r="K445" s="8" t="s">
        <v>2323</v>
      </c>
      <c r="L445"/>
      <c r="M445" s="2" t="s">
        <v>2232</v>
      </c>
      <c r="P445" s="2" t="s">
        <v>1127</v>
      </c>
      <c r="Q445" s="2" t="s">
        <v>1127</v>
      </c>
    </row>
    <row r="446" spans="1:17" ht="16.5" customHeight="1" x14ac:dyDescent="0.2">
      <c r="A446" s="28" t="s">
        <v>399</v>
      </c>
      <c r="B446" s="28" t="s">
        <v>2251</v>
      </c>
      <c r="C446" s="28" t="s">
        <v>4182</v>
      </c>
      <c r="D446" s="28" t="s">
        <v>1410</v>
      </c>
      <c r="E446" s="28" t="s">
        <v>2320</v>
      </c>
      <c r="F446" s="2">
        <v>11</v>
      </c>
      <c r="G446" s="2" t="s">
        <v>104</v>
      </c>
      <c r="H446" s="2">
        <v>2001</v>
      </c>
      <c r="I446" s="2" t="s">
        <v>2333</v>
      </c>
      <c r="J446" s="2" t="s">
        <v>2322</v>
      </c>
      <c r="K446" s="8" t="s">
        <v>2323</v>
      </c>
      <c r="L446"/>
      <c r="M446" s="2" t="s">
        <v>2232</v>
      </c>
      <c r="P446" s="2" t="s">
        <v>1127</v>
      </c>
      <c r="Q446" s="2" t="s">
        <v>1127</v>
      </c>
    </row>
    <row r="447" spans="1:17" ht="16.5" customHeight="1" x14ac:dyDescent="0.2">
      <c r="A447" s="28" t="s">
        <v>399</v>
      </c>
      <c r="B447" s="28" t="s">
        <v>2253</v>
      </c>
      <c r="C447" s="28" t="s">
        <v>4182</v>
      </c>
      <c r="D447" s="28" t="s">
        <v>1410</v>
      </c>
      <c r="E447" s="28" t="s">
        <v>2320</v>
      </c>
      <c r="F447" s="2">
        <v>12</v>
      </c>
      <c r="G447" s="2" t="s">
        <v>89</v>
      </c>
      <c r="H447" s="2">
        <v>2002</v>
      </c>
      <c r="I447" s="2" t="s">
        <v>2334</v>
      </c>
      <c r="J447" s="2" t="s">
        <v>2322</v>
      </c>
      <c r="K447" s="8" t="s">
        <v>2323</v>
      </c>
      <c r="L447"/>
      <c r="M447" s="2" t="s">
        <v>2232</v>
      </c>
      <c r="P447" s="2" t="s">
        <v>1127</v>
      </c>
      <c r="Q447" s="2" t="s">
        <v>1127</v>
      </c>
    </row>
    <row r="448" spans="1:17" ht="16.5" customHeight="1" x14ac:dyDescent="0.2">
      <c r="A448" s="28" t="s">
        <v>399</v>
      </c>
      <c r="B448" s="28" t="s">
        <v>2255</v>
      </c>
      <c r="C448" s="28" t="s">
        <v>4182</v>
      </c>
      <c r="D448" s="28" t="s">
        <v>1410</v>
      </c>
      <c r="E448" s="28" t="s">
        <v>2320</v>
      </c>
      <c r="F448" s="2">
        <v>13</v>
      </c>
      <c r="G448" s="2" t="s">
        <v>107</v>
      </c>
      <c r="H448" s="2">
        <v>2003</v>
      </c>
      <c r="I448" s="2" t="s">
        <v>2335</v>
      </c>
      <c r="J448" s="2" t="s">
        <v>2322</v>
      </c>
      <c r="K448" s="8" t="s">
        <v>2323</v>
      </c>
      <c r="L448"/>
      <c r="M448" s="2" t="s">
        <v>2232</v>
      </c>
      <c r="P448" s="2" t="s">
        <v>1127</v>
      </c>
      <c r="Q448" s="2" t="s">
        <v>1127</v>
      </c>
    </row>
    <row r="449" spans="1:17" ht="16.5" customHeight="1" x14ac:dyDescent="0.2">
      <c r="A449" s="28" t="s">
        <v>399</v>
      </c>
      <c r="B449" s="28" t="s">
        <v>2257</v>
      </c>
      <c r="C449" s="28" t="s">
        <v>4182</v>
      </c>
      <c r="D449" s="28" t="s">
        <v>1410</v>
      </c>
      <c r="E449" s="28" t="s">
        <v>2320</v>
      </c>
      <c r="F449" s="2">
        <v>14</v>
      </c>
      <c r="G449" s="2" t="s">
        <v>43</v>
      </c>
      <c r="H449" s="2">
        <v>2004</v>
      </c>
      <c r="I449" s="2" t="s">
        <v>2336</v>
      </c>
      <c r="J449" s="2" t="s">
        <v>2322</v>
      </c>
      <c r="K449" s="8" t="s">
        <v>2323</v>
      </c>
      <c r="L449"/>
      <c r="M449" s="2" t="s">
        <v>2232</v>
      </c>
      <c r="P449" s="2" t="s">
        <v>1127</v>
      </c>
      <c r="Q449" s="2" t="s">
        <v>1127</v>
      </c>
    </row>
    <row r="450" spans="1:17" ht="16.5" customHeight="1" x14ac:dyDescent="0.2">
      <c r="A450" s="28" t="s">
        <v>399</v>
      </c>
      <c r="B450" s="28" t="s">
        <v>2259</v>
      </c>
      <c r="C450" s="28" t="s">
        <v>4182</v>
      </c>
      <c r="D450" s="28" t="s">
        <v>1410</v>
      </c>
      <c r="E450" s="28" t="s">
        <v>2320</v>
      </c>
      <c r="F450" s="2">
        <v>15</v>
      </c>
      <c r="G450" s="2" t="s">
        <v>19</v>
      </c>
      <c r="H450" s="2">
        <v>2005</v>
      </c>
      <c r="I450" s="2" t="s">
        <v>2337</v>
      </c>
      <c r="J450" s="2" t="s">
        <v>2322</v>
      </c>
      <c r="K450" s="8" t="s">
        <v>2323</v>
      </c>
      <c r="L450"/>
      <c r="M450" s="2" t="s">
        <v>2232</v>
      </c>
      <c r="P450" s="2" t="s">
        <v>1127</v>
      </c>
      <c r="Q450" s="2" t="s">
        <v>1127</v>
      </c>
    </row>
    <row r="451" spans="1:17" ht="16.5" customHeight="1" x14ac:dyDescent="0.2">
      <c r="A451" s="28" t="s">
        <v>399</v>
      </c>
      <c r="B451" s="28" t="s">
        <v>2261</v>
      </c>
      <c r="C451" s="28" t="s">
        <v>4182</v>
      </c>
      <c r="D451" s="28" t="s">
        <v>1410</v>
      </c>
      <c r="E451" s="28" t="s">
        <v>2320</v>
      </c>
      <c r="F451" s="2">
        <v>16</v>
      </c>
      <c r="G451" s="2" t="s">
        <v>25</v>
      </c>
      <c r="H451" s="2">
        <v>2006</v>
      </c>
      <c r="I451" s="2" t="s">
        <v>2338</v>
      </c>
      <c r="J451" s="2" t="s">
        <v>2322</v>
      </c>
      <c r="K451" s="8" t="s">
        <v>2323</v>
      </c>
      <c r="L451"/>
      <c r="M451" s="2" t="s">
        <v>2232</v>
      </c>
      <c r="P451" s="2" t="s">
        <v>1127</v>
      </c>
      <c r="Q451" s="2" t="s">
        <v>1127</v>
      </c>
    </row>
    <row r="452" spans="1:17" ht="16.5" customHeight="1" x14ac:dyDescent="0.2">
      <c r="A452" s="28" t="s">
        <v>399</v>
      </c>
      <c r="B452" s="28" t="s">
        <v>2263</v>
      </c>
      <c r="C452" s="28" t="s">
        <v>4182</v>
      </c>
      <c r="D452" s="28" t="s">
        <v>1410</v>
      </c>
      <c r="E452" s="28" t="s">
        <v>2320</v>
      </c>
      <c r="F452" s="2">
        <v>17</v>
      </c>
      <c r="G452" s="2" t="s">
        <v>73</v>
      </c>
      <c r="H452" s="2">
        <v>2007</v>
      </c>
      <c r="I452" s="2" t="s">
        <v>2339</v>
      </c>
      <c r="J452" s="2" t="s">
        <v>2322</v>
      </c>
      <c r="K452" s="8" t="s">
        <v>2323</v>
      </c>
      <c r="L452"/>
      <c r="M452" s="2" t="s">
        <v>2232</v>
      </c>
      <c r="P452" s="2" t="s">
        <v>1127</v>
      </c>
      <c r="Q452" s="2" t="s">
        <v>1127</v>
      </c>
    </row>
    <row r="453" spans="1:17" ht="16.5" customHeight="1" x14ac:dyDescent="0.2">
      <c r="A453" s="28" t="s">
        <v>399</v>
      </c>
      <c r="B453" s="28" t="s">
        <v>2265</v>
      </c>
      <c r="C453" s="28" t="s">
        <v>4182</v>
      </c>
      <c r="D453" s="28" t="s">
        <v>1410</v>
      </c>
      <c r="E453" s="28" t="s">
        <v>2320</v>
      </c>
      <c r="F453" s="2">
        <v>18</v>
      </c>
      <c r="G453" s="2" t="s">
        <v>58</v>
      </c>
      <c r="H453" s="2">
        <v>2008</v>
      </c>
      <c r="I453" s="2" t="s">
        <v>2340</v>
      </c>
      <c r="J453" s="2" t="s">
        <v>2322</v>
      </c>
      <c r="K453" s="8" t="s">
        <v>2323</v>
      </c>
      <c r="L453"/>
      <c r="M453" s="2" t="s">
        <v>2232</v>
      </c>
      <c r="P453" s="2" t="s">
        <v>1127</v>
      </c>
      <c r="Q453" s="2" t="s">
        <v>1127</v>
      </c>
    </row>
    <row r="454" spans="1:17" ht="16.5" customHeight="1" x14ac:dyDescent="0.2">
      <c r="A454" s="28" t="s">
        <v>399</v>
      </c>
      <c r="B454" s="28" t="s">
        <v>2341</v>
      </c>
      <c r="C454" s="28" t="s">
        <v>4182</v>
      </c>
      <c r="D454" s="28" t="s">
        <v>1389</v>
      </c>
      <c r="E454" s="28" t="s">
        <v>1389</v>
      </c>
      <c r="F454" s="2">
        <v>0</v>
      </c>
      <c r="G454" s="2"/>
      <c r="H454" s="2">
        <v>0</v>
      </c>
      <c r="I454" s="2" t="str">
        <f t="shared" ref="I454:I464" si="33">_xlfn.CONCAT(G454,"CH1BY")</f>
        <v>CH1BY</v>
      </c>
      <c r="J454" s="2" t="s">
        <v>2342</v>
      </c>
      <c r="K454" s="8" t="s">
        <v>2343</v>
      </c>
      <c r="L454"/>
      <c r="M454" s="2" t="s">
        <v>4190</v>
      </c>
      <c r="P454" s="2" t="s">
        <v>1127</v>
      </c>
      <c r="Q454" s="2" t="s">
        <v>1127</v>
      </c>
    </row>
    <row r="455" spans="1:17" ht="16.5" customHeight="1" x14ac:dyDescent="0.2">
      <c r="A455" s="28" t="s">
        <v>399</v>
      </c>
      <c r="B455" s="28" t="s">
        <v>682</v>
      </c>
      <c r="C455" s="28" t="s">
        <v>4182</v>
      </c>
      <c r="D455" s="28" t="s">
        <v>1389</v>
      </c>
      <c r="E455" s="28" t="s">
        <v>1389</v>
      </c>
      <c r="F455" s="2">
        <v>8</v>
      </c>
      <c r="G455" s="2" t="s">
        <v>10</v>
      </c>
      <c r="H455" s="2">
        <v>1998</v>
      </c>
      <c r="I455" s="2" t="str">
        <f t="shared" si="33"/>
        <v>hCH1BY</v>
      </c>
      <c r="J455" s="2" t="s">
        <v>2342</v>
      </c>
      <c r="K455" s="8" t="s">
        <v>2343</v>
      </c>
      <c r="L455"/>
      <c r="M455" s="2" t="s">
        <v>4190</v>
      </c>
      <c r="P455" s="2" t="s">
        <v>1127</v>
      </c>
      <c r="Q455" s="2" t="s">
        <v>1127</v>
      </c>
    </row>
    <row r="456" spans="1:17" ht="16.5" customHeight="1" x14ac:dyDescent="0.2">
      <c r="A456" s="28" t="s">
        <v>399</v>
      </c>
      <c r="B456" s="28" t="s">
        <v>686</v>
      </c>
      <c r="C456" s="28" t="s">
        <v>4182</v>
      </c>
      <c r="D456" s="28" t="s">
        <v>1389</v>
      </c>
      <c r="E456" s="28" t="s">
        <v>1389</v>
      </c>
      <c r="F456" s="2">
        <v>10</v>
      </c>
      <c r="G456" s="2" t="s">
        <v>98</v>
      </c>
      <c r="H456" s="2">
        <v>2000</v>
      </c>
      <c r="I456" s="2" t="str">
        <f t="shared" si="33"/>
        <v>jCH1BY</v>
      </c>
      <c r="J456" s="2" t="s">
        <v>2342</v>
      </c>
      <c r="K456" s="8" t="s">
        <v>2343</v>
      </c>
      <c r="L456"/>
      <c r="M456" s="2" t="s">
        <v>4190</v>
      </c>
      <c r="P456" s="2" t="s">
        <v>1127</v>
      </c>
      <c r="Q456" s="2" t="s">
        <v>1127</v>
      </c>
    </row>
    <row r="457" spans="1:17" ht="16.5" customHeight="1" x14ac:dyDescent="0.2">
      <c r="A457" s="28" t="s">
        <v>399</v>
      </c>
      <c r="B457" s="28" t="s">
        <v>2183</v>
      </c>
      <c r="C457" s="28" t="s">
        <v>4182</v>
      </c>
      <c r="D457" s="28" t="s">
        <v>1389</v>
      </c>
      <c r="E457" s="28" t="s">
        <v>1389</v>
      </c>
      <c r="F457" s="2">
        <v>11</v>
      </c>
      <c r="G457" s="2" t="s">
        <v>104</v>
      </c>
      <c r="H457" s="2">
        <v>2001</v>
      </c>
      <c r="I457" s="2" t="str">
        <f t="shared" si="33"/>
        <v>kCH1BY</v>
      </c>
      <c r="J457" s="2" t="s">
        <v>2342</v>
      </c>
      <c r="K457" s="8" t="s">
        <v>2343</v>
      </c>
      <c r="L457"/>
      <c r="M457" s="2" t="s">
        <v>4190</v>
      </c>
      <c r="P457" s="2" t="s">
        <v>1127</v>
      </c>
      <c r="Q457" s="2" t="s">
        <v>1127</v>
      </c>
    </row>
    <row r="458" spans="1:17" ht="16.5" customHeight="1" x14ac:dyDescent="0.2">
      <c r="A458" s="28" t="s">
        <v>399</v>
      </c>
      <c r="B458" s="28" t="s">
        <v>688</v>
      </c>
      <c r="C458" s="28" t="s">
        <v>4182</v>
      </c>
      <c r="D458" s="28" t="s">
        <v>1389</v>
      </c>
      <c r="E458" s="28" t="s">
        <v>1389</v>
      </c>
      <c r="F458" s="2">
        <v>12</v>
      </c>
      <c r="G458" s="2" t="s">
        <v>89</v>
      </c>
      <c r="H458" s="2">
        <v>2002</v>
      </c>
      <c r="I458" s="2" t="str">
        <f t="shared" si="33"/>
        <v>lCH1BY</v>
      </c>
      <c r="J458" s="2" t="s">
        <v>2342</v>
      </c>
      <c r="K458" s="8" t="s">
        <v>2343</v>
      </c>
      <c r="L458"/>
      <c r="M458" s="2" t="s">
        <v>4190</v>
      </c>
      <c r="P458" s="2" t="s">
        <v>1127</v>
      </c>
      <c r="Q458" s="2" t="s">
        <v>1127</v>
      </c>
    </row>
    <row r="459" spans="1:17" ht="16.5" customHeight="1" x14ac:dyDescent="0.2">
      <c r="A459" s="28" t="s">
        <v>399</v>
      </c>
      <c r="B459" s="28" t="s">
        <v>690</v>
      </c>
      <c r="C459" s="28" t="s">
        <v>4182</v>
      </c>
      <c r="D459" s="28" t="s">
        <v>1389</v>
      </c>
      <c r="E459" s="28" t="s">
        <v>1389</v>
      </c>
      <c r="F459" s="2">
        <v>13</v>
      </c>
      <c r="G459" s="2" t="s">
        <v>107</v>
      </c>
      <c r="H459" s="2">
        <v>2003</v>
      </c>
      <c r="I459" s="2" t="str">
        <f t="shared" si="33"/>
        <v>mCH1BY</v>
      </c>
      <c r="J459" s="2" t="s">
        <v>2342</v>
      </c>
      <c r="K459" s="8" t="s">
        <v>2343</v>
      </c>
      <c r="L459"/>
      <c r="M459" s="2" t="s">
        <v>4190</v>
      </c>
      <c r="P459" s="2" t="s">
        <v>1127</v>
      </c>
      <c r="Q459" s="2" t="s">
        <v>1127</v>
      </c>
    </row>
    <row r="460" spans="1:17" ht="16.5" customHeight="1" x14ac:dyDescent="0.2">
      <c r="A460" s="28" t="s">
        <v>399</v>
      </c>
      <c r="B460" s="28" t="s">
        <v>692</v>
      </c>
      <c r="C460" s="28" t="s">
        <v>4182</v>
      </c>
      <c r="D460" s="28" t="s">
        <v>1389</v>
      </c>
      <c r="E460" s="28" t="s">
        <v>1389</v>
      </c>
      <c r="F460" s="2">
        <v>14</v>
      </c>
      <c r="G460" s="2" t="s">
        <v>43</v>
      </c>
      <c r="H460" s="2">
        <v>2004</v>
      </c>
      <c r="I460" s="2" t="str">
        <f t="shared" si="33"/>
        <v>nCH1BY</v>
      </c>
      <c r="J460" s="2" t="s">
        <v>2342</v>
      </c>
      <c r="K460" s="8" t="s">
        <v>2343</v>
      </c>
      <c r="L460"/>
      <c r="M460" s="2" t="s">
        <v>4190</v>
      </c>
      <c r="P460" s="2" t="s">
        <v>1127</v>
      </c>
      <c r="Q460" s="2" t="s">
        <v>1127</v>
      </c>
    </row>
    <row r="461" spans="1:17" ht="16.5" customHeight="1" x14ac:dyDescent="0.2">
      <c r="A461" s="28" t="s">
        <v>399</v>
      </c>
      <c r="B461" s="28" t="s">
        <v>694</v>
      </c>
      <c r="C461" s="28" t="s">
        <v>4182</v>
      </c>
      <c r="D461" s="28" t="s">
        <v>1389</v>
      </c>
      <c r="E461" s="28" t="s">
        <v>1389</v>
      </c>
      <c r="F461" s="2">
        <v>15</v>
      </c>
      <c r="G461" s="2" t="s">
        <v>19</v>
      </c>
      <c r="H461" s="2">
        <v>2005</v>
      </c>
      <c r="I461" s="2" t="str">
        <f t="shared" si="33"/>
        <v>oCH1BY</v>
      </c>
      <c r="J461" s="2" t="s">
        <v>2342</v>
      </c>
      <c r="K461" s="8" t="s">
        <v>2343</v>
      </c>
      <c r="L461"/>
      <c r="M461" s="2" t="s">
        <v>4190</v>
      </c>
      <c r="P461" s="2" t="s">
        <v>1127</v>
      </c>
      <c r="Q461" s="2" t="s">
        <v>1127</v>
      </c>
    </row>
    <row r="462" spans="1:17" ht="16.5" customHeight="1" x14ac:dyDescent="0.2">
      <c r="A462" s="28" t="s">
        <v>399</v>
      </c>
      <c r="B462" s="28" t="s">
        <v>696</v>
      </c>
      <c r="C462" s="28" t="s">
        <v>4182</v>
      </c>
      <c r="D462" s="28" t="s">
        <v>1389</v>
      </c>
      <c r="E462" s="28" t="s">
        <v>1389</v>
      </c>
      <c r="F462" s="2">
        <v>16</v>
      </c>
      <c r="G462" s="2" t="s">
        <v>25</v>
      </c>
      <c r="H462" s="2">
        <v>2006</v>
      </c>
      <c r="I462" s="2" t="str">
        <f t="shared" si="33"/>
        <v>pCH1BY</v>
      </c>
      <c r="J462" s="2" t="s">
        <v>2342</v>
      </c>
      <c r="K462" s="8" t="s">
        <v>2343</v>
      </c>
      <c r="L462"/>
      <c r="M462" s="2" t="s">
        <v>4190</v>
      </c>
      <c r="P462" s="2" t="s">
        <v>1127</v>
      </c>
      <c r="Q462" s="2" t="s">
        <v>1127</v>
      </c>
    </row>
    <row r="463" spans="1:17" ht="16.5" customHeight="1" x14ac:dyDescent="0.2">
      <c r="A463" s="28" t="s">
        <v>399</v>
      </c>
      <c r="B463" s="28" t="s">
        <v>698</v>
      </c>
      <c r="C463" s="28" t="s">
        <v>4182</v>
      </c>
      <c r="D463" s="28" t="s">
        <v>1389</v>
      </c>
      <c r="E463" s="28" t="s">
        <v>1389</v>
      </c>
      <c r="F463" s="2">
        <v>17</v>
      </c>
      <c r="G463" s="2" t="s">
        <v>73</v>
      </c>
      <c r="H463" s="2">
        <v>2007</v>
      </c>
      <c r="I463" s="2" t="str">
        <f t="shared" si="33"/>
        <v>qCH1BY</v>
      </c>
      <c r="J463" s="2" t="s">
        <v>2342</v>
      </c>
      <c r="K463" s="8" t="s">
        <v>2343</v>
      </c>
      <c r="L463"/>
      <c r="M463" s="2" t="s">
        <v>4190</v>
      </c>
      <c r="P463" s="2" t="s">
        <v>1127</v>
      </c>
      <c r="Q463" s="2" t="s">
        <v>1127</v>
      </c>
    </row>
    <row r="464" spans="1:17" ht="16.5" customHeight="1" x14ac:dyDescent="0.2">
      <c r="A464" s="28" t="s">
        <v>399</v>
      </c>
      <c r="B464" s="28" t="s">
        <v>700</v>
      </c>
      <c r="C464" s="28" t="s">
        <v>4182</v>
      </c>
      <c r="D464" s="28" t="s">
        <v>1389</v>
      </c>
      <c r="E464" s="28" t="s">
        <v>1389</v>
      </c>
      <c r="F464" s="2">
        <v>18</v>
      </c>
      <c r="G464" s="2" t="s">
        <v>58</v>
      </c>
      <c r="H464" s="2">
        <v>2008</v>
      </c>
      <c r="I464" s="2" t="str">
        <f t="shared" si="33"/>
        <v>rCH1BY</v>
      </c>
      <c r="J464" s="2" t="s">
        <v>2342</v>
      </c>
      <c r="K464" s="8" t="s">
        <v>2343</v>
      </c>
      <c r="L464"/>
      <c r="M464" s="2" t="s">
        <v>4190</v>
      </c>
      <c r="P464" s="2" t="s">
        <v>1127</v>
      </c>
      <c r="Q464" s="2" t="s">
        <v>1127</v>
      </c>
    </row>
    <row r="465" spans="1:17" ht="16.5" customHeight="1" x14ac:dyDescent="0.2">
      <c r="A465" s="35" t="s">
        <v>399</v>
      </c>
      <c r="B465" s="35" t="str">
        <f>_xlfn.CONCAT(G465,"INDRESP")</f>
        <v>aINDRESP</v>
      </c>
      <c r="C465" s="35" t="s">
        <v>4182</v>
      </c>
      <c r="D465" s="35" t="s">
        <v>1629</v>
      </c>
      <c r="E465" s="35" t="s">
        <v>2344</v>
      </c>
      <c r="F465" s="2">
        <v>1</v>
      </c>
      <c r="G465" s="2" t="s">
        <v>40</v>
      </c>
      <c r="H465" s="2">
        <v>1991</v>
      </c>
      <c r="I465" s="2" t="str">
        <f t="shared" ref="I465:I481" si="34">_xlfn.CONCAT(G465,"MASTAT")</f>
        <v>aMASTAT</v>
      </c>
      <c r="J465" s="2" t="s">
        <v>2345</v>
      </c>
      <c r="K465" s="8" t="s">
        <v>2346</v>
      </c>
      <c r="L465"/>
      <c r="M465" s="2" t="s">
        <v>2347</v>
      </c>
      <c r="P465" s="2" t="s">
        <v>1127</v>
      </c>
      <c r="Q465" s="2" t="s">
        <v>1127</v>
      </c>
    </row>
    <row r="466" spans="1:17" ht="16.5" customHeight="1" x14ac:dyDescent="0.2">
      <c r="A466" s="35" t="s">
        <v>399</v>
      </c>
      <c r="B466" s="35" t="s">
        <v>2233</v>
      </c>
      <c r="C466" s="35" t="s">
        <v>4182</v>
      </c>
      <c r="D466" s="35" t="s">
        <v>1629</v>
      </c>
      <c r="E466" s="35" t="s">
        <v>2344</v>
      </c>
      <c r="F466" s="2">
        <v>2</v>
      </c>
      <c r="G466" s="2" t="s">
        <v>37</v>
      </c>
      <c r="H466" s="2">
        <v>1992</v>
      </c>
      <c r="I466" s="2" t="str">
        <f t="shared" si="34"/>
        <v>bMASTAT</v>
      </c>
      <c r="J466" s="2" t="s">
        <v>2345</v>
      </c>
      <c r="K466" s="8" t="s">
        <v>2346</v>
      </c>
      <c r="L466"/>
      <c r="M466" s="2" t="s">
        <v>2347</v>
      </c>
      <c r="P466" s="2" t="s">
        <v>1127</v>
      </c>
      <c r="Q466" s="2" t="s">
        <v>1127</v>
      </c>
    </row>
    <row r="467" spans="1:17" ht="16.5" customHeight="1" x14ac:dyDescent="0.2">
      <c r="A467" s="35" t="s">
        <v>399</v>
      </c>
      <c r="B467" s="35" t="s">
        <v>2235</v>
      </c>
      <c r="C467" s="35" t="s">
        <v>4182</v>
      </c>
      <c r="D467" s="35" t="s">
        <v>1629</v>
      </c>
      <c r="E467" s="35" t="s">
        <v>2344</v>
      </c>
      <c r="F467" s="2">
        <v>3</v>
      </c>
      <c r="G467" s="2" t="s">
        <v>80</v>
      </c>
      <c r="H467" s="2">
        <v>1993</v>
      </c>
      <c r="I467" s="2" t="str">
        <f t="shared" si="34"/>
        <v>cMASTAT</v>
      </c>
      <c r="J467" s="2" t="s">
        <v>2345</v>
      </c>
      <c r="K467" s="8" t="s">
        <v>2346</v>
      </c>
      <c r="L467"/>
      <c r="M467" s="2" t="s">
        <v>2347</v>
      </c>
      <c r="P467" s="2" t="s">
        <v>1127</v>
      </c>
      <c r="Q467" s="2" t="s">
        <v>1127</v>
      </c>
    </row>
    <row r="468" spans="1:17" ht="16.5" customHeight="1" x14ac:dyDescent="0.2">
      <c r="A468" s="35" t="s">
        <v>399</v>
      </c>
      <c r="B468" s="35" t="s">
        <v>2237</v>
      </c>
      <c r="C468" s="35" t="s">
        <v>4182</v>
      </c>
      <c r="D468" s="35" t="s">
        <v>1629</v>
      </c>
      <c r="E468" s="35" t="s">
        <v>2344</v>
      </c>
      <c r="F468" s="2">
        <v>4</v>
      </c>
      <c r="G468" s="2" t="s">
        <v>31</v>
      </c>
      <c r="H468" s="2">
        <v>1994</v>
      </c>
      <c r="I468" s="2" t="str">
        <f t="shared" si="34"/>
        <v>dMASTAT</v>
      </c>
      <c r="J468" s="2" t="s">
        <v>2345</v>
      </c>
      <c r="K468" s="8" t="s">
        <v>2346</v>
      </c>
      <c r="L468"/>
      <c r="M468" s="2" t="s">
        <v>2347</v>
      </c>
      <c r="P468" s="2" t="s">
        <v>1127</v>
      </c>
      <c r="Q468" s="2" t="s">
        <v>1127</v>
      </c>
    </row>
    <row r="469" spans="1:17" ht="16.5" customHeight="1" x14ac:dyDescent="0.2">
      <c r="A469" s="35" t="s">
        <v>399</v>
      </c>
      <c r="B469" s="35" t="s">
        <v>2239</v>
      </c>
      <c r="C469" s="35" t="s">
        <v>4182</v>
      </c>
      <c r="D469" s="35" t="s">
        <v>1629</v>
      </c>
      <c r="E469" s="35" t="s">
        <v>2344</v>
      </c>
      <c r="F469" s="2">
        <v>5</v>
      </c>
      <c r="G469" s="2" t="s">
        <v>13</v>
      </c>
      <c r="H469" s="2">
        <v>1995</v>
      </c>
      <c r="I469" s="2" t="str">
        <f t="shared" si="34"/>
        <v>eMASTAT</v>
      </c>
      <c r="J469" s="2" t="s">
        <v>2345</v>
      </c>
      <c r="K469" s="8" t="s">
        <v>2346</v>
      </c>
      <c r="L469"/>
      <c r="M469" s="2" t="s">
        <v>2347</v>
      </c>
      <c r="P469" s="2" t="s">
        <v>1127</v>
      </c>
      <c r="Q469" s="2" t="s">
        <v>1127</v>
      </c>
    </row>
    <row r="470" spans="1:17" ht="16.5" customHeight="1" x14ac:dyDescent="0.2">
      <c r="A470" s="35" t="s">
        <v>399</v>
      </c>
      <c r="B470" s="35" t="s">
        <v>2241</v>
      </c>
      <c r="C470" s="35" t="s">
        <v>4182</v>
      </c>
      <c r="D470" s="35" t="s">
        <v>1629</v>
      </c>
      <c r="E470" s="35" t="s">
        <v>2344</v>
      </c>
      <c r="F470" s="2">
        <v>6</v>
      </c>
      <c r="G470" s="2" t="s">
        <v>49</v>
      </c>
      <c r="H470" s="2">
        <v>1996</v>
      </c>
      <c r="I470" s="2" t="str">
        <f t="shared" si="34"/>
        <v>fMASTAT</v>
      </c>
      <c r="J470" s="2" t="s">
        <v>2345</v>
      </c>
      <c r="K470" s="8" t="s">
        <v>2346</v>
      </c>
      <c r="L470"/>
      <c r="M470" s="2" t="s">
        <v>2347</v>
      </c>
      <c r="P470" s="2" t="s">
        <v>1127</v>
      </c>
      <c r="Q470" s="2" t="s">
        <v>1127</v>
      </c>
    </row>
    <row r="471" spans="1:17" ht="16.5" customHeight="1" x14ac:dyDescent="0.2">
      <c r="A471" s="35" t="s">
        <v>399</v>
      </c>
      <c r="B471" s="35" t="s">
        <v>2243</v>
      </c>
      <c r="C471" s="35" t="s">
        <v>4182</v>
      </c>
      <c r="D471" s="35" t="s">
        <v>1629</v>
      </c>
      <c r="E471" s="35" t="s">
        <v>2344</v>
      </c>
      <c r="F471" s="2">
        <v>7</v>
      </c>
      <c r="G471" s="2" t="s">
        <v>101</v>
      </c>
      <c r="H471" s="2">
        <v>1997</v>
      </c>
      <c r="I471" s="2" t="str">
        <f t="shared" si="34"/>
        <v>gMASTAT</v>
      </c>
      <c r="J471" s="2" t="s">
        <v>2345</v>
      </c>
      <c r="K471" s="8" t="s">
        <v>2346</v>
      </c>
      <c r="L471"/>
      <c r="M471" s="2" t="s">
        <v>2347</v>
      </c>
      <c r="P471" s="2" t="s">
        <v>1127</v>
      </c>
      <c r="Q471" s="2" t="s">
        <v>1127</v>
      </c>
    </row>
    <row r="472" spans="1:17" ht="16.5" customHeight="1" x14ac:dyDescent="0.2">
      <c r="A472" s="35" t="s">
        <v>399</v>
      </c>
      <c r="B472" s="35" t="s">
        <v>2245</v>
      </c>
      <c r="C472" s="35" t="s">
        <v>4182</v>
      </c>
      <c r="D472" s="35" t="s">
        <v>1629</v>
      </c>
      <c r="E472" s="35" t="s">
        <v>2344</v>
      </c>
      <c r="F472" s="2">
        <v>8</v>
      </c>
      <c r="G472" s="2" t="s">
        <v>10</v>
      </c>
      <c r="H472" s="2">
        <v>1998</v>
      </c>
      <c r="I472" s="2" t="str">
        <f t="shared" si="34"/>
        <v>hMASTAT</v>
      </c>
      <c r="J472" s="2" t="s">
        <v>2345</v>
      </c>
      <c r="K472" s="8" t="s">
        <v>2346</v>
      </c>
      <c r="L472"/>
      <c r="M472" s="2" t="s">
        <v>2347</v>
      </c>
      <c r="P472" s="2" t="s">
        <v>1127</v>
      </c>
      <c r="Q472" s="2" t="s">
        <v>1127</v>
      </c>
    </row>
    <row r="473" spans="1:17" ht="16.5" customHeight="1" x14ac:dyDescent="0.2">
      <c r="A473" s="35" t="s">
        <v>399</v>
      </c>
      <c r="B473" s="35" t="s">
        <v>2249</v>
      </c>
      <c r="C473" s="35" t="s">
        <v>4182</v>
      </c>
      <c r="D473" s="35" t="s">
        <v>1629</v>
      </c>
      <c r="E473" s="35" t="s">
        <v>2344</v>
      </c>
      <c r="F473" s="2">
        <v>10</v>
      </c>
      <c r="G473" s="2" t="s">
        <v>98</v>
      </c>
      <c r="H473" s="2">
        <v>2000</v>
      </c>
      <c r="I473" s="2" t="str">
        <f t="shared" si="34"/>
        <v>jMASTAT</v>
      </c>
      <c r="J473" s="2" t="s">
        <v>2345</v>
      </c>
      <c r="K473" s="8" t="s">
        <v>2346</v>
      </c>
      <c r="L473"/>
      <c r="M473" s="2" t="s">
        <v>2347</v>
      </c>
      <c r="P473" s="2" t="s">
        <v>1127</v>
      </c>
      <c r="Q473" s="2" t="s">
        <v>1127</v>
      </c>
    </row>
    <row r="474" spans="1:17" ht="16.5" customHeight="1" x14ac:dyDescent="0.2">
      <c r="A474" s="35" t="s">
        <v>399</v>
      </c>
      <c r="B474" s="35" t="s">
        <v>2251</v>
      </c>
      <c r="C474" s="35" t="s">
        <v>4182</v>
      </c>
      <c r="D474" s="35" t="s">
        <v>1629</v>
      </c>
      <c r="E474" s="35" t="s">
        <v>2344</v>
      </c>
      <c r="F474" s="2">
        <v>11</v>
      </c>
      <c r="G474" s="2" t="s">
        <v>104</v>
      </c>
      <c r="H474" s="2">
        <v>2001</v>
      </c>
      <c r="I474" s="2" t="str">
        <f t="shared" si="34"/>
        <v>kMASTAT</v>
      </c>
      <c r="J474" s="2" t="s">
        <v>2345</v>
      </c>
      <c r="K474" s="8" t="s">
        <v>2346</v>
      </c>
      <c r="L474"/>
      <c r="M474" s="2" t="s">
        <v>2347</v>
      </c>
      <c r="P474" s="2" t="s">
        <v>1127</v>
      </c>
      <c r="Q474" s="2" t="s">
        <v>1127</v>
      </c>
    </row>
    <row r="475" spans="1:17" ht="16.5" customHeight="1" x14ac:dyDescent="0.2">
      <c r="A475" s="35" t="s">
        <v>399</v>
      </c>
      <c r="B475" s="35" t="s">
        <v>2253</v>
      </c>
      <c r="C475" s="35" t="s">
        <v>4182</v>
      </c>
      <c r="D475" s="35" t="s">
        <v>1629</v>
      </c>
      <c r="E475" s="35" t="s">
        <v>2344</v>
      </c>
      <c r="F475" s="2">
        <v>12</v>
      </c>
      <c r="G475" s="2" t="s">
        <v>89</v>
      </c>
      <c r="H475" s="2">
        <v>2002</v>
      </c>
      <c r="I475" s="2" t="str">
        <f t="shared" si="34"/>
        <v>lMASTAT</v>
      </c>
      <c r="J475" s="2" t="s">
        <v>2345</v>
      </c>
      <c r="K475" s="8" t="s">
        <v>2346</v>
      </c>
      <c r="L475"/>
      <c r="M475" s="2" t="s">
        <v>2347</v>
      </c>
      <c r="P475" s="2" t="s">
        <v>1127</v>
      </c>
      <c r="Q475" s="2" t="s">
        <v>1127</v>
      </c>
    </row>
    <row r="476" spans="1:17" ht="16.5" customHeight="1" x14ac:dyDescent="0.2">
      <c r="A476" s="35" t="s">
        <v>399</v>
      </c>
      <c r="B476" s="35" t="s">
        <v>2255</v>
      </c>
      <c r="C476" s="35" t="s">
        <v>4182</v>
      </c>
      <c r="D476" s="35" t="s">
        <v>1629</v>
      </c>
      <c r="E476" s="35" t="s">
        <v>2344</v>
      </c>
      <c r="F476" s="2">
        <v>13</v>
      </c>
      <c r="G476" s="2" t="s">
        <v>107</v>
      </c>
      <c r="H476" s="2">
        <v>2003</v>
      </c>
      <c r="I476" s="2" t="str">
        <f t="shared" si="34"/>
        <v>mMASTAT</v>
      </c>
      <c r="J476" s="2" t="s">
        <v>2345</v>
      </c>
      <c r="K476" s="8" t="s">
        <v>2346</v>
      </c>
      <c r="L476"/>
      <c r="M476" s="2" t="s">
        <v>2347</v>
      </c>
      <c r="P476" s="2" t="s">
        <v>1127</v>
      </c>
      <c r="Q476" s="2" t="s">
        <v>1127</v>
      </c>
    </row>
    <row r="477" spans="1:17" ht="16.5" customHeight="1" x14ac:dyDescent="0.2">
      <c r="A477" s="35" t="s">
        <v>399</v>
      </c>
      <c r="B477" s="35" t="s">
        <v>2257</v>
      </c>
      <c r="C477" s="35" t="s">
        <v>4182</v>
      </c>
      <c r="D477" s="35" t="s">
        <v>1629</v>
      </c>
      <c r="E477" s="35" t="s">
        <v>2344</v>
      </c>
      <c r="F477" s="2">
        <v>14</v>
      </c>
      <c r="G477" s="2" t="s">
        <v>43</v>
      </c>
      <c r="H477" s="2">
        <v>2004</v>
      </c>
      <c r="I477" s="2" t="str">
        <f t="shared" si="34"/>
        <v>nMASTAT</v>
      </c>
      <c r="J477" s="2" t="s">
        <v>2345</v>
      </c>
      <c r="K477" s="8" t="s">
        <v>2346</v>
      </c>
      <c r="L477"/>
      <c r="M477" s="2" t="s">
        <v>2347</v>
      </c>
      <c r="P477" s="2" t="s">
        <v>1127</v>
      </c>
      <c r="Q477" s="2" t="s">
        <v>1127</v>
      </c>
    </row>
    <row r="478" spans="1:17" ht="16.5" customHeight="1" x14ac:dyDescent="0.2">
      <c r="A478" s="35" t="s">
        <v>399</v>
      </c>
      <c r="B478" s="35" t="s">
        <v>2259</v>
      </c>
      <c r="C478" s="35" t="s">
        <v>4182</v>
      </c>
      <c r="D478" s="35" t="s">
        <v>1629</v>
      </c>
      <c r="E478" s="35" t="s">
        <v>2344</v>
      </c>
      <c r="F478" s="2">
        <v>15</v>
      </c>
      <c r="G478" s="2" t="s">
        <v>19</v>
      </c>
      <c r="H478" s="2">
        <v>2005</v>
      </c>
      <c r="I478" s="2" t="str">
        <f t="shared" si="34"/>
        <v>oMASTAT</v>
      </c>
      <c r="J478" s="2" t="s">
        <v>2345</v>
      </c>
      <c r="K478" s="8" t="s">
        <v>2346</v>
      </c>
      <c r="L478"/>
      <c r="M478" s="2" t="s">
        <v>2347</v>
      </c>
      <c r="P478" s="2" t="s">
        <v>1127</v>
      </c>
      <c r="Q478" s="2" t="s">
        <v>1127</v>
      </c>
    </row>
    <row r="479" spans="1:17" ht="16.5" customHeight="1" x14ac:dyDescent="0.2">
      <c r="A479" s="35" t="s">
        <v>399</v>
      </c>
      <c r="B479" s="35" t="s">
        <v>2261</v>
      </c>
      <c r="C479" s="35" t="s">
        <v>4182</v>
      </c>
      <c r="D479" s="35" t="s">
        <v>1629</v>
      </c>
      <c r="E479" s="35" t="s">
        <v>2344</v>
      </c>
      <c r="F479" s="2">
        <v>16</v>
      </c>
      <c r="G479" s="2" t="s">
        <v>25</v>
      </c>
      <c r="H479" s="2">
        <v>2006</v>
      </c>
      <c r="I479" s="2" t="str">
        <f t="shared" si="34"/>
        <v>pMASTAT</v>
      </c>
      <c r="J479" s="2" t="s">
        <v>2345</v>
      </c>
      <c r="K479" s="8" t="s">
        <v>2346</v>
      </c>
      <c r="L479"/>
      <c r="M479" s="2" t="s">
        <v>2347</v>
      </c>
      <c r="P479" s="2" t="s">
        <v>1127</v>
      </c>
      <c r="Q479" s="2" t="s">
        <v>1127</v>
      </c>
    </row>
    <row r="480" spans="1:17" ht="16.5" customHeight="1" x14ac:dyDescent="0.2">
      <c r="A480" s="35" t="s">
        <v>399</v>
      </c>
      <c r="B480" s="35" t="s">
        <v>2263</v>
      </c>
      <c r="C480" s="35" t="s">
        <v>4182</v>
      </c>
      <c r="D480" s="35" t="s">
        <v>1629</v>
      </c>
      <c r="E480" s="35" t="s">
        <v>2344</v>
      </c>
      <c r="F480" s="2">
        <v>17</v>
      </c>
      <c r="G480" s="2" t="s">
        <v>73</v>
      </c>
      <c r="H480" s="2">
        <v>2007</v>
      </c>
      <c r="I480" s="2" t="str">
        <f t="shared" si="34"/>
        <v>qMASTAT</v>
      </c>
      <c r="J480" s="2" t="s">
        <v>2345</v>
      </c>
      <c r="K480" s="8" t="s">
        <v>2346</v>
      </c>
      <c r="L480"/>
      <c r="M480" s="2" t="s">
        <v>2347</v>
      </c>
      <c r="P480" s="2" t="s">
        <v>1127</v>
      </c>
      <c r="Q480" s="2" t="s">
        <v>1127</v>
      </c>
    </row>
    <row r="481" spans="1:17" ht="16.5" customHeight="1" x14ac:dyDescent="0.2">
      <c r="A481" s="35" t="s">
        <v>399</v>
      </c>
      <c r="B481" s="35" t="s">
        <v>2265</v>
      </c>
      <c r="C481" s="35" t="s">
        <v>4182</v>
      </c>
      <c r="D481" s="35" t="s">
        <v>1629</v>
      </c>
      <c r="E481" s="35" t="s">
        <v>2344</v>
      </c>
      <c r="F481" s="2">
        <v>18</v>
      </c>
      <c r="G481" s="2" t="s">
        <v>58</v>
      </c>
      <c r="H481" s="2">
        <v>2008</v>
      </c>
      <c r="I481" s="2" t="str">
        <f t="shared" si="34"/>
        <v>rMASTAT</v>
      </c>
      <c r="J481" s="2" t="s">
        <v>2345</v>
      </c>
      <c r="K481" s="8" t="s">
        <v>2346</v>
      </c>
      <c r="L481"/>
      <c r="M481" s="2" t="s">
        <v>2347</v>
      </c>
      <c r="P481" s="2" t="s">
        <v>1127</v>
      </c>
      <c r="Q481" s="2" t="s">
        <v>1127</v>
      </c>
    </row>
    <row r="482" spans="1:17" ht="16.5" customHeight="1" x14ac:dyDescent="0.2">
      <c r="A482" s="18" t="s">
        <v>399</v>
      </c>
      <c r="B482" s="18" t="s">
        <v>2179</v>
      </c>
      <c r="C482" s="18" t="s">
        <v>4182</v>
      </c>
      <c r="D482" s="18" t="s">
        <v>1630</v>
      </c>
      <c r="E482" s="18" t="s">
        <v>2348</v>
      </c>
      <c r="F482" s="2">
        <v>2</v>
      </c>
      <c r="G482" s="2" t="s">
        <v>37</v>
      </c>
      <c r="H482" s="2">
        <v>1992</v>
      </c>
      <c r="I482" s="2" t="s">
        <v>2349</v>
      </c>
      <c r="J482" s="2" t="s">
        <v>2350</v>
      </c>
      <c r="K482" s="8" t="s">
        <v>1105</v>
      </c>
      <c r="L482"/>
      <c r="M482" s="2" t="s">
        <v>8</v>
      </c>
      <c r="P482" s="2" t="s">
        <v>1127</v>
      </c>
      <c r="Q482" s="2" t="s">
        <v>1127</v>
      </c>
    </row>
    <row r="483" spans="1:17" ht="16.5" customHeight="1" x14ac:dyDescent="0.2">
      <c r="A483" s="18" t="s">
        <v>399</v>
      </c>
      <c r="B483" s="18" t="s">
        <v>682</v>
      </c>
      <c r="C483" s="18" t="s">
        <v>4182</v>
      </c>
      <c r="D483" s="18" t="s">
        <v>1630</v>
      </c>
      <c r="E483" s="18" t="s">
        <v>2348</v>
      </c>
      <c r="F483" s="2">
        <v>8</v>
      </c>
      <c r="G483" s="2" t="s">
        <v>10</v>
      </c>
      <c r="H483" s="2">
        <v>1998</v>
      </c>
      <c r="I483" s="2" t="s">
        <v>2351</v>
      </c>
      <c r="J483" s="2" t="s">
        <v>2350</v>
      </c>
      <c r="K483" s="8" t="s">
        <v>1105</v>
      </c>
      <c r="L483"/>
      <c r="M483" s="2" t="s">
        <v>8</v>
      </c>
      <c r="P483" s="2" t="s">
        <v>1127</v>
      </c>
      <c r="Q483" s="2" t="s">
        <v>1127</v>
      </c>
    </row>
    <row r="484" spans="1:17" ht="16.5" customHeight="1" x14ac:dyDescent="0.2">
      <c r="A484" s="18" t="s">
        <v>399</v>
      </c>
      <c r="B484" s="18" t="s">
        <v>684</v>
      </c>
      <c r="C484" s="18" t="s">
        <v>4182</v>
      </c>
      <c r="D484" s="18" t="s">
        <v>1630</v>
      </c>
      <c r="E484" s="18" t="s">
        <v>2348</v>
      </c>
      <c r="F484" s="2">
        <v>9</v>
      </c>
      <c r="G484" s="2" t="s">
        <v>55</v>
      </c>
      <c r="H484" s="2">
        <v>1999</v>
      </c>
      <c r="I484" s="2" t="s">
        <v>2352</v>
      </c>
      <c r="J484" s="2" t="s">
        <v>2350</v>
      </c>
      <c r="K484" s="8" t="s">
        <v>1105</v>
      </c>
      <c r="L484"/>
      <c r="M484" s="2" t="s">
        <v>8</v>
      </c>
      <c r="P484" s="2" t="s">
        <v>1127</v>
      </c>
      <c r="Q484" s="2" t="s">
        <v>1127</v>
      </c>
    </row>
    <row r="485" spans="1:17" ht="16.5" customHeight="1" x14ac:dyDescent="0.2">
      <c r="A485" s="18" t="s">
        <v>399</v>
      </c>
      <c r="B485" s="18" t="s">
        <v>686</v>
      </c>
      <c r="C485" s="18" t="s">
        <v>4182</v>
      </c>
      <c r="D485" s="18" t="s">
        <v>1630</v>
      </c>
      <c r="E485" s="18" t="s">
        <v>2348</v>
      </c>
      <c r="F485" s="2">
        <v>10</v>
      </c>
      <c r="G485" s="2" t="s">
        <v>98</v>
      </c>
      <c r="H485" s="2">
        <v>2000</v>
      </c>
      <c r="I485" s="2" t="s">
        <v>2353</v>
      </c>
      <c r="J485" s="2" t="s">
        <v>2350</v>
      </c>
      <c r="K485" s="8" t="s">
        <v>1105</v>
      </c>
      <c r="L485"/>
      <c r="M485" s="2" t="s">
        <v>8</v>
      </c>
      <c r="P485" s="2" t="s">
        <v>1127</v>
      </c>
      <c r="Q485" s="2" t="s">
        <v>1127</v>
      </c>
    </row>
    <row r="486" spans="1:17" ht="16.5" customHeight="1" x14ac:dyDescent="0.2">
      <c r="A486" s="18" t="s">
        <v>399</v>
      </c>
      <c r="B486" s="18" t="s">
        <v>2183</v>
      </c>
      <c r="C486" s="18" t="s">
        <v>4182</v>
      </c>
      <c r="D486" s="18" t="s">
        <v>1630</v>
      </c>
      <c r="E486" s="18" t="s">
        <v>2348</v>
      </c>
      <c r="F486" s="2">
        <v>11</v>
      </c>
      <c r="G486" s="2" t="s">
        <v>104</v>
      </c>
      <c r="H486" s="2">
        <v>2001</v>
      </c>
      <c r="I486" s="2" t="s">
        <v>2354</v>
      </c>
      <c r="J486" s="2" t="s">
        <v>2350</v>
      </c>
      <c r="K486" s="8" t="s">
        <v>1105</v>
      </c>
      <c r="L486"/>
      <c r="M486" s="2" t="s">
        <v>8</v>
      </c>
      <c r="P486" s="2" t="s">
        <v>1127</v>
      </c>
      <c r="Q486" s="2" t="s">
        <v>1127</v>
      </c>
    </row>
    <row r="487" spans="1:17" ht="16.5" customHeight="1" x14ac:dyDescent="0.2">
      <c r="A487" s="18" t="s">
        <v>399</v>
      </c>
      <c r="B487" s="18" t="s">
        <v>688</v>
      </c>
      <c r="C487" s="18" t="s">
        <v>4182</v>
      </c>
      <c r="D487" s="18" t="s">
        <v>1630</v>
      </c>
      <c r="E487" s="18" t="s">
        <v>2348</v>
      </c>
      <c r="F487" s="2">
        <v>12</v>
      </c>
      <c r="G487" s="2" t="s">
        <v>89</v>
      </c>
      <c r="H487" s="2">
        <v>2002</v>
      </c>
      <c r="I487" s="2" t="s">
        <v>2355</v>
      </c>
      <c r="J487" s="2" t="s">
        <v>2350</v>
      </c>
      <c r="K487" s="8" t="s">
        <v>1105</v>
      </c>
      <c r="L487"/>
      <c r="M487" s="2" t="s">
        <v>8</v>
      </c>
      <c r="P487" s="2" t="s">
        <v>1127</v>
      </c>
      <c r="Q487" s="2" t="s">
        <v>1127</v>
      </c>
    </row>
    <row r="488" spans="1:17" ht="16.5" customHeight="1" x14ac:dyDescent="0.2">
      <c r="A488" s="18" t="s">
        <v>399</v>
      </c>
      <c r="B488" s="18" t="s">
        <v>690</v>
      </c>
      <c r="C488" s="18" t="s">
        <v>4182</v>
      </c>
      <c r="D488" s="18" t="s">
        <v>1630</v>
      </c>
      <c r="E488" s="18" t="s">
        <v>2348</v>
      </c>
      <c r="F488" s="2">
        <v>13</v>
      </c>
      <c r="G488" s="2" t="s">
        <v>107</v>
      </c>
      <c r="H488" s="2">
        <v>2003</v>
      </c>
      <c r="I488" s="2" t="s">
        <v>2356</v>
      </c>
      <c r="J488" s="2" t="s">
        <v>2350</v>
      </c>
      <c r="K488" s="8" t="s">
        <v>1105</v>
      </c>
      <c r="L488"/>
      <c r="M488" s="2" t="s">
        <v>8</v>
      </c>
      <c r="P488" s="2" t="s">
        <v>1127</v>
      </c>
      <c r="Q488" s="2" t="s">
        <v>1127</v>
      </c>
    </row>
    <row r="489" spans="1:17" ht="16.5" customHeight="1" x14ac:dyDescent="0.2">
      <c r="A489" s="18" t="s">
        <v>399</v>
      </c>
      <c r="B489" s="18" t="s">
        <v>692</v>
      </c>
      <c r="C489" s="18" t="s">
        <v>4182</v>
      </c>
      <c r="D489" s="18" t="s">
        <v>1630</v>
      </c>
      <c r="E489" s="18" t="s">
        <v>2348</v>
      </c>
      <c r="F489" s="2">
        <v>14</v>
      </c>
      <c r="G489" s="2" t="s">
        <v>43</v>
      </c>
      <c r="H489" s="2">
        <v>2004</v>
      </c>
      <c r="I489" s="2" t="s">
        <v>2357</v>
      </c>
      <c r="J489" s="2" t="s">
        <v>2350</v>
      </c>
      <c r="K489" s="8" t="s">
        <v>1105</v>
      </c>
      <c r="L489"/>
      <c r="M489" s="2" t="s">
        <v>8</v>
      </c>
      <c r="P489" s="2" t="s">
        <v>1127</v>
      </c>
      <c r="Q489" s="2" t="s">
        <v>1127</v>
      </c>
    </row>
    <row r="490" spans="1:17" ht="16.5" customHeight="1" x14ac:dyDescent="0.2">
      <c r="A490" s="18" t="s">
        <v>399</v>
      </c>
      <c r="B490" s="18" t="s">
        <v>694</v>
      </c>
      <c r="C490" s="18" t="s">
        <v>4182</v>
      </c>
      <c r="D490" s="18" t="s">
        <v>1630</v>
      </c>
      <c r="E490" s="18" t="s">
        <v>2348</v>
      </c>
      <c r="F490" s="2">
        <v>15</v>
      </c>
      <c r="G490" s="2" t="s">
        <v>19</v>
      </c>
      <c r="H490" s="2">
        <v>2005</v>
      </c>
      <c r="I490" s="2" t="s">
        <v>2358</v>
      </c>
      <c r="J490" s="2" t="s">
        <v>2350</v>
      </c>
      <c r="K490" s="8" t="s">
        <v>1105</v>
      </c>
      <c r="L490"/>
      <c r="M490" s="2" t="s">
        <v>8</v>
      </c>
      <c r="P490" s="2" t="s">
        <v>1127</v>
      </c>
      <c r="Q490" s="2" t="s">
        <v>1127</v>
      </c>
    </row>
    <row r="491" spans="1:17" ht="16.5" customHeight="1" x14ac:dyDescent="0.2">
      <c r="A491" s="18" t="s">
        <v>399</v>
      </c>
      <c r="B491" s="18" t="s">
        <v>696</v>
      </c>
      <c r="C491" s="18" t="s">
        <v>4182</v>
      </c>
      <c r="D491" s="18" t="s">
        <v>1630</v>
      </c>
      <c r="E491" s="18" t="s">
        <v>2348</v>
      </c>
      <c r="F491" s="2">
        <v>16</v>
      </c>
      <c r="G491" s="2" t="s">
        <v>25</v>
      </c>
      <c r="H491" s="2">
        <v>2006</v>
      </c>
      <c r="I491" s="2" t="s">
        <v>2359</v>
      </c>
      <c r="J491" s="2" t="s">
        <v>2350</v>
      </c>
      <c r="K491" s="8" t="s">
        <v>1105</v>
      </c>
      <c r="L491"/>
      <c r="M491" s="2" t="s">
        <v>8</v>
      </c>
      <c r="P491" s="2" t="s">
        <v>1127</v>
      </c>
      <c r="Q491" s="2" t="s">
        <v>1127</v>
      </c>
    </row>
    <row r="492" spans="1:17" ht="16.5" customHeight="1" x14ac:dyDescent="0.2">
      <c r="A492" s="18" t="s">
        <v>399</v>
      </c>
      <c r="B492" s="18" t="s">
        <v>698</v>
      </c>
      <c r="C492" s="18" t="s">
        <v>4182</v>
      </c>
      <c r="D492" s="18" t="s">
        <v>1630</v>
      </c>
      <c r="E492" s="18" t="s">
        <v>2348</v>
      </c>
      <c r="F492" s="2">
        <v>17</v>
      </c>
      <c r="G492" s="2" t="s">
        <v>73</v>
      </c>
      <c r="H492" s="2">
        <v>2007</v>
      </c>
      <c r="I492" s="2" t="s">
        <v>2360</v>
      </c>
      <c r="J492" s="2" t="s">
        <v>2350</v>
      </c>
      <c r="K492" s="8" t="s">
        <v>1105</v>
      </c>
      <c r="L492"/>
      <c r="M492" s="2" t="s">
        <v>8</v>
      </c>
      <c r="P492" s="2" t="s">
        <v>1127</v>
      </c>
      <c r="Q492" s="2" t="s">
        <v>1127</v>
      </c>
    </row>
    <row r="493" spans="1:17" ht="16.5" customHeight="1" x14ac:dyDescent="0.2">
      <c r="A493" s="18" t="s">
        <v>399</v>
      </c>
      <c r="B493" s="18" t="s">
        <v>700</v>
      </c>
      <c r="C493" s="18" t="s">
        <v>4182</v>
      </c>
      <c r="D493" s="18" t="s">
        <v>1630</v>
      </c>
      <c r="E493" s="18" t="s">
        <v>2348</v>
      </c>
      <c r="F493" s="2">
        <v>18</v>
      </c>
      <c r="G493" s="2" t="s">
        <v>58</v>
      </c>
      <c r="H493" s="2">
        <v>2008</v>
      </c>
      <c r="I493" s="2" t="s">
        <v>2361</v>
      </c>
      <c r="J493" s="2" t="s">
        <v>2350</v>
      </c>
      <c r="K493" s="8" t="s">
        <v>1105</v>
      </c>
      <c r="L493"/>
      <c r="M493" s="2" t="s">
        <v>8</v>
      </c>
      <c r="P493" s="2" t="s">
        <v>1127</v>
      </c>
      <c r="Q493" s="2" t="s">
        <v>1127</v>
      </c>
    </row>
    <row r="494" spans="1:17" ht="16.5" customHeight="1" x14ac:dyDescent="0.2">
      <c r="A494" s="18" t="s">
        <v>399</v>
      </c>
      <c r="B494" s="18" t="s">
        <v>684</v>
      </c>
      <c r="C494" s="18" t="s">
        <v>4182</v>
      </c>
      <c r="D494" s="18" t="s">
        <v>1637</v>
      </c>
      <c r="E494" s="18" t="s">
        <v>2362</v>
      </c>
      <c r="F494" s="2">
        <v>9</v>
      </c>
      <c r="G494" s="2" t="s">
        <v>55</v>
      </c>
      <c r="H494" s="2">
        <v>1999</v>
      </c>
      <c r="I494" s="2" t="s">
        <v>2363</v>
      </c>
      <c r="J494" s="2" t="s">
        <v>2364</v>
      </c>
      <c r="K494" s="8" t="s">
        <v>2365</v>
      </c>
      <c r="L494" s="2" t="s">
        <v>1520</v>
      </c>
      <c r="M494" s="2" t="s">
        <v>8</v>
      </c>
      <c r="P494" s="2" t="s">
        <v>1527</v>
      </c>
      <c r="Q494" s="2" t="s">
        <v>3462</v>
      </c>
    </row>
    <row r="495" spans="1:17" ht="16.5" customHeight="1" x14ac:dyDescent="0.2">
      <c r="A495" s="18" t="s">
        <v>399</v>
      </c>
      <c r="B495" s="18" t="s">
        <v>692</v>
      </c>
      <c r="C495" s="18" t="s">
        <v>4182</v>
      </c>
      <c r="D495" s="18" t="s">
        <v>1637</v>
      </c>
      <c r="E495" s="18" t="s">
        <v>2362</v>
      </c>
      <c r="F495" s="2">
        <v>14</v>
      </c>
      <c r="G495" s="2" t="s">
        <v>43</v>
      </c>
      <c r="H495" s="2">
        <v>2004</v>
      </c>
      <c r="I495" s="2" t="s">
        <v>2366</v>
      </c>
      <c r="J495" s="2" t="s">
        <v>2364</v>
      </c>
      <c r="K495" s="8" t="s">
        <v>2365</v>
      </c>
      <c r="L495" s="2" t="s">
        <v>1520</v>
      </c>
      <c r="M495" s="2" t="s">
        <v>8</v>
      </c>
      <c r="P495" s="2" t="s">
        <v>1527</v>
      </c>
      <c r="Q495" s="2" t="s">
        <v>3462</v>
      </c>
    </row>
    <row r="496" spans="1:17" ht="16.5" customHeight="1" x14ac:dyDescent="0.2">
      <c r="A496" s="18" t="s">
        <v>399</v>
      </c>
      <c r="B496" s="18" t="s">
        <v>684</v>
      </c>
      <c r="C496" s="18" t="s">
        <v>4182</v>
      </c>
      <c r="D496" s="18" t="s">
        <v>1637</v>
      </c>
      <c r="E496" s="18" t="s">
        <v>2367</v>
      </c>
      <c r="F496" s="2">
        <v>9</v>
      </c>
      <c r="G496" s="2" t="s">
        <v>55</v>
      </c>
      <c r="H496" s="2">
        <v>1999</v>
      </c>
      <c r="I496" s="2" t="s">
        <v>2368</v>
      </c>
      <c r="J496" s="2" t="s">
        <v>2369</v>
      </c>
      <c r="K496" s="8" t="s">
        <v>2365</v>
      </c>
      <c r="L496" s="2" t="s">
        <v>1520</v>
      </c>
      <c r="M496" s="2" t="s">
        <v>8</v>
      </c>
      <c r="P496" s="2" t="s">
        <v>1527</v>
      </c>
      <c r="Q496" s="2" t="s">
        <v>3462</v>
      </c>
    </row>
    <row r="497" spans="1:17" ht="16.5" customHeight="1" x14ac:dyDescent="0.2">
      <c r="A497" s="18" t="s">
        <v>399</v>
      </c>
      <c r="B497" s="18" t="s">
        <v>692</v>
      </c>
      <c r="C497" s="18" t="s">
        <v>4182</v>
      </c>
      <c r="D497" s="18" t="s">
        <v>1637</v>
      </c>
      <c r="E497" s="18" t="s">
        <v>2367</v>
      </c>
      <c r="F497" s="2">
        <v>14</v>
      </c>
      <c r="G497" s="2" t="s">
        <v>43</v>
      </c>
      <c r="H497" s="2">
        <v>2004</v>
      </c>
      <c r="I497" s="2" t="s">
        <v>2370</v>
      </c>
      <c r="J497" s="2" t="s">
        <v>2369</v>
      </c>
      <c r="K497" s="8" t="s">
        <v>2365</v>
      </c>
      <c r="L497" s="2" t="s">
        <v>1520</v>
      </c>
      <c r="M497" s="2" t="s">
        <v>8</v>
      </c>
      <c r="P497" s="2" t="s">
        <v>1527</v>
      </c>
      <c r="Q497" s="2" t="s">
        <v>3462</v>
      </c>
    </row>
    <row r="498" spans="1:17" ht="16.5" customHeight="1" x14ac:dyDescent="0.2">
      <c r="A498" s="18" t="s">
        <v>399</v>
      </c>
      <c r="B498" s="18" t="s">
        <v>2178</v>
      </c>
      <c r="C498" s="18" t="s">
        <v>4182</v>
      </c>
      <c r="D498" s="18" t="s">
        <v>1637</v>
      </c>
      <c r="E498" s="18" t="s">
        <v>2371</v>
      </c>
      <c r="F498" s="2">
        <v>1</v>
      </c>
      <c r="G498" s="2" t="s">
        <v>40</v>
      </c>
      <c r="H498" s="2">
        <v>1991</v>
      </c>
      <c r="I498" s="2" t="s">
        <v>2372</v>
      </c>
      <c r="J498" s="2" t="s">
        <v>2373</v>
      </c>
      <c r="K498" s="8" t="s">
        <v>2374</v>
      </c>
      <c r="L498" s="2" t="s">
        <v>1520</v>
      </c>
      <c r="M498" s="2" t="s">
        <v>8</v>
      </c>
      <c r="N498" s="2">
        <v>1</v>
      </c>
      <c r="O498" s="2">
        <v>5</v>
      </c>
      <c r="P498" s="2" t="s">
        <v>1527</v>
      </c>
      <c r="Q498" s="2" t="s">
        <v>3462</v>
      </c>
    </row>
    <row r="499" spans="1:17" ht="16.5" customHeight="1" x14ac:dyDescent="0.2">
      <c r="A499" s="18" t="s">
        <v>399</v>
      </c>
      <c r="B499" s="18" t="s">
        <v>2179</v>
      </c>
      <c r="C499" s="18" t="s">
        <v>4182</v>
      </c>
      <c r="D499" s="18" t="s">
        <v>1637</v>
      </c>
      <c r="E499" s="18" t="s">
        <v>2371</v>
      </c>
      <c r="F499" s="2">
        <v>2</v>
      </c>
      <c r="G499" s="2" t="s">
        <v>37</v>
      </c>
      <c r="H499" s="2">
        <v>1992</v>
      </c>
      <c r="I499" s="2" t="s">
        <v>2375</v>
      </c>
      <c r="J499" s="2" t="s">
        <v>2373</v>
      </c>
      <c r="K499" s="8" t="s">
        <v>2374</v>
      </c>
      <c r="L499" s="2" t="s">
        <v>1520</v>
      </c>
      <c r="M499" s="2" t="s">
        <v>8</v>
      </c>
      <c r="N499" s="2">
        <v>1</v>
      </c>
      <c r="O499" s="2">
        <v>5</v>
      </c>
      <c r="P499" s="2" t="s">
        <v>1527</v>
      </c>
      <c r="Q499" s="2" t="s">
        <v>3462</v>
      </c>
    </row>
    <row r="500" spans="1:17" ht="16.5" customHeight="1" x14ac:dyDescent="0.2">
      <c r="A500" s="18" t="s">
        <v>399</v>
      </c>
      <c r="B500" s="18" t="s">
        <v>2180</v>
      </c>
      <c r="C500" s="18" t="s">
        <v>4182</v>
      </c>
      <c r="D500" s="18" t="s">
        <v>1637</v>
      </c>
      <c r="E500" s="18" t="s">
        <v>2371</v>
      </c>
      <c r="F500" s="2">
        <v>3</v>
      </c>
      <c r="G500" s="2" t="s">
        <v>80</v>
      </c>
      <c r="H500" s="2">
        <v>1993</v>
      </c>
      <c r="I500" s="2" t="s">
        <v>2376</v>
      </c>
      <c r="J500" s="2" t="s">
        <v>2373</v>
      </c>
      <c r="K500" s="8" t="s">
        <v>2374</v>
      </c>
      <c r="L500" s="2" t="s">
        <v>1520</v>
      </c>
      <c r="M500" s="2" t="s">
        <v>8</v>
      </c>
      <c r="N500" s="2">
        <v>1</v>
      </c>
      <c r="O500" s="2">
        <v>5</v>
      </c>
      <c r="P500" s="2" t="s">
        <v>1527</v>
      </c>
      <c r="Q500" s="2" t="s">
        <v>3462</v>
      </c>
    </row>
    <row r="501" spans="1:17" ht="16.5" customHeight="1" x14ac:dyDescent="0.2">
      <c r="A501" s="18" t="s">
        <v>399</v>
      </c>
      <c r="B501" s="18" t="s">
        <v>2181</v>
      </c>
      <c r="C501" s="18" t="s">
        <v>4182</v>
      </c>
      <c r="D501" s="18" t="s">
        <v>1637</v>
      </c>
      <c r="E501" s="18" t="s">
        <v>2371</v>
      </c>
      <c r="F501" s="2">
        <v>4</v>
      </c>
      <c r="G501" s="2" t="s">
        <v>31</v>
      </c>
      <c r="H501" s="2">
        <v>1994</v>
      </c>
      <c r="I501" s="2" t="s">
        <v>2377</v>
      </c>
      <c r="J501" s="2" t="s">
        <v>2373</v>
      </c>
      <c r="K501" s="8" t="s">
        <v>2374</v>
      </c>
      <c r="L501" s="2" t="s">
        <v>1520</v>
      </c>
      <c r="M501" s="2" t="s">
        <v>8</v>
      </c>
      <c r="N501" s="2">
        <v>1</v>
      </c>
      <c r="O501" s="2">
        <v>5</v>
      </c>
      <c r="P501" s="2" t="s">
        <v>1527</v>
      </c>
      <c r="Q501" s="2" t="s">
        <v>3462</v>
      </c>
    </row>
    <row r="502" spans="1:17" ht="16.5" customHeight="1" x14ac:dyDescent="0.2">
      <c r="A502" s="18" t="s">
        <v>399</v>
      </c>
      <c r="B502" s="18" t="s">
        <v>2182</v>
      </c>
      <c r="C502" s="18" t="s">
        <v>4182</v>
      </c>
      <c r="D502" s="18" t="s">
        <v>1637</v>
      </c>
      <c r="E502" s="18" t="s">
        <v>2371</v>
      </c>
      <c r="F502" s="2">
        <v>5</v>
      </c>
      <c r="G502" s="2" t="s">
        <v>13</v>
      </c>
      <c r="H502" s="2">
        <v>1995</v>
      </c>
      <c r="I502" s="2" t="s">
        <v>2378</v>
      </c>
      <c r="J502" s="2" t="s">
        <v>2373</v>
      </c>
      <c r="K502" s="8" t="s">
        <v>2374</v>
      </c>
      <c r="L502" s="2" t="s">
        <v>1520</v>
      </c>
      <c r="M502" s="2" t="s">
        <v>8</v>
      </c>
      <c r="N502" s="2">
        <v>1</v>
      </c>
      <c r="O502" s="2">
        <v>5</v>
      </c>
      <c r="P502" s="2" t="s">
        <v>1527</v>
      </c>
      <c r="Q502" s="2" t="s">
        <v>3462</v>
      </c>
    </row>
    <row r="503" spans="1:17" ht="16.5" customHeight="1" x14ac:dyDescent="0.2">
      <c r="A503" s="18" t="s">
        <v>399</v>
      </c>
      <c r="B503" s="18" t="s">
        <v>678</v>
      </c>
      <c r="C503" s="18" t="s">
        <v>4182</v>
      </c>
      <c r="D503" s="18" t="s">
        <v>1637</v>
      </c>
      <c r="E503" s="18" t="s">
        <v>2371</v>
      </c>
      <c r="F503" s="2">
        <v>6</v>
      </c>
      <c r="G503" s="2" t="s">
        <v>49</v>
      </c>
      <c r="H503" s="2">
        <v>1996</v>
      </c>
      <c r="I503" s="2" t="s">
        <v>2379</v>
      </c>
      <c r="J503" s="2" t="s">
        <v>2373</v>
      </c>
      <c r="K503" s="8" t="s">
        <v>2374</v>
      </c>
      <c r="L503" s="2" t="s">
        <v>1520</v>
      </c>
      <c r="M503" s="2" t="s">
        <v>8</v>
      </c>
      <c r="N503" s="2">
        <v>1</v>
      </c>
      <c r="O503" s="2">
        <v>5</v>
      </c>
      <c r="P503" s="2" t="s">
        <v>1527</v>
      </c>
      <c r="Q503" s="2" t="s">
        <v>3462</v>
      </c>
    </row>
    <row r="504" spans="1:17" ht="16.5" customHeight="1" x14ac:dyDescent="0.2">
      <c r="A504" s="18" t="s">
        <v>399</v>
      </c>
      <c r="B504" s="18" t="s">
        <v>680</v>
      </c>
      <c r="C504" s="18" t="s">
        <v>4182</v>
      </c>
      <c r="D504" s="18" t="s">
        <v>1637</v>
      </c>
      <c r="E504" s="18" t="s">
        <v>2371</v>
      </c>
      <c r="F504" s="2">
        <v>7</v>
      </c>
      <c r="G504" s="2" t="s">
        <v>101</v>
      </c>
      <c r="H504" s="2">
        <v>1997</v>
      </c>
      <c r="I504" s="2" t="s">
        <v>2380</v>
      </c>
      <c r="J504" s="2" t="s">
        <v>2373</v>
      </c>
      <c r="K504" s="8" t="s">
        <v>2374</v>
      </c>
      <c r="L504" s="2" t="s">
        <v>1520</v>
      </c>
      <c r="M504" s="2" t="s">
        <v>8</v>
      </c>
      <c r="N504" s="2">
        <v>1</v>
      </c>
      <c r="O504" s="2">
        <v>5</v>
      </c>
      <c r="P504" s="2" t="s">
        <v>1527</v>
      </c>
      <c r="Q504" s="2" t="s">
        <v>3462</v>
      </c>
    </row>
    <row r="505" spans="1:17" ht="16.5" customHeight="1" x14ac:dyDescent="0.2">
      <c r="A505" s="18" t="s">
        <v>399</v>
      </c>
      <c r="B505" s="18" t="s">
        <v>682</v>
      </c>
      <c r="C505" s="18" t="s">
        <v>4182</v>
      </c>
      <c r="D505" s="18" t="s">
        <v>1637</v>
      </c>
      <c r="E505" s="18" t="s">
        <v>2371</v>
      </c>
      <c r="F505" s="2">
        <v>8</v>
      </c>
      <c r="G505" s="2" t="s">
        <v>10</v>
      </c>
      <c r="H505" s="2">
        <v>1998</v>
      </c>
      <c r="I505" s="2" t="s">
        <v>2381</v>
      </c>
      <c r="J505" s="2" t="s">
        <v>2373</v>
      </c>
      <c r="K505" s="8" t="s">
        <v>2374</v>
      </c>
      <c r="L505" s="2" t="s">
        <v>1520</v>
      </c>
      <c r="M505" s="2" t="s">
        <v>8</v>
      </c>
      <c r="N505" s="2">
        <v>1</v>
      </c>
      <c r="O505" s="2">
        <v>5</v>
      </c>
      <c r="P505" s="2" t="s">
        <v>1527</v>
      </c>
      <c r="Q505" s="2" t="s">
        <v>3462</v>
      </c>
    </row>
    <row r="506" spans="1:17" ht="16.5" customHeight="1" x14ac:dyDescent="0.2">
      <c r="A506" s="18" t="s">
        <v>399</v>
      </c>
      <c r="B506" s="18" t="s">
        <v>686</v>
      </c>
      <c r="C506" s="18" t="s">
        <v>4182</v>
      </c>
      <c r="D506" s="18" t="s">
        <v>1637</v>
      </c>
      <c r="E506" s="18" t="s">
        <v>2371</v>
      </c>
      <c r="F506" s="2">
        <v>10</v>
      </c>
      <c r="G506" s="2" t="s">
        <v>98</v>
      </c>
      <c r="H506" s="2">
        <v>2000</v>
      </c>
      <c r="I506" s="2" t="s">
        <v>2382</v>
      </c>
      <c r="J506" s="2" t="s">
        <v>2373</v>
      </c>
      <c r="K506" s="8" t="s">
        <v>2374</v>
      </c>
      <c r="L506" s="2" t="s">
        <v>1520</v>
      </c>
      <c r="M506" s="2" t="s">
        <v>8</v>
      </c>
      <c r="N506" s="2">
        <v>1</v>
      </c>
      <c r="O506" s="2">
        <v>5</v>
      </c>
      <c r="P506" s="2" t="s">
        <v>1527</v>
      </c>
      <c r="Q506" s="2" t="s">
        <v>3462</v>
      </c>
    </row>
    <row r="507" spans="1:17" ht="16.5" customHeight="1" x14ac:dyDescent="0.2">
      <c r="A507" s="18" t="s">
        <v>399</v>
      </c>
      <c r="B507" s="18" t="s">
        <v>2183</v>
      </c>
      <c r="C507" s="18" t="s">
        <v>4182</v>
      </c>
      <c r="D507" s="18" t="s">
        <v>1637</v>
      </c>
      <c r="E507" s="18" t="s">
        <v>2371</v>
      </c>
      <c r="F507" s="2">
        <v>11</v>
      </c>
      <c r="G507" s="2" t="s">
        <v>104</v>
      </c>
      <c r="H507" s="2">
        <v>2001</v>
      </c>
      <c r="I507" s="2" t="s">
        <v>2383</v>
      </c>
      <c r="J507" s="2" t="s">
        <v>2373</v>
      </c>
      <c r="K507" s="8" t="s">
        <v>2374</v>
      </c>
      <c r="L507" s="2" t="s">
        <v>1520</v>
      </c>
      <c r="M507" s="2" t="s">
        <v>8</v>
      </c>
      <c r="N507" s="2">
        <v>1</v>
      </c>
      <c r="O507" s="2">
        <v>5</v>
      </c>
      <c r="P507" s="2" t="s">
        <v>1527</v>
      </c>
      <c r="Q507" s="2" t="s">
        <v>3462</v>
      </c>
    </row>
    <row r="508" spans="1:17" ht="16.5" customHeight="1" x14ac:dyDescent="0.2">
      <c r="A508" s="18" t="s">
        <v>399</v>
      </c>
      <c r="B508" s="18" t="s">
        <v>688</v>
      </c>
      <c r="C508" s="18" t="s">
        <v>4182</v>
      </c>
      <c r="D508" s="18" t="s">
        <v>1637</v>
      </c>
      <c r="E508" s="18" t="s">
        <v>2371</v>
      </c>
      <c r="F508" s="2">
        <v>12</v>
      </c>
      <c r="G508" s="2" t="s">
        <v>89</v>
      </c>
      <c r="H508" s="2">
        <v>2002</v>
      </c>
      <c r="I508" s="2" t="s">
        <v>2384</v>
      </c>
      <c r="J508" s="2" t="s">
        <v>2373</v>
      </c>
      <c r="K508" s="8" t="s">
        <v>2374</v>
      </c>
      <c r="L508" s="2" t="s">
        <v>1520</v>
      </c>
      <c r="M508" s="2" t="s">
        <v>8</v>
      </c>
      <c r="N508" s="2">
        <v>1</v>
      </c>
      <c r="O508" s="2">
        <v>5</v>
      </c>
      <c r="P508" s="2" t="s">
        <v>1527</v>
      </c>
      <c r="Q508" s="2" t="s">
        <v>3462</v>
      </c>
    </row>
    <row r="509" spans="1:17" ht="16.5" customHeight="1" x14ac:dyDescent="0.2">
      <c r="A509" s="18" t="s">
        <v>399</v>
      </c>
      <c r="B509" s="18" t="s">
        <v>690</v>
      </c>
      <c r="C509" s="18" t="s">
        <v>4182</v>
      </c>
      <c r="D509" s="18" t="s">
        <v>1637</v>
      </c>
      <c r="E509" s="18" t="s">
        <v>2371</v>
      </c>
      <c r="F509" s="2">
        <v>13</v>
      </c>
      <c r="G509" s="2" t="s">
        <v>107</v>
      </c>
      <c r="H509" s="2">
        <v>2003</v>
      </c>
      <c r="I509" s="2" t="s">
        <v>2385</v>
      </c>
      <c r="J509" s="2" t="s">
        <v>2373</v>
      </c>
      <c r="K509" s="8" t="s">
        <v>2374</v>
      </c>
      <c r="L509" s="2" t="s">
        <v>1520</v>
      </c>
      <c r="M509" s="2" t="s">
        <v>8</v>
      </c>
      <c r="N509" s="2">
        <v>1</v>
      </c>
      <c r="O509" s="2">
        <v>5</v>
      </c>
      <c r="P509" s="2" t="s">
        <v>1527</v>
      </c>
      <c r="Q509" s="2" t="s">
        <v>3462</v>
      </c>
    </row>
    <row r="510" spans="1:17" ht="16.5" customHeight="1" x14ac:dyDescent="0.2">
      <c r="A510" s="18" t="s">
        <v>399</v>
      </c>
      <c r="B510" s="18" t="s">
        <v>692</v>
      </c>
      <c r="C510" s="18" t="s">
        <v>4182</v>
      </c>
      <c r="D510" s="18" t="s">
        <v>1637</v>
      </c>
      <c r="E510" s="18" t="s">
        <v>2371</v>
      </c>
      <c r="F510" s="2">
        <v>14</v>
      </c>
      <c r="G510" s="2" t="s">
        <v>43</v>
      </c>
      <c r="H510" s="2">
        <v>2004</v>
      </c>
      <c r="I510" s="2" t="s">
        <v>2386</v>
      </c>
      <c r="J510" s="2" t="s">
        <v>2373</v>
      </c>
      <c r="K510" s="8" t="s">
        <v>2374</v>
      </c>
      <c r="L510" s="2" t="s">
        <v>1520</v>
      </c>
      <c r="M510" s="2" t="s">
        <v>8</v>
      </c>
      <c r="N510" s="2">
        <v>1</v>
      </c>
      <c r="O510" s="2">
        <v>5</v>
      </c>
      <c r="P510" s="2" t="s">
        <v>1527</v>
      </c>
      <c r="Q510" s="2" t="s">
        <v>3462</v>
      </c>
    </row>
    <row r="511" spans="1:17" ht="16.5" customHeight="1" x14ac:dyDescent="0.2">
      <c r="A511" s="18" t="s">
        <v>399</v>
      </c>
      <c r="B511" s="18" t="s">
        <v>694</v>
      </c>
      <c r="C511" s="18" t="s">
        <v>4182</v>
      </c>
      <c r="D511" s="18" t="s">
        <v>1637</v>
      </c>
      <c r="E511" s="18" t="s">
        <v>2371</v>
      </c>
      <c r="F511" s="2">
        <v>15</v>
      </c>
      <c r="G511" s="2" t="s">
        <v>19</v>
      </c>
      <c r="H511" s="2">
        <v>2005</v>
      </c>
      <c r="I511" s="2" t="s">
        <v>2387</v>
      </c>
      <c r="J511" s="2" t="s">
        <v>2373</v>
      </c>
      <c r="K511" s="8" t="s">
        <v>2374</v>
      </c>
      <c r="L511" s="2" t="s">
        <v>1520</v>
      </c>
      <c r="M511" s="2" t="s">
        <v>8</v>
      </c>
      <c r="N511" s="2">
        <v>1</v>
      </c>
      <c r="O511" s="2">
        <v>5</v>
      </c>
      <c r="P511" s="2" t="s">
        <v>1527</v>
      </c>
      <c r="Q511" s="2" t="s">
        <v>3462</v>
      </c>
    </row>
    <row r="512" spans="1:17" ht="16.5" customHeight="1" x14ac:dyDescent="0.2">
      <c r="A512" s="18" t="s">
        <v>399</v>
      </c>
      <c r="B512" s="18" t="s">
        <v>696</v>
      </c>
      <c r="C512" s="18" t="s">
        <v>4182</v>
      </c>
      <c r="D512" s="18" t="s">
        <v>1637</v>
      </c>
      <c r="E512" s="18" t="s">
        <v>2371</v>
      </c>
      <c r="F512" s="2">
        <v>16</v>
      </c>
      <c r="G512" s="2" t="s">
        <v>25</v>
      </c>
      <c r="H512" s="2">
        <v>2006</v>
      </c>
      <c r="I512" s="2" t="s">
        <v>2388</v>
      </c>
      <c r="J512" s="2" t="s">
        <v>2373</v>
      </c>
      <c r="K512" s="8" t="s">
        <v>2374</v>
      </c>
      <c r="L512" s="2" t="s">
        <v>1520</v>
      </c>
      <c r="M512" s="2" t="s">
        <v>8</v>
      </c>
      <c r="N512" s="2">
        <v>1</v>
      </c>
      <c r="O512" s="2">
        <v>5</v>
      </c>
      <c r="P512" s="2" t="s">
        <v>1527</v>
      </c>
      <c r="Q512" s="2" t="s">
        <v>3462</v>
      </c>
    </row>
    <row r="513" spans="1:17" ht="16.5" customHeight="1" x14ac:dyDescent="0.2">
      <c r="A513" s="18" t="s">
        <v>399</v>
      </c>
      <c r="B513" s="18" t="s">
        <v>698</v>
      </c>
      <c r="C513" s="18" t="s">
        <v>4182</v>
      </c>
      <c r="D513" s="18" t="s">
        <v>1637</v>
      </c>
      <c r="E513" s="18" t="s">
        <v>2371</v>
      </c>
      <c r="F513" s="2">
        <v>17</v>
      </c>
      <c r="G513" s="2" t="s">
        <v>73</v>
      </c>
      <c r="H513" s="2">
        <v>2007</v>
      </c>
      <c r="I513" s="2" t="s">
        <v>2389</v>
      </c>
      <c r="J513" s="2" t="s">
        <v>2373</v>
      </c>
      <c r="K513" s="8" t="s">
        <v>2374</v>
      </c>
      <c r="L513" s="2" t="s">
        <v>1520</v>
      </c>
      <c r="M513" s="2" t="s">
        <v>8</v>
      </c>
      <c r="N513" s="2">
        <v>1</v>
      </c>
      <c r="O513" s="2">
        <v>5</v>
      </c>
      <c r="P513" s="2" t="s">
        <v>1527</v>
      </c>
      <c r="Q513" s="2" t="s">
        <v>3462</v>
      </c>
    </row>
    <row r="514" spans="1:17" ht="16.5" customHeight="1" x14ac:dyDescent="0.2">
      <c r="A514" s="18" t="s">
        <v>399</v>
      </c>
      <c r="B514" s="18" t="s">
        <v>700</v>
      </c>
      <c r="C514" s="18" t="s">
        <v>4182</v>
      </c>
      <c r="D514" s="18" t="s">
        <v>1637</v>
      </c>
      <c r="E514" s="18" t="s">
        <v>2371</v>
      </c>
      <c r="F514" s="2">
        <v>18</v>
      </c>
      <c r="G514" s="2" t="s">
        <v>58</v>
      </c>
      <c r="H514" s="2">
        <v>2008</v>
      </c>
      <c r="I514" s="2" t="s">
        <v>2390</v>
      </c>
      <c r="J514" s="2" t="s">
        <v>2373</v>
      </c>
      <c r="K514" s="8" t="s">
        <v>2374</v>
      </c>
      <c r="L514" s="2" t="s">
        <v>1520</v>
      </c>
      <c r="M514" s="2" t="s">
        <v>8</v>
      </c>
      <c r="N514" s="2">
        <v>1</v>
      </c>
      <c r="O514" s="2">
        <v>5</v>
      </c>
      <c r="P514" s="2" t="s">
        <v>1527</v>
      </c>
      <c r="Q514" s="2" t="s">
        <v>3462</v>
      </c>
    </row>
    <row r="515" spans="1:17" ht="16.5" customHeight="1" x14ac:dyDescent="0.2">
      <c r="A515" s="18" t="s">
        <v>399</v>
      </c>
      <c r="B515" s="18" t="s">
        <v>2227</v>
      </c>
      <c r="C515" s="18" t="s">
        <v>4182</v>
      </c>
      <c r="D515" s="18" t="s">
        <v>1838</v>
      </c>
      <c r="E515" s="18" t="s">
        <v>2391</v>
      </c>
      <c r="F515" s="2">
        <v>1</v>
      </c>
      <c r="G515" s="2" t="s">
        <v>40</v>
      </c>
      <c r="H515" s="2">
        <v>1991</v>
      </c>
      <c r="I515" s="2" t="str">
        <f>G515&amp;"HLLTE"</f>
        <v>aHLLTE</v>
      </c>
      <c r="J515" s="2" t="s">
        <v>2392</v>
      </c>
      <c r="K515" s="8" t="s">
        <v>2393</v>
      </c>
      <c r="L515"/>
      <c r="M515" s="2" t="s">
        <v>2394</v>
      </c>
      <c r="P515" s="2" t="s">
        <v>1843</v>
      </c>
      <c r="Q515" s="2" t="s">
        <v>1127</v>
      </c>
    </row>
    <row r="516" spans="1:17" ht="16.5" customHeight="1" x14ac:dyDescent="0.2">
      <c r="A516" s="18" t="s">
        <v>399</v>
      </c>
      <c r="B516" s="18" t="s">
        <v>2233</v>
      </c>
      <c r="C516" s="18" t="s">
        <v>4182</v>
      </c>
      <c r="D516" s="18" t="s">
        <v>1838</v>
      </c>
      <c r="E516" s="18" t="s">
        <v>2391</v>
      </c>
      <c r="F516" s="2">
        <v>2</v>
      </c>
      <c r="G516" s="2" t="s">
        <v>37</v>
      </c>
      <c r="H516" s="2">
        <v>1992</v>
      </c>
      <c r="I516" s="2" t="str">
        <f t="shared" ref="I516:I530" si="35">G516&amp;"HLLTE"</f>
        <v>bHLLTE</v>
      </c>
      <c r="J516" s="2" t="s">
        <v>2392</v>
      </c>
      <c r="K516" s="8" t="s">
        <v>2393</v>
      </c>
      <c r="L516"/>
      <c r="M516" s="2" t="s">
        <v>2394</v>
      </c>
      <c r="P516" s="2" t="s">
        <v>1843</v>
      </c>
      <c r="Q516" s="2" t="s">
        <v>1127</v>
      </c>
    </row>
    <row r="517" spans="1:17" ht="16.5" customHeight="1" x14ac:dyDescent="0.2">
      <c r="A517" s="18" t="s">
        <v>399</v>
      </c>
      <c r="B517" s="18" t="s">
        <v>2235</v>
      </c>
      <c r="C517" s="18" t="s">
        <v>4182</v>
      </c>
      <c r="D517" s="18" t="s">
        <v>1838</v>
      </c>
      <c r="E517" s="18" t="s">
        <v>2391</v>
      </c>
      <c r="F517" s="2">
        <v>3</v>
      </c>
      <c r="G517" s="2" t="s">
        <v>80</v>
      </c>
      <c r="H517" s="2">
        <v>1993</v>
      </c>
      <c r="I517" s="2" t="str">
        <f t="shared" si="35"/>
        <v>cHLLTE</v>
      </c>
      <c r="J517" s="2" t="s">
        <v>2392</v>
      </c>
      <c r="K517" s="8" t="s">
        <v>2393</v>
      </c>
      <c r="L517"/>
      <c r="M517" s="2" t="s">
        <v>2394</v>
      </c>
      <c r="P517" s="2" t="s">
        <v>1843</v>
      </c>
      <c r="Q517" s="2" t="s">
        <v>1127</v>
      </c>
    </row>
    <row r="518" spans="1:17" ht="16.5" customHeight="1" x14ac:dyDescent="0.2">
      <c r="A518" s="18" t="s">
        <v>399</v>
      </c>
      <c r="B518" s="18" t="s">
        <v>2237</v>
      </c>
      <c r="C518" s="18" t="s">
        <v>4182</v>
      </c>
      <c r="D518" s="18" t="s">
        <v>1838</v>
      </c>
      <c r="E518" s="18" t="s">
        <v>2391</v>
      </c>
      <c r="F518" s="2">
        <v>4</v>
      </c>
      <c r="G518" s="2" t="s">
        <v>31</v>
      </c>
      <c r="H518" s="2">
        <v>1994</v>
      </c>
      <c r="I518" s="2" t="str">
        <f t="shared" si="35"/>
        <v>dHLLTE</v>
      </c>
      <c r="J518" s="2" t="s">
        <v>2392</v>
      </c>
      <c r="K518" s="8" t="s">
        <v>2393</v>
      </c>
      <c r="L518"/>
      <c r="M518" s="2" t="s">
        <v>2394</v>
      </c>
      <c r="P518" s="2" t="s">
        <v>1843</v>
      </c>
      <c r="Q518" s="2" t="s">
        <v>1127</v>
      </c>
    </row>
    <row r="519" spans="1:17" ht="16.5" customHeight="1" x14ac:dyDescent="0.2">
      <c r="A519" s="18" t="s">
        <v>399</v>
      </c>
      <c r="B519" s="18" t="s">
        <v>2239</v>
      </c>
      <c r="C519" s="18" t="s">
        <v>4182</v>
      </c>
      <c r="D519" s="18" t="s">
        <v>1838</v>
      </c>
      <c r="E519" s="18" t="s">
        <v>2391</v>
      </c>
      <c r="F519" s="2">
        <v>5</v>
      </c>
      <c r="G519" s="2" t="s">
        <v>13</v>
      </c>
      <c r="H519" s="2">
        <v>1995</v>
      </c>
      <c r="I519" s="2" t="str">
        <f t="shared" si="35"/>
        <v>eHLLTE</v>
      </c>
      <c r="J519" s="2" t="s">
        <v>2392</v>
      </c>
      <c r="K519" s="8" t="s">
        <v>2393</v>
      </c>
      <c r="L519"/>
      <c r="M519" s="2" t="s">
        <v>2394</v>
      </c>
      <c r="P519" s="2" t="s">
        <v>1843</v>
      </c>
      <c r="Q519" s="2" t="s">
        <v>1127</v>
      </c>
    </row>
    <row r="520" spans="1:17" ht="16.5" customHeight="1" x14ac:dyDescent="0.2">
      <c r="A520" s="18" t="s">
        <v>399</v>
      </c>
      <c r="B520" s="18" t="s">
        <v>2241</v>
      </c>
      <c r="C520" s="18" t="s">
        <v>4182</v>
      </c>
      <c r="D520" s="18" t="s">
        <v>1838</v>
      </c>
      <c r="E520" s="18" t="s">
        <v>2391</v>
      </c>
      <c r="F520" s="2">
        <v>6</v>
      </c>
      <c r="G520" s="2" t="s">
        <v>49</v>
      </c>
      <c r="H520" s="2">
        <v>1996</v>
      </c>
      <c r="I520" s="2" t="str">
        <f t="shared" si="35"/>
        <v>fHLLTE</v>
      </c>
      <c r="J520" s="2" t="s">
        <v>2392</v>
      </c>
      <c r="K520" s="8" t="s">
        <v>2393</v>
      </c>
      <c r="L520"/>
      <c r="M520" s="2" t="s">
        <v>2394</v>
      </c>
      <c r="P520" s="2" t="s">
        <v>1843</v>
      </c>
      <c r="Q520" s="2" t="s">
        <v>1127</v>
      </c>
    </row>
    <row r="521" spans="1:17" ht="16.5" customHeight="1" x14ac:dyDescent="0.2">
      <c r="A521" s="18" t="s">
        <v>399</v>
      </c>
      <c r="B521" s="18" t="s">
        <v>2243</v>
      </c>
      <c r="C521" s="18" t="s">
        <v>4182</v>
      </c>
      <c r="D521" s="18" t="s">
        <v>1838</v>
      </c>
      <c r="E521" s="18" t="s">
        <v>2391</v>
      </c>
      <c r="F521" s="2">
        <v>7</v>
      </c>
      <c r="G521" s="2" t="s">
        <v>101</v>
      </c>
      <c r="H521" s="2">
        <v>1997</v>
      </c>
      <c r="I521" s="2" t="str">
        <f t="shared" si="35"/>
        <v>gHLLTE</v>
      </c>
      <c r="J521" s="2" t="s">
        <v>2392</v>
      </c>
      <c r="K521" s="8" t="s">
        <v>2393</v>
      </c>
      <c r="L521"/>
      <c r="M521" s="2" t="s">
        <v>2394</v>
      </c>
      <c r="P521" s="2" t="s">
        <v>1843</v>
      </c>
      <c r="Q521" s="2" t="s">
        <v>1127</v>
      </c>
    </row>
    <row r="522" spans="1:17" ht="16.5" customHeight="1" x14ac:dyDescent="0.2">
      <c r="A522" s="18" t="s">
        <v>399</v>
      </c>
      <c r="B522" s="18" t="s">
        <v>2245</v>
      </c>
      <c r="C522" s="18" t="s">
        <v>4182</v>
      </c>
      <c r="D522" s="18" t="s">
        <v>1838</v>
      </c>
      <c r="E522" s="18" t="s">
        <v>2391</v>
      </c>
      <c r="F522" s="2">
        <v>8</v>
      </c>
      <c r="G522" s="2" t="s">
        <v>10</v>
      </c>
      <c r="H522" s="2">
        <v>1998</v>
      </c>
      <c r="I522" s="2" t="str">
        <f t="shared" si="35"/>
        <v>hHLLTE</v>
      </c>
      <c r="J522" s="2" t="s">
        <v>2392</v>
      </c>
      <c r="K522" s="8" t="s">
        <v>2393</v>
      </c>
      <c r="L522"/>
      <c r="M522" s="2" t="s">
        <v>2394</v>
      </c>
      <c r="P522" s="2" t="s">
        <v>1843</v>
      </c>
      <c r="Q522" s="2" t="s">
        <v>1127</v>
      </c>
    </row>
    <row r="523" spans="1:17" ht="16.5" customHeight="1" x14ac:dyDescent="0.2">
      <c r="A523" s="18" t="s">
        <v>399</v>
      </c>
      <c r="B523" s="18" t="s">
        <v>2249</v>
      </c>
      <c r="C523" s="18" t="s">
        <v>4182</v>
      </c>
      <c r="D523" s="18" t="s">
        <v>1838</v>
      </c>
      <c r="E523" s="18" t="s">
        <v>2391</v>
      </c>
      <c r="F523" s="2">
        <v>10</v>
      </c>
      <c r="G523" s="2" t="s">
        <v>98</v>
      </c>
      <c r="H523" s="2">
        <v>2000</v>
      </c>
      <c r="I523" s="2" t="str">
        <f t="shared" si="35"/>
        <v>jHLLTE</v>
      </c>
      <c r="J523" s="2" t="s">
        <v>2392</v>
      </c>
      <c r="K523" s="8" t="s">
        <v>2393</v>
      </c>
      <c r="L523"/>
      <c r="M523" s="2" t="s">
        <v>2394</v>
      </c>
      <c r="P523" s="2" t="s">
        <v>1843</v>
      </c>
      <c r="Q523" s="2" t="s">
        <v>1127</v>
      </c>
    </row>
    <row r="524" spans="1:17" ht="16.5" customHeight="1" x14ac:dyDescent="0.2">
      <c r="A524" s="18" t="s">
        <v>399</v>
      </c>
      <c r="B524" s="18" t="s">
        <v>2251</v>
      </c>
      <c r="C524" s="18" t="s">
        <v>4182</v>
      </c>
      <c r="D524" s="18" t="s">
        <v>1838</v>
      </c>
      <c r="E524" s="18" t="s">
        <v>2391</v>
      </c>
      <c r="F524" s="2">
        <v>11</v>
      </c>
      <c r="G524" s="2" t="s">
        <v>104</v>
      </c>
      <c r="H524" s="2">
        <v>2001</v>
      </c>
      <c r="I524" s="2" t="str">
        <f t="shared" si="35"/>
        <v>kHLLTE</v>
      </c>
      <c r="J524" s="2" t="s">
        <v>2392</v>
      </c>
      <c r="K524" s="8" t="s">
        <v>2393</v>
      </c>
      <c r="L524"/>
      <c r="M524" s="2" t="s">
        <v>2394</v>
      </c>
      <c r="P524" s="2" t="s">
        <v>1843</v>
      </c>
      <c r="Q524" s="2" t="s">
        <v>1127</v>
      </c>
    </row>
    <row r="525" spans="1:17" ht="16.5" customHeight="1" x14ac:dyDescent="0.2">
      <c r="A525" s="18" t="s">
        <v>399</v>
      </c>
      <c r="B525" s="18" t="s">
        <v>2253</v>
      </c>
      <c r="C525" s="18" t="s">
        <v>4182</v>
      </c>
      <c r="D525" s="18" t="s">
        <v>1838</v>
      </c>
      <c r="E525" s="18" t="s">
        <v>2391</v>
      </c>
      <c r="F525" s="2">
        <v>12</v>
      </c>
      <c r="G525" s="2" t="s">
        <v>89</v>
      </c>
      <c r="H525" s="2">
        <v>2002</v>
      </c>
      <c r="I525" s="2" t="str">
        <f t="shared" si="35"/>
        <v>lHLLTE</v>
      </c>
      <c r="J525" s="2" t="s">
        <v>2392</v>
      </c>
      <c r="K525" s="8" t="s">
        <v>2393</v>
      </c>
      <c r="L525"/>
      <c r="M525" s="2" t="s">
        <v>2394</v>
      </c>
      <c r="P525" s="2" t="s">
        <v>1843</v>
      </c>
      <c r="Q525" s="2" t="s">
        <v>1127</v>
      </c>
    </row>
    <row r="526" spans="1:17" ht="16.5" customHeight="1" x14ac:dyDescent="0.2">
      <c r="A526" s="18" t="s">
        <v>399</v>
      </c>
      <c r="B526" s="18" t="s">
        <v>2255</v>
      </c>
      <c r="C526" s="18" t="s">
        <v>4182</v>
      </c>
      <c r="D526" s="18" t="s">
        <v>1838</v>
      </c>
      <c r="E526" s="18" t="s">
        <v>2391</v>
      </c>
      <c r="F526" s="2">
        <v>13</v>
      </c>
      <c r="G526" s="2" t="s">
        <v>107</v>
      </c>
      <c r="H526" s="2">
        <v>2003</v>
      </c>
      <c r="I526" s="2" t="str">
        <f t="shared" si="35"/>
        <v>mHLLTE</v>
      </c>
      <c r="J526" s="2" t="s">
        <v>2392</v>
      </c>
      <c r="K526" s="8" t="s">
        <v>2393</v>
      </c>
      <c r="L526"/>
      <c r="M526" s="2" t="s">
        <v>2394</v>
      </c>
      <c r="P526" s="2" t="s">
        <v>1843</v>
      </c>
      <c r="Q526" s="2" t="s">
        <v>1127</v>
      </c>
    </row>
    <row r="527" spans="1:17" ht="16.5" customHeight="1" x14ac:dyDescent="0.2">
      <c r="A527" s="18" t="s">
        <v>399</v>
      </c>
      <c r="B527" s="18" t="s">
        <v>2259</v>
      </c>
      <c r="C527" s="18" t="s">
        <v>4182</v>
      </c>
      <c r="D527" s="18" t="s">
        <v>1838</v>
      </c>
      <c r="E527" s="18" t="s">
        <v>2391</v>
      </c>
      <c r="F527" s="2">
        <v>15</v>
      </c>
      <c r="G527" s="2" t="s">
        <v>19</v>
      </c>
      <c r="H527" s="2">
        <v>2005</v>
      </c>
      <c r="I527" s="2" t="str">
        <f t="shared" si="35"/>
        <v>oHLLTE</v>
      </c>
      <c r="J527" s="2" t="s">
        <v>2392</v>
      </c>
      <c r="K527" s="8" t="s">
        <v>2393</v>
      </c>
      <c r="L527"/>
      <c r="M527" s="2" t="s">
        <v>2394</v>
      </c>
      <c r="P527" s="2" t="s">
        <v>1843</v>
      </c>
      <c r="Q527" s="2" t="s">
        <v>1127</v>
      </c>
    </row>
    <row r="528" spans="1:17" ht="16.5" customHeight="1" x14ac:dyDescent="0.2">
      <c r="A528" s="18" t="s">
        <v>399</v>
      </c>
      <c r="B528" s="18" t="s">
        <v>2261</v>
      </c>
      <c r="C528" s="18" t="s">
        <v>4182</v>
      </c>
      <c r="D528" s="18" t="s">
        <v>1838</v>
      </c>
      <c r="E528" s="18" t="s">
        <v>2391</v>
      </c>
      <c r="F528" s="2">
        <v>16</v>
      </c>
      <c r="G528" s="2" t="s">
        <v>25</v>
      </c>
      <c r="H528" s="2">
        <v>2006</v>
      </c>
      <c r="I528" s="2" t="str">
        <f t="shared" si="35"/>
        <v>pHLLTE</v>
      </c>
      <c r="J528" s="2" t="s">
        <v>2392</v>
      </c>
      <c r="K528" s="8" t="s">
        <v>2393</v>
      </c>
      <c r="L528"/>
      <c r="M528" s="2" t="s">
        <v>2394</v>
      </c>
      <c r="P528" s="2" t="s">
        <v>1843</v>
      </c>
      <c r="Q528" s="2" t="s">
        <v>1127</v>
      </c>
    </row>
    <row r="529" spans="1:17" ht="16.5" customHeight="1" x14ac:dyDescent="0.2">
      <c r="A529" s="18" t="s">
        <v>399</v>
      </c>
      <c r="B529" s="18" t="s">
        <v>2263</v>
      </c>
      <c r="C529" s="18" t="s">
        <v>4182</v>
      </c>
      <c r="D529" s="18" t="s">
        <v>1838</v>
      </c>
      <c r="E529" s="18" t="s">
        <v>2391</v>
      </c>
      <c r="F529" s="2">
        <v>17</v>
      </c>
      <c r="G529" s="2" t="s">
        <v>73</v>
      </c>
      <c r="H529" s="2">
        <v>2007</v>
      </c>
      <c r="I529" s="2" t="str">
        <f t="shared" si="35"/>
        <v>qHLLTE</v>
      </c>
      <c r="J529" s="2" t="s">
        <v>2392</v>
      </c>
      <c r="K529" s="8" t="s">
        <v>2393</v>
      </c>
      <c r="L529"/>
      <c r="M529" s="2" t="s">
        <v>2394</v>
      </c>
      <c r="P529" s="2" t="s">
        <v>1843</v>
      </c>
      <c r="Q529" s="2" t="s">
        <v>1127</v>
      </c>
    </row>
    <row r="530" spans="1:17" ht="16.5" customHeight="1" x14ac:dyDescent="0.2">
      <c r="A530" s="18" t="s">
        <v>399</v>
      </c>
      <c r="B530" s="18" t="s">
        <v>2265</v>
      </c>
      <c r="C530" s="18" t="s">
        <v>4182</v>
      </c>
      <c r="D530" s="18" t="s">
        <v>1838</v>
      </c>
      <c r="E530" s="18" t="s">
        <v>2391</v>
      </c>
      <c r="F530" s="2">
        <v>18</v>
      </c>
      <c r="G530" s="2" t="s">
        <v>58</v>
      </c>
      <c r="H530" s="2">
        <v>2008</v>
      </c>
      <c r="I530" s="2" t="str">
        <f t="shared" si="35"/>
        <v>rHLLTE</v>
      </c>
      <c r="J530" s="2" t="s">
        <v>2392</v>
      </c>
      <c r="K530" s="8" t="s">
        <v>2393</v>
      </c>
      <c r="L530"/>
      <c r="M530" s="2" t="s">
        <v>2394</v>
      </c>
      <c r="P530" s="2" t="s">
        <v>1843</v>
      </c>
      <c r="Q530" s="2" t="s">
        <v>1127</v>
      </c>
    </row>
    <row r="531" spans="1:17" ht="16.5" customHeight="1" x14ac:dyDescent="0.2">
      <c r="A531" s="18" t="s">
        <v>399</v>
      </c>
      <c r="B531" s="18" t="s">
        <v>2227</v>
      </c>
      <c r="C531" s="18" t="s">
        <v>4182</v>
      </c>
      <c r="D531" s="18" t="s">
        <v>1838</v>
      </c>
      <c r="E531" s="18" t="s">
        <v>2397</v>
      </c>
      <c r="F531" s="2">
        <v>1</v>
      </c>
      <c r="G531" s="2" t="s">
        <v>40</v>
      </c>
      <c r="H531" s="2">
        <v>1991</v>
      </c>
      <c r="I531" s="2" t="str">
        <f>G531&amp;"HLLTD"</f>
        <v>aHLLTD</v>
      </c>
      <c r="J531" s="2" t="s">
        <v>2398</v>
      </c>
      <c r="K531" s="8" t="s">
        <v>2393</v>
      </c>
      <c r="L531"/>
      <c r="M531" s="2" t="s">
        <v>2399</v>
      </c>
      <c r="P531" s="2" t="s">
        <v>1843</v>
      </c>
      <c r="Q531" s="2" t="s">
        <v>1127</v>
      </c>
    </row>
    <row r="532" spans="1:17" ht="16.5" customHeight="1" x14ac:dyDescent="0.2">
      <c r="A532" s="18" t="s">
        <v>399</v>
      </c>
      <c r="B532" s="18" t="s">
        <v>2233</v>
      </c>
      <c r="C532" s="18" t="s">
        <v>4182</v>
      </c>
      <c r="D532" s="18" t="s">
        <v>1838</v>
      </c>
      <c r="E532" s="18" t="s">
        <v>2397</v>
      </c>
      <c r="F532" s="2">
        <v>2</v>
      </c>
      <c r="G532" s="2" t="s">
        <v>37</v>
      </c>
      <c r="H532" s="2">
        <v>1992</v>
      </c>
      <c r="I532" s="2" t="str">
        <f t="shared" ref="I532:I546" si="36">G532&amp;"HLLTD"</f>
        <v>bHLLTD</v>
      </c>
      <c r="J532" s="2" t="s">
        <v>2398</v>
      </c>
      <c r="K532" s="8" t="s">
        <v>2393</v>
      </c>
      <c r="L532"/>
      <c r="M532" s="2" t="s">
        <v>2399</v>
      </c>
      <c r="P532" s="2" t="s">
        <v>1843</v>
      </c>
      <c r="Q532" s="2" t="s">
        <v>1127</v>
      </c>
    </row>
    <row r="533" spans="1:17" ht="16.5" customHeight="1" x14ac:dyDescent="0.2">
      <c r="A533" s="18" t="s">
        <v>399</v>
      </c>
      <c r="B533" s="18" t="s">
        <v>2235</v>
      </c>
      <c r="C533" s="18" t="s">
        <v>4182</v>
      </c>
      <c r="D533" s="18" t="s">
        <v>1838</v>
      </c>
      <c r="E533" s="18" t="s">
        <v>2397</v>
      </c>
      <c r="F533" s="2">
        <v>3</v>
      </c>
      <c r="G533" s="2" t="s">
        <v>80</v>
      </c>
      <c r="H533" s="2">
        <v>1993</v>
      </c>
      <c r="I533" s="2" t="str">
        <f t="shared" si="36"/>
        <v>cHLLTD</v>
      </c>
      <c r="J533" s="2" t="s">
        <v>2398</v>
      </c>
      <c r="K533" s="8" t="s">
        <v>2393</v>
      </c>
      <c r="L533"/>
      <c r="M533" s="2" t="s">
        <v>2399</v>
      </c>
      <c r="P533" s="2" t="s">
        <v>1843</v>
      </c>
      <c r="Q533" s="2" t="s">
        <v>1127</v>
      </c>
    </row>
    <row r="534" spans="1:17" ht="16.5" customHeight="1" x14ac:dyDescent="0.2">
      <c r="A534" s="18" t="s">
        <v>399</v>
      </c>
      <c r="B534" s="18" t="s">
        <v>2237</v>
      </c>
      <c r="C534" s="18" t="s">
        <v>4182</v>
      </c>
      <c r="D534" s="18" t="s">
        <v>1838</v>
      </c>
      <c r="E534" s="18" t="s">
        <v>2397</v>
      </c>
      <c r="F534" s="2">
        <v>4</v>
      </c>
      <c r="G534" s="2" t="s">
        <v>31</v>
      </c>
      <c r="H534" s="2">
        <v>1994</v>
      </c>
      <c r="I534" s="2" t="str">
        <f t="shared" si="36"/>
        <v>dHLLTD</v>
      </c>
      <c r="J534" s="2" t="s">
        <v>2398</v>
      </c>
      <c r="K534" s="8" t="s">
        <v>2393</v>
      </c>
      <c r="L534"/>
      <c r="M534" s="2" t="s">
        <v>2399</v>
      </c>
      <c r="P534" s="2" t="s">
        <v>1843</v>
      </c>
      <c r="Q534" s="2" t="s">
        <v>1127</v>
      </c>
    </row>
    <row r="535" spans="1:17" ht="16.5" customHeight="1" x14ac:dyDescent="0.2">
      <c r="A535" s="18" t="s">
        <v>399</v>
      </c>
      <c r="B535" s="18" t="s">
        <v>2239</v>
      </c>
      <c r="C535" s="18" t="s">
        <v>4182</v>
      </c>
      <c r="D535" s="18" t="s">
        <v>1838</v>
      </c>
      <c r="E535" s="18" t="s">
        <v>2397</v>
      </c>
      <c r="F535" s="2">
        <v>5</v>
      </c>
      <c r="G535" s="2" t="s">
        <v>13</v>
      </c>
      <c r="H535" s="2">
        <v>1995</v>
      </c>
      <c r="I535" s="2" t="str">
        <f t="shared" si="36"/>
        <v>eHLLTD</v>
      </c>
      <c r="J535" s="2" t="s">
        <v>2398</v>
      </c>
      <c r="K535" s="8" t="s">
        <v>2393</v>
      </c>
      <c r="L535"/>
      <c r="M535" s="2" t="s">
        <v>2399</v>
      </c>
      <c r="P535" s="2" t="s">
        <v>1843</v>
      </c>
      <c r="Q535" s="2" t="s">
        <v>1127</v>
      </c>
    </row>
    <row r="536" spans="1:17" ht="16.5" customHeight="1" x14ac:dyDescent="0.2">
      <c r="A536" s="18" t="s">
        <v>399</v>
      </c>
      <c r="B536" s="18" t="s">
        <v>2241</v>
      </c>
      <c r="C536" s="18" t="s">
        <v>4182</v>
      </c>
      <c r="D536" s="18" t="s">
        <v>1838</v>
      </c>
      <c r="E536" s="18" t="s">
        <v>2397</v>
      </c>
      <c r="F536" s="2">
        <v>6</v>
      </c>
      <c r="G536" s="2" t="s">
        <v>49</v>
      </c>
      <c r="H536" s="2">
        <v>1996</v>
      </c>
      <c r="I536" s="2" t="str">
        <f t="shared" si="36"/>
        <v>fHLLTD</v>
      </c>
      <c r="J536" s="2" t="s">
        <v>2398</v>
      </c>
      <c r="K536" s="8" t="s">
        <v>2393</v>
      </c>
      <c r="L536"/>
      <c r="M536" s="2" t="s">
        <v>2399</v>
      </c>
      <c r="P536" s="2" t="s">
        <v>1843</v>
      </c>
      <c r="Q536" s="2" t="s">
        <v>1127</v>
      </c>
    </row>
    <row r="537" spans="1:17" ht="16.5" customHeight="1" x14ac:dyDescent="0.2">
      <c r="A537" s="18" t="s">
        <v>399</v>
      </c>
      <c r="B537" s="18" t="s">
        <v>2243</v>
      </c>
      <c r="C537" s="18" t="s">
        <v>4182</v>
      </c>
      <c r="D537" s="18" t="s">
        <v>1838</v>
      </c>
      <c r="E537" s="18" t="s">
        <v>2397</v>
      </c>
      <c r="F537" s="2">
        <v>7</v>
      </c>
      <c r="G537" s="2" t="s">
        <v>101</v>
      </c>
      <c r="H537" s="2">
        <v>1997</v>
      </c>
      <c r="I537" s="2" t="str">
        <f t="shared" si="36"/>
        <v>gHLLTD</v>
      </c>
      <c r="J537" s="2" t="s">
        <v>2398</v>
      </c>
      <c r="K537" s="8" t="s">
        <v>2393</v>
      </c>
      <c r="L537"/>
      <c r="M537" s="2" t="s">
        <v>2399</v>
      </c>
      <c r="P537" s="2" t="s">
        <v>1843</v>
      </c>
      <c r="Q537" s="2" t="s">
        <v>1127</v>
      </c>
    </row>
    <row r="538" spans="1:17" ht="16.5" customHeight="1" x14ac:dyDescent="0.2">
      <c r="A538" s="18" t="s">
        <v>399</v>
      </c>
      <c r="B538" s="18" t="s">
        <v>2245</v>
      </c>
      <c r="C538" s="18" t="s">
        <v>4182</v>
      </c>
      <c r="D538" s="18" t="s">
        <v>1838</v>
      </c>
      <c r="E538" s="18" t="s">
        <v>2397</v>
      </c>
      <c r="F538" s="2">
        <v>8</v>
      </c>
      <c r="G538" s="2" t="s">
        <v>10</v>
      </c>
      <c r="H538" s="2">
        <v>1998</v>
      </c>
      <c r="I538" s="2" t="str">
        <f t="shared" si="36"/>
        <v>hHLLTD</v>
      </c>
      <c r="J538" s="2" t="s">
        <v>2398</v>
      </c>
      <c r="K538" s="8" t="s">
        <v>2393</v>
      </c>
      <c r="L538"/>
      <c r="M538" s="2" t="s">
        <v>2399</v>
      </c>
      <c r="P538" s="2" t="s">
        <v>1843</v>
      </c>
      <c r="Q538" s="2" t="s">
        <v>1127</v>
      </c>
    </row>
    <row r="539" spans="1:17" ht="16.5" customHeight="1" x14ac:dyDescent="0.2">
      <c r="A539" s="18" t="s">
        <v>399</v>
      </c>
      <c r="B539" s="18" t="s">
        <v>2249</v>
      </c>
      <c r="C539" s="18" t="s">
        <v>4182</v>
      </c>
      <c r="D539" s="18" t="s">
        <v>1838</v>
      </c>
      <c r="E539" s="18" t="s">
        <v>2397</v>
      </c>
      <c r="F539" s="2">
        <v>10</v>
      </c>
      <c r="G539" s="2" t="s">
        <v>98</v>
      </c>
      <c r="H539" s="2">
        <v>2000</v>
      </c>
      <c r="I539" s="2" t="str">
        <f t="shared" si="36"/>
        <v>jHLLTD</v>
      </c>
      <c r="J539" s="2" t="s">
        <v>2398</v>
      </c>
      <c r="K539" s="8" t="s">
        <v>2393</v>
      </c>
      <c r="L539"/>
      <c r="M539" s="2" t="s">
        <v>2399</v>
      </c>
      <c r="P539" s="2" t="s">
        <v>1843</v>
      </c>
      <c r="Q539" s="2" t="s">
        <v>1127</v>
      </c>
    </row>
    <row r="540" spans="1:17" ht="16.5" customHeight="1" x14ac:dyDescent="0.2">
      <c r="A540" s="18" t="s">
        <v>399</v>
      </c>
      <c r="B540" s="18" t="s">
        <v>2251</v>
      </c>
      <c r="C540" s="18" t="s">
        <v>4182</v>
      </c>
      <c r="D540" s="18" t="s">
        <v>1838</v>
      </c>
      <c r="E540" s="18" t="s">
        <v>2397</v>
      </c>
      <c r="F540" s="2">
        <v>11</v>
      </c>
      <c r="G540" s="2" t="s">
        <v>104</v>
      </c>
      <c r="H540" s="2">
        <v>2001</v>
      </c>
      <c r="I540" s="2" t="str">
        <f t="shared" si="36"/>
        <v>kHLLTD</v>
      </c>
      <c r="J540" s="2" t="s">
        <v>2398</v>
      </c>
      <c r="K540" s="8" t="s">
        <v>2393</v>
      </c>
      <c r="L540"/>
      <c r="M540" s="2" t="s">
        <v>2399</v>
      </c>
      <c r="P540" s="2" t="s">
        <v>1843</v>
      </c>
      <c r="Q540" s="2" t="s">
        <v>1127</v>
      </c>
    </row>
    <row r="541" spans="1:17" ht="16.5" customHeight="1" x14ac:dyDescent="0.2">
      <c r="A541" s="18" t="s">
        <v>399</v>
      </c>
      <c r="B541" s="18" t="s">
        <v>2253</v>
      </c>
      <c r="C541" s="18" t="s">
        <v>4182</v>
      </c>
      <c r="D541" s="18" t="s">
        <v>1838</v>
      </c>
      <c r="E541" s="18" t="s">
        <v>2397</v>
      </c>
      <c r="F541" s="2">
        <v>12</v>
      </c>
      <c r="G541" s="2" t="s">
        <v>89</v>
      </c>
      <c r="H541" s="2">
        <v>2002</v>
      </c>
      <c r="I541" s="2" t="str">
        <f t="shared" si="36"/>
        <v>lHLLTD</v>
      </c>
      <c r="J541" s="2" t="s">
        <v>2398</v>
      </c>
      <c r="K541" s="8" t="s">
        <v>2393</v>
      </c>
      <c r="L541"/>
      <c r="M541" s="2" t="s">
        <v>2399</v>
      </c>
      <c r="P541" s="2" t="s">
        <v>1843</v>
      </c>
      <c r="Q541" s="2" t="s">
        <v>1127</v>
      </c>
    </row>
    <row r="542" spans="1:17" ht="16.5" customHeight="1" x14ac:dyDescent="0.2">
      <c r="A542" s="18" t="s">
        <v>399</v>
      </c>
      <c r="B542" s="18" t="s">
        <v>2255</v>
      </c>
      <c r="C542" s="18" t="s">
        <v>4182</v>
      </c>
      <c r="D542" s="18" t="s">
        <v>1838</v>
      </c>
      <c r="E542" s="18" t="s">
        <v>2397</v>
      </c>
      <c r="F542" s="2">
        <v>13</v>
      </c>
      <c r="G542" s="2" t="s">
        <v>107</v>
      </c>
      <c r="H542" s="2">
        <v>2003</v>
      </c>
      <c r="I542" s="2" t="str">
        <f t="shared" si="36"/>
        <v>mHLLTD</v>
      </c>
      <c r="J542" s="2" t="s">
        <v>2398</v>
      </c>
      <c r="K542" s="8" t="s">
        <v>2393</v>
      </c>
      <c r="L542"/>
      <c r="M542" s="2" t="s">
        <v>2399</v>
      </c>
      <c r="P542" s="2" t="s">
        <v>1843</v>
      </c>
      <c r="Q542" s="2" t="s">
        <v>1127</v>
      </c>
    </row>
    <row r="543" spans="1:17" ht="16.5" customHeight="1" x14ac:dyDescent="0.2">
      <c r="A543" s="18" t="s">
        <v>399</v>
      </c>
      <c r="B543" s="18" t="s">
        <v>2259</v>
      </c>
      <c r="C543" s="18" t="s">
        <v>4182</v>
      </c>
      <c r="D543" s="18" t="s">
        <v>1838</v>
      </c>
      <c r="E543" s="18" t="s">
        <v>2397</v>
      </c>
      <c r="F543" s="2">
        <v>15</v>
      </c>
      <c r="G543" s="2" t="s">
        <v>19</v>
      </c>
      <c r="H543" s="2">
        <v>2005</v>
      </c>
      <c r="I543" s="2" t="str">
        <f t="shared" si="36"/>
        <v>oHLLTD</v>
      </c>
      <c r="J543" s="2" t="s">
        <v>2398</v>
      </c>
      <c r="K543" s="8" t="s">
        <v>2393</v>
      </c>
      <c r="L543"/>
      <c r="M543" s="2" t="s">
        <v>2399</v>
      </c>
      <c r="P543" s="2" t="s">
        <v>1843</v>
      </c>
      <c r="Q543" s="2" t="s">
        <v>1127</v>
      </c>
    </row>
    <row r="544" spans="1:17" ht="16.5" customHeight="1" x14ac:dyDescent="0.2">
      <c r="A544" s="18" t="s">
        <v>399</v>
      </c>
      <c r="B544" s="18" t="s">
        <v>2261</v>
      </c>
      <c r="C544" s="18" t="s">
        <v>4182</v>
      </c>
      <c r="D544" s="18" t="s">
        <v>1838</v>
      </c>
      <c r="E544" s="18" t="s">
        <v>2397</v>
      </c>
      <c r="F544" s="2">
        <v>16</v>
      </c>
      <c r="G544" s="2" t="s">
        <v>25</v>
      </c>
      <c r="H544" s="2">
        <v>2006</v>
      </c>
      <c r="I544" s="2" t="str">
        <f t="shared" si="36"/>
        <v>pHLLTD</v>
      </c>
      <c r="J544" s="2" t="s">
        <v>2398</v>
      </c>
      <c r="K544" s="8" t="s">
        <v>2393</v>
      </c>
      <c r="L544"/>
      <c r="M544" s="2" t="s">
        <v>2399</v>
      </c>
      <c r="P544" s="2" t="s">
        <v>1843</v>
      </c>
      <c r="Q544" s="2" t="s">
        <v>1127</v>
      </c>
    </row>
    <row r="545" spans="1:17" ht="16.5" customHeight="1" x14ac:dyDescent="0.2">
      <c r="A545" s="18" t="s">
        <v>399</v>
      </c>
      <c r="B545" s="18" t="s">
        <v>2263</v>
      </c>
      <c r="C545" s="18" t="s">
        <v>4182</v>
      </c>
      <c r="D545" s="18" t="s">
        <v>1838</v>
      </c>
      <c r="E545" s="18" t="s">
        <v>2397</v>
      </c>
      <c r="F545" s="2">
        <v>17</v>
      </c>
      <c r="G545" s="2" t="s">
        <v>73</v>
      </c>
      <c r="H545" s="2">
        <v>2007</v>
      </c>
      <c r="I545" s="2" t="str">
        <f t="shared" si="36"/>
        <v>qHLLTD</v>
      </c>
      <c r="J545" s="2" t="s">
        <v>2398</v>
      </c>
      <c r="K545" s="8" t="s">
        <v>2393</v>
      </c>
      <c r="L545"/>
      <c r="M545" s="2" t="s">
        <v>2399</v>
      </c>
      <c r="P545" s="2" t="s">
        <v>1843</v>
      </c>
      <c r="Q545" s="2" t="s">
        <v>1127</v>
      </c>
    </row>
    <row r="546" spans="1:17" ht="16.5" customHeight="1" x14ac:dyDescent="0.2">
      <c r="A546" s="18" t="s">
        <v>399</v>
      </c>
      <c r="B546" s="18" t="s">
        <v>2265</v>
      </c>
      <c r="C546" s="18" t="s">
        <v>4182</v>
      </c>
      <c r="D546" s="18" t="s">
        <v>1838</v>
      </c>
      <c r="E546" s="18" t="s">
        <v>2397</v>
      </c>
      <c r="F546" s="2">
        <v>18</v>
      </c>
      <c r="G546" s="2" t="s">
        <v>58</v>
      </c>
      <c r="H546" s="2">
        <v>2008</v>
      </c>
      <c r="I546" s="2" t="str">
        <f t="shared" si="36"/>
        <v>rHLLTD</v>
      </c>
      <c r="J546" s="2" t="s">
        <v>2398</v>
      </c>
      <c r="K546" s="8" t="s">
        <v>2393</v>
      </c>
      <c r="L546"/>
      <c r="M546" s="2" t="s">
        <v>2399</v>
      </c>
      <c r="P546" s="2" t="s">
        <v>1843</v>
      </c>
      <c r="Q546" s="2" t="s">
        <v>1127</v>
      </c>
    </row>
    <row r="547" spans="1:17" ht="16.5" customHeight="1" x14ac:dyDescent="0.2">
      <c r="A547" s="18" t="s">
        <v>399</v>
      </c>
      <c r="B547" s="18" t="s">
        <v>2227</v>
      </c>
      <c r="C547" s="18" t="s">
        <v>4182</v>
      </c>
      <c r="D547" s="18" t="s">
        <v>1838</v>
      </c>
      <c r="E547" s="18" t="s">
        <v>2400</v>
      </c>
      <c r="F547" s="2">
        <v>1</v>
      </c>
      <c r="G547" s="2" t="s">
        <v>40</v>
      </c>
      <c r="H547" s="2">
        <v>1991</v>
      </c>
      <c r="I547" s="2" t="str">
        <f>G547&amp;"HLLTC"</f>
        <v>aHLLTC</v>
      </c>
      <c r="J547" s="2" t="s">
        <v>2401</v>
      </c>
      <c r="K547" s="8" t="s">
        <v>2393</v>
      </c>
      <c r="L547"/>
      <c r="M547" s="2" t="s">
        <v>2399</v>
      </c>
      <c r="P547" s="2" t="s">
        <v>1843</v>
      </c>
      <c r="Q547" s="2" t="s">
        <v>1127</v>
      </c>
    </row>
    <row r="548" spans="1:17" ht="16.5" customHeight="1" x14ac:dyDescent="0.2">
      <c r="A548" s="18" t="s">
        <v>399</v>
      </c>
      <c r="B548" s="18" t="s">
        <v>2233</v>
      </c>
      <c r="C548" s="18" t="s">
        <v>4182</v>
      </c>
      <c r="D548" s="18" t="s">
        <v>1838</v>
      </c>
      <c r="E548" s="18" t="s">
        <v>2400</v>
      </c>
      <c r="F548" s="2">
        <v>2</v>
      </c>
      <c r="G548" s="2" t="s">
        <v>37</v>
      </c>
      <c r="H548" s="2">
        <v>1992</v>
      </c>
      <c r="I548" s="2" t="str">
        <f t="shared" ref="I548:I562" si="37">G548&amp;"HLLTC"</f>
        <v>bHLLTC</v>
      </c>
      <c r="J548" s="2" t="s">
        <v>2401</v>
      </c>
      <c r="K548" s="8" t="s">
        <v>2393</v>
      </c>
      <c r="L548"/>
      <c r="M548" s="2" t="s">
        <v>2399</v>
      </c>
      <c r="P548" s="2" t="s">
        <v>1843</v>
      </c>
      <c r="Q548" s="2" t="s">
        <v>1127</v>
      </c>
    </row>
    <row r="549" spans="1:17" ht="16.5" customHeight="1" x14ac:dyDescent="0.2">
      <c r="A549" s="18" t="s">
        <v>399</v>
      </c>
      <c r="B549" s="18" t="s">
        <v>2235</v>
      </c>
      <c r="C549" s="18" t="s">
        <v>4182</v>
      </c>
      <c r="D549" s="18" t="s">
        <v>1838</v>
      </c>
      <c r="E549" s="18" t="s">
        <v>2400</v>
      </c>
      <c r="F549" s="2">
        <v>3</v>
      </c>
      <c r="G549" s="2" t="s">
        <v>80</v>
      </c>
      <c r="H549" s="2">
        <v>1993</v>
      </c>
      <c r="I549" s="2" t="str">
        <f t="shared" si="37"/>
        <v>cHLLTC</v>
      </c>
      <c r="J549" s="2" t="s">
        <v>2401</v>
      </c>
      <c r="K549" s="8" t="s">
        <v>2393</v>
      </c>
      <c r="L549"/>
      <c r="M549" s="2" t="s">
        <v>2399</v>
      </c>
      <c r="P549" s="2" t="s">
        <v>1843</v>
      </c>
      <c r="Q549" s="2" t="s">
        <v>1127</v>
      </c>
    </row>
    <row r="550" spans="1:17" ht="16.5" customHeight="1" x14ac:dyDescent="0.2">
      <c r="A550" s="18" t="s">
        <v>399</v>
      </c>
      <c r="B550" s="18" t="s">
        <v>2237</v>
      </c>
      <c r="C550" s="18" t="s">
        <v>4182</v>
      </c>
      <c r="D550" s="18" t="s">
        <v>1838</v>
      </c>
      <c r="E550" s="18" t="s">
        <v>2400</v>
      </c>
      <c r="F550" s="2">
        <v>4</v>
      </c>
      <c r="G550" s="2" t="s">
        <v>31</v>
      </c>
      <c r="H550" s="2">
        <v>1994</v>
      </c>
      <c r="I550" s="2" t="str">
        <f t="shared" si="37"/>
        <v>dHLLTC</v>
      </c>
      <c r="J550" s="2" t="s">
        <v>2401</v>
      </c>
      <c r="K550" s="8" t="s">
        <v>2393</v>
      </c>
      <c r="L550"/>
      <c r="M550" s="2" t="s">
        <v>2399</v>
      </c>
      <c r="P550" s="2" t="s">
        <v>1843</v>
      </c>
      <c r="Q550" s="2" t="s">
        <v>1127</v>
      </c>
    </row>
    <row r="551" spans="1:17" ht="16.5" customHeight="1" x14ac:dyDescent="0.2">
      <c r="A551" s="18" t="s">
        <v>399</v>
      </c>
      <c r="B551" s="18" t="s">
        <v>2239</v>
      </c>
      <c r="C551" s="18" t="s">
        <v>4182</v>
      </c>
      <c r="D551" s="18" t="s">
        <v>1838</v>
      </c>
      <c r="E551" s="18" t="s">
        <v>2400</v>
      </c>
      <c r="F551" s="2">
        <v>5</v>
      </c>
      <c r="G551" s="2" t="s">
        <v>13</v>
      </c>
      <c r="H551" s="2">
        <v>1995</v>
      </c>
      <c r="I551" s="2" t="str">
        <f t="shared" si="37"/>
        <v>eHLLTC</v>
      </c>
      <c r="J551" s="2" t="s">
        <v>2401</v>
      </c>
      <c r="K551" s="8" t="s">
        <v>2393</v>
      </c>
      <c r="L551"/>
      <c r="M551" s="2" t="s">
        <v>2399</v>
      </c>
      <c r="P551" s="2" t="s">
        <v>1843</v>
      </c>
      <c r="Q551" s="2" t="s">
        <v>1127</v>
      </c>
    </row>
    <row r="552" spans="1:17" ht="16.5" customHeight="1" x14ac:dyDescent="0.2">
      <c r="A552" s="18" t="s">
        <v>399</v>
      </c>
      <c r="B552" s="18" t="s">
        <v>2241</v>
      </c>
      <c r="C552" s="18" t="s">
        <v>4182</v>
      </c>
      <c r="D552" s="18" t="s">
        <v>1838</v>
      </c>
      <c r="E552" s="18" t="s">
        <v>2400</v>
      </c>
      <c r="F552" s="2">
        <v>6</v>
      </c>
      <c r="G552" s="2" t="s">
        <v>49</v>
      </c>
      <c r="H552" s="2">
        <v>1996</v>
      </c>
      <c r="I552" s="2" t="str">
        <f t="shared" si="37"/>
        <v>fHLLTC</v>
      </c>
      <c r="J552" s="2" t="s">
        <v>2401</v>
      </c>
      <c r="K552" s="8" t="s">
        <v>2393</v>
      </c>
      <c r="L552"/>
      <c r="M552" s="2" t="s">
        <v>2399</v>
      </c>
      <c r="P552" s="2" t="s">
        <v>1843</v>
      </c>
      <c r="Q552" s="2" t="s">
        <v>1127</v>
      </c>
    </row>
    <row r="553" spans="1:17" ht="16.5" customHeight="1" x14ac:dyDescent="0.2">
      <c r="A553" s="18" t="s">
        <v>399</v>
      </c>
      <c r="B553" s="18" t="s">
        <v>2243</v>
      </c>
      <c r="C553" s="18" t="s">
        <v>4182</v>
      </c>
      <c r="D553" s="18" t="s">
        <v>1838</v>
      </c>
      <c r="E553" s="18" t="s">
        <v>2400</v>
      </c>
      <c r="F553" s="2">
        <v>7</v>
      </c>
      <c r="G553" s="2" t="s">
        <v>101</v>
      </c>
      <c r="H553" s="2">
        <v>1997</v>
      </c>
      <c r="I553" s="2" t="str">
        <f t="shared" si="37"/>
        <v>gHLLTC</v>
      </c>
      <c r="J553" s="2" t="s">
        <v>2401</v>
      </c>
      <c r="K553" s="8" t="s">
        <v>2393</v>
      </c>
      <c r="L553"/>
      <c r="M553" s="2" t="s">
        <v>2399</v>
      </c>
      <c r="P553" s="2" t="s">
        <v>1843</v>
      </c>
      <c r="Q553" s="2" t="s">
        <v>1127</v>
      </c>
    </row>
    <row r="554" spans="1:17" ht="16.5" customHeight="1" x14ac:dyDescent="0.2">
      <c r="A554" s="18" t="s">
        <v>399</v>
      </c>
      <c r="B554" s="18" t="s">
        <v>2245</v>
      </c>
      <c r="C554" s="18" t="s">
        <v>4182</v>
      </c>
      <c r="D554" s="18" t="s">
        <v>1838</v>
      </c>
      <c r="E554" s="18" t="s">
        <v>2400</v>
      </c>
      <c r="F554" s="2">
        <v>8</v>
      </c>
      <c r="G554" s="2" t="s">
        <v>10</v>
      </c>
      <c r="H554" s="2">
        <v>1998</v>
      </c>
      <c r="I554" s="2" t="str">
        <f t="shared" si="37"/>
        <v>hHLLTC</v>
      </c>
      <c r="J554" s="2" t="s">
        <v>2401</v>
      </c>
      <c r="K554" s="8" t="s">
        <v>2393</v>
      </c>
      <c r="L554"/>
      <c r="M554" s="2" t="s">
        <v>2399</v>
      </c>
      <c r="P554" s="2" t="s">
        <v>1843</v>
      </c>
      <c r="Q554" s="2" t="s">
        <v>1127</v>
      </c>
    </row>
    <row r="555" spans="1:17" ht="16.5" customHeight="1" x14ac:dyDescent="0.2">
      <c r="A555" s="18" t="s">
        <v>399</v>
      </c>
      <c r="B555" s="18" t="s">
        <v>2249</v>
      </c>
      <c r="C555" s="18" t="s">
        <v>4182</v>
      </c>
      <c r="D555" s="18" t="s">
        <v>1838</v>
      </c>
      <c r="E555" s="18" t="s">
        <v>2400</v>
      </c>
      <c r="F555" s="2">
        <v>10</v>
      </c>
      <c r="G555" s="2" t="s">
        <v>98</v>
      </c>
      <c r="H555" s="2">
        <v>2000</v>
      </c>
      <c r="I555" s="2" t="str">
        <f t="shared" si="37"/>
        <v>jHLLTC</v>
      </c>
      <c r="J555" s="2" t="s">
        <v>2401</v>
      </c>
      <c r="K555" s="8" t="s">
        <v>2393</v>
      </c>
      <c r="L555"/>
      <c r="M555" s="2" t="s">
        <v>2399</v>
      </c>
      <c r="P555" s="2" t="s">
        <v>1843</v>
      </c>
      <c r="Q555" s="2" t="s">
        <v>1127</v>
      </c>
    </row>
    <row r="556" spans="1:17" ht="16.5" customHeight="1" x14ac:dyDescent="0.2">
      <c r="A556" s="18" t="s">
        <v>399</v>
      </c>
      <c r="B556" s="18" t="s">
        <v>2251</v>
      </c>
      <c r="C556" s="18" t="s">
        <v>4182</v>
      </c>
      <c r="D556" s="18" t="s">
        <v>1838</v>
      </c>
      <c r="E556" s="18" t="s">
        <v>2400</v>
      </c>
      <c r="F556" s="2">
        <v>11</v>
      </c>
      <c r="G556" s="2" t="s">
        <v>104</v>
      </c>
      <c r="H556" s="2">
        <v>2001</v>
      </c>
      <c r="I556" s="2" t="str">
        <f t="shared" si="37"/>
        <v>kHLLTC</v>
      </c>
      <c r="J556" s="2" t="s">
        <v>2401</v>
      </c>
      <c r="K556" s="8" t="s">
        <v>2393</v>
      </c>
      <c r="L556"/>
      <c r="M556" s="2" t="s">
        <v>2399</v>
      </c>
      <c r="P556" s="2" t="s">
        <v>1843</v>
      </c>
      <c r="Q556" s="2" t="s">
        <v>1127</v>
      </c>
    </row>
    <row r="557" spans="1:17" ht="16.5" customHeight="1" x14ac:dyDescent="0.2">
      <c r="A557" s="18" t="s">
        <v>399</v>
      </c>
      <c r="B557" s="18" t="s">
        <v>2253</v>
      </c>
      <c r="C557" s="18" t="s">
        <v>4182</v>
      </c>
      <c r="D557" s="18" t="s">
        <v>1838</v>
      </c>
      <c r="E557" s="18" t="s">
        <v>2400</v>
      </c>
      <c r="F557" s="2">
        <v>12</v>
      </c>
      <c r="G557" s="2" t="s">
        <v>89</v>
      </c>
      <c r="H557" s="2">
        <v>2002</v>
      </c>
      <c r="I557" s="2" t="str">
        <f t="shared" si="37"/>
        <v>lHLLTC</v>
      </c>
      <c r="J557" s="2" t="s">
        <v>2401</v>
      </c>
      <c r="K557" s="8" t="s">
        <v>2393</v>
      </c>
      <c r="L557"/>
      <c r="M557" s="2" t="s">
        <v>2399</v>
      </c>
      <c r="P557" s="2" t="s">
        <v>1843</v>
      </c>
      <c r="Q557" s="2" t="s">
        <v>1127</v>
      </c>
    </row>
    <row r="558" spans="1:17" ht="16.5" customHeight="1" x14ac:dyDescent="0.2">
      <c r="A558" s="18" t="s">
        <v>399</v>
      </c>
      <c r="B558" s="18" t="s">
        <v>2255</v>
      </c>
      <c r="C558" s="18" t="s">
        <v>4182</v>
      </c>
      <c r="D558" s="18" t="s">
        <v>1838</v>
      </c>
      <c r="E558" s="18" t="s">
        <v>2400</v>
      </c>
      <c r="F558" s="2">
        <v>13</v>
      </c>
      <c r="G558" s="2" t="s">
        <v>107</v>
      </c>
      <c r="H558" s="2">
        <v>2003</v>
      </c>
      <c r="I558" s="2" t="str">
        <f t="shared" si="37"/>
        <v>mHLLTC</v>
      </c>
      <c r="J558" s="2" t="s">
        <v>2401</v>
      </c>
      <c r="K558" s="8" t="s">
        <v>2393</v>
      </c>
      <c r="L558"/>
      <c r="M558" s="2" t="s">
        <v>2399</v>
      </c>
      <c r="P558" s="2" t="s">
        <v>1843</v>
      </c>
      <c r="Q558" s="2" t="s">
        <v>1127</v>
      </c>
    </row>
    <row r="559" spans="1:17" ht="16.5" customHeight="1" x14ac:dyDescent="0.2">
      <c r="A559" s="18" t="s">
        <v>399</v>
      </c>
      <c r="B559" s="18" t="s">
        <v>2259</v>
      </c>
      <c r="C559" s="18" t="s">
        <v>4182</v>
      </c>
      <c r="D559" s="18" t="s">
        <v>1838</v>
      </c>
      <c r="E559" s="18" t="s">
        <v>2400</v>
      </c>
      <c r="F559" s="2">
        <v>15</v>
      </c>
      <c r="G559" s="2" t="s">
        <v>19</v>
      </c>
      <c r="H559" s="2">
        <v>2005</v>
      </c>
      <c r="I559" s="2" t="str">
        <f t="shared" si="37"/>
        <v>oHLLTC</v>
      </c>
      <c r="J559" s="2" t="s">
        <v>2401</v>
      </c>
      <c r="K559" s="8" t="s">
        <v>2393</v>
      </c>
      <c r="L559"/>
      <c r="M559" s="2" t="s">
        <v>2399</v>
      </c>
      <c r="P559" s="2" t="s">
        <v>1843</v>
      </c>
      <c r="Q559" s="2" t="s">
        <v>1127</v>
      </c>
    </row>
    <row r="560" spans="1:17" ht="16.5" customHeight="1" x14ac:dyDescent="0.2">
      <c r="A560" s="18" t="s">
        <v>399</v>
      </c>
      <c r="B560" s="18" t="s">
        <v>2261</v>
      </c>
      <c r="C560" s="18" t="s">
        <v>4182</v>
      </c>
      <c r="D560" s="18" t="s">
        <v>1838</v>
      </c>
      <c r="E560" s="18" t="s">
        <v>2400</v>
      </c>
      <c r="F560" s="2">
        <v>16</v>
      </c>
      <c r="G560" s="2" t="s">
        <v>25</v>
      </c>
      <c r="H560" s="2">
        <v>2006</v>
      </c>
      <c r="I560" s="2" t="str">
        <f t="shared" si="37"/>
        <v>pHLLTC</v>
      </c>
      <c r="J560" s="2" t="s">
        <v>2401</v>
      </c>
      <c r="K560" s="8" t="s">
        <v>2393</v>
      </c>
      <c r="L560"/>
      <c r="M560" s="2" t="s">
        <v>2399</v>
      </c>
      <c r="P560" s="2" t="s">
        <v>1843</v>
      </c>
      <c r="Q560" s="2" t="s">
        <v>1127</v>
      </c>
    </row>
    <row r="561" spans="1:17" ht="16.5" customHeight="1" x14ac:dyDescent="0.2">
      <c r="A561" s="18" t="s">
        <v>399</v>
      </c>
      <c r="B561" s="18" t="s">
        <v>2263</v>
      </c>
      <c r="C561" s="18" t="s">
        <v>4182</v>
      </c>
      <c r="D561" s="18" t="s">
        <v>1838</v>
      </c>
      <c r="E561" s="18" t="s">
        <v>2400</v>
      </c>
      <c r="F561" s="2">
        <v>17</v>
      </c>
      <c r="G561" s="2" t="s">
        <v>73</v>
      </c>
      <c r="H561" s="2">
        <v>2007</v>
      </c>
      <c r="I561" s="2" t="str">
        <f t="shared" si="37"/>
        <v>qHLLTC</v>
      </c>
      <c r="J561" s="2" t="s">
        <v>2401</v>
      </c>
      <c r="K561" s="8" t="s">
        <v>2393</v>
      </c>
      <c r="L561"/>
      <c r="M561" s="2" t="s">
        <v>2399</v>
      </c>
      <c r="P561" s="2" t="s">
        <v>1843</v>
      </c>
      <c r="Q561" s="2" t="s">
        <v>1127</v>
      </c>
    </row>
    <row r="562" spans="1:17" ht="16.5" customHeight="1" x14ac:dyDescent="0.2">
      <c r="A562" s="18" t="s">
        <v>399</v>
      </c>
      <c r="B562" s="18" t="s">
        <v>2265</v>
      </c>
      <c r="C562" s="18" t="s">
        <v>4182</v>
      </c>
      <c r="D562" s="18" t="s">
        <v>1838</v>
      </c>
      <c r="E562" s="18" t="s">
        <v>2400</v>
      </c>
      <c r="F562" s="2">
        <v>18</v>
      </c>
      <c r="G562" s="2" t="s">
        <v>58</v>
      </c>
      <c r="H562" s="2">
        <v>2008</v>
      </c>
      <c r="I562" s="2" t="str">
        <f t="shared" si="37"/>
        <v>rHLLTC</v>
      </c>
      <c r="J562" s="2" t="s">
        <v>2401</v>
      </c>
      <c r="K562" s="8" t="s">
        <v>2393</v>
      </c>
      <c r="L562"/>
      <c r="M562" s="2" t="s">
        <v>2399</v>
      </c>
      <c r="P562" s="2" t="s">
        <v>1843</v>
      </c>
      <c r="Q562" s="2" t="s">
        <v>1127</v>
      </c>
    </row>
    <row r="563" spans="1:17" ht="16.5" customHeight="1" x14ac:dyDescent="0.2">
      <c r="A563" s="18" t="s">
        <v>399</v>
      </c>
      <c r="B563" s="18" t="s">
        <v>2227</v>
      </c>
      <c r="C563" s="18" t="s">
        <v>4182</v>
      </c>
      <c r="D563" s="18" t="s">
        <v>1838</v>
      </c>
      <c r="E563" s="18" t="s">
        <v>1877</v>
      </c>
      <c r="F563" s="2">
        <v>1</v>
      </c>
      <c r="G563" s="2" t="s">
        <v>40</v>
      </c>
      <c r="H563" s="2">
        <v>1991</v>
      </c>
      <c r="I563" s="2" t="str">
        <f>G563&amp;"HLLTB"</f>
        <v>aHLLTB</v>
      </c>
      <c r="J563" s="2" t="s">
        <v>2401</v>
      </c>
      <c r="K563" s="8" t="s">
        <v>2393</v>
      </c>
      <c r="L563"/>
      <c r="M563" s="2" t="s">
        <v>2399</v>
      </c>
      <c r="P563" s="2" t="s">
        <v>1843</v>
      </c>
      <c r="Q563" s="2" t="s">
        <v>1127</v>
      </c>
    </row>
    <row r="564" spans="1:17" ht="16.5" customHeight="1" x14ac:dyDescent="0.2">
      <c r="A564" s="18" t="s">
        <v>399</v>
      </c>
      <c r="B564" s="18" t="s">
        <v>2233</v>
      </c>
      <c r="C564" s="18" t="s">
        <v>4182</v>
      </c>
      <c r="D564" s="18" t="s">
        <v>1838</v>
      </c>
      <c r="E564" s="18" t="s">
        <v>1877</v>
      </c>
      <c r="F564" s="2">
        <v>2</v>
      </c>
      <c r="G564" s="2" t="s">
        <v>37</v>
      </c>
      <c r="H564" s="2">
        <v>1992</v>
      </c>
      <c r="I564" s="2" t="str">
        <f t="shared" ref="I564:I578" si="38">G564&amp;"HLLTB"</f>
        <v>bHLLTB</v>
      </c>
      <c r="J564" s="2" t="s">
        <v>2401</v>
      </c>
      <c r="K564" s="8" t="s">
        <v>2393</v>
      </c>
      <c r="L564"/>
      <c r="M564" s="2" t="s">
        <v>2399</v>
      </c>
      <c r="P564" s="2" t="s">
        <v>1843</v>
      </c>
      <c r="Q564" s="2" t="s">
        <v>1127</v>
      </c>
    </row>
    <row r="565" spans="1:17" ht="16.5" customHeight="1" x14ac:dyDescent="0.2">
      <c r="A565" s="18" t="s">
        <v>399</v>
      </c>
      <c r="B565" s="18" t="s">
        <v>2235</v>
      </c>
      <c r="C565" s="18" t="s">
        <v>4182</v>
      </c>
      <c r="D565" s="18" t="s">
        <v>1838</v>
      </c>
      <c r="E565" s="18" t="s">
        <v>1877</v>
      </c>
      <c r="F565" s="2">
        <v>3</v>
      </c>
      <c r="G565" s="2" t="s">
        <v>80</v>
      </c>
      <c r="H565" s="2">
        <v>1993</v>
      </c>
      <c r="I565" s="2" t="str">
        <f t="shared" si="38"/>
        <v>cHLLTB</v>
      </c>
      <c r="J565" s="2" t="s">
        <v>2401</v>
      </c>
      <c r="K565" s="8" t="s">
        <v>2393</v>
      </c>
      <c r="L565"/>
      <c r="M565" s="2" t="s">
        <v>2399</v>
      </c>
      <c r="P565" s="2" t="s">
        <v>1843</v>
      </c>
      <c r="Q565" s="2" t="s">
        <v>1127</v>
      </c>
    </row>
    <row r="566" spans="1:17" ht="16.5" customHeight="1" x14ac:dyDescent="0.2">
      <c r="A566" s="18" t="s">
        <v>399</v>
      </c>
      <c r="B566" s="18" t="s">
        <v>2237</v>
      </c>
      <c r="C566" s="18" t="s">
        <v>4182</v>
      </c>
      <c r="D566" s="18" t="s">
        <v>1838</v>
      </c>
      <c r="E566" s="18" t="s">
        <v>1877</v>
      </c>
      <c r="F566" s="2">
        <v>4</v>
      </c>
      <c r="G566" s="2" t="s">
        <v>31</v>
      </c>
      <c r="H566" s="2">
        <v>1994</v>
      </c>
      <c r="I566" s="2" t="str">
        <f t="shared" si="38"/>
        <v>dHLLTB</v>
      </c>
      <c r="J566" s="2" t="s">
        <v>2401</v>
      </c>
      <c r="K566" s="8" t="s">
        <v>2393</v>
      </c>
      <c r="L566"/>
      <c r="M566" s="2" t="s">
        <v>2399</v>
      </c>
      <c r="P566" s="2" t="s">
        <v>1843</v>
      </c>
      <c r="Q566" s="2" t="s">
        <v>1127</v>
      </c>
    </row>
    <row r="567" spans="1:17" ht="16.5" customHeight="1" x14ac:dyDescent="0.2">
      <c r="A567" s="18" t="s">
        <v>399</v>
      </c>
      <c r="B567" s="18" t="s">
        <v>2239</v>
      </c>
      <c r="C567" s="18" t="s">
        <v>4182</v>
      </c>
      <c r="D567" s="18" t="s">
        <v>1838</v>
      </c>
      <c r="E567" s="18" t="s">
        <v>1877</v>
      </c>
      <c r="F567" s="2">
        <v>5</v>
      </c>
      <c r="G567" s="2" t="s">
        <v>13</v>
      </c>
      <c r="H567" s="2">
        <v>1995</v>
      </c>
      <c r="I567" s="2" t="str">
        <f t="shared" si="38"/>
        <v>eHLLTB</v>
      </c>
      <c r="J567" s="2" t="s">
        <v>2401</v>
      </c>
      <c r="K567" s="8" t="s">
        <v>2393</v>
      </c>
      <c r="L567"/>
      <c r="M567" s="2" t="s">
        <v>2399</v>
      </c>
      <c r="P567" s="2" t="s">
        <v>1843</v>
      </c>
      <c r="Q567" s="2" t="s">
        <v>1127</v>
      </c>
    </row>
    <row r="568" spans="1:17" ht="16.5" customHeight="1" x14ac:dyDescent="0.2">
      <c r="A568" s="18" t="s">
        <v>399</v>
      </c>
      <c r="B568" s="18" t="s">
        <v>2241</v>
      </c>
      <c r="C568" s="18" t="s">
        <v>4182</v>
      </c>
      <c r="D568" s="18" t="s">
        <v>1838</v>
      </c>
      <c r="E568" s="18" t="s">
        <v>1877</v>
      </c>
      <c r="F568" s="2">
        <v>6</v>
      </c>
      <c r="G568" s="2" t="s">
        <v>49</v>
      </c>
      <c r="H568" s="2">
        <v>1996</v>
      </c>
      <c r="I568" s="2" t="str">
        <f t="shared" si="38"/>
        <v>fHLLTB</v>
      </c>
      <c r="J568" s="2" t="s">
        <v>2401</v>
      </c>
      <c r="K568" s="8" t="s">
        <v>2393</v>
      </c>
      <c r="L568"/>
      <c r="M568" s="2" t="s">
        <v>2399</v>
      </c>
      <c r="P568" s="2" t="s">
        <v>1843</v>
      </c>
      <c r="Q568" s="2" t="s">
        <v>1127</v>
      </c>
    </row>
    <row r="569" spans="1:17" ht="16.5" customHeight="1" x14ac:dyDescent="0.2">
      <c r="A569" s="18" t="s">
        <v>399</v>
      </c>
      <c r="B569" s="18" t="s">
        <v>2243</v>
      </c>
      <c r="C569" s="18" t="s">
        <v>4182</v>
      </c>
      <c r="D569" s="18" t="s">
        <v>1838</v>
      </c>
      <c r="E569" s="18" t="s">
        <v>1877</v>
      </c>
      <c r="F569" s="2">
        <v>7</v>
      </c>
      <c r="G569" s="2" t="s">
        <v>101</v>
      </c>
      <c r="H569" s="2">
        <v>1997</v>
      </c>
      <c r="I569" s="2" t="str">
        <f t="shared" si="38"/>
        <v>gHLLTB</v>
      </c>
      <c r="J569" s="2" t="s">
        <v>2401</v>
      </c>
      <c r="K569" s="8" t="s">
        <v>2393</v>
      </c>
      <c r="L569"/>
      <c r="M569" s="2" t="s">
        <v>2399</v>
      </c>
      <c r="P569" s="2" t="s">
        <v>1843</v>
      </c>
      <c r="Q569" s="2" t="s">
        <v>1127</v>
      </c>
    </row>
    <row r="570" spans="1:17" ht="16.5" customHeight="1" x14ac:dyDescent="0.2">
      <c r="A570" s="18" t="s">
        <v>399</v>
      </c>
      <c r="B570" s="18" t="s">
        <v>2245</v>
      </c>
      <c r="C570" s="18" t="s">
        <v>4182</v>
      </c>
      <c r="D570" s="18" t="s">
        <v>1838</v>
      </c>
      <c r="E570" s="18" t="s">
        <v>1877</v>
      </c>
      <c r="F570" s="2">
        <v>8</v>
      </c>
      <c r="G570" s="2" t="s">
        <v>10</v>
      </c>
      <c r="H570" s="2">
        <v>1998</v>
      </c>
      <c r="I570" s="2" t="str">
        <f t="shared" si="38"/>
        <v>hHLLTB</v>
      </c>
      <c r="J570" s="2" t="s">
        <v>2401</v>
      </c>
      <c r="K570" s="8" t="s">
        <v>2393</v>
      </c>
      <c r="L570"/>
      <c r="M570" s="2" t="s">
        <v>2399</v>
      </c>
      <c r="P570" s="2" t="s">
        <v>1843</v>
      </c>
      <c r="Q570" s="2" t="s">
        <v>1127</v>
      </c>
    </row>
    <row r="571" spans="1:17" ht="16.5" customHeight="1" x14ac:dyDescent="0.2">
      <c r="A571" s="18" t="s">
        <v>399</v>
      </c>
      <c r="B571" s="18" t="s">
        <v>2249</v>
      </c>
      <c r="C571" s="18" t="s">
        <v>4182</v>
      </c>
      <c r="D571" s="18" t="s">
        <v>1838</v>
      </c>
      <c r="E571" s="18" t="s">
        <v>1877</v>
      </c>
      <c r="F571" s="2">
        <v>10</v>
      </c>
      <c r="G571" s="2" t="s">
        <v>98</v>
      </c>
      <c r="H571" s="2">
        <v>2000</v>
      </c>
      <c r="I571" s="2" t="str">
        <f t="shared" si="38"/>
        <v>jHLLTB</v>
      </c>
      <c r="J571" s="2" t="s">
        <v>2401</v>
      </c>
      <c r="K571" s="8" t="s">
        <v>2393</v>
      </c>
      <c r="L571"/>
      <c r="M571" s="2" t="s">
        <v>2399</v>
      </c>
      <c r="P571" s="2" t="s">
        <v>1843</v>
      </c>
      <c r="Q571" s="2" t="s">
        <v>1127</v>
      </c>
    </row>
    <row r="572" spans="1:17" ht="16.5" customHeight="1" x14ac:dyDescent="0.2">
      <c r="A572" s="18" t="s">
        <v>399</v>
      </c>
      <c r="B572" s="18" t="s">
        <v>2251</v>
      </c>
      <c r="C572" s="18" t="s">
        <v>4182</v>
      </c>
      <c r="D572" s="18" t="s">
        <v>1838</v>
      </c>
      <c r="E572" s="18" t="s">
        <v>1877</v>
      </c>
      <c r="F572" s="2">
        <v>11</v>
      </c>
      <c r="G572" s="2" t="s">
        <v>104</v>
      </c>
      <c r="H572" s="2">
        <v>2001</v>
      </c>
      <c r="I572" s="2" t="str">
        <f t="shared" si="38"/>
        <v>kHLLTB</v>
      </c>
      <c r="J572" s="2" t="s">
        <v>2401</v>
      </c>
      <c r="K572" s="8" t="s">
        <v>2393</v>
      </c>
      <c r="L572"/>
      <c r="M572" s="2" t="s">
        <v>2399</v>
      </c>
      <c r="P572" s="2" t="s">
        <v>1843</v>
      </c>
      <c r="Q572" s="2" t="s">
        <v>1127</v>
      </c>
    </row>
    <row r="573" spans="1:17" ht="16.5" customHeight="1" x14ac:dyDescent="0.2">
      <c r="A573" s="18" t="s">
        <v>399</v>
      </c>
      <c r="B573" s="18" t="s">
        <v>2253</v>
      </c>
      <c r="C573" s="18" t="s">
        <v>4182</v>
      </c>
      <c r="D573" s="18" t="s">
        <v>1838</v>
      </c>
      <c r="E573" s="18" t="s">
        <v>1877</v>
      </c>
      <c r="F573" s="2">
        <v>12</v>
      </c>
      <c r="G573" s="2" t="s">
        <v>89</v>
      </c>
      <c r="H573" s="2">
        <v>2002</v>
      </c>
      <c r="I573" s="2" t="str">
        <f t="shared" si="38"/>
        <v>lHLLTB</v>
      </c>
      <c r="J573" s="2" t="s">
        <v>2401</v>
      </c>
      <c r="K573" s="8" t="s">
        <v>2393</v>
      </c>
      <c r="L573"/>
      <c r="M573" s="2" t="s">
        <v>2399</v>
      </c>
      <c r="P573" s="2" t="s">
        <v>1843</v>
      </c>
      <c r="Q573" s="2" t="s">
        <v>1127</v>
      </c>
    </row>
    <row r="574" spans="1:17" ht="16.5" customHeight="1" x14ac:dyDescent="0.2">
      <c r="A574" s="18" t="s">
        <v>399</v>
      </c>
      <c r="B574" s="18" t="s">
        <v>2255</v>
      </c>
      <c r="C574" s="18" t="s">
        <v>4182</v>
      </c>
      <c r="D574" s="18" t="s">
        <v>1838</v>
      </c>
      <c r="E574" s="18" t="s">
        <v>1877</v>
      </c>
      <c r="F574" s="2">
        <v>13</v>
      </c>
      <c r="G574" s="2" t="s">
        <v>107</v>
      </c>
      <c r="H574" s="2">
        <v>2003</v>
      </c>
      <c r="I574" s="2" t="str">
        <f t="shared" si="38"/>
        <v>mHLLTB</v>
      </c>
      <c r="J574" s="2" t="s">
        <v>2401</v>
      </c>
      <c r="K574" s="8" t="s">
        <v>2393</v>
      </c>
      <c r="L574"/>
      <c r="M574" s="2" t="s">
        <v>2399</v>
      </c>
      <c r="P574" s="2" t="s">
        <v>1843</v>
      </c>
      <c r="Q574" s="2" t="s">
        <v>1127</v>
      </c>
    </row>
    <row r="575" spans="1:17" ht="16.5" customHeight="1" x14ac:dyDescent="0.2">
      <c r="A575" s="18" t="s">
        <v>399</v>
      </c>
      <c r="B575" s="18" t="s">
        <v>2259</v>
      </c>
      <c r="C575" s="18" t="s">
        <v>4182</v>
      </c>
      <c r="D575" s="18" t="s">
        <v>1838</v>
      </c>
      <c r="E575" s="18" t="s">
        <v>1877</v>
      </c>
      <c r="F575" s="2">
        <v>15</v>
      </c>
      <c r="G575" s="2" t="s">
        <v>19</v>
      </c>
      <c r="H575" s="2">
        <v>2005</v>
      </c>
      <c r="I575" s="2" t="str">
        <f t="shared" si="38"/>
        <v>oHLLTB</v>
      </c>
      <c r="J575" s="2" t="s">
        <v>2401</v>
      </c>
      <c r="K575" s="8" t="s">
        <v>2393</v>
      </c>
      <c r="L575"/>
      <c r="M575" s="2" t="s">
        <v>2399</v>
      </c>
      <c r="P575" s="2" t="s">
        <v>1843</v>
      </c>
      <c r="Q575" s="2" t="s">
        <v>1127</v>
      </c>
    </row>
    <row r="576" spans="1:17" ht="16.5" customHeight="1" x14ac:dyDescent="0.2">
      <c r="A576" s="18" t="s">
        <v>399</v>
      </c>
      <c r="B576" s="18" t="s">
        <v>2261</v>
      </c>
      <c r="C576" s="18" t="s">
        <v>4182</v>
      </c>
      <c r="D576" s="18" t="s">
        <v>1838</v>
      </c>
      <c r="E576" s="18" t="s">
        <v>1877</v>
      </c>
      <c r="F576" s="2">
        <v>16</v>
      </c>
      <c r="G576" s="2" t="s">
        <v>25</v>
      </c>
      <c r="H576" s="2">
        <v>2006</v>
      </c>
      <c r="I576" s="2" t="str">
        <f t="shared" si="38"/>
        <v>pHLLTB</v>
      </c>
      <c r="J576" s="2" t="s">
        <v>2401</v>
      </c>
      <c r="K576" s="8" t="s">
        <v>2393</v>
      </c>
      <c r="L576"/>
      <c r="M576" s="2" t="s">
        <v>2399</v>
      </c>
      <c r="P576" s="2" t="s">
        <v>1843</v>
      </c>
      <c r="Q576" s="2" t="s">
        <v>1127</v>
      </c>
    </row>
    <row r="577" spans="1:17" ht="16.5" customHeight="1" x14ac:dyDescent="0.2">
      <c r="A577" s="18" t="s">
        <v>399</v>
      </c>
      <c r="B577" s="18" t="s">
        <v>2263</v>
      </c>
      <c r="C577" s="18" t="s">
        <v>4182</v>
      </c>
      <c r="D577" s="18" t="s">
        <v>1838</v>
      </c>
      <c r="E577" s="18" t="s">
        <v>1877</v>
      </c>
      <c r="F577" s="2">
        <v>17</v>
      </c>
      <c r="G577" s="2" t="s">
        <v>73</v>
      </c>
      <c r="H577" s="2">
        <v>2007</v>
      </c>
      <c r="I577" s="2" t="str">
        <f t="shared" si="38"/>
        <v>qHLLTB</v>
      </c>
      <c r="J577" s="2" t="s">
        <v>2401</v>
      </c>
      <c r="K577" s="8" t="s">
        <v>2393</v>
      </c>
      <c r="L577"/>
      <c r="M577" s="2" t="s">
        <v>2399</v>
      </c>
      <c r="P577" s="2" t="s">
        <v>1843</v>
      </c>
      <c r="Q577" s="2" t="s">
        <v>1127</v>
      </c>
    </row>
    <row r="578" spans="1:17" ht="16.5" customHeight="1" x14ac:dyDescent="0.2">
      <c r="A578" s="18" t="s">
        <v>399</v>
      </c>
      <c r="B578" s="18" t="s">
        <v>2265</v>
      </c>
      <c r="C578" s="18" t="s">
        <v>4182</v>
      </c>
      <c r="D578" s="18" t="s">
        <v>1838</v>
      </c>
      <c r="E578" s="18" t="s">
        <v>1877</v>
      </c>
      <c r="F578" s="2">
        <v>18</v>
      </c>
      <c r="G578" s="2" t="s">
        <v>58</v>
      </c>
      <c r="H578" s="2">
        <v>2008</v>
      </c>
      <c r="I578" s="2" t="str">
        <f t="shared" si="38"/>
        <v>rHLLTB</v>
      </c>
      <c r="J578" s="2" t="s">
        <v>2401</v>
      </c>
      <c r="K578" s="8" t="s">
        <v>2393</v>
      </c>
      <c r="L578"/>
      <c r="M578" s="2" t="s">
        <v>2399</v>
      </c>
      <c r="P578" s="2" t="s">
        <v>1843</v>
      </c>
      <c r="Q578" s="2" t="s">
        <v>1127</v>
      </c>
    </row>
    <row r="579" spans="1:17" ht="16.5" customHeight="1" x14ac:dyDescent="0.2">
      <c r="A579" s="18" t="s">
        <v>399</v>
      </c>
      <c r="B579" s="18" t="s">
        <v>2227</v>
      </c>
      <c r="C579" s="18" t="s">
        <v>4182</v>
      </c>
      <c r="D579" s="18" t="s">
        <v>1838</v>
      </c>
      <c r="E579" s="18" t="s">
        <v>326</v>
      </c>
      <c r="F579" s="2">
        <v>1</v>
      </c>
      <c r="G579" s="2" t="s">
        <v>40</v>
      </c>
      <c r="H579" s="2">
        <v>1991</v>
      </c>
      <c r="I579" s="2" t="str">
        <f>G579&amp;"HLLTA"</f>
        <v>aHLLTA</v>
      </c>
      <c r="J579" s="2" t="s">
        <v>2402</v>
      </c>
      <c r="K579" s="8" t="s">
        <v>2393</v>
      </c>
      <c r="L579"/>
      <c r="M579" s="2" t="s">
        <v>2399</v>
      </c>
      <c r="P579" s="2" t="s">
        <v>1843</v>
      </c>
      <c r="Q579" s="2" t="s">
        <v>1127</v>
      </c>
    </row>
    <row r="580" spans="1:17" ht="16.5" customHeight="1" x14ac:dyDescent="0.2">
      <c r="A580" s="18" t="s">
        <v>399</v>
      </c>
      <c r="B580" s="18" t="s">
        <v>2233</v>
      </c>
      <c r="C580" s="18" t="s">
        <v>4182</v>
      </c>
      <c r="D580" s="18" t="s">
        <v>1838</v>
      </c>
      <c r="E580" s="18" t="s">
        <v>326</v>
      </c>
      <c r="F580" s="2">
        <v>2</v>
      </c>
      <c r="G580" s="2" t="s">
        <v>37</v>
      </c>
      <c r="H580" s="2">
        <v>1992</v>
      </c>
      <c r="I580" s="2" t="str">
        <f t="shared" ref="I580:I594" si="39">G580&amp;"HLLTA"</f>
        <v>bHLLTA</v>
      </c>
      <c r="J580" s="2" t="s">
        <v>2402</v>
      </c>
      <c r="K580" s="8" t="s">
        <v>2393</v>
      </c>
      <c r="L580"/>
      <c r="M580" s="2" t="s">
        <v>2399</v>
      </c>
      <c r="P580" s="2" t="s">
        <v>1843</v>
      </c>
      <c r="Q580" s="2" t="s">
        <v>1127</v>
      </c>
    </row>
    <row r="581" spans="1:17" ht="16.5" customHeight="1" x14ac:dyDescent="0.2">
      <c r="A581" s="18" t="s">
        <v>399</v>
      </c>
      <c r="B581" s="18" t="s">
        <v>2235</v>
      </c>
      <c r="C581" s="18" t="s">
        <v>4182</v>
      </c>
      <c r="D581" s="18" t="s">
        <v>1838</v>
      </c>
      <c r="E581" s="18" t="s">
        <v>326</v>
      </c>
      <c r="F581" s="2">
        <v>3</v>
      </c>
      <c r="G581" s="2" t="s">
        <v>80</v>
      </c>
      <c r="H581" s="2">
        <v>1993</v>
      </c>
      <c r="I581" s="2" t="str">
        <f t="shared" si="39"/>
        <v>cHLLTA</v>
      </c>
      <c r="J581" s="2" t="s">
        <v>2402</v>
      </c>
      <c r="K581" s="8" t="s">
        <v>2393</v>
      </c>
      <c r="L581"/>
      <c r="M581" s="2" t="s">
        <v>2399</v>
      </c>
      <c r="P581" s="2" t="s">
        <v>1843</v>
      </c>
      <c r="Q581" s="2" t="s">
        <v>1127</v>
      </c>
    </row>
    <row r="582" spans="1:17" ht="16.5" customHeight="1" x14ac:dyDescent="0.2">
      <c r="A582" s="18" t="s">
        <v>399</v>
      </c>
      <c r="B582" s="18" t="s">
        <v>2237</v>
      </c>
      <c r="C582" s="18" t="s">
        <v>4182</v>
      </c>
      <c r="D582" s="18" t="s">
        <v>1838</v>
      </c>
      <c r="E582" s="18" t="s">
        <v>326</v>
      </c>
      <c r="F582" s="2">
        <v>4</v>
      </c>
      <c r="G582" s="2" t="s">
        <v>31</v>
      </c>
      <c r="H582" s="2">
        <v>1994</v>
      </c>
      <c r="I582" s="2" t="str">
        <f t="shared" si="39"/>
        <v>dHLLTA</v>
      </c>
      <c r="J582" s="2" t="s">
        <v>2402</v>
      </c>
      <c r="K582" s="8" t="s">
        <v>2393</v>
      </c>
      <c r="L582"/>
      <c r="M582" s="2" t="s">
        <v>2399</v>
      </c>
      <c r="P582" s="2" t="s">
        <v>1843</v>
      </c>
      <c r="Q582" s="2" t="s">
        <v>1127</v>
      </c>
    </row>
    <row r="583" spans="1:17" ht="16.5" customHeight="1" x14ac:dyDescent="0.2">
      <c r="A583" s="18" t="s">
        <v>399</v>
      </c>
      <c r="B583" s="18" t="s">
        <v>2239</v>
      </c>
      <c r="C583" s="18" t="s">
        <v>4182</v>
      </c>
      <c r="D583" s="18" t="s">
        <v>1838</v>
      </c>
      <c r="E583" s="18" t="s">
        <v>326</v>
      </c>
      <c r="F583" s="2">
        <v>5</v>
      </c>
      <c r="G583" s="2" t="s">
        <v>13</v>
      </c>
      <c r="H583" s="2">
        <v>1995</v>
      </c>
      <c r="I583" s="2" t="str">
        <f t="shared" si="39"/>
        <v>eHLLTA</v>
      </c>
      <c r="J583" s="2" t="s">
        <v>2402</v>
      </c>
      <c r="K583" s="8" t="s">
        <v>2393</v>
      </c>
      <c r="L583"/>
      <c r="M583" s="2" t="s">
        <v>2399</v>
      </c>
      <c r="P583" s="2" t="s">
        <v>1843</v>
      </c>
      <c r="Q583" s="2" t="s">
        <v>1127</v>
      </c>
    </row>
    <row r="584" spans="1:17" ht="16.5" customHeight="1" x14ac:dyDescent="0.2">
      <c r="A584" s="18" t="s">
        <v>399</v>
      </c>
      <c r="B584" s="18" t="s">
        <v>2241</v>
      </c>
      <c r="C584" s="18" t="s">
        <v>4182</v>
      </c>
      <c r="D584" s="18" t="s">
        <v>1838</v>
      </c>
      <c r="E584" s="18" t="s">
        <v>326</v>
      </c>
      <c r="F584" s="2">
        <v>6</v>
      </c>
      <c r="G584" s="2" t="s">
        <v>49</v>
      </c>
      <c r="H584" s="2">
        <v>1996</v>
      </c>
      <c r="I584" s="2" t="str">
        <f t="shared" si="39"/>
        <v>fHLLTA</v>
      </c>
      <c r="J584" s="2" t="s">
        <v>2402</v>
      </c>
      <c r="K584" s="8" t="s">
        <v>2393</v>
      </c>
      <c r="L584"/>
      <c r="M584" s="2" t="s">
        <v>2399</v>
      </c>
      <c r="P584" s="2" t="s">
        <v>1843</v>
      </c>
      <c r="Q584" s="2" t="s">
        <v>1127</v>
      </c>
    </row>
    <row r="585" spans="1:17" ht="16.5" customHeight="1" x14ac:dyDescent="0.2">
      <c r="A585" s="18" t="s">
        <v>399</v>
      </c>
      <c r="B585" s="18" t="s">
        <v>2243</v>
      </c>
      <c r="C585" s="18" t="s">
        <v>4182</v>
      </c>
      <c r="D585" s="18" t="s">
        <v>1838</v>
      </c>
      <c r="E585" s="18" t="s">
        <v>326</v>
      </c>
      <c r="F585" s="2">
        <v>7</v>
      </c>
      <c r="G585" s="2" t="s">
        <v>101</v>
      </c>
      <c r="H585" s="2">
        <v>1997</v>
      </c>
      <c r="I585" s="2" t="str">
        <f t="shared" si="39"/>
        <v>gHLLTA</v>
      </c>
      <c r="J585" s="2" t="s">
        <v>2402</v>
      </c>
      <c r="K585" s="8" t="s">
        <v>2393</v>
      </c>
      <c r="L585"/>
      <c r="M585" s="2" t="s">
        <v>2399</v>
      </c>
      <c r="P585" s="2" t="s">
        <v>1843</v>
      </c>
      <c r="Q585" s="2" t="s">
        <v>1127</v>
      </c>
    </row>
    <row r="586" spans="1:17" ht="16.5" customHeight="1" x14ac:dyDescent="0.2">
      <c r="A586" s="18" t="s">
        <v>399</v>
      </c>
      <c r="B586" s="18" t="s">
        <v>2245</v>
      </c>
      <c r="C586" s="18" t="s">
        <v>4182</v>
      </c>
      <c r="D586" s="18" t="s">
        <v>1838</v>
      </c>
      <c r="E586" s="18" t="s">
        <v>326</v>
      </c>
      <c r="F586" s="2">
        <v>8</v>
      </c>
      <c r="G586" s="2" t="s">
        <v>10</v>
      </c>
      <c r="H586" s="2">
        <v>1998</v>
      </c>
      <c r="I586" s="2" t="str">
        <f t="shared" si="39"/>
        <v>hHLLTA</v>
      </c>
      <c r="J586" s="2" t="s">
        <v>2402</v>
      </c>
      <c r="K586" s="8" t="s">
        <v>2393</v>
      </c>
      <c r="L586"/>
      <c r="M586" s="2" t="s">
        <v>2399</v>
      </c>
      <c r="P586" s="2" t="s">
        <v>1843</v>
      </c>
      <c r="Q586" s="2" t="s">
        <v>1127</v>
      </c>
    </row>
    <row r="587" spans="1:17" ht="16.5" customHeight="1" x14ac:dyDescent="0.2">
      <c r="A587" s="18" t="s">
        <v>399</v>
      </c>
      <c r="B587" s="18" t="s">
        <v>2249</v>
      </c>
      <c r="C587" s="18" t="s">
        <v>4182</v>
      </c>
      <c r="D587" s="18" t="s">
        <v>1838</v>
      </c>
      <c r="E587" s="18" t="s">
        <v>326</v>
      </c>
      <c r="F587" s="2">
        <v>10</v>
      </c>
      <c r="G587" s="2" t="s">
        <v>98</v>
      </c>
      <c r="H587" s="2">
        <v>2000</v>
      </c>
      <c r="I587" s="2" t="str">
        <f t="shared" si="39"/>
        <v>jHLLTA</v>
      </c>
      <c r="J587" s="2" t="s">
        <v>2402</v>
      </c>
      <c r="K587" s="8" t="s">
        <v>2393</v>
      </c>
      <c r="L587"/>
      <c r="M587" s="2" t="s">
        <v>2399</v>
      </c>
      <c r="P587" s="2" t="s">
        <v>1843</v>
      </c>
      <c r="Q587" s="2" t="s">
        <v>1127</v>
      </c>
    </row>
    <row r="588" spans="1:17" ht="16.5" customHeight="1" x14ac:dyDescent="0.2">
      <c r="A588" s="18" t="s">
        <v>399</v>
      </c>
      <c r="B588" s="18" t="s">
        <v>2251</v>
      </c>
      <c r="C588" s="18" t="s">
        <v>4182</v>
      </c>
      <c r="D588" s="18" t="s">
        <v>1838</v>
      </c>
      <c r="E588" s="18" t="s">
        <v>326</v>
      </c>
      <c r="F588" s="2">
        <v>11</v>
      </c>
      <c r="G588" s="2" t="s">
        <v>104</v>
      </c>
      <c r="H588" s="2">
        <v>2001</v>
      </c>
      <c r="I588" s="2" t="str">
        <f t="shared" si="39"/>
        <v>kHLLTA</v>
      </c>
      <c r="J588" s="2" t="s">
        <v>2402</v>
      </c>
      <c r="K588" s="8" t="s">
        <v>2393</v>
      </c>
      <c r="L588"/>
      <c r="M588" s="2" t="s">
        <v>2399</v>
      </c>
      <c r="P588" s="2" t="s">
        <v>1843</v>
      </c>
      <c r="Q588" s="2" t="s">
        <v>1127</v>
      </c>
    </row>
    <row r="589" spans="1:17" ht="16.5" customHeight="1" x14ac:dyDescent="0.2">
      <c r="A589" s="18" t="s">
        <v>399</v>
      </c>
      <c r="B589" s="18" t="s">
        <v>2253</v>
      </c>
      <c r="C589" s="18" t="s">
        <v>4182</v>
      </c>
      <c r="D589" s="18" t="s">
        <v>1838</v>
      </c>
      <c r="E589" s="18" t="s">
        <v>326</v>
      </c>
      <c r="F589" s="2">
        <v>12</v>
      </c>
      <c r="G589" s="2" t="s">
        <v>89</v>
      </c>
      <c r="H589" s="2">
        <v>2002</v>
      </c>
      <c r="I589" s="2" t="str">
        <f t="shared" si="39"/>
        <v>lHLLTA</v>
      </c>
      <c r="J589" s="2" t="s">
        <v>2402</v>
      </c>
      <c r="K589" s="8" t="s">
        <v>2393</v>
      </c>
      <c r="L589"/>
      <c r="M589" s="2" t="s">
        <v>2399</v>
      </c>
      <c r="P589" s="2" t="s">
        <v>1843</v>
      </c>
      <c r="Q589" s="2" t="s">
        <v>1127</v>
      </c>
    </row>
    <row r="590" spans="1:17" ht="16.5" customHeight="1" x14ac:dyDescent="0.2">
      <c r="A590" s="18" t="s">
        <v>399</v>
      </c>
      <c r="B590" s="18" t="s">
        <v>2255</v>
      </c>
      <c r="C590" s="18" t="s">
        <v>4182</v>
      </c>
      <c r="D590" s="18" t="s">
        <v>1838</v>
      </c>
      <c r="E590" s="18" t="s">
        <v>326</v>
      </c>
      <c r="F590" s="2">
        <v>13</v>
      </c>
      <c r="G590" s="2" t="s">
        <v>107</v>
      </c>
      <c r="H590" s="2">
        <v>2003</v>
      </c>
      <c r="I590" s="2" t="str">
        <f t="shared" si="39"/>
        <v>mHLLTA</v>
      </c>
      <c r="J590" s="2" t="s">
        <v>2402</v>
      </c>
      <c r="K590" s="8" t="s">
        <v>2393</v>
      </c>
      <c r="L590"/>
      <c r="M590" s="2" t="s">
        <v>2399</v>
      </c>
      <c r="P590" s="2" t="s">
        <v>1843</v>
      </c>
      <c r="Q590" s="2" t="s">
        <v>1127</v>
      </c>
    </row>
    <row r="591" spans="1:17" ht="16.5" customHeight="1" x14ac:dyDescent="0.2">
      <c r="A591" s="18" t="s">
        <v>399</v>
      </c>
      <c r="B591" s="18" t="s">
        <v>2259</v>
      </c>
      <c r="C591" s="18" t="s">
        <v>4182</v>
      </c>
      <c r="D591" s="18" t="s">
        <v>1838</v>
      </c>
      <c r="E591" s="18" t="s">
        <v>326</v>
      </c>
      <c r="F591" s="2">
        <v>15</v>
      </c>
      <c r="G591" s="2" t="s">
        <v>19</v>
      </c>
      <c r="H591" s="2">
        <v>2005</v>
      </c>
      <c r="I591" s="2" t="str">
        <f t="shared" si="39"/>
        <v>oHLLTA</v>
      </c>
      <c r="J591" s="2" t="s">
        <v>2402</v>
      </c>
      <c r="K591" s="8" t="s">
        <v>2393</v>
      </c>
      <c r="L591"/>
      <c r="M591" s="2" t="s">
        <v>2399</v>
      </c>
      <c r="P591" s="2" t="s">
        <v>1843</v>
      </c>
      <c r="Q591" s="2" t="s">
        <v>1127</v>
      </c>
    </row>
    <row r="592" spans="1:17" ht="16.5" customHeight="1" x14ac:dyDescent="0.2">
      <c r="A592" s="18" t="s">
        <v>399</v>
      </c>
      <c r="B592" s="18" t="s">
        <v>2261</v>
      </c>
      <c r="C592" s="18" t="s">
        <v>4182</v>
      </c>
      <c r="D592" s="18" t="s">
        <v>1838</v>
      </c>
      <c r="E592" s="18" t="s">
        <v>326</v>
      </c>
      <c r="F592" s="2">
        <v>16</v>
      </c>
      <c r="G592" s="2" t="s">
        <v>25</v>
      </c>
      <c r="H592" s="2">
        <v>2006</v>
      </c>
      <c r="I592" s="2" t="str">
        <f t="shared" si="39"/>
        <v>pHLLTA</v>
      </c>
      <c r="J592" s="2" t="s">
        <v>2402</v>
      </c>
      <c r="K592" s="8" t="s">
        <v>2393</v>
      </c>
      <c r="L592"/>
      <c r="M592" s="2" t="s">
        <v>2399</v>
      </c>
      <c r="P592" s="2" t="s">
        <v>1843</v>
      </c>
      <c r="Q592" s="2" t="s">
        <v>1127</v>
      </c>
    </row>
    <row r="593" spans="1:17" ht="16.5" customHeight="1" x14ac:dyDescent="0.2">
      <c r="A593" s="18" t="s">
        <v>399</v>
      </c>
      <c r="B593" s="18" t="s">
        <v>2263</v>
      </c>
      <c r="C593" s="18" t="s">
        <v>4182</v>
      </c>
      <c r="D593" s="18" t="s">
        <v>1838</v>
      </c>
      <c r="E593" s="18" t="s">
        <v>326</v>
      </c>
      <c r="F593" s="2">
        <v>17</v>
      </c>
      <c r="G593" s="2" t="s">
        <v>73</v>
      </c>
      <c r="H593" s="2">
        <v>2007</v>
      </c>
      <c r="I593" s="2" t="str">
        <f t="shared" si="39"/>
        <v>qHLLTA</v>
      </c>
      <c r="J593" s="2" t="s">
        <v>2402</v>
      </c>
      <c r="K593" s="8" t="s">
        <v>2393</v>
      </c>
      <c r="L593"/>
      <c r="M593" s="2" t="s">
        <v>2399</v>
      </c>
      <c r="P593" s="2" t="s">
        <v>1843</v>
      </c>
      <c r="Q593" s="2" t="s">
        <v>1127</v>
      </c>
    </row>
    <row r="594" spans="1:17" ht="16.5" customHeight="1" x14ac:dyDescent="0.2">
      <c r="A594" s="18" t="s">
        <v>399</v>
      </c>
      <c r="B594" s="18" t="s">
        <v>2265</v>
      </c>
      <c r="C594" s="18" t="s">
        <v>4182</v>
      </c>
      <c r="D594" s="18" t="s">
        <v>1838</v>
      </c>
      <c r="E594" s="18" t="s">
        <v>326</v>
      </c>
      <c r="F594" s="2">
        <v>18</v>
      </c>
      <c r="G594" s="2" t="s">
        <v>58</v>
      </c>
      <c r="H594" s="2">
        <v>2008</v>
      </c>
      <c r="I594" s="2" t="str">
        <f t="shared" si="39"/>
        <v>rHLLTA</v>
      </c>
      <c r="J594" s="2" t="s">
        <v>2402</v>
      </c>
      <c r="K594" s="8" t="s">
        <v>2393</v>
      </c>
      <c r="L594"/>
      <c r="M594" s="2" t="s">
        <v>2399</v>
      </c>
      <c r="P594" s="2" t="s">
        <v>1843</v>
      </c>
      <c r="Q594" s="2" t="s">
        <v>1127</v>
      </c>
    </row>
    <row r="595" spans="1:17" ht="16.5" customHeight="1" x14ac:dyDescent="0.2">
      <c r="A595" s="18" t="s">
        <v>399</v>
      </c>
      <c r="B595" s="18" t="s">
        <v>2227</v>
      </c>
      <c r="C595" s="18" t="s">
        <v>4182</v>
      </c>
      <c r="D595" s="18" t="s">
        <v>1838</v>
      </c>
      <c r="E595" s="18" t="s">
        <v>362</v>
      </c>
      <c r="F595" s="2">
        <v>1</v>
      </c>
      <c r="G595" s="2" t="s">
        <v>40</v>
      </c>
      <c r="H595" s="2">
        <v>1991</v>
      </c>
      <c r="I595" s="2" t="str">
        <f>G595&amp;"HLENDW"</f>
        <v>aHLENDW</v>
      </c>
      <c r="J595" s="2" t="s">
        <v>2403</v>
      </c>
      <c r="K595" s="8" t="s">
        <v>2393</v>
      </c>
      <c r="L595"/>
      <c r="M595" s="2" t="s">
        <v>2399</v>
      </c>
      <c r="P595" s="2" t="s">
        <v>1843</v>
      </c>
      <c r="Q595" s="2" t="s">
        <v>1127</v>
      </c>
    </row>
    <row r="596" spans="1:17" ht="16.5" customHeight="1" x14ac:dyDescent="0.2">
      <c r="A596" s="18" t="s">
        <v>399</v>
      </c>
      <c r="B596" s="18" t="s">
        <v>2233</v>
      </c>
      <c r="C596" s="18" t="s">
        <v>4182</v>
      </c>
      <c r="D596" s="18" t="s">
        <v>1838</v>
      </c>
      <c r="E596" s="18" t="s">
        <v>362</v>
      </c>
      <c r="F596" s="2">
        <v>2</v>
      </c>
      <c r="G596" s="2" t="s">
        <v>37</v>
      </c>
      <c r="H596" s="2">
        <v>1992</v>
      </c>
      <c r="I596" s="2" t="str">
        <f t="shared" ref="I596:I610" si="40">G596&amp;"HLENDW"</f>
        <v>bHLENDW</v>
      </c>
      <c r="J596" s="2" t="s">
        <v>2403</v>
      </c>
      <c r="K596" s="8" t="s">
        <v>2393</v>
      </c>
      <c r="L596"/>
      <c r="M596" s="2" t="s">
        <v>2399</v>
      </c>
      <c r="P596" s="2" t="s">
        <v>1843</v>
      </c>
      <c r="Q596" s="2" t="s">
        <v>1127</v>
      </c>
    </row>
    <row r="597" spans="1:17" ht="16.5" customHeight="1" x14ac:dyDescent="0.2">
      <c r="A597" s="18" t="s">
        <v>399</v>
      </c>
      <c r="B597" s="18" t="s">
        <v>2235</v>
      </c>
      <c r="C597" s="18" t="s">
        <v>4182</v>
      </c>
      <c r="D597" s="18" t="s">
        <v>1838</v>
      </c>
      <c r="E597" s="18" t="s">
        <v>362</v>
      </c>
      <c r="F597" s="2">
        <v>3</v>
      </c>
      <c r="G597" s="2" t="s">
        <v>80</v>
      </c>
      <c r="H597" s="2">
        <v>1993</v>
      </c>
      <c r="I597" s="2" t="str">
        <f t="shared" si="40"/>
        <v>cHLENDW</v>
      </c>
      <c r="J597" s="2" t="s">
        <v>2403</v>
      </c>
      <c r="K597" s="8" t="s">
        <v>2393</v>
      </c>
      <c r="L597"/>
      <c r="M597" s="2" t="s">
        <v>2399</v>
      </c>
      <c r="P597" s="2" t="s">
        <v>1843</v>
      </c>
      <c r="Q597" s="2" t="s">
        <v>1127</v>
      </c>
    </row>
    <row r="598" spans="1:17" ht="16.5" customHeight="1" x14ac:dyDescent="0.2">
      <c r="A598" s="18" t="s">
        <v>399</v>
      </c>
      <c r="B598" s="18" t="s">
        <v>2237</v>
      </c>
      <c r="C598" s="18" t="s">
        <v>4182</v>
      </c>
      <c r="D598" s="18" t="s">
        <v>1838</v>
      </c>
      <c r="E598" s="18" t="s">
        <v>362</v>
      </c>
      <c r="F598" s="2">
        <v>4</v>
      </c>
      <c r="G598" s="2" t="s">
        <v>31</v>
      </c>
      <c r="H598" s="2">
        <v>1994</v>
      </c>
      <c r="I598" s="2" t="str">
        <f t="shared" si="40"/>
        <v>dHLENDW</v>
      </c>
      <c r="J598" s="2" t="s">
        <v>2403</v>
      </c>
      <c r="K598" s="8" t="s">
        <v>2393</v>
      </c>
      <c r="L598"/>
      <c r="M598" s="2" t="s">
        <v>2399</v>
      </c>
      <c r="P598" s="2" t="s">
        <v>1843</v>
      </c>
      <c r="Q598" s="2" t="s">
        <v>1127</v>
      </c>
    </row>
    <row r="599" spans="1:17" ht="16.5" customHeight="1" x14ac:dyDescent="0.2">
      <c r="A599" s="18" t="s">
        <v>399</v>
      </c>
      <c r="B599" s="18" t="s">
        <v>2239</v>
      </c>
      <c r="C599" s="18" t="s">
        <v>4182</v>
      </c>
      <c r="D599" s="18" t="s">
        <v>1838</v>
      </c>
      <c r="E599" s="18" t="s">
        <v>362</v>
      </c>
      <c r="F599" s="2">
        <v>5</v>
      </c>
      <c r="G599" s="2" t="s">
        <v>13</v>
      </c>
      <c r="H599" s="2">
        <v>1995</v>
      </c>
      <c r="I599" s="2" t="str">
        <f t="shared" si="40"/>
        <v>eHLENDW</v>
      </c>
      <c r="J599" s="2" t="s">
        <v>2403</v>
      </c>
      <c r="K599" s="8" t="s">
        <v>2393</v>
      </c>
      <c r="L599"/>
      <c r="M599" s="2" t="s">
        <v>2399</v>
      </c>
      <c r="P599" s="2" t="s">
        <v>1843</v>
      </c>
      <c r="Q599" s="2" t="s">
        <v>1127</v>
      </c>
    </row>
    <row r="600" spans="1:17" ht="16.5" customHeight="1" x14ac:dyDescent="0.2">
      <c r="A600" s="18" t="s">
        <v>399</v>
      </c>
      <c r="B600" s="18" t="s">
        <v>2241</v>
      </c>
      <c r="C600" s="18" t="s">
        <v>4182</v>
      </c>
      <c r="D600" s="18" t="s">
        <v>1838</v>
      </c>
      <c r="E600" s="18" t="s">
        <v>362</v>
      </c>
      <c r="F600" s="2">
        <v>6</v>
      </c>
      <c r="G600" s="2" t="s">
        <v>49</v>
      </c>
      <c r="H600" s="2">
        <v>1996</v>
      </c>
      <c r="I600" s="2" t="str">
        <f t="shared" si="40"/>
        <v>fHLENDW</v>
      </c>
      <c r="J600" s="2" t="s">
        <v>2403</v>
      </c>
      <c r="K600" s="8" t="s">
        <v>2393</v>
      </c>
      <c r="L600"/>
      <c r="M600" s="2" t="s">
        <v>2399</v>
      </c>
      <c r="P600" s="2" t="s">
        <v>1843</v>
      </c>
      <c r="Q600" s="2" t="s">
        <v>1127</v>
      </c>
    </row>
    <row r="601" spans="1:17" ht="16.5" customHeight="1" x14ac:dyDescent="0.2">
      <c r="A601" s="18" t="s">
        <v>399</v>
      </c>
      <c r="B601" s="18" t="s">
        <v>2243</v>
      </c>
      <c r="C601" s="18" t="s">
        <v>4182</v>
      </c>
      <c r="D601" s="18" t="s">
        <v>1838</v>
      </c>
      <c r="E601" s="18" t="s">
        <v>362</v>
      </c>
      <c r="F601" s="2">
        <v>7</v>
      </c>
      <c r="G601" s="2" t="s">
        <v>101</v>
      </c>
      <c r="H601" s="2">
        <v>1997</v>
      </c>
      <c r="I601" s="2" t="str">
        <f t="shared" si="40"/>
        <v>gHLENDW</v>
      </c>
      <c r="J601" s="2" t="s">
        <v>2403</v>
      </c>
      <c r="K601" s="8" t="s">
        <v>2393</v>
      </c>
      <c r="L601"/>
      <c r="M601" s="2" t="s">
        <v>2399</v>
      </c>
      <c r="P601" s="2" t="s">
        <v>1843</v>
      </c>
      <c r="Q601" s="2" t="s">
        <v>1127</v>
      </c>
    </row>
    <row r="602" spans="1:17" ht="16.5" customHeight="1" x14ac:dyDescent="0.2">
      <c r="A602" s="18" t="s">
        <v>399</v>
      </c>
      <c r="B602" s="18" t="s">
        <v>2245</v>
      </c>
      <c r="C602" s="18" t="s">
        <v>4182</v>
      </c>
      <c r="D602" s="18" t="s">
        <v>1838</v>
      </c>
      <c r="E602" s="18" t="s">
        <v>362</v>
      </c>
      <c r="F602" s="2">
        <v>8</v>
      </c>
      <c r="G602" s="2" t="s">
        <v>10</v>
      </c>
      <c r="H602" s="2">
        <v>1998</v>
      </c>
      <c r="I602" s="2" t="str">
        <f t="shared" si="40"/>
        <v>hHLENDW</v>
      </c>
      <c r="J602" s="2" t="s">
        <v>2403</v>
      </c>
      <c r="K602" s="8" t="s">
        <v>2393</v>
      </c>
      <c r="L602"/>
      <c r="M602" s="2" t="s">
        <v>2399</v>
      </c>
      <c r="P602" s="2" t="s">
        <v>1843</v>
      </c>
      <c r="Q602" s="2" t="s">
        <v>1127</v>
      </c>
    </row>
    <row r="603" spans="1:17" ht="16.5" customHeight="1" x14ac:dyDescent="0.2">
      <c r="A603" s="18" t="s">
        <v>399</v>
      </c>
      <c r="B603" s="18" t="s">
        <v>2249</v>
      </c>
      <c r="C603" s="18" t="s">
        <v>4182</v>
      </c>
      <c r="D603" s="18" t="s">
        <v>1838</v>
      </c>
      <c r="E603" s="18" t="s">
        <v>362</v>
      </c>
      <c r="F603" s="2">
        <v>10</v>
      </c>
      <c r="G603" s="2" t="s">
        <v>98</v>
      </c>
      <c r="H603" s="2">
        <v>2000</v>
      </c>
      <c r="I603" s="2" t="str">
        <f t="shared" si="40"/>
        <v>jHLENDW</v>
      </c>
      <c r="J603" s="2" t="s">
        <v>2403</v>
      </c>
      <c r="K603" s="8" t="s">
        <v>2393</v>
      </c>
      <c r="L603"/>
      <c r="M603" s="2" t="s">
        <v>2399</v>
      </c>
      <c r="P603" s="2" t="s">
        <v>1843</v>
      </c>
      <c r="Q603" s="2" t="s">
        <v>1127</v>
      </c>
    </row>
    <row r="604" spans="1:17" ht="16.5" customHeight="1" x14ac:dyDescent="0.2">
      <c r="A604" s="18" t="s">
        <v>399</v>
      </c>
      <c r="B604" s="18" t="s">
        <v>2251</v>
      </c>
      <c r="C604" s="18" t="s">
        <v>4182</v>
      </c>
      <c r="D604" s="18" t="s">
        <v>1838</v>
      </c>
      <c r="E604" s="18" t="s">
        <v>362</v>
      </c>
      <c r="F604" s="2">
        <v>11</v>
      </c>
      <c r="G604" s="2" t="s">
        <v>104</v>
      </c>
      <c r="H604" s="2">
        <v>2001</v>
      </c>
      <c r="I604" s="2" t="str">
        <f t="shared" si="40"/>
        <v>kHLENDW</v>
      </c>
      <c r="J604" s="2" t="s">
        <v>2403</v>
      </c>
      <c r="K604" s="8" t="s">
        <v>2393</v>
      </c>
      <c r="L604"/>
      <c r="M604" s="2" t="s">
        <v>2399</v>
      </c>
      <c r="P604" s="2" t="s">
        <v>1843</v>
      </c>
      <c r="Q604" s="2" t="s">
        <v>1127</v>
      </c>
    </row>
    <row r="605" spans="1:17" ht="16.5" customHeight="1" x14ac:dyDescent="0.2">
      <c r="A605" s="18" t="s">
        <v>399</v>
      </c>
      <c r="B605" s="18" t="s">
        <v>2253</v>
      </c>
      <c r="C605" s="18" t="s">
        <v>4182</v>
      </c>
      <c r="D605" s="18" t="s">
        <v>1838</v>
      </c>
      <c r="E605" s="18" t="s">
        <v>362</v>
      </c>
      <c r="F605" s="2">
        <v>12</v>
      </c>
      <c r="G605" s="2" t="s">
        <v>89</v>
      </c>
      <c r="H605" s="2">
        <v>2002</v>
      </c>
      <c r="I605" s="2" t="str">
        <f t="shared" si="40"/>
        <v>lHLENDW</v>
      </c>
      <c r="J605" s="2" t="s">
        <v>2403</v>
      </c>
      <c r="K605" s="8" t="s">
        <v>2393</v>
      </c>
      <c r="L605"/>
      <c r="M605" s="2" t="s">
        <v>2399</v>
      </c>
      <c r="P605" s="2" t="s">
        <v>1843</v>
      </c>
      <c r="Q605" s="2" t="s">
        <v>1127</v>
      </c>
    </row>
    <row r="606" spans="1:17" ht="16.5" customHeight="1" x14ac:dyDescent="0.2">
      <c r="A606" s="18" t="s">
        <v>399</v>
      </c>
      <c r="B606" s="18" t="s">
        <v>2255</v>
      </c>
      <c r="C606" s="18" t="s">
        <v>4182</v>
      </c>
      <c r="D606" s="18" t="s">
        <v>1838</v>
      </c>
      <c r="E606" s="18" t="s">
        <v>362</v>
      </c>
      <c r="F606" s="2">
        <v>13</v>
      </c>
      <c r="G606" s="2" t="s">
        <v>107</v>
      </c>
      <c r="H606" s="2">
        <v>2003</v>
      </c>
      <c r="I606" s="2" t="str">
        <f t="shared" si="40"/>
        <v>mHLENDW</v>
      </c>
      <c r="J606" s="2" t="s">
        <v>2403</v>
      </c>
      <c r="K606" s="8" t="s">
        <v>2393</v>
      </c>
      <c r="L606"/>
      <c r="M606" s="2" t="s">
        <v>2399</v>
      </c>
      <c r="P606" s="2" t="s">
        <v>1843</v>
      </c>
      <c r="Q606" s="2" t="s">
        <v>1127</v>
      </c>
    </row>
    <row r="607" spans="1:17" ht="16.5" customHeight="1" x14ac:dyDescent="0.2">
      <c r="A607" s="18" t="s">
        <v>399</v>
      </c>
      <c r="B607" s="18" t="s">
        <v>2259</v>
      </c>
      <c r="C607" s="18" t="s">
        <v>4182</v>
      </c>
      <c r="D607" s="18" t="s">
        <v>1838</v>
      </c>
      <c r="E607" s="18" t="s">
        <v>362</v>
      </c>
      <c r="F607" s="2">
        <v>15</v>
      </c>
      <c r="G607" s="2" t="s">
        <v>19</v>
      </c>
      <c r="H607" s="2">
        <v>2005</v>
      </c>
      <c r="I607" s="2" t="str">
        <f t="shared" si="40"/>
        <v>oHLENDW</v>
      </c>
      <c r="J607" s="2" t="s">
        <v>2403</v>
      </c>
      <c r="K607" s="8" t="s">
        <v>2393</v>
      </c>
      <c r="L607"/>
      <c r="M607" s="2" t="s">
        <v>2399</v>
      </c>
      <c r="P607" s="2" t="s">
        <v>1843</v>
      </c>
      <c r="Q607" s="2" t="s">
        <v>1127</v>
      </c>
    </row>
    <row r="608" spans="1:17" ht="16.5" customHeight="1" x14ac:dyDescent="0.2">
      <c r="A608" s="18" t="s">
        <v>399</v>
      </c>
      <c r="B608" s="18" t="s">
        <v>2261</v>
      </c>
      <c r="C608" s="18" t="s">
        <v>4182</v>
      </c>
      <c r="D608" s="18" t="s">
        <v>1838</v>
      </c>
      <c r="E608" s="18" t="s">
        <v>362</v>
      </c>
      <c r="F608" s="2">
        <v>16</v>
      </c>
      <c r="G608" s="2" t="s">
        <v>25</v>
      </c>
      <c r="H608" s="2">
        <v>2006</v>
      </c>
      <c r="I608" s="2" t="str">
        <f t="shared" si="40"/>
        <v>pHLENDW</v>
      </c>
      <c r="J608" s="2" t="s">
        <v>2403</v>
      </c>
      <c r="K608" s="8" t="s">
        <v>2393</v>
      </c>
      <c r="L608"/>
      <c r="M608" s="2" t="s">
        <v>2399</v>
      </c>
      <c r="P608" s="2" t="s">
        <v>1843</v>
      </c>
      <c r="Q608" s="2" t="s">
        <v>1127</v>
      </c>
    </row>
    <row r="609" spans="1:22" ht="16.5" customHeight="1" x14ac:dyDescent="0.2">
      <c r="A609" s="18" t="s">
        <v>399</v>
      </c>
      <c r="B609" s="18" t="s">
        <v>2263</v>
      </c>
      <c r="C609" s="18" t="s">
        <v>4182</v>
      </c>
      <c r="D609" s="18" t="s">
        <v>1838</v>
      </c>
      <c r="E609" s="18" t="s">
        <v>362</v>
      </c>
      <c r="F609" s="2">
        <v>17</v>
      </c>
      <c r="G609" s="2" t="s">
        <v>73</v>
      </c>
      <c r="H609" s="2">
        <v>2007</v>
      </c>
      <c r="I609" s="2" t="str">
        <f t="shared" si="40"/>
        <v>qHLENDW</v>
      </c>
      <c r="J609" s="2" t="s">
        <v>2403</v>
      </c>
      <c r="K609" s="8" t="s">
        <v>2393</v>
      </c>
      <c r="L609"/>
      <c r="M609" s="2" t="s">
        <v>2399</v>
      </c>
      <c r="P609" s="2" t="s">
        <v>1843</v>
      </c>
      <c r="Q609" s="2" t="s">
        <v>1127</v>
      </c>
    </row>
    <row r="610" spans="1:22" ht="15" customHeight="1" x14ac:dyDescent="0.2">
      <c r="A610" s="18" t="s">
        <v>399</v>
      </c>
      <c r="B610" s="18" t="s">
        <v>2265</v>
      </c>
      <c r="C610" s="18" t="s">
        <v>4182</v>
      </c>
      <c r="D610" s="18" t="s">
        <v>1838</v>
      </c>
      <c r="E610" s="18" t="s">
        <v>362</v>
      </c>
      <c r="F610" s="2">
        <v>18</v>
      </c>
      <c r="G610" s="2" t="s">
        <v>58</v>
      </c>
      <c r="H610" s="2">
        <v>2008</v>
      </c>
      <c r="I610" s="2" t="str">
        <f t="shared" si="40"/>
        <v>rHLENDW</v>
      </c>
      <c r="J610" s="2" t="s">
        <v>2403</v>
      </c>
      <c r="K610" s="8" t="s">
        <v>2393</v>
      </c>
      <c r="L610"/>
      <c r="M610" s="2" t="s">
        <v>2399</v>
      </c>
      <c r="P610" s="2" t="s">
        <v>1843</v>
      </c>
      <c r="Q610" s="2" t="s">
        <v>1127</v>
      </c>
    </row>
    <row r="611" spans="1:22" x14ac:dyDescent="0.2">
      <c r="A611" s="47" t="s">
        <v>399</v>
      </c>
      <c r="B611" s="47" t="s">
        <v>2227</v>
      </c>
      <c r="C611" s="47" t="s">
        <v>4182</v>
      </c>
      <c r="D611" s="47" t="s">
        <v>1635</v>
      </c>
      <c r="E611" s="47" t="s">
        <v>2404</v>
      </c>
      <c r="F611" s="25">
        <v>1</v>
      </c>
      <c r="G611" s="25" t="s">
        <v>40</v>
      </c>
      <c r="H611" s="25">
        <v>1991</v>
      </c>
      <c r="I611" s="25" t="s">
        <v>2405</v>
      </c>
      <c r="J611" s="25" t="s">
        <v>2406</v>
      </c>
      <c r="K611" s="48" t="s">
        <v>2407</v>
      </c>
      <c r="L611" s="25" t="s">
        <v>398</v>
      </c>
      <c r="M611" s="25" t="s">
        <v>403</v>
      </c>
      <c r="N611" s="25">
        <v>1</v>
      </c>
      <c r="O611" s="25">
        <v>4</v>
      </c>
      <c r="P611" s="25" t="s">
        <v>1527</v>
      </c>
      <c r="Q611" s="31" t="s">
        <v>3462</v>
      </c>
      <c r="R611" s="31"/>
      <c r="S611" s="31"/>
      <c r="T611" s="31"/>
      <c r="U611" s="31"/>
      <c r="V611" s="31"/>
    </row>
    <row r="612" spans="1:22" x14ac:dyDescent="0.2">
      <c r="A612" s="47" t="s">
        <v>399</v>
      </c>
      <c r="B612" s="47" t="s">
        <v>2233</v>
      </c>
      <c r="C612" s="47" t="s">
        <v>4182</v>
      </c>
      <c r="D612" s="47" t="s">
        <v>1635</v>
      </c>
      <c r="E612" s="47" t="s">
        <v>2404</v>
      </c>
      <c r="F612" s="25">
        <v>2</v>
      </c>
      <c r="G612" s="25" t="s">
        <v>37</v>
      </c>
      <c r="H612" s="25">
        <v>1992</v>
      </c>
      <c r="I612" s="25" t="s">
        <v>2408</v>
      </c>
      <c r="J612" s="25" t="s">
        <v>2406</v>
      </c>
      <c r="K612" s="48" t="s">
        <v>2407</v>
      </c>
      <c r="L612" s="25" t="s">
        <v>398</v>
      </c>
      <c r="M612" s="25" t="s">
        <v>403</v>
      </c>
      <c r="N612" s="25">
        <v>1</v>
      </c>
      <c r="O612" s="25">
        <v>4</v>
      </c>
      <c r="P612" s="25" t="s">
        <v>1527</v>
      </c>
      <c r="Q612" s="31" t="s">
        <v>3462</v>
      </c>
      <c r="R612" s="31"/>
      <c r="S612" s="31"/>
      <c r="T612" s="31"/>
      <c r="U612" s="31"/>
      <c r="V612" s="31"/>
    </row>
    <row r="613" spans="1:22" x14ac:dyDescent="0.2">
      <c r="A613" s="47" t="s">
        <v>399</v>
      </c>
      <c r="B613" s="47" t="s">
        <v>2235</v>
      </c>
      <c r="C613" s="47" t="s">
        <v>4182</v>
      </c>
      <c r="D613" s="47" t="s">
        <v>1635</v>
      </c>
      <c r="E613" s="47" t="s">
        <v>2404</v>
      </c>
      <c r="F613" s="25">
        <v>3</v>
      </c>
      <c r="G613" s="25" t="s">
        <v>80</v>
      </c>
      <c r="H613" s="25">
        <v>1993</v>
      </c>
      <c r="I613" s="25" t="s">
        <v>2409</v>
      </c>
      <c r="J613" s="25" t="s">
        <v>2406</v>
      </c>
      <c r="K613" s="48" t="s">
        <v>2407</v>
      </c>
      <c r="L613" s="25" t="s">
        <v>398</v>
      </c>
      <c r="M613" s="25" t="s">
        <v>403</v>
      </c>
      <c r="N613" s="25">
        <v>1</v>
      </c>
      <c r="O613" s="25">
        <v>4</v>
      </c>
      <c r="P613" s="25" t="s">
        <v>1527</v>
      </c>
      <c r="Q613" s="31" t="s">
        <v>3462</v>
      </c>
      <c r="R613" s="31"/>
      <c r="S613" s="31"/>
      <c r="T613" s="31"/>
      <c r="U613" s="31"/>
      <c r="V613" s="31"/>
    </row>
    <row r="614" spans="1:22" x14ac:dyDescent="0.2">
      <c r="A614" s="47" t="s">
        <v>399</v>
      </c>
      <c r="B614" s="47" t="s">
        <v>2237</v>
      </c>
      <c r="C614" s="47" t="s">
        <v>4182</v>
      </c>
      <c r="D614" s="47" t="s">
        <v>1635</v>
      </c>
      <c r="E614" s="47" t="s">
        <v>2404</v>
      </c>
      <c r="F614" s="25">
        <v>4</v>
      </c>
      <c r="G614" s="25" t="s">
        <v>31</v>
      </c>
      <c r="H614" s="25">
        <v>1994</v>
      </c>
      <c r="I614" s="25" t="s">
        <v>2410</v>
      </c>
      <c r="J614" s="25" t="s">
        <v>2406</v>
      </c>
      <c r="K614" s="48" t="s">
        <v>2407</v>
      </c>
      <c r="L614" s="25" t="s">
        <v>398</v>
      </c>
      <c r="M614" s="25" t="s">
        <v>403</v>
      </c>
      <c r="N614" s="25">
        <v>1</v>
      </c>
      <c r="O614" s="25">
        <v>4</v>
      </c>
      <c r="P614" s="25" t="s">
        <v>1527</v>
      </c>
      <c r="Q614" s="31" t="s">
        <v>3462</v>
      </c>
      <c r="R614" s="31"/>
      <c r="S614" s="31"/>
      <c r="T614" s="31"/>
      <c r="U614" s="31"/>
      <c r="V614" s="31"/>
    </row>
    <row r="615" spans="1:22" x14ac:dyDescent="0.2">
      <c r="A615" s="47" t="s">
        <v>399</v>
      </c>
      <c r="B615" s="47" t="s">
        <v>2239</v>
      </c>
      <c r="C615" s="47" t="s">
        <v>4182</v>
      </c>
      <c r="D615" s="47" t="s">
        <v>1635</v>
      </c>
      <c r="E615" s="47" t="s">
        <v>2404</v>
      </c>
      <c r="F615" s="25">
        <v>5</v>
      </c>
      <c r="G615" s="25" t="s">
        <v>13</v>
      </c>
      <c r="H615" s="25">
        <v>1995</v>
      </c>
      <c r="I615" s="25" t="s">
        <v>2411</v>
      </c>
      <c r="J615" s="25" t="s">
        <v>2406</v>
      </c>
      <c r="K615" s="48" t="s">
        <v>2407</v>
      </c>
      <c r="L615" s="25" t="s">
        <v>398</v>
      </c>
      <c r="M615" s="25" t="s">
        <v>403</v>
      </c>
      <c r="N615" s="25">
        <v>1</v>
      </c>
      <c r="O615" s="25">
        <v>4</v>
      </c>
      <c r="P615" s="25" t="s">
        <v>1527</v>
      </c>
      <c r="Q615" s="31" t="s">
        <v>3462</v>
      </c>
      <c r="R615" s="31"/>
      <c r="S615" s="31"/>
      <c r="T615" s="31"/>
      <c r="U615" s="31"/>
      <c r="V615" s="31"/>
    </row>
    <row r="616" spans="1:22" x14ac:dyDescent="0.2">
      <c r="A616" s="47" t="s">
        <v>399</v>
      </c>
      <c r="B616" s="47" t="s">
        <v>2241</v>
      </c>
      <c r="C616" s="47" t="s">
        <v>4182</v>
      </c>
      <c r="D616" s="47" t="s">
        <v>1635</v>
      </c>
      <c r="E616" s="47" t="s">
        <v>2404</v>
      </c>
      <c r="F616" s="25">
        <v>6</v>
      </c>
      <c r="G616" s="25" t="s">
        <v>49</v>
      </c>
      <c r="H616" s="25">
        <v>1996</v>
      </c>
      <c r="I616" s="25" t="s">
        <v>2412</v>
      </c>
      <c r="J616" s="25" t="s">
        <v>2406</v>
      </c>
      <c r="K616" s="48" t="s">
        <v>2407</v>
      </c>
      <c r="L616" s="25" t="s">
        <v>398</v>
      </c>
      <c r="M616" s="25" t="s">
        <v>403</v>
      </c>
      <c r="N616" s="25">
        <v>1</v>
      </c>
      <c r="O616" s="25">
        <v>4</v>
      </c>
      <c r="P616" s="25" t="s">
        <v>1527</v>
      </c>
      <c r="Q616" s="31" t="s">
        <v>3462</v>
      </c>
      <c r="R616" s="31"/>
      <c r="S616" s="31"/>
      <c r="T616" s="31"/>
      <c r="U616" s="31"/>
      <c r="V616" s="31"/>
    </row>
    <row r="617" spans="1:22" x14ac:dyDescent="0.2">
      <c r="A617" s="47" t="s">
        <v>399</v>
      </c>
      <c r="B617" s="47" t="s">
        <v>2243</v>
      </c>
      <c r="C617" s="47" t="s">
        <v>4182</v>
      </c>
      <c r="D617" s="47" t="s">
        <v>1635</v>
      </c>
      <c r="E617" s="47" t="s">
        <v>2404</v>
      </c>
      <c r="F617" s="25">
        <v>7</v>
      </c>
      <c r="G617" s="25" t="s">
        <v>101</v>
      </c>
      <c r="H617" s="25">
        <v>1997</v>
      </c>
      <c r="I617" s="25" t="s">
        <v>2413</v>
      </c>
      <c r="J617" s="25" t="s">
        <v>2406</v>
      </c>
      <c r="K617" s="48" t="s">
        <v>2407</v>
      </c>
      <c r="L617" s="25" t="s">
        <v>398</v>
      </c>
      <c r="M617" s="25" t="s">
        <v>403</v>
      </c>
      <c r="N617" s="25">
        <v>1</v>
      </c>
      <c r="O617" s="25">
        <v>4</v>
      </c>
      <c r="P617" s="25" t="s">
        <v>1527</v>
      </c>
      <c r="Q617" s="31" t="s">
        <v>3462</v>
      </c>
      <c r="R617" s="31"/>
      <c r="S617" s="31"/>
      <c r="T617" s="31"/>
      <c r="U617" s="31"/>
      <c r="V617" s="31"/>
    </row>
    <row r="618" spans="1:22" x14ac:dyDescent="0.2">
      <c r="A618" s="47" t="s">
        <v>399</v>
      </c>
      <c r="B618" s="47" t="s">
        <v>2245</v>
      </c>
      <c r="C618" s="47" t="s">
        <v>4182</v>
      </c>
      <c r="D618" s="47" t="s">
        <v>1635</v>
      </c>
      <c r="E618" s="47" t="s">
        <v>2404</v>
      </c>
      <c r="F618" s="25">
        <v>8</v>
      </c>
      <c r="G618" s="25" t="s">
        <v>10</v>
      </c>
      <c r="H618" s="25">
        <v>1998</v>
      </c>
      <c r="I618" s="25" t="s">
        <v>2414</v>
      </c>
      <c r="J618" s="25" t="s">
        <v>2406</v>
      </c>
      <c r="K618" s="48" t="s">
        <v>2407</v>
      </c>
      <c r="L618" s="25" t="s">
        <v>398</v>
      </c>
      <c r="M618" s="25" t="s">
        <v>403</v>
      </c>
      <c r="N618" s="25">
        <v>1</v>
      </c>
      <c r="O618" s="25">
        <v>4</v>
      </c>
      <c r="P618" s="25" t="s">
        <v>1527</v>
      </c>
      <c r="Q618" s="31" t="s">
        <v>3462</v>
      </c>
      <c r="R618" s="31"/>
      <c r="S618" s="31"/>
      <c r="T618" s="31"/>
      <c r="U618" s="31"/>
      <c r="V618" s="31"/>
    </row>
    <row r="619" spans="1:22" x14ac:dyDescent="0.2">
      <c r="A619" s="47" t="s">
        <v>399</v>
      </c>
      <c r="B619" s="47" t="s">
        <v>2249</v>
      </c>
      <c r="C619" s="47" t="s">
        <v>4182</v>
      </c>
      <c r="D619" s="47" t="s">
        <v>1635</v>
      </c>
      <c r="E619" s="47" t="s">
        <v>2404</v>
      </c>
      <c r="F619" s="25">
        <v>10</v>
      </c>
      <c r="G619" s="25" t="s">
        <v>98</v>
      </c>
      <c r="H619" s="25">
        <v>2000</v>
      </c>
      <c r="I619" s="25" t="s">
        <v>2415</v>
      </c>
      <c r="J619" s="25" t="s">
        <v>2406</v>
      </c>
      <c r="K619" s="48" t="s">
        <v>2407</v>
      </c>
      <c r="L619" s="25" t="s">
        <v>398</v>
      </c>
      <c r="M619" s="25" t="s">
        <v>403</v>
      </c>
      <c r="N619" s="25">
        <v>1</v>
      </c>
      <c r="O619" s="25">
        <v>4</v>
      </c>
      <c r="P619" s="25" t="s">
        <v>1527</v>
      </c>
      <c r="Q619" s="31" t="s">
        <v>3462</v>
      </c>
      <c r="R619" s="31"/>
      <c r="S619" s="31"/>
      <c r="T619" s="31"/>
      <c r="U619" s="31"/>
      <c r="V619" s="31"/>
    </row>
    <row r="620" spans="1:22" x14ac:dyDescent="0.2">
      <c r="A620" s="47" t="s">
        <v>399</v>
      </c>
      <c r="B620" s="47" t="s">
        <v>2251</v>
      </c>
      <c r="C620" s="47" t="s">
        <v>4182</v>
      </c>
      <c r="D620" s="47" t="s">
        <v>1635</v>
      </c>
      <c r="E620" s="47" t="s">
        <v>2404</v>
      </c>
      <c r="F620" s="25">
        <v>11</v>
      </c>
      <c r="G620" s="25" t="s">
        <v>104</v>
      </c>
      <c r="H620" s="25">
        <v>2001</v>
      </c>
      <c r="I620" s="25" t="s">
        <v>2416</v>
      </c>
      <c r="J620" s="25" t="s">
        <v>2406</v>
      </c>
      <c r="K620" s="48" t="s">
        <v>2407</v>
      </c>
      <c r="L620" s="25" t="s">
        <v>398</v>
      </c>
      <c r="M620" s="25" t="s">
        <v>403</v>
      </c>
      <c r="N620" s="25">
        <v>1</v>
      </c>
      <c r="O620" s="25">
        <v>4</v>
      </c>
      <c r="P620" s="25" t="s">
        <v>1527</v>
      </c>
      <c r="Q620" s="31" t="s">
        <v>3462</v>
      </c>
      <c r="R620" s="31"/>
      <c r="S620" s="31"/>
      <c r="T620" s="31"/>
      <c r="U620" s="31"/>
      <c r="V620" s="31"/>
    </row>
    <row r="621" spans="1:22" x14ac:dyDescent="0.2">
      <c r="A621" s="47" t="s">
        <v>399</v>
      </c>
      <c r="B621" s="47" t="s">
        <v>2253</v>
      </c>
      <c r="C621" s="47" t="s">
        <v>4182</v>
      </c>
      <c r="D621" s="47" t="s">
        <v>1635</v>
      </c>
      <c r="E621" s="47" t="s">
        <v>2404</v>
      </c>
      <c r="F621" s="25">
        <v>12</v>
      </c>
      <c r="G621" s="25" t="s">
        <v>89</v>
      </c>
      <c r="H621" s="25">
        <v>2002</v>
      </c>
      <c r="I621" s="25" t="s">
        <v>2417</v>
      </c>
      <c r="J621" s="25" t="s">
        <v>2406</v>
      </c>
      <c r="K621" s="48" t="s">
        <v>2407</v>
      </c>
      <c r="L621" s="25" t="s">
        <v>398</v>
      </c>
      <c r="M621" s="25" t="s">
        <v>403</v>
      </c>
      <c r="N621" s="25">
        <v>1</v>
      </c>
      <c r="O621" s="25">
        <v>4</v>
      </c>
      <c r="P621" s="25" t="s">
        <v>1527</v>
      </c>
      <c r="Q621" s="31" t="s">
        <v>3462</v>
      </c>
      <c r="R621" s="31"/>
      <c r="S621" s="31"/>
      <c r="T621" s="31"/>
      <c r="U621" s="31"/>
      <c r="V621" s="31"/>
    </row>
    <row r="622" spans="1:22" x14ac:dyDescent="0.2">
      <c r="A622" s="47" t="s">
        <v>399</v>
      </c>
      <c r="B622" s="47" t="s">
        <v>2255</v>
      </c>
      <c r="C622" s="47" t="s">
        <v>4182</v>
      </c>
      <c r="D622" s="47" t="s">
        <v>1635</v>
      </c>
      <c r="E622" s="47" t="s">
        <v>2404</v>
      </c>
      <c r="F622" s="25">
        <v>13</v>
      </c>
      <c r="G622" s="25" t="s">
        <v>107</v>
      </c>
      <c r="H622" s="25">
        <v>2003</v>
      </c>
      <c r="I622" s="25" t="s">
        <v>2418</v>
      </c>
      <c r="J622" s="25" t="s">
        <v>2406</v>
      </c>
      <c r="K622" s="48" t="s">
        <v>2407</v>
      </c>
      <c r="L622" s="25" t="s">
        <v>398</v>
      </c>
      <c r="M622" s="25" t="s">
        <v>403</v>
      </c>
      <c r="N622" s="25">
        <v>1</v>
      </c>
      <c r="O622" s="25">
        <v>4</v>
      </c>
      <c r="P622" s="25" t="s">
        <v>1527</v>
      </c>
      <c r="Q622" s="31" t="s">
        <v>3462</v>
      </c>
      <c r="R622" s="31"/>
      <c r="S622" s="31"/>
      <c r="T622" s="31"/>
      <c r="U622" s="31"/>
      <c r="V622" s="31"/>
    </row>
    <row r="623" spans="1:22" x14ac:dyDescent="0.2">
      <c r="A623" s="47" t="s">
        <v>399</v>
      </c>
      <c r="B623" s="47" t="s">
        <v>2257</v>
      </c>
      <c r="C623" s="47" t="s">
        <v>4182</v>
      </c>
      <c r="D623" s="47" t="s">
        <v>1635</v>
      </c>
      <c r="E623" s="47" t="s">
        <v>2404</v>
      </c>
      <c r="F623" s="25">
        <v>14</v>
      </c>
      <c r="G623" s="25" t="s">
        <v>43</v>
      </c>
      <c r="H623" s="25">
        <v>2004</v>
      </c>
      <c r="I623" s="25" t="s">
        <v>2419</v>
      </c>
      <c r="J623" s="25" t="s">
        <v>2406</v>
      </c>
      <c r="K623" s="48" t="s">
        <v>2407</v>
      </c>
      <c r="L623" s="25" t="s">
        <v>398</v>
      </c>
      <c r="M623" s="25" t="s">
        <v>403</v>
      </c>
      <c r="N623" s="25">
        <v>1</v>
      </c>
      <c r="O623" s="25">
        <v>4</v>
      </c>
      <c r="P623" s="25" t="s">
        <v>1527</v>
      </c>
      <c r="Q623" s="31" t="s">
        <v>3462</v>
      </c>
      <c r="R623" s="31"/>
      <c r="S623" s="31"/>
      <c r="T623" s="31"/>
      <c r="U623" s="31"/>
      <c r="V623" s="31"/>
    </row>
    <row r="624" spans="1:22" x14ac:dyDescent="0.2">
      <c r="A624" s="47" t="s">
        <v>399</v>
      </c>
      <c r="B624" s="47" t="s">
        <v>2259</v>
      </c>
      <c r="C624" s="47" t="s">
        <v>4182</v>
      </c>
      <c r="D624" s="47" t="s">
        <v>1635</v>
      </c>
      <c r="E624" s="47" t="s">
        <v>2404</v>
      </c>
      <c r="F624" s="25">
        <v>15</v>
      </c>
      <c r="G624" s="25" t="s">
        <v>19</v>
      </c>
      <c r="H624" s="25">
        <v>2005</v>
      </c>
      <c r="I624" s="25" t="s">
        <v>2420</v>
      </c>
      <c r="J624" s="25" t="s">
        <v>2406</v>
      </c>
      <c r="K624" s="48" t="s">
        <v>2407</v>
      </c>
      <c r="L624" s="25" t="s">
        <v>398</v>
      </c>
      <c r="M624" s="25" t="s">
        <v>403</v>
      </c>
      <c r="N624" s="25">
        <v>1</v>
      </c>
      <c r="O624" s="25">
        <v>4</v>
      </c>
      <c r="P624" s="25" t="s">
        <v>1527</v>
      </c>
      <c r="Q624" s="31" t="s">
        <v>3462</v>
      </c>
      <c r="R624" s="31"/>
      <c r="S624" s="31"/>
      <c r="T624" s="31"/>
      <c r="U624" s="31"/>
      <c r="V624" s="31"/>
    </row>
    <row r="625" spans="1:22" x14ac:dyDescent="0.2">
      <c r="A625" s="47" t="s">
        <v>399</v>
      </c>
      <c r="B625" s="47" t="s">
        <v>2261</v>
      </c>
      <c r="C625" s="47" t="s">
        <v>4182</v>
      </c>
      <c r="D625" s="47" t="s">
        <v>1635</v>
      </c>
      <c r="E625" s="47" t="s">
        <v>2404</v>
      </c>
      <c r="F625" s="25">
        <v>16</v>
      </c>
      <c r="G625" s="25" t="s">
        <v>25</v>
      </c>
      <c r="H625" s="25">
        <v>2006</v>
      </c>
      <c r="I625" s="25" t="s">
        <v>2421</v>
      </c>
      <c r="J625" s="25" t="s">
        <v>2406</v>
      </c>
      <c r="K625" s="48" t="s">
        <v>2407</v>
      </c>
      <c r="L625" s="25" t="s">
        <v>398</v>
      </c>
      <c r="M625" s="25" t="s">
        <v>403</v>
      </c>
      <c r="N625" s="25">
        <v>1</v>
      </c>
      <c r="O625" s="25">
        <v>4</v>
      </c>
      <c r="P625" s="25" t="s">
        <v>1527</v>
      </c>
      <c r="Q625" s="31" t="s">
        <v>3462</v>
      </c>
      <c r="R625" s="31"/>
      <c r="S625" s="31"/>
      <c r="T625" s="31"/>
      <c r="U625" s="31"/>
      <c r="V625" s="31"/>
    </row>
    <row r="626" spans="1:22" x14ac:dyDescent="0.2">
      <c r="A626" s="47" t="s">
        <v>399</v>
      </c>
      <c r="B626" s="47" t="s">
        <v>2263</v>
      </c>
      <c r="C626" s="47" t="s">
        <v>4182</v>
      </c>
      <c r="D626" s="47" t="s">
        <v>1635</v>
      </c>
      <c r="E626" s="47" t="s">
        <v>2404</v>
      </c>
      <c r="F626" s="25">
        <v>17</v>
      </c>
      <c r="G626" s="25" t="s">
        <v>73</v>
      </c>
      <c r="H626" s="25">
        <v>2007</v>
      </c>
      <c r="I626" s="25" t="s">
        <v>2422</v>
      </c>
      <c r="J626" s="25" t="s">
        <v>2406</v>
      </c>
      <c r="K626" s="48" t="s">
        <v>2407</v>
      </c>
      <c r="L626" s="25" t="s">
        <v>398</v>
      </c>
      <c r="M626" s="25" t="s">
        <v>403</v>
      </c>
      <c r="N626" s="25">
        <v>1</v>
      </c>
      <c r="O626" s="25">
        <v>4</v>
      </c>
      <c r="P626" s="25" t="s">
        <v>1527</v>
      </c>
      <c r="Q626" s="31" t="s">
        <v>3462</v>
      </c>
      <c r="R626" s="31"/>
      <c r="S626" s="31"/>
      <c r="T626" s="31"/>
      <c r="U626" s="31"/>
      <c r="V626" s="31"/>
    </row>
    <row r="627" spans="1:22" x14ac:dyDescent="0.2">
      <c r="A627" s="47" t="s">
        <v>399</v>
      </c>
      <c r="B627" s="47" t="s">
        <v>2265</v>
      </c>
      <c r="C627" s="47" t="s">
        <v>4182</v>
      </c>
      <c r="D627" s="47" t="s">
        <v>1635</v>
      </c>
      <c r="E627" s="47" t="s">
        <v>2404</v>
      </c>
      <c r="F627" s="25">
        <v>18</v>
      </c>
      <c r="G627" s="25" t="s">
        <v>58</v>
      </c>
      <c r="H627" s="25">
        <v>2008</v>
      </c>
      <c r="I627" s="25" t="s">
        <v>2423</v>
      </c>
      <c r="J627" s="25" t="s">
        <v>2406</v>
      </c>
      <c r="K627" s="48" t="s">
        <v>2407</v>
      </c>
      <c r="L627" s="25" t="s">
        <v>398</v>
      </c>
      <c r="M627" s="25" t="s">
        <v>403</v>
      </c>
      <c r="N627" s="25">
        <v>1</v>
      </c>
      <c r="O627" s="25">
        <v>4</v>
      </c>
      <c r="P627" s="25" t="s">
        <v>1527</v>
      </c>
      <c r="Q627" s="31" t="s">
        <v>3462</v>
      </c>
      <c r="R627" s="31"/>
      <c r="S627" s="31"/>
      <c r="T627" s="31"/>
      <c r="U627" s="31"/>
      <c r="V627" s="31"/>
    </row>
    <row r="628" spans="1:22" x14ac:dyDescent="0.2">
      <c r="A628" s="47" t="s">
        <v>399</v>
      </c>
      <c r="B628" s="47" t="s">
        <v>2227</v>
      </c>
      <c r="C628" s="47" t="s">
        <v>4182</v>
      </c>
      <c r="D628" s="47" t="s">
        <v>1635</v>
      </c>
      <c r="E628" s="47" t="s">
        <v>2424</v>
      </c>
      <c r="F628" s="25">
        <v>1</v>
      </c>
      <c r="G628" s="25" t="s">
        <v>40</v>
      </c>
      <c r="H628" s="25">
        <v>1991</v>
      </c>
      <c r="I628" s="25" t="s">
        <v>2425</v>
      </c>
      <c r="J628" s="25" t="s">
        <v>2426</v>
      </c>
      <c r="K628" s="48" t="s">
        <v>2427</v>
      </c>
      <c r="L628" s="25" t="s">
        <v>398</v>
      </c>
      <c r="M628" s="25" t="s">
        <v>403</v>
      </c>
      <c r="N628" s="25">
        <v>1</v>
      </c>
      <c r="O628" s="25">
        <v>4</v>
      </c>
      <c r="P628" s="25" t="s">
        <v>1527</v>
      </c>
      <c r="Q628" s="31" t="s">
        <v>3462</v>
      </c>
      <c r="R628" s="31"/>
      <c r="S628" s="31"/>
      <c r="T628" s="31"/>
      <c r="U628" s="31"/>
      <c r="V628" s="31"/>
    </row>
    <row r="629" spans="1:22" x14ac:dyDescent="0.2">
      <c r="A629" s="47" t="s">
        <v>399</v>
      </c>
      <c r="B629" s="47" t="s">
        <v>2233</v>
      </c>
      <c r="C629" s="47" t="s">
        <v>4182</v>
      </c>
      <c r="D629" s="47" t="s">
        <v>1635</v>
      </c>
      <c r="E629" s="47" t="s">
        <v>2424</v>
      </c>
      <c r="F629" s="25">
        <v>2</v>
      </c>
      <c r="G629" s="25" t="s">
        <v>37</v>
      </c>
      <c r="H629" s="25">
        <v>1992</v>
      </c>
      <c r="I629" s="25" t="s">
        <v>2428</v>
      </c>
      <c r="J629" s="25" t="s">
        <v>2426</v>
      </c>
      <c r="K629" s="48" t="s">
        <v>2427</v>
      </c>
      <c r="L629" s="25" t="s">
        <v>398</v>
      </c>
      <c r="M629" s="25" t="s">
        <v>403</v>
      </c>
      <c r="N629" s="25">
        <v>1</v>
      </c>
      <c r="O629" s="25">
        <v>4</v>
      </c>
      <c r="P629" s="25" t="s">
        <v>1527</v>
      </c>
      <c r="Q629" s="31" t="s">
        <v>3462</v>
      </c>
      <c r="R629" s="31"/>
      <c r="S629" s="31"/>
      <c r="T629" s="31"/>
      <c r="U629" s="31"/>
      <c r="V629" s="31"/>
    </row>
    <row r="630" spans="1:22" x14ac:dyDescent="0.2">
      <c r="A630" s="47" t="s">
        <v>399</v>
      </c>
      <c r="B630" s="47" t="s">
        <v>2235</v>
      </c>
      <c r="C630" s="47" t="s">
        <v>4182</v>
      </c>
      <c r="D630" s="47" t="s">
        <v>1635</v>
      </c>
      <c r="E630" s="47" t="s">
        <v>2424</v>
      </c>
      <c r="F630" s="25">
        <v>3</v>
      </c>
      <c r="G630" s="25" t="s">
        <v>80</v>
      </c>
      <c r="H630" s="25">
        <v>1993</v>
      </c>
      <c r="I630" s="25" t="s">
        <v>2429</v>
      </c>
      <c r="J630" s="25" t="s">
        <v>2426</v>
      </c>
      <c r="K630" s="48" t="s">
        <v>2427</v>
      </c>
      <c r="L630" s="25" t="s">
        <v>398</v>
      </c>
      <c r="M630" s="25" t="s">
        <v>403</v>
      </c>
      <c r="N630" s="25">
        <v>1</v>
      </c>
      <c r="O630" s="25">
        <v>4</v>
      </c>
      <c r="P630" s="25" t="s">
        <v>1527</v>
      </c>
      <c r="Q630" s="31" t="s">
        <v>3462</v>
      </c>
      <c r="R630" s="31"/>
      <c r="S630" s="31"/>
      <c r="T630" s="31"/>
      <c r="U630" s="31"/>
      <c r="V630" s="31"/>
    </row>
    <row r="631" spans="1:22" x14ac:dyDescent="0.2">
      <c r="A631" s="47" t="s">
        <v>399</v>
      </c>
      <c r="B631" s="47" t="s">
        <v>2237</v>
      </c>
      <c r="C631" s="47" t="s">
        <v>4182</v>
      </c>
      <c r="D631" s="47" t="s">
        <v>1635</v>
      </c>
      <c r="E631" s="47" t="s">
        <v>2424</v>
      </c>
      <c r="F631" s="25">
        <v>4</v>
      </c>
      <c r="G631" s="25" t="s">
        <v>31</v>
      </c>
      <c r="H631" s="25">
        <v>1994</v>
      </c>
      <c r="I631" s="25" t="s">
        <v>2430</v>
      </c>
      <c r="J631" s="25" t="s">
        <v>2426</v>
      </c>
      <c r="K631" s="48" t="s">
        <v>2427</v>
      </c>
      <c r="L631" s="25" t="s">
        <v>398</v>
      </c>
      <c r="M631" s="25" t="s">
        <v>403</v>
      </c>
      <c r="N631" s="25">
        <v>1</v>
      </c>
      <c r="O631" s="25">
        <v>4</v>
      </c>
      <c r="P631" s="25" t="s">
        <v>1527</v>
      </c>
      <c r="Q631" s="31" t="s">
        <v>3462</v>
      </c>
      <c r="R631" s="31"/>
      <c r="S631" s="31"/>
      <c r="T631" s="31"/>
      <c r="U631" s="31"/>
      <c r="V631" s="31"/>
    </row>
    <row r="632" spans="1:22" x14ac:dyDescent="0.2">
      <c r="A632" s="47" t="s">
        <v>399</v>
      </c>
      <c r="B632" s="47" t="s">
        <v>2239</v>
      </c>
      <c r="C632" s="47" t="s">
        <v>4182</v>
      </c>
      <c r="D632" s="47" t="s">
        <v>1635</v>
      </c>
      <c r="E632" s="47" t="s">
        <v>2424</v>
      </c>
      <c r="F632" s="25">
        <v>5</v>
      </c>
      <c r="G632" s="25" t="s">
        <v>13</v>
      </c>
      <c r="H632" s="25">
        <v>1995</v>
      </c>
      <c r="I632" s="25" t="s">
        <v>2431</v>
      </c>
      <c r="J632" s="25" t="s">
        <v>2426</v>
      </c>
      <c r="K632" s="48" t="s">
        <v>2427</v>
      </c>
      <c r="L632" s="25" t="s">
        <v>398</v>
      </c>
      <c r="M632" s="25" t="s">
        <v>403</v>
      </c>
      <c r="N632" s="25">
        <v>1</v>
      </c>
      <c r="O632" s="25">
        <v>4</v>
      </c>
      <c r="P632" s="25" t="s">
        <v>1527</v>
      </c>
      <c r="Q632" s="31" t="s">
        <v>3462</v>
      </c>
      <c r="R632" s="31"/>
      <c r="S632" s="31"/>
      <c r="T632" s="31"/>
      <c r="U632" s="31"/>
      <c r="V632" s="31"/>
    </row>
    <row r="633" spans="1:22" x14ac:dyDescent="0.2">
      <c r="A633" s="47" t="s">
        <v>399</v>
      </c>
      <c r="B633" s="47" t="s">
        <v>2241</v>
      </c>
      <c r="C633" s="47" t="s">
        <v>4182</v>
      </c>
      <c r="D633" s="47" t="s">
        <v>1635</v>
      </c>
      <c r="E633" s="47" t="s">
        <v>2424</v>
      </c>
      <c r="F633" s="25">
        <v>6</v>
      </c>
      <c r="G633" s="25" t="s">
        <v>49</v>
      </c>
      <c r="H633" s="25">
        <v>1996</v>
      </c>
      <c r="I633" s="25" t="s">
        <v>2432</v>
      </c>
      <c r="J633" s="25" t="s">
        <v>2426</v>
      </c>
      <c r="K633" s="48" t="s">
        <v>2427</v>
      </c>
      <c r="L633" s="25" t="s">
        <v>398</v>
      </c>
      <c r="M633" s="25" t="s">
        <v>403</v>
      </c>
      <c r="N633" s="25">
        <v>1</v>
      </c>
      <c r="O633" s="25">
        <v>4</v>
      </c>
      <c r="P633" s="25" t="s">
        <v>1527</v>
      </c>
      <c r="Q633" s="31" t="s">
        <v>3462</v>
      </c>
      <c r="R633" s="31"/>
      <c r="S633" s="31"/>
      <c r="T633" s="31"/>
      <c r="U633" s="31"/>
      <c r="V633" s="31"/>
    </row>
    <row r="634" spans="1:22" x14ac:dyDescent="0.2">
      <c r="A634" s="47" t="s">
        <v>399</v>
      </c>
      <c r="B634" s="47" t="s">
        <v>2243</v>
      </c>
      <c r="C634" s="47" t="s">
        <v>4182</v>
      </c>
      <c r="D634" s="47" t="s">
        <v>1635</v>
      </c>
      <c r="E634" s="47" t="s">
        <v>2424</v>
      </c>
      <c r="F634" s="25">
        <v>7</v>
      </c>
      <c r="G634" s="25" t="s">
        <v>101</v>
      </c>
      <c r="H634" s="25">
        <v>1997</v>
      </c>
      <c r="I634" s="25" t="s">
        <v>2433</v>
      </c>
      <c r="J634" s="25" t="s">
        <v>2426</v>
      </c>
      <c r="K634" s="48" t="s">
        <v>2427</v>
      </c>
      <c r="L634" s="25" t="s">
        <v>398</v>
      </c>
      <c r="M634" s="25" t="s">
        <v>403</v>
      </c>
      <c r="N634" s="25">
        <v>1</v>
      </c>
      <c r="O634" s="25">
        <v>4</v>
      </c>
      <c r="P634" s="25" t="s">
        <v>1527</v>
      </c>
      <c r="Q634" s="31" t="s">
        <v>3462</v>
      </c>
      <c r="R634" s="31"/>
      <c r="S634" s="31"/>
      <c r="T634" s="31"/>
      <c r="U634" s="31"/>
      <c r="V634" s="31"/>
    </row>
    <row r="635" spans="1:22" x14ac:dyDescent="0.2">
      <c r="A635" s="47" t="s">
        <v>399</v>
      </c>
      <c r="B635" s="47" t="s">
        <v>2245</v>
      </c>
      <c r="C635" s="47" t="s">
        <v>4182</v>
      </c>
      <c r="D635" s="47" t="s">
        <v>1635</v>
      </c>
      <c r="E635" s="47" t="s">
        <v>2424</v>
      </c>
      <c r="F635" s="25">
        <v>8</v>
      </c>
      <c r="G635" s="25" t="s">
        <v>10</v>
      </c>
      <c r="H635" s="25">
        <v>1998</v>
      </c>
      <c r="I635" s="25" t="s">
        <v>2434</v>
      </c>
      <c r="J635" s="25" t="s">
        <v>2426</v>
      </c>
      <c r="K635" s="48" t="s">
        <v>2427</v>
      </c>
      <c r="L635" s="25" t="s">
        <v>398</v>
      </c>
      <c r="M635" s="25" t="s">
        <v>403</v>
      </c>
      <c r="N635" s="25">
        <v>1</v>
      </c>
      <c r="O635" s="25">
        <v>4</v>
      </c>
      <c r="P635" s="25" t="s">
        <v>1527</v>
      </c>
      <c r="Q635" s="31" t="s">
        <v>3462</v>
      </c>
      <c r="R635" s="31"/>
      <c r="S635" s="31"/>
      <c r="T635" s="31"/>
      <c r="U635" s="31"/>
      <c r="V635" s="31"/>
    </row>
    <row r="636" spans="1:22" x14ac:dyDescent="0.2">
      <c r="A636" s="47" t="s">
        <v>399</v>
      </c>
      <c r="B636" s="47" t="s">
        <v>2249</v>
      </c>
      <c r="C636" s="47" t="s">
        <v>4182</v>
      </c>
      <c r="D636" s="47" t="s">
        <v>1635</v>
      </c>
      <c r="E636" s="47" t="s">
        <v>2424</v>
      </c>
      <c r="F636" s="25">
        <v>10</v>
      </c>
      <c r="G636" s="25" t="s">
        <v>98</v>
      </c>
      <c r="H636" s="25">
        <v>2000</v>
      </c>
      <c r="I636" s="25" t="s">
        <v>2435</v>
      </c>
      <c r="J636" s="25" t="s">
        <v>2426</v>
      </c>
      <c r="K636" s="48" t="s">
        <v>2427</v>
      </c>
      <c r="L636" s="25" t="s">
        <v>398</v>
      </c>
      <c r="M636" s="25" t="s">
        <v>403</v>
      </c>
      <c r="N636" s="25">
        <v>1</v>
      </c>
      <c r="O636" s="25">
        <v>4</v>
      </c>
      <c r="P636" s="25" t="s">
        <v>1527</v>
      </c>
      <c r="Q636" s="31" t="s">
        <v>3462</v>
      </c>
      <c r="R636" s="31"/>
      <c r="S636" s="31"/>
      <c r="T636" s="31"/>
      <c r="U636" s="31"/>
      <c r="V636" s="31"/>
    </row>
    <row r="637" spans="1:22" x14ac:dyDescent="0.2">
      <c r="A637" s="47" t="s">
        <v>399</v>
      </c>
      <c r="B637" s="47" t="s">
        <v>2251</v>
      </c>
      <c r="C637" s="47" t="s">
        <v>4182</v>
      </c>
      <c r="D637" s="47" t="s">
        <v>1635</v>
      </c>
      <c r="E637" s="47" t="s">
        <v>2424</v>
      </c>
      <c r="F637" s="25">
        <v>11</v>
      </c>
      <c r="G637" s="25" t="s">
        <v>104</v>
      </c>
      <c r="H637" s="25">
        <v>2001</v>
      </c>
      <c r="I637" s="25" t="s">
        <v>2436</v>
      </c>
      <c r="J637" s="25" t="s">
        <v>2426</v>
      </c>
      <c r="K637" s="48" t="s">
        <v>2427</v>
      </c>
      <c r="L637" s="25" t="s">
        <v>398</v>
      </c>
      <c r="M637" s="25" t="s">
        <v>403</v>
      </c>
      <c r="N637" s="25">
        <v>1</v>
      </c>
      <c r="O637" s="25">
        <v>4</v>
      </c>
      <c r="P637" s="25" t="s">
        <v>1527</v>
      </c>
      <c r="Q637" s="31" t="s">
        <v>3462</v>
      </c>
      <c r="R637" s="31"/>
      <c r="S637" s="31"/>
      <c r="T637" s="31"/>
      <c r="U637" s="31"/>
      <c r="V637" s="31"/>
    </row>
    <row r="638" spans="1:22" x14ac:dyDescent="0.2">
      <c r="A638" s="47" t="s">
        <v>399</v>
      </c>
      <c r="B638" s="47" t="s">
        <v>2253</v>
      </c>
      <c r="C638" s="47" t="s">
        <v>4182</v>
      </c>
      <c r="D638" s="47" t="s">
        <v>1635</v>
      </c>
      <c r="E638" s="47" t="s">
        <v>2424</v>
      </c>
      <c r="F638" s="25">
        <v>12</v>
      </c>
      <c r="G638" s="25" t="s">
        <v>89</v>
      </c>
      <c r="H638" s="25">
        <v>2002</v>
      </c>
      <c r="I638" s="25" t="s">
        <v>2437</v>
      </c>
      <c r="J638" s="25" t="s">
        <v>2426</v>
      </c>
      <c r="K638" s="48" t="s">
        <v>2427</v>
      </c>
      <c r="L638" s="25" t="s">
        <v>398</v>
      </c>
      <c r="M638" s="25" t="s">
        <v>403</v>
      </c>
      <c r="N638" s="25">
        <v>1</v>
      </c>
      <c r="O638" s="25">
        <v>4</v>
      </c>
      <c r="P638" s="25" t="s">
        <v>1527</v>
      </c>
      <c r="Q638" s="31" t="s">
        <v>3462</v>
      </c>
      <c r="R638" s="31"/>
      <c r="S638" s="31"/>
      <c r="T638" s="31"/>
      <c r="U638" s="31"/>
      <c r="V638" s="31"/>
    </row>
    <row r="639" spans="1:22" x14ac:dyDescent="0.2">
      <c r="A639" s="47" t="s">
        <v>399</v>
      </c>
      <c r="B639" s="47" t="s">
        <v>2255</v>
      </c>
      <c r="C639" s="47" t="s">
        <v>4182</v>
      </c>
      <c r="D639" s="47" t="s">
        <v>1635</v>
      </c>
      <c r="E639" s="47" t="s">
        <v>2424</v>
      </c>
      <c r="F639" s="25">
        <v>13</v>
      </c>
      <c r="G639" s="25" t="s">
        <v>107</v>
      </c>
      <c r="H639" s="25">
        <v>2003</v>
      </c>
      <c r="I639" s="25" t="s">
        <v>2438</v>
      </c>
      <c r="J639" s="25" t="s">
        <v>2426</v>
      </c>
      <c r="K639" s="48" t="s">
        <v>2427</v>
      </c>
      <c r="L639" s="25" t="s">
        <v>398</v>
      </c>
      <c r="M639" s="25" t="s">
        <v>403</v>
      </c>
      <c r="N639" s="25">
        <v>1</v>
      </c>
      <c r="O639" s="25">
        <v>4</v>
      </c>
      <c r="P639" s="25" t="s">
        <v>1527</v>
      </c>
      <c r="Q639" s="31" t="s">
        <v>3462</v>
      </c>
      <c r="R639" s="31"/>
      <c r="S639" s="31"/>
      <c r="T639" s="31"/>
      <c r="U639" s="31"/>
      <c r="V639" s="31"/>
    </row>
    <row r="640" spans="1:22" x14ac:dyDescent="0.2">
      <c r="A640" s="47" t="s">
        <v>399</v>
      </c>
      <c r="B640" s="47" t="s">
        <v>2257</v>
      </c>
      <c r="C640" s="47" t="s">
        <v>4182</v>
      </c>
      <c r="D640" s="47" t="s">
        <v>1635</v>
      </c>
      <c r="E640" s="47" t="s">
        <v>2424</v>
      </c>
      <c r="F640" s="25">
        <v>14</v>
      </c>
      <c r="G640" s="25" t="s">
        <v>43</v>
      </c>
      <c r="H640" s="25">
        <v>2004</v>
      </c>
      <c r="I640" s="25" t="s">
        <v>2439</v>
      </c>
      <c r="J640" s="25" t="s">
        <v>2426</v>
      </c>
      <c r="K640" s="48" t="s">
        <v>2427</v>
      </c>
      <c r="L640" s="25" t="s">
        <v>398</v>
      </c>
      <c r="M640" s="25" t="s">
        <v>403</v>
      </c>
      <c r="N640" s="25">
        <v>1</v>
      </c>
      <c r="O640" s="25">
        <v>4</v>
      </c>
      <c r="P640" s="25" t="s">
        <v>1527</v>
      </c>
      <c r="Q640" s="31" t="s">
        <v>3462</v>
      </c>
      <c r="R640" s="31"/>
      <c r="S640" s="31"/>
      <c r="T640" s="31"/>
      <c r="U640" s="31"/>
      <c r="V640" s="31"/>
    </row>
    <row r="641" spans="1:22" x14ac:dyDescent="0.2">
      <c r="A641" s="47" t="s">
        <v>399</v>
      </c>
      <c r="B641" s="47" t="s">
        <v>2259</v>
      </c>
      <c r="C641" s="47" t="s">
        <v>4182</v>
      </c>
      <c r="D641" s="47" t="s">
        <v>1635</v>
      </c>
      <c r="E641" s="47" t="s">
        <v>2424</v>
      </c>
      <c r="F641" s="25">
        <v>15</v>
      </c>
      <c r="G641" s="25" t="s">
        <v>19</v>
      </c>
      <c r="H641" s="25">
        <v>2005</v>
      </c>
      <c r="I641" s="25" t="s">
        <v>2440</v>
      </c>
      <c r="J641" s="25" t="s">
        <v>2426</v>
      </c>
      <c r="K641" s="48" t="s">
        <v>2427</v>
      </c>
      <c r="L641" s="25" t="s">
        <v>398</v>
      </c>
      <c r="M641" s="25" t="s">
        <v>403</v>
      </c>
      <c r="N641" s="25">
        <v>1</v>
      </c>
      <c r="O641" s="25">
        <v>4</v>
      </c>
      <c r="P641" s="25" t="s">
        <v>1527</v>
      </c>
      <c r="Q641" s="31" t="s">
        <v>3462</v>
      </c>
      <c r="R641" s="31"/>
      <c r="S641" s="31"/>
      <c r="T641" s="31"/>
      <c r="U641" s="31"/>
      <c r="V641" s="31"/>
    </row>
    <row r="642" spans="1:22" x14ac:dyDescent="0.2">
      <c r="A642" s="47" t="s">
        <v>399</v>
      </c>
      <c r="B642" s="47" t="s">
        <v>2261</v>
      </c>
      <c r="C642" s="47" t="s">
        <v>4182</v>
      </c>
      <c r="D642" s="47" t="s">
        <v>1635</v>
      </c>
      <c r="E642" s="47" t="s">
        <v>2424</v>
      </c>
      <c r="F642" s="25">
        <v>16</v>
      </c>
      <c r="G642" s="25" t="s">
        <v>25</v>
      </c>
      <c r="H642" s="25">
        <v>2006</v>
      </c>
      <c r="I642" s="25" t="s">
        <v>2441</v>
      </c>
      <c r="J642" s="25" t="s">
        <v>2426</v>
      </c>
      <c r="K642" s="48" t="s">
        <v>2427</v>
      </c>
      <c r="L642" s="25" t="s">
        <v>398</v>
      </c>
      <c r="M642" s="25" t="s">
        <v>403</v>
      </c>
      <c r="N642" s="25">
        <v>1</v>
      </c>
      <c r="O642" s="25">
        <v>4</v>
      </c>
      <c r="P642" s="25" t="s">
        <v>1527</v>
      </c>
      <c r="Q642" s="31" t="s">
        <v>3462</v>
      </c>
      <c r="R642" s="31"/>
      <c r="S642" s="31"/>
      <c r="T642" s="31"/>
      <c r="U642" s="31"/>
      <c r="V642" s="31"/>
    </row>
    <row r="643" spans="1:22" x14ac:dyDescent="0.2">
      <c r="A643" s="47" t="s">
        <v>399</v>
      </c>
      <c r="B643" s="47" t="s">
        <v>2263</v>
      </c>
      <c r="C643" s="47" t="s">
        <v>4182</v>
      </c>
      <c r="D643" s="47" t="s">
        <v>1635</v>
      </c>
      <c r="E643" s="47" t="s">
        <v>2424</v>
      </c>
      <c r="F643" s="25">
        <v>17</v>
      </c>
      <c r="G643" s="25" t="s">
        <v>73</v>
      </c>
      <c r="H643" s="25">
        <v>2007</v>
      </c>
      <c r="I643" s="25" t="s">
        <v>2442</v>
      </c>
      <c r="J643" s="25" t="s">
        <v>2426</v>
      </c>
      <c r="K643" s="48" t="s">
        <v>2427</v>
      </c>
      <c r="L643" s="25" t="s">
        <v>398</v>
      </c>
      <c r="M643" s="25" t="s">
        <v>403</v>
      </c>
      <c r="N643" s="25">
        <v>1</v>
      </c>
      <c r="O643" s="25">
        <v>4</v>
      </c>
      <c r="P643" s="25" t="s">
        <v>1527</v>
      </c>
      <c r="Q643" s="31" t="s">
        <v>3462</v>
      </c>
      <c r="R643" s="31"/>
      <c r="S643" s="31"/>
      <c r="T643" s="31"/>
      <c r="U643" s="31"/>
      <c r="V643" s="31"/>
    </row>
    <row r="644" spans="1:22" x14ac:dyDescent="0.2">
      <c r="A644" s="47" t="s">
        <v>399</v>
      </c>
      <c r="B644" s="47" t="s">
        <v>2265</v>
      </c>
      <c r="C644" s="47" t="s">
        <v>4182</v>
      </c>
      <c r="D644" s="47" t="s">
        <v>1635</v>
      </c>
      <c r="E644" s="47" t="s">
        <v>2424</v>
      </c>
      <c r="F644" s="25">
        <v>18</v>
      </c>
      <c r="G644" s="25" t="s">
        <v>58</v>
      </c>
      <c r="H644" s="25">
        <v>2008</v>
      </c>
      <c r="I644" s="25" t="s">
        <v>2443</v>
      </c>
      <c r="J644" s="25" t="s">
        <v>2426</v>
      </c>
      <c r="K644" s="48" t="s">
        <v>2427</v>
      </c>
      <c r="L644" s="25" t="s">
        <v>398</v>
      </c>
      <c r="M644" s="25" t="s">
        <v>403</v>
      </c>
      <c r="N644" s="25">
        <v>1</v>
      </c>
      <c r="O644" s="25">
        <v>4</v>
      </c>
      <c r="P644" s="25" t="s">
        <v>1527</v>
      </c>
      <c r="Q644" s="31" t="s">
        <v>3462</v>
      </c>
      <c r="R644" s="31"/>
      <c r="S644" s="31"/>
      <c r="T644" s="31"/>
      <c r="U644" s="31"/>
      <c r="V644" s="31"/>
    </row>
    <row r="645" spans="1:22" x14ac:dyDescent="0.2">
      <c r="A645" s="47" t="s">
        <v>399</v>
      </c>
      <c r="B645" s="47" t="s">
        <v>2227</v>
      </c>
      <c r="C645" s="47" t="s">
        <v>4182</v>
      </c>
      <c r="D645" s="47" t="s">
        <v>1635</v>
      </c>
      <c r="E645" s="47" t="s">
        <v>2444</v>
      </c>
      <c r="F645" s="25">
        <v>1</v>
      </c>
      <c r="G645" s="25" t="s">
        <v>40</v>
      </c>
      <c r="H645" s="25">
        <v>1991</v>
      </c>
      <c r="I645" s="25" t="s">
        <v>2445</v>
      </c>
      <c r="J645" s="25" t="s">
        <v>2446</v>
      </c>
      <c r="K645" s="48" t="s">
        <v>2447</v>
      </c>
      <c r="L645" s="25" t="s">
        <v>398</v>
      </c>
      <c r="M645" s="25" t="s">
        <v>403</v>
      </c>
      <c r="N645" s="25">
        <v>1</v>
      </c>
      <c r="O645" s="25">
        <v>4</v>
      </c>
      <c r="P645" s="25" t="s">
        <v>1527</v>
      </c>
      <c r="Q645" s="31" t="s">
        <v>3462</v>
      </c>
      <c r="R645" s="31"/>
      <c r="S645" s="31"/>
      <c r="T645" s="31"/>
      <c r="U645" s="31"/>
      <c r="V645" s="31"/>
    </row>
    <row r="646" spans="1:22" x14ac:dyDescent="0.2">
      <c r="A646" s="47" t="s">
        <v>399</v>
      </c>
      <c r="B646" s="47" t="s">
        <v>2233</v>
      </c>
      <c r="C646" s="47" t="s">
        <v>4182</v>
      </c>
      <c r="D646" s="47" t="s">
        <v>1635</v>
      </c>
      <c r="E646" s="47" t="s">
        <v>2444</v>
      </c>
      <c r="F646" s="25">
        <v>2</v>
      </c>
      <c r="G646" s="25" t="s">
        <v>37</v>
      </c>
      <c r="H646" s="25">
        <v>1992</v>
      </c>
      <c r="I646" s="25" t="s">
        <v>2448</v>
      </c>
      <c r="J646" s="25" t="s">
        <v>2446</v>
      </c>
      <c r="K646" s="48" t="s">
        <v>2447</v>
      </c>
      <c r="L646" s="25" t="s">
        <v>398</v>
      </c>
      <c r="M646" s="25" t="s">
        <v>403</v>
      </c>
      <c r="N646" s="25">
        <v>1</v>
      </c>
      <c r="O646" s="25">
        <v>4</v>
      </c>
      <c r="P646" s="25" t="s">
        <v>1527</v>
      </c>
      <c r="Q646" s="31" t="s">
        <v>3462</v>
      </c>
      <c r="R646" s="31"/>
      <c r="S646" s="31"/>
      <c r="T646" s="31"/>
      <c r="U646" s="31"/>
      <c r="V646" s="31"/>
    </row>
    <row r="647" spans="1:22" x14ac:dyDescent="0.2">
      <c r="A647" s="47" t="s">
        <v>399</v>
      </c>
      <c r="B647" s="47" t="s">
        <v>2235</v>
      </c>
      <c r="C647" s="47" t="s">
        <v>4182</v>
      </c>
      <c r="D647" s="47" t="s">
        <v>1635</v>
      </c>
      <c r="E647" s="47" t="s">
        <v>2444</v>
      </c>
      <c r="F647" s="25">
        <v>3</v>
      </c>
      <c r="G647" s="25" t="s">
        <v>80</v>
      </c>
      <c r="H647" s="25">
        <v>1993</v>
      </c>
      <c r="I647" s="25" t="s">
        <v>2449</v>
      </c>
      <c r="J647" s="25" t="s">
        <v>2446</v>
      </c>
      <c r="K647" s="48" t="s">
        <v>2447</v>
      </c>
      <c r="L647" s="25" t="s">
        <v>398</v>
      </c>
      <c r="M647" s="25" t="s">
        <v>403</v>
      </c>
      <c r="N647" s="25">
        <v>1</v>
      </c>
      <c r="O647" s="25">
        <v>4</v>
      </c>
      <c r="P647" s="25" t="s">
        <v>1527</v>
      </c>
      <c r="Q647" s="31" t="s">
        <v>3462</v>
      </c>
      <c r="R647" s="31"/>
      <c r="S647" s="31"/>
      <c r="T647" s="31"/>
      <c r="U647" s="31"/>
      <c r="V647" s="31"/>
    </row>
    <row r="648" spans="1:22" x14ac:dyDescent="0.2">
      <c r="A648" s="47" t="s">
        <v>399</v>
      </c>
      <c r="B648" s="47" t="s">
        <v>2237</v>
      </c>
      <c r="C648" s="47" t="s">
        <v>4182</v>
      </c>
      <c r="D648" s="47" t="s">
        <v>1635</v>
      </c>
      <c r="E648" s="47" t="s">
        <v>2444</v>
      </c>
      <c r="F648" s="25">
        <v>4</v>
      </c>
      <c r="G648" s="25" t="s">
        <v>31</v>
      </c>
      <c r="H648" s="25">
        <v>1994</v>
      </c>
      <c r="I648" s="25" t="s">
        <v>2450</v>
      </c>
      <c r="J648" s="25" t="s">
        <v>2446</v>
      </c>
      <c r="K648" s="48" t="s">
        <v>2447</v>
      </c>
      <c r="L648" s="25" t="s">
        <v>398</v>
      </c>
      <c r="M648" s="25" t="s">
        <v>403</v>
      </c>
      <c r="N648" s="25">
        <v>1</v>
      </c>
      <c r="O648" s="25">
        <v>4</v>
      </c>
      <c r="P648" s="25" t="s">
        <v>1527</v>
      </c>
      <c r="Q648" s="31" t="s">
        <v>3462</v>
      </c>
      <c r="R648" s="31"/>
      <c r="S648" s="31"/>
      <c r="T648" s="31"/>
      <c r="U648" s="31"/>
      <c r="V648" s="31"/>
    </row>
    <row r="649" spans="1:22" x14ac:dyDescent="0.2">
      <c r="A649" s="47" t="s">
        <v>399</v>
      </c>
      <c r="B649" s="47" t="s">
        <v>2239</v>
      </c>
      <c r="C649" s="47" t="s">
        <v>4182</v>
      </c>
      <c r="D649" s="47" t="s">
        <v>1635</v>
      </c>
      <c r="E649" s="47" t="s">
        <v>2444</v>
      </c>
      <c r="F649" s="25">
        <v>5</v>
      </c>
      <c r="G649" s="25" t="s">
        <v>13</v>
      </c>
      <c r="H649" s="25">
        <v>1995</v>
      </c>
      <c r="I649" s="25" t="s">
        <v>2451</v>
      </c>
      <c r="J649" s="25" t="s">
        <v>2446</v>
      </c>
      <c r="K649" s="48" t="s">
        <v>2447</v>
      </c>
      <c r="L649" s="25" t="s">
        <v>398</v>
      </c>
      <c r="M649" s="25" t="s">
        <v>403</v>
      </c>
      <c r="N649" s="25">
        <v>1</v>
      </c>
      <c r="O649" s="25">
        <v>4</v>
      </c>
      <c r="P649" s="25" t="s">
        <v>1527</v>
      </c>
      <c r="Q649" s="31" t="s">
        <v>3462</v>
      </c>
      <c r="R649" s="31"/>
      <c r="S649" s="31"/>
      <c r="T649" s="31"/>
      <c r="U649" s="31"/>
      <c r="V649" s="31"/>
    </row>
    <row r="650" spans="1:22" x14ac:dyDescent="0.2">
      <c r="A650" s="47" t="s">
        <v>399</v>
      </c>
      <c r="B650" s="47" t="s">
        <v>2241</v>
      </c>
      <c r="C650" s="47" t="s">
        <v>4182</v>
      </c>
      <c r="D650" s="47" t="s">
        <v>1635</v>
      </c>
      <c r="E650" s="47" t="s">
        <v>2444</v>
      </c>
      <c r="F650" s="25">
        <v>6</v>
      </c>
      <c r="G650" s="25" t="s">
        <v>49</v>
      </c>
      <c r="H650" s="25">
        <v>1996</v>
      </c>
      <c r="I650" s="25" t="s">
        <v>2452</v>
      </c>
      <c r="J650" s="25" t="s">
        <v>2446</v>
      </c>
      <c r="K650" s="48" t="s">
        <v>2447</v>
      </c>
      <c r="L650" s="25" t="s">
        <v>398</v>
      </c>
      <c r="M650" s="25" t="s">
        <v>403</v>
      </c>
      <c r="N650" s="25">
        <v>1</v>
      </c>
      <c r="O650" s="25">
        <v>4</v>
      </c>
      <c r="P650" s="25" t="s">
        <v>1527</v>
      </c>
      <c r="Q650" s="31" t="s">
        <v>3462</v>
      </c>
      <c r="R650" s="31"/>
      <c r="S650" s="31"/>
      <c r="T650" s="31"/>
      <c r="U650" s="31"/>
      <c r="V650" s="31"/>
    </row>
    <row r="651" spans="1:22" x14ac:dyDescent="0.2">
      <c r="A651" s="47" t="s">
        <v>399</v>
      </c>
      <c r="B651" s="47" t="s">
        <v>2243</v>
      </c>
      <c r="C651" s="47" t="s">
        <v>4182</v>
      </c>
      <c r="D651" s="47" t="s">
        <v>1635</v>
      </c>
      <c r="E651" s="47" t="s">
        <v>2444</v>
      </c>
      <c r="F651" s="25">
        <v>7</v>
      </c>
      <c r="G651" s="25" t="s">
        <v>101</v>
      </c>
      <c r="H651" s="25">
        <v>1997</v>
      </c>
      <c r="I651" s="25" t="s">
        <v>2453</v>
      </c>
      <c r="J651" s="25" t="s">
        <v>2446</v>
      </c>
      <c r="K651" s="48" t="s">
        <v>2447</v>
      </c>
      <c r="L651" s="25" t="s">
        <v>398</v>
      </c>
      <c r="M651" s="25" t="s">
        <v>403</v>
      </c>
      <c r="N651" s="25">
        <v>1</v>
      </c>
      <c r="O651" s="25">
        <v>4</v>
      </c>
      <c r="P651" s="25" t="s">
        <v>1527</v>
      </c>
      <c r="Q651" s="31" t="s">
        <v>3462</v>
      </c>
      <c r="R651" s="31"/>
      <c r="S651" s="31"/>
      <c r="T651" s="31"/>
      <c r="U651" s="31"/>
      <c r="V651" s="31"/>
    </row>
    <row r="652" spans="1:22" x14ac:dyDescent="0.2">
      <c r="A652" s="47" t="s">
        <v>399</v>
      </c>
      <c r="B652" s="47" t="s">
        <v>2245</v>
      </c>
      <c r="C652" s="47" t="s">
        <v>4182</v>
      </c>
      <c r="D652" s="47" t="s">
        <v>1635</v>
      </c>
      <c r="E652" s="47" t="s">
        <v>2444</v>
      </c>
      <c r="F652" s="25">
        <v>8</v>
      </c>
      <c r="G652" s="25" t="s">
        <v>10</v>
      </c>
      <c r="H652" s="25">
        <v>1998</v>
      </c>
      <c r="I652" s="25" t="s">
        <v>2454</v>
      </c>
      <c r="J652" s="25" t="s">
        <v>2446</v>
      </c>
      <c r="K652" s="48" t="s">
        <v>2447</v>
      </c>
      <c r="L652" s="25" t="s">
        <v>398</v>
      </c>
      <c r="M652" s="25" t="s">
        <v>403</v>
      </c>
      <c r="N652" s="25">
        <v>1</v>
      </c>
      <c r="O652" s="25">
        <v>4</v>
      </c>
      <c r="P652" s="25" t="s">
        <v>1527</v>
      </c>
      <c r="Q652" s="31" t="s">
        <v>3462</v>
      </c>
      <c r="R652" s="31"/>
      <c r="S652" s="31"/>
      <c r="T652" s="31"/>
      <c r="U652" s="31"/>
      <c r="V652" s="31"/>
    </row>
    <row r="653" spans="1:22" x14ac:dyDescent="0.2">
      <c r="A653" s="47" t="s">
        <v>399</v>
      </c>
      <c r="B653" s="47" t="s">
        <v>2249</v>
      </c>
      <c r="C653" s="47" t="s">
        <v>4182</v>
      </c>
      <c r="D653" s="47" t="s">
        <v>1635</v>
      </c>
      <c r="E653" s="47" t="s">
        <v>2444</v>
      </c>
      <c r="F653" s="25">
        <v>10</v>
      </c>
      <c r="G653" s="25" t="s">
        <v>98</v>
      </c>
      <c r="H653" s="25">
        <v>2000</v>
      </c>
      <c r="I653" s="25" t="s">
        <v>2455</v>
      </c>
      <c r="J653" s="25" t="s">
        <v>2446</v>
      </c>
      <c r="K653" s="48" t="s">
        <v>2447</v>
      </c>
      <c r="L653" s="25" t="s">
        <v>398</v>
      </c>
      <c r="M653" s="25" t="s">
        <v>403</v>
      </c>
      <c r="N653" s="25">
        <v>1</v>
      </c>
      <c r="O653" s="25">
        <v>4</v>
      </c>
      <c r="P653" s="25" t="s">
        <v>1527</v>
      </c>
      <c r="Q653" s="31" t="s">
        <v>3462</v>
      </c>
      <c r="R653" s="31"/>
      <c r="S653" s="31"/>
      <c r="T653" s="31"/>
      <c r="U653" s="31"/>
      <c r="V653" s="31"/>
    </row>
    <row r="654" spans="1:22" x14ac:dyDescent="0.2">
      <c r="A654" s="47" t="s">
        <v>399</v>
      </c>
      <c r="B654" s="47" t="s">
        <v>2251</v>
      </c>
      <c r="C654" s="47" t="s">
        <v>4182</v>
      </c>
      <c r="D654" s="47" t="s">
        <v>1635</v>
      </c>
      <c r="E654" s="47" t="s">
        <v>2444</v>
      </c>
      <c r="F654" s="25">
        <v>11</v>
      </c>
      <c r="G654" s="25" t="s">
        <v>104</v>
      </c>
      <c r="H654" s="25">
        <v>2001</v>
      </c>
      <c r="I654" s="25" t="s">
        <v>2456</v>
      </c>
      <c r="J654" s="25" t="s">
        <v>2446</v>
      </c>
      <c r="K654" s="48" t="s">
        <v>2447</v>
      </c>
      <c r="L654" s="25" t="s">
        <v>398</v>
      </c>
      <c r="M654" s="25" t="s">
        <v>403</v>
      </c>
      <c r="N654" s="25">
        <v>1</v>
      </c>
      <c r="O654" s="25">
        <v>4</v>
      </c>
      <c r="P654" s="25" t="s">
        <v>1527</v>
      </c>
      <c r="Q654" s="31" t="s">
        <v>3462</v>
      </c>
      <c r="R654" s="31"/>
      <c r="S654" s="31"/>
      <c r="T654" s="31"/>
      <c r="U654" s="31"/>
      <c r="V654" s="31"/>
    </row>
    <row r="655" spans="1:22" x14ac:dyDescent="0.2">
      <c r="A655" s="47" t="s">
        <v>399</v>
      </c>
      <c r="B655" s="47" t="s">
        <v>2253</v>
      </c>
      <c r="C655" s="47" t="s">
        <v>4182</v>
      </c>
      <c r="D655" s="47" t="s">
        <v>1635</v>
      </c>
      <c r="E655" s="47" t="s">
        <v>2444</v>
      </c>
      <c r="F655" s="25">
        <v>12</v>
      </c>
      <c r="G655" s="25" t="s">
        <v>89</v>
      </c>
      <c r="H655" s="25">
        <v>2002</v>
      </c>
      <c r="I655" s="25" t="s">
        <v>2457</v>
      </c>
      <c r="J655" s="25" t="s">
        <v>2446</v>
      </c>
      <c r="K655" s="48" t="s">
        <v>2447</v>
      </c>
      <c r="L655" s="25" t="s">
        <v>398</v>
      </c>
      <c r="M655" s="25" t="s">
        <v>403</v>
      </c>
      <c r="N655" s="25">
        <v>1</v>
      </c>
      <c r="O655" s="25">
        <v>4</v>
      </c>
      <c r="P655" s="25" t="s">
        <v>1527</v>
      </c>
      <c r="Q655" s="31" t="s">
        <v>3462</v>
      </c>
      <c r="R655" s="31"/>
      <c r="S655" s="31"/>
      <c r="T655" s="31"/>
      <c r="U655" s="31"/>
      <c r="V655" s="31"/>
    </row>
    <row r="656" spans="1:22" x14ac:dyDescent="0.2">
      <c r="A656" s="47" t="s">
        <v>399</v>
      </c>
      <c r="B656" s="47" t="s">
        <v>2255</v>
      </c>
      <c r="C656" s="47" t="s">
        <v>4182</v>
      </c>
      <c r="D656" s="47" t="s">
        <v>1635</v>
      </c>
      <c r="E656" s="47" t="s">
        <v>2444</v>
      </c>
      <c r="F656" s="25">
        <v>13</v>
      </c>
      <c r="G656" s="25" t="s">
        <v>107</v>
      </c>
      <c r="H656" s="25">
        <v>2003</v>
      </c>
      <c r="I656" s="25" t="s">
        <v>2458</v>
      </c>
      <c r="J656" s="25" t="s">
        <v>2446</v>
      </c>
      <c r="K656" s="48" t="s">
        <v>2447</v>
      </c>
      <c r="L656" s="25" t="s">
        <v>398</v>
      </c>
      <c r="M656" s="25" t="s">
        <v>403</v>
      </c>
      <c r="N656" s="25">
        <v>1</v>
      </c>
      <c r="O656" s="25">
        <v>4</v>
      </c>
      <c r="P656" s="25" t="s">
        <v>1527</v>
      </c>
      <c r="Q656" s="31" t="s">
        <v>3462</v>
      </c>
      <c r="R656" s="31"/>
      <c r="S656" s="31"/>
      <c r="T656" s="31"/>
      <c r="U656" s="31"/>
      <c r="V656" s="31"/>
    </row>
    <row r="657" spans="1:22" x14ac:dyDescent="0.2">
      <c r="A657" s="47" t="s">
        <v>399</v>
      </c>
      <c r="B657" s="47" t="s">
        <v>2257</v>
      </c>
      <c r="C657" s="47" t="s">
        <v>4182</v>
      </c>
      <c r="D657" s="47" t="s">
        <v>1635</v>
      </c>
      <c r="E657" s="47" t="s">
        <v>2444</v>
      </c>
      <c r="F657" s="25">
        <v>14</v>
      </c>
      <c r="G657" s="25" t="s">
        <v>43</v>
      </c>
      <c r="H657" s="25">
        <v>2004</v>
      </c>
      <c r="I657" s="25" t="s">
        <v>2459</v>
      </c>
      <c r="J657" s="25" t="s">
        <v>2446</v>
      </c>
      <c r="K657" s="48" t="s">
        <v>2447</v>
      </c>
      <c r="L657" s="25" t="s">
        <v>398</v>
      </c>
      <c r="M657" s="25" t="s">
        <v>403</v>
      </c>
      <c r="N657" s="25">
        <v>1</v>
      </c>
      <c r="O657" s="25">
        <v>4</v>
      </c>
      <c r="P657" s="25" t="s">
        <v>1527</v>
      </c>
      <c r="Q657" s="31" t="s">
        <v>3462</v>
      </c>
      <c r="R657" s="31"/>
      <c r="S657" s="31"/>
      <c r="T657" s="31"/>
      <c r="U657" s="31"/>
      <c r="V657" s="31"/>
    </row>
    <row r="658" spans="1:22" x14ac:dyDescent="0.2">
      <c r="A658" s="47" t="s">
        <v>399</v>
      </c>
      <c r="B658" s="47" t="s">
        <v>2259</v>
      </c>
      <c r="C658" s="47" t="s">
        <v>4182</v>
      </c>
      <c r="D658" s="47" t="s">
        <v>1635</v>
      </c>
      <c r="E658" s="47" t="s">
        <v>2444</v>
      </c>
      <c r="F658" s="25">
        <v>15</v>
      </c>
      <c r="G658" s="25" t="s">
        <v>19</v>
      </c>
      <c r="H658" s="25">
        <v>2005</v>
      </c>
      <c r="I658" s="25" t="s">
        <v>2460</v>
      </c>
      <c r="J658" s="25" t="s">
        <v>2446</v>
      </c>
      <c r="K658" s="48" t="s">
        <v>2447</v>
      </c>
      <c r="L658" s="25" t="s">
        <v>398</v>
      </c>
      <c r="M658" s="25" t="s">
        <v>403</v>
      </c>
      <c r="N658" s="25">
        <v>1</v>
      </c>
      <c r="O658" s="25">
        <v>4</v>
      </c>
      <c r="P658" s="25" t="s">
        <v>1527</v>
      </c>
      <c r="Q658" s="31" t="s">
        <v>3462</v>
      </c>
      <c r="R658" s="31"/>
      <c r="S658" s="31"/>
      <c r="T658" s="31"/>
      <c r="U658" s="31"/>
      <c r="V658" s="31"/>
    </row>
    <row r="659" spans="1:22" x14ac:dyDescent="0.2">
      <c r="A659" s="47" t="s">
        <v>399</v>
      </c>
      <c r="B659" s="47" t="s">
        <v>2261</v>
      </c>
      <c r="C659" s="47" t="s">
        <v>4182</v>
      </c>
      <c r="D659" s="47" t="s">
        <v>1635</v>
      </c>
      <c r="E659" s="47" t="s">
        <v>2444</v>
      </c>
      <c r="F659" s="25">
        <v>16</v>
      </c>
      <c r="G659" s="25" t="s">
        <v>25</v>
      </c>
      <c r="H659" s="25">
        <v>2006</v>
      </c>
      <c r="I659" s="25" t="s">
        <v>2461</v>
      </c>
      <c r="J659" s="25" t="s">
        <v>2446</v>
      </c>
      <c r="K659" s="48" t="s">
        <v>2447</v>
      </c>
      <c r="L659" s="25" t="s">
        <v>398</v>
      </c>
      <c r="M659" s="25" t="s">
        <v>403</v>
      </c>
      <c r="N659" s="25">
        <v>1</v>
      </c>
      <c r="O659" s="25">
        <v>4</v>
      </c>
      <c r="P659" s="25" t="s">
        <v>1527</v>
      </c>
      <c r="Q659" s="31" t="s">
        <v>3462</v>
      </c>
      <c r="R659" s="31"/>
      <c r="S659" s="31"/>
      <c r="T659" s="31"/>
      <c r="U659" s="31"/>
      <c r="V659" s="31"/>
    </row>
    <row r="660" spans="1:22" x14ac:dyDescent="0.2">
      <c r="A660" s="47" t="s">
        <v>399</v>
      </c>
      <c r="B660" s="47" t="s">
        <v>2263</v>
      </c>
      <c r="C660" s="47" t="s">
        <v>4182</v>
      </c>
      <c r="D660" s="47" t="s">
        <v>1635</v>
      </c>
      <c r="E660" s="47" t="s">
        <v>2444</v>
      </c>
      <c r="F660" s="25">
        <v>17</v>
      </c>
      <c r="G660" s="25" t="s">
        <v>73</v>
      </c>
      <c r="H660" s="25">
        <v>2007</v>
      </c>
      <c r="I660" s="25" t="s">
        <v>2462</v>
      </c>
      <c r="J660" s="25" t="s">
        <v>2446</v>
      </c>
      <c r="K660" s="48" t="s">
        <v>2447</v>
      </c>
      <c r="L660" s="25" t="s">
        <v>398</v>
      </c>
      <c r="M660" s="25" t="s">
        <v>403</v>
      </c>
      <c r="N660" s="25">
        <v>1</v>
      </c>
      <c r="O660" s="25">
        <v>4</v>
      </c>
      <c r="P660" s="25" t="s">
        <v>1527</v>
      </c>
      <c r="Q660" s="31" t="s">
        <v>3462</v>
      </c>
      <c r="R660" s="31"/>
      <c r="S660" s="31"/>
      <c r="T660" s="31"/>
      <c r="U660" s="31"/>
      <c r="V660" s="31"/>
    </row>
    <row r="661" spans="1:22" x14ac:dyDescent="0.2">
      <c r="A661" s="47" t="s">
        <v>399</v>
      </c>
      <c r="B661" s="47" t="s">
        <v>2265</v>
      </c>
      <c r="C661" s="47" t="s">
        <v>4182</v>
      </c>
      <c r="D661" s="47" t="s">
        <v>1635</v>
      </c>
      <c r="E661" s="47" t="s">
        <v>2444</v>
      </c>
      <c r="F661" s="25">
        <v>18</v>
      </c>
      <c r="G661" s="25" t="s">
        <v>58</v>
      </c>
      <c r="H661" s="25">
        <v>2008</v>
      </c>
      <c r="I661" s="25" t="s">
        <v>2463</v>
      </c>
      <c r="J661" s="25" t="s">
        <v>2446</v>
      </c>
      <c r="K661" s="48" t="s">
        <v>2447</v>
      </c>
      <c r="L661" s="25" t="s">
        <v>398</v>
      </c>
      <c r="M661" s="25" t="s">
        <v>403</v>
      </c>
      <c r="N661" s="25">
        <v>1</v>
      </c>
      <c r="O661" s="25">
        <v>4</v>
      </c>
      <c r="P661" s="25" t="s">
        <v>1527</v>
      </c>
      <c r="Q661" s="31" t="s">
        <v>3462</v>
      </c>
      <c r="R661" s="31"/>
      <c r="S661" s="31"/>
      <c r="T661" s="31"/>
      <c r="U661" s="31"/>
      <c r="V661" s="31"/>
    </row>
    <row r="662" spans="1:22" x14ac:dyDescent="0.2">
      <c r="A662" s="47" t="s">
        <v>399</v>
      </c>
      <c r="B662" s="47" t="s">
        <v>2227</v>
      </c>
      <c r="C662" s="47" t="s">
        <v>4182</v>
      </c>
      <c r="D662" s="47" t="s">
        <v>1635</v>
      </c>
      <c r="E662" s="47" t="s">
        <v>2464</v>
      </c>
      <c r="F662" s="25">
        <v>1</v>
      </c>
      <c r="G662" s="25" t="s">
        <v>40</v>
      </c>
      <c r="H662" s="25">
        <v>1991</v>
      </c>
      <c r="I662" s="25" t="s">
        <v>2465</v>
      </c>
      <c r="J662" s="25" t="s">
        <v>2466</v>
      </c>
      <c r="K662" s="48" t="s">
        <v>2427</v>
      </c>
      <c r="L662" s="25" t="s">
        <v>398</v>
      </c>
      <c r="M662" s="25" t="s">
        <v>403</v>
      </c>
      <c r="N662" s="25">
        <v>1</v>
      </c>
      <c r="O662" s="25">
        <v>4</v>
      </c>
      <c r="P662" s="25" t="s">
        <v>1527</v>
      </c>
      <c r="Q662" s="31" t="s">
        <v>3462</v>
      </c>
      <c r="R662" s="31"/>
      <c r="S662" s="31"/>
      <c r="T662" s="31"/>
      <c r="U662" s="31"/>
      <c r="V662" s="31"/>
    </row>
    <row r="663" spans="1:22" x14ac:dyDescent="0.2">
      <c r="A663" s="47" t="s">
        <v>399</v>
      </c>
      <c r="B663" s="47" t="s">
        <v>2233</v>
      </c>
      <c r="C663" s="47" t="s">
        <v>4182</v>
      </c>
      <c r="D663" s="47" t="s">
        <v>1635</v>
      </c>
      <c r="E663" s="47" t="s">
        <v>2464</v>
      </c>
      <c r="F663" s="25">
        <v>2</v>
      </c>
      <c r="G663" s="25" t="s">
        <v>37</v>
      </c>
      <c r="H663" s="25">
        <v>1992</v>
      </c>
      <c r="I663" s="25" t="s">
        <v>2467</v>
      </c>
      <c r="J663" s="25" t="s">
        <v>2466</v>
      </c>
      <c r="K663" s="48" t="s">
        <v>2427</v>
      </c>
      <c r="L663" s="25" t="s">
        <v>398</v>
      </c>
      <c r="M663" s="25" t="s">
        <v>403</v>
      </c>
      <c r="N663" s="25">
        <v>1</v>
      </c>
      <c r="O663" s="25">
        <v>4</v>
      </c>
      <c r="P663" s="25" t="s">
        <v>1527</v>
      </c>
      <c r="Q663" s="31" t="s">
        <v>3462</v>
      </c>
      <c r="R663" s="31"/>
      <c r="S663" s="31"/>
      <c r="T663" s="31"/>
      <c r="U663" s="31"/>
      <c r="V663" s="31"/>
    </row>
    <row r="664" spans="1:22" x14ac:dyDescent="0.2">
      <c r="A664" s="47" t="s">
        <v>399</v>
      </c>
      <c r="B664" s="47" t="s">
        <v>2235</v>
      </c>
      <c r="C664" s="47" t="s">
        <v>4182</v>
      </c>
      <c r="D664" s="47" t="s">
        <v>1635</v>
      </c>
      <c r="E664" s="47" t="s">
        <v>2464</v>
      </c>
      <c r="F664" s="25">
        <v>3</v>
      </c>
      <c r="G664" s="25" t="s">
        <v>80</v>
      </c>
      <c r="H664" s="25">
        <v>1993</v>
      </c>
      <c r="I664" s="25" t="s">
        <v>2468</v>
      </c>
      <c r="J664" s="25" t="s">
        <v>2466</v>
      </c>
      <c r="K664" s="48" t="s">
        <v>2427</v>
      </c>
      <c r="L664" s="25" t="s">
        <v>398</v>
      </c>
      <c r="M664" s="25" t="s">
        <v>403</v>
      </c>
      <c r="N664" s="25">
        <v>1</v>
      </c>
      <c r="O664" s="25">
        <v>4</v>
      </c>
      <c r="P664" s="25" t="s">
        <v>1527</v>
      </c>
      <c r="Q664" s="31" t="s">
        <v>3462</v>
      </c>
      <c r="R664" s="31"/>
      <c r="S664" s="31"/>
      <c r="T664" s="31"/>
      <c r="U664" s="31"/>
      <c r="V664" s="31"/>
    </row>
    <row r="665" spans="1:22" x14ac:dyDescent="0.2">
      <c r="A665" s="47" t="s">
        <v>399</v>
      </c>
      <c r="B665" s="47" t="s">
        <v>2237</v>
      </c>
      <c r="C665" s="47" t="s">
        <v>4182</v>
      </c>
      <c r="D665" s="47" t="s">
        <v>1635</v>
      </c>
      <c r="E665" s="47" t="s">
        <v>2464</v>
      </c>
      <c r="F665" s="25">
        <v>4</v>
      </c>
      <c r="G665" s="25" t="s">
        <v>31</v>
      </c>
      <c r="H665" s="25">
        <v>1994</v>
      </c>
      <c r="I665" s="25" t="s">
        <v>2469</v>
      </c>
      <c r="J665" s="25" t="s">
        <v>2466</v>
      </c>
      <c r="K665" s="48" t="s">
        <v>2427</v>
      </c>
      <c r="L665" s="25" t="s">
        <v>398</v>
      </c>
      <c r="M665" s="25" t="s">
        <v>403</v>
      </c>
      <c r="N665" s="25">
        <v>1</v>
      </c>
      <c r="O665" s="25">
        <v>4</v>
      </c>
      <c r="P665" s="25" t="s">
        <v>1527</v>
      </c>
      <c r="Q665" s="31" t="s">
        <v>3462</v>
      </c>
      <c r="R665" s="31"/>
      <c r="S665" s="31"/>
      <c r="T665" s="31"/>
      <c r="U665" s="31"/>
      <c r="V665" s="31"/>
    </row>
    <row r="666" spans="1:22" x14ac:dyDescent="0.2">
      <c r="A666" s="47" t="s">
        <v>399</v>
      </c>
      <c r="B666" s="47" t="s">
        <v>2239</v>
      </c>
      <c r="C666" s="47" t="s">
        <v>4182</v>
      </c>
      <c r="D666" s="47" t="s">
        <v>1635</v>
      </c>
      <c r="E666" s="47" t="s">
        <v>2464</v>
      </c>
      <c r="F666" s="25">
        <v>5</v>
      </c>
      <c r="G666" s="25" t="s">
        <v>13</v>
      </c>
      <c r="H666" s="25">
        <v>1995</v>
      </c>
      <c r="I666" s="25" t="s">
        <v>2470</v>
      </c>
      <c r="J666" s="25" t="s">
        <v>2466</v>
      </c>
      <c r="K666" s="48" t="s">
        <v>2427</v>
      </c>
      <c r="L666" s="25" t="s">
        <v>398</v>
      </c>
      <c r="M666" s="25" t="s">
        <v>403</v>
      </c>
      <c r="N666" s="25">
        <v>1</v>
      </c>
      <c r="O666" s="25">
        <v>4</v>
      </c>
      <c r="P666" s="25" t="s">
        <v>1527</v>
      </c>
      <c r="Q666" s="31" t="s">
        <v>3462</v>
      </c>
      <c r="R666" s="31"/>
      <c r="S666" s="31"/>
      <c r="T666" s="31"/>
      <c r="U666" s="31"/>
      <c r="V666" s="31"/>
    </row>
    <row r="667" spans="1:22" x14ac:dyDescent="0.2">
      <c r="A667" s="47" t="s">
        <v>399</v>
      </c>
      <c r="B667" s="47" t="s">
        <v>2241</v>
      </c>
      <c r="C667" s="47" t="s">
        <v>4182</v>
      </c>
      <c r="D667" s="47" t="s">
        <v>1635</v>
      </c>
      <c r="E667" s="47" t="s">
        <v>2464</v>
      </c>
      <c r="F667" s="25">
        <v>6</v>
      </c>
      <c r="G667" s="25" t="s">
        <v>49</v>
      </c>
      <c r="H667" s="25">
        <v>1996</v>
      </c>
      <c r="I667" s="25" t="s">
        <v>2471</v>
      </c>
      <c r="J667" s="25" t="s">
        <v>2466</v>
      </c>
      <c r="K667" s="48" t="s">
        <v>2427</v>
      </c>
      <c r="L667" s="25" t="s">
        <v>398</v>
      </c>
      <c r="M667" s="25" t="s">
        <v>403</v>
      </c>
      <c r="N667" s="25">
        <v>1</v>
      </c>
      <c r="O667" s="25">
        <v>4</v>
      </c>
      <c r="P667" s="25" t="s">
        <v>1527</v>
      </c>
      <c r="Q667" s="31" t="s">
        <v>3462</v>
      </c>
      <c r="R667" s="31"/>
      <c r="S667" s="31"/>
      <c r="T667" s="31"/>
      <c r="U667" s="31"/>
      <c r="V667" s="31"/>
    </row>
    <row r="668" spans="1:22" x14ac:dyDescent="0.2">
      <c r="A668" s="47" t="s">
        <v>399</v>
      </c>
      <c r="B668" s="47" t="s">
        <v>2243</v>
      </c>
      <c r="C668" s="47" t="s">
        <v>4182</v>
      </c>
      <c r="D668" s="47" t="s">
        <v>1635</v>
      </c>
      <c r="E668" s="47" t="s">
        <v>2464</v>
      </c>
      <c r="F668" s="25">
        <v>7</v>
      </c>
      <c r="G668" s="25" t="s">
        <v>101</v>
      </c>
      <c r="H668" s="25">
        <v>1997</v>
      </c>
      <c r="I668" s="25" t="s">
        <v>2472</v>
      </c>
      <c r="J668" s="25" t="s">
        <v>2466</v>
      </c>
      <c r="K668" s="48" t="s">
        <v>2427</v>
      </c>
      <c r="L668" s="25" t="s">
        <v>398</v>
      </c>
      <c r="M668" s="25" t="s">
        <v>403</v>
      </c>
      <c r="N668" s="25">
        <v>1</v>
      </c>
      <c r="O668" s="25">
        <v>4</v>
      </c>
      <c r="P668" s="25" t="s">
        <v>1527</v>
      </c>
      <c r="Q668" s="31" t="s">
        <v>3462</v>
      </c>
      <c r="R668" s="31"/>
      <c r="S668" s="31"/>
      <c r="T668" s="31"/>
      <c r="U668" s="31"/>
      <c r="V668" s="31"/>
    </row>
    <row r="669" spans="1:22" x14ac:dyDescent="0.2">
      <c r="A669" s="47" t="s">
        <v>399</v>
      </c>
      <c r="B669" s="47" t="s">
        <v>2245</v>
      </c>
      <c r="C669" s="47" t="s">
        <v>4182</v>
      </c>
      <c r="D669" s="47" t="s">
        <v>1635</v>
      </c>
      <c r="E669" s="47" t="s">
        <v>2464</v>
      </c>
      <c r="F669" s="25">
        <v>8</v>
      </c>
      <c r="G669" s="25" t="s">
        <v>10</v>
      </c>
      <c r="H669" s="25">
        <v>1998</v>
      </c>
      <c r="I669" s="25" t="s">
        <v>2473</v>
      </c>
      <c r="J669" s="25" t="s">
        <v>2466</v>
      </c>
      <c r="K669" s="48" t="s">
        <v>2427</v>
      </c>
      <c r="L669" s="25" t="s">
        <v>398</v>
      </c>
      <c r="M669" s="25" t="s">
        <v>403</v>
      </c>
      <c r="N669" s="25">
        <v>1</v>
      </c>
      <c r="O669" s="25">
        <v>4</v>
      </c>
      <c r="P669" s="25" t="s">
        <v>1527</v>
      </c>
      <c r="Q669" s="31" t="s">
        <v>3462</v>
      </c>
      <c r="R669" s="31"/>
      <c r="S669" s="31"/>
      <c r="T669" s="31"/>
      <c r="U669" s="31"/>
      <c r="V669" s="31"/>
    </row>
    <row r="670" spans="1:22" x14ac:dyDescent="0.2">
      <c r="A670" s="47" t="s">
        <v>399</v>
      </c>
      <c r="B670" s="47" t="s">
        <v>2249</v>
      </c>
      <c r="C670" s="47" t="s">
        <v>4182</v>
      </c>
      <c r="D670" s="47" t="s">
        <v>1635</v>
      </c>
      <c r="E670" s="47" t="s">
        <v>2464</v>
      </c>
      <c r="F670" s="25">
        <v>10</v>
      </c>
      <c r="G670" s="25" t="s">
        <v>98</v>
      </c>
      <c r="H670" s="25">
        <v>2000</v>
      </c>
      <c r="I670" s="25" t="s">
        <v>2474</v>
      </c>
      <c r="J670" s="25" t="s">
        <v>2466</v>
      </c>
      <c r="K670" s="48" t="s">
        <v>2427</v>
      </c>
      <c r="L670" s="25" t="s">
        <v>398</v>
      </c>
      <c r="M670" s="25" t="s">
        <v>403</v>
      </c>
      <c r="N670" s="25">
        <v>1</v>
      </c>
      <c r="O670" s="25">
        <v>4</v>
      </c>
      <c r="P670" s="25" t="s">
        <v>1527</v>
      </c>
      <c r="Q670" s="31" t="s">
        <v>3462</v>
      </c>
      <c r="R670" s="31"/>
      <c r="S670" s="31"/>
      <c r="T670" s="31"/>
      <c r="U670" s="31"/>
      <c r="V670" s="31"/>
    </row>
    <row r="671" spans="1:22" x14ac:dyDescent="0.2">
      <c r="A671" s="47" t="s">
        <v>399</v>
      </c>
      <c r="B671" s="47" t="s">
        <v>2251</v>
      </c>
      <c r="C671" s="47" t="s">
        <v>4182</v>
      </c>
      <c r="D671" s="47" t="s">
        <v>1635</v>
      </c>
      <c r="E671" s="47" t="s">
        <v>2464</v>
      </c>
      <c r="F671" s="25">
        <v>11</v>
      </c>
      <c r="G671" s="25" t="s">
        <v>104</v>
      </c>
      <c r="H671" s="25">
        <v>2001</v>
      </c>
      <c r="I671" s="25" t="s">
        <v>2475</v>
      </c>
      <c r="J671" s="25" t="s">
        <v>2466</v>
      </c>
      <c r="K671" s="48" t="s">
        <v>2427</v>
      </c>
      <c r="L671" s="25" t="s">
        <v>398</v>
      </c>
      <c r="M671" s="25" t="s">
        <v>403</v>
      </c>
      <c r="N671" s="25">
        <v>1</v>
      </c>
      <c r="O671" s="25">
        <v>4</v>
      </c>
      <c r="P671" s="25" t="s">
        <v>1527</v>
      </c>
      <c r="Q671" s="31" t="s">
        <v>3462</v>
      </c>
      <c r="R671" s="31"/>
      <c r="S671" s="31"/>
      <c r="T671" s="31"/>
      <c r="U671" s="31"/>
      <c r="V671" s="31"/>
    </row>
    <row r="672" spans="1:22" x14ac:dyDescent="0.2">
      <c r="A672" s="47" t="s">
        <v>399</v>
      </c>
      <c r="B672" s="47" t="s">
        <v>2253</v>
      </c>
      <c r="C672" s="47" t="s">
        <v>4182</v>
      </c>
      <c r="D672" s="47" t="s">
        <v>1635</v>
      </c>
      <c r="E672" s="47" t="s">
        <v>2464</v>
      </c>
      <c r="F672" s="25">
        <v>12</v>
      </c>
      <c r="G672" s="25" t="s">
        <v>89</v>
      </c>
      <c r="H672" s="25">
        <v>2002</v>
      </c>
      <c r="I672" s="25" t="s">
        <v>2476</v>
      </c>
      <c r="J672" s="25" t="s">
        <v>2466</v>
      </c>
      <c r="K672" s="48" t="s">
        <v>2427</v>
      </c>
      <c r="L672" s="25" t="s">
        <v>398</v>
      </c>
      <c r="M672" s="25" t="s">
        <v>403</v>
      </c>
      <c r="N672" s="25">
        <v>1</v>
      </c>
      <c r="O672" s="25">
        <v>4</v>
      </c>
      <c r="P672" s="25" t="s">
        <v>1527</v>
      </c>
      <c r="Q672" s="31" t="s">
        <v>3462</v>
      </c>
      <c r="R672" s="31"/>
      <c r="S672" s="31"/>
      <c r="T672" s="31"/>
      <c r="U672" s="31"/>
      <c r="V672" s="31"/>
    </row>
    <row r="673" spans="1:22" x14ac:dyDescent="0.2">
      <c r="A673" s="47" t="s">
        <v>399</v>
      </c>
      <c r="B673" s="47" t="s">
        <v>2255</v>
      </c>
      <c r="C673" s="47" t="s">
        <v>4182</v>
      </c>
      <c r="D673" s="47" t="s">
        <v>1635</v>
      </c>
      <c r="E673" s="47" t="s">
        <v>2464</v>
      </c>
      <c r="F673" s="25">
        <v>13</v>
      </c>
      <c r="G673" s="25" t="s">
        <v>107</v>
      </c>
      <c r="H673" s="25">
        <v>2003</v>
      </c>
      <c r="I673" s="25" t="s">
        <v>2477</v>
      </c>
      <c r="J673" s="25" t="s">
        <v>2466</v>
      </c>
      <c r="K673" s="48" t="s">
        <v>2427</v>
      </c>
      <c r="L673" s="25" t="s">
        <v>398</v>
      </c>
      <c r="M673" s="25" t="s">
        <v>403</v>
      </c>
      <c r="N673" s="25">
        <v>1</v>
      </c>
      <c r="O673" s="25">
        <v>4</v>
      </c>
      <c r="P673" s="25" t="s">
        <v>1527</v>
      </c>
      <c r="Q673" s="31" t="s">
        <v>3462</v>
      </c>
      <c r="R673" s="31"/>
      <c r="S673" s="31"/>
      <c r="T673" s="31"/>
      <c r="U673" s="31"/>
      <c r="V673" s="31"/>
    </row>
    <row r="674" spans="1:22" x14ac:dyDescent="0.2">
      <c r="A674" s="47" t="s">
        <v>399</v>
      </c>
      <c r="B674" s="47" t="s">
        <v>2257</v>
      </c>
      <c r="C674" s="47" t="s">
        <v>4182</v>
      </c>
      <c r="D674" s="47" t="s">
        <v>1635</v>
      </c>
      <c r="E674" s="47" t="s">
        <v>2464</v>
      </c>
      <c r="F674" s="25">
        <v>14</v>
      </c>
      <c r="G674" s="25" t="s">
        <v>43</v>
      </c>
      <c r="H674" s="25">
        <v>2004</v>
      </c>
      <c r="I674" s="25" t="s">
        <v>2478</v>
      </c>
      <c r="J674" s="25" t="s">
        <v>2466</v>
      </c>
      <c r="K674" s="48" t="s">
        <v>2427</v>
      </c>
      <c r="L674" s="25" t="s">
        <v>398</v>
      </c>
      <c r="M674" s="25" t="s">
        <v>403</v>
      </c>
      <c r="N674" s="25">
        <v>1</v>
      </c>
      <c r="O674" s="25">
        <v>4</v>
      </c>
      <c r="P674" s="25" t="s">
        <v>1527</v>
      </c>
      <c r="Q674" s="31" t="s">
        <v>3462</v>
      </c>
      <c r="R674" s="31"/>
      <c r="S674" s="31"/>
      <c r="T674" s="31"/>
      <c r="U674" s="31"/>
      <c r="V674" s="31"/>
    </row>
    <row r="675" spans="1:22" x14ac:dyDescent="0.2">
      <c r="A675" s="47" t="s">
        <v>399</v>
      </c>
      <c r="B675" s="47" t="s">
        <v>2259</v>
      </c>
      <c r="C675" s="47" t="s">
        <v>4182</v>
      </c>
      <c r="D675" s="47" t="s">
        <v>1635</v>
      </c>
      <c r="E675" s="47" t="s">
        <v>2464</v>
      </c>
      <c r="F675" s="25">
        <v>15</v>
      </c>
      <c r="G675" s="25" t="s">
        <v>19</v>
      </c>
      <c r="H675" s="25">
        <v>2005</v>
      </c>
      <c r="I675" s="25" t="s">
        <v>2479</v>
      </c>
      <c r="J675" s="25" t="s">
        <v>2466</v>
      </c>
      <c r="K675" s="48" t="s">
        <v>2427</v>
      </c>
      <c r="L675" s="25" t="s">
        <v>398</v>
      </c>
      <c r="M675" s="25" t="s">
        <v>403</v>
      </c>
      <c r="N675" s="25">
        <v>1</v>
      </c>
      <c r="O675" s="25">
        <v>4</v>
      </c>
      <c r="P675" s="25" t="s">
        <v>1527</v>
      </c>
      <c r="Q675" s="31" t="s">
        <v>3462</v>
      </c>
      <c r="R675" s="31"/>
      <c r="S675" s="31"/>
      <c r="T675" s="31"/>
      <c r="U675" s="31"/>
      <c r="V675" s="31"/>
    </row>
    <row r="676" spans="1:22" x14ac:dyDescent="0.2">
      <c r="A676" s="47" t="s">
        <v>399</v>
      </c>
      <c r="B676" s="47" t="s">
        <v>2261</v>
      </c>
      <c r="C676" s="47" t="s">
        <v>4182</v>
      </c>
      <c r="D676" s="47" t="s">
        <v>1635</v>
      </c>
      <c r="E676" s="47" t="s">
        <v>2464</v>
      </c>
      <c r="F676" s="25">
        <v>16</v>
      </c>
      <c r="G676" s="25" t="s">
        <v>25</v>
      </c>
      <c r="H676" s="25">
        <v>2006</v>
      </c>
      <c r="I676" s="25" t="s">
        <v>2480</v>
      </c>
      <c r="J676" s="25" t="s">
        <v>2466</v>
      </c>
      <c r="K676" s="48" t="s">
        <v>2427</v>
      </c>
      <c r="L676" s="25" t="s">
        <v>398</v>
      </c>
      <c r="M676" s="25" t="s">
        <v>403</v>
      </c>
      <c r="N676" s="25">
        <v>1</v>
      </c>
      <c r="O676" s="25">
        <v>4</v>
      </c>
      <c r="P676" s="25" t="s">
        <v>1527</v>
      </c>
      <c r="Q676" s="31" t="s">
        <v>3462</v>
      </c>
      <c r="R676" s="31"/>
      <c r="S676" s="31"/>
      <c r="T676" s="31"/>
      <c r="U676" s="31"/>
      <c r="V676" s="31"/>
    </row>
    <row r="677" spans="1:22" x14ac:dyDescent="0.2">
      <c r="A677" s="47" t="s">
        <v>399</v>
      </c>
      <c r="B677" s="47" t="s">
        <v>2263</v>
      </c>
      <c r="C677" s="47" t="s">
        <v>4182</v>
      </c>
      <c r="D677" s="47" t="s">
        <v>1635</v>
      </c>
      <c r="E677" s="47" t="s">
        <v>2464</v>
      </c>
      <c r="F677" s="25">
        <v>17</v>
      </c>
      <c r="G677" s="25" t="s">
        <v>73</v>
      </c>
      <c r="H677" s="25">
        <v>2007</v>
      </c>
      <c r="I677" s="25" t="s">
        <v>2481</v>
      </c>
      <c r="J677" s="25" t="s">
        <v>2466</v>
      </c>
      <c r="K677" s="48" t="s">
        <v>2427</v>
      </c>
      <c r="L677" s="25" t="s">
        <v>398</v>
      </c>
      <c r="M677" s="25" t="s">
        <v>403</v>
      </c>
      <c r="N677" s="25">
        <v>1</v>
      </c>
      <c r="O677" s="25">
        <v>4</v>
      </c>
      <c r="P677" s="25" t="s">
        <v>1527</v>
      </c>
      <c r="Q677" s="31" t="s">
        <v>3462</v>
      </c>
      <c r="R677" s="31"/>
      <c r="S677" s="31"/>
      <c r="T677" s="31"/>
      <c r="U677" s="31"/>
      <c r="V677" s="31"/>
    </row>
    <row r="678" spans="1:22" x14ac:dyDescent="0.2">
      <c r="A678" s="47" t="s">
        <v>399</v>
      </c>
      <c r="B678" s="47" t="s">
        <v>2265</v>
      </c>
      <c r="C678" s="47" t="s">
        <v>4182</v>
      </c>
      <c r="D678" s="47" t="s">
        <v>1635</v>
      </c>
      <c r="E678" s="47" t="s">
        <v>2464</v>
      </c>
      <c r="F678" s="25">
        <v>18</v>
      </c>
      <c r="G678" s="25" t="s">
        <v>58</v>
      </c>
      <c r="H678" s="25">
        <v>2008</v>
      </c>
      <c r="I678" s="25" t="s">
        <v>2482</v>
      </c>
      <c r="J678" s="25" t="s">
        <v>2466</v>
      </c>
      <c r="K678" s="48" t="s">
        <v>2427</v>
      </c>
      <c r="L678" s="25" t="s">
        <v>398</v>
      </c>
      <c r="M678" s="25" t="s">
        <v>403</v>
      </c>
      <c r="N678" s="25">
        <v>1</v>
      </c>
      <c r="O678" s="25">
        <v>4</v>
      </c>
      <c r="P678" s="25" t="s">
        <v>1527</v>
      </c>
      <c r="Q678" s="31" t="s">
        <v>3462</v>
      </c>
      <c r="R678" s="31"/>
      <c r="S678" s="31"/>
      <c r="T678" s="31"/>
      <c r="U678" s="31"/>
      <c r="V678" s="31"/>
    </row>
    <row r="679" spans="1:22" x14ac:dyDescent="0.2">
      <c r="A679" s="47" t="s">
        <v>399</v>
      </c>
      <c r="B679" s="47" t="s">
        <v>2227</v>
      </c>
      <c r="C679" s="47" t="s">
        <v>4182</v>
      </c>
      <c r="D679" s="47" t="s">
        <v>1635</v>
      </c>
      <c r="E679" s="47" t="s">
        <v>2483</v>
      </c>
      <c r="F679" s="25">
        <v>1</v>
      </c>
      <c r="G679" s="25" t="s">
        <v>40</v>
      </c>
      <c r="H679" s="25">
        <v>1991</v>
      </c>
      <c r="I679" s="25" t="s">
        <v>2484</v>
      </c>
      <c r="J679" s="25" t="s">
        <v>2485</v>
      </c>
      <c r="K679" s="48" t="s">
        <v>2407</v>
      </c>
      <c r="L679" s="25" t="s">
        <v>398</v>
      </c>
      <c r="M679" s="25" t="s">
        <v>403</v>
      </c>
      <c r="N679" s="25">
        <v>1</v>
      </c>
      <c r="O679" s="25">
        <v>4</v>
      </c>
      <c r="P679" s="25" t="s">
        <v>1527</v>
      </c>
      <c r="Q679" s="31" t="s">
        <v>3462</v>
      </c>
      <c r="R679" s="31"/>
      <c r="S679" s="31"/>
      <c r="T679" s="31"/>
      <c r="U679" s="31"/>
      <c r="V679" s="31"/>
    </row>
    <row r="680" spans="1:22" x14ac:dyDescent="0.2">
      <c r="A680" s="47" t="s">
        <v>399</v>
      </c>
      <c r="B680" s="47" t="s">
        <v>2233</v>
      </c>
      <c r="C680" s="47" t="s">
        <v>4182</v>
      </c>
      <c r="D680" s="47" t="s">
        <v>1635</v>
      </c>
      <c r="E680" s="47" t="s">
        <v>2483</v>
      </c>
      <c r="F680" s="25">
        <v>2</v>
      </c>
      <c r="G680" s="25" t="s">
        <v>37</v>
      </c>
      <c r="H680" s="25">
        <v>1992</v>
      </c>
      <c r="I680" s="25" t="s">
        <v>2486</v>
      </c>
      <c r="J680" s="25" t="s">
        <v>2485</v>
      </c>
      <c r="K680" s="48" t="s">
        <v>2407</v>
      </c>
      <c r="L680" s="25" t="s">
        <v>398</v>
      </c>
      <c r="M680" s="25" t="s">
        <v>403</v>
      </c>
      <c r="N680" s="25">
        <v>1</v>
      </c>
      <c r="O680" s="25">
        <v>4</v>
      </c>
      <c r="P680" s="25" t="s">
        <v>1527</v>
      </c>
      <c r="Q680" s="31" t="s">
        <v>3462</v>
      </c>
      <c r="R680" s="31"/>
      <c r="S680" s="31"/>
      <c r="T680" s="31"/>
      <c r="U680" s="31"/>
      <c r="V680" s="31"/>
    </row>
    <row r="681" spans="1:22" x14ac:dyDescent="0.2">
      <c r="A681" s="47" t="s">
        <v>399</v>
      </c>
      <c r="B681" s="47" t="s">
        <v>2235</v>
      </c>
      <c r="C681" s="47" t="s">
        <v>4182</v>
      </c>
      <c r="D681" s="47" t="s">
        <v>1635</v>
      </c>
      <c r="E681" s="47" t="s">
        <v>2483</v>
      </c>
      <c r="F681" s="25">
        <v>3</v>
      </c>
      <c r="G681" s="25" t="s">
        <v>80</v>
      </c>
      <c r="H681" s="25">
        <v>1993</v>
      </c>
      <c r="I681" s="25" t="s">
        <v>2487</v>
      </c>
      <c r="J681" s="25" t="s">
        <v>2485</v>
      </c>
      <c r="K681" s="48" t="s">
        <v>2407</v>
      </c>
      <c r="L681" s="25" t="s">
        <v>398</v>
      </c>
      <c r="M681" s="25" t="s">
        <v>403</v>
      </c>
      <c r="N681" s="25">
        <v>1</v>
      </c>
      <c r="O681" s="25">
        <v>4</v>
      </c>
      <c r="P681" s="25" t="s">
        <v>1527</v>
      </c>
      <c r="Q681" s="31" t="s">
        <v>3462</v>
      </c>
      <c r="R681" s="31"/>
      <c r="S681" s="31"/>
      <c r="T681" s="31"/>
      <c r="U681" s="31"/>
      <c r="V681" s="31"/>
    </row>
    <row r="682" spans="1:22" x14ac:dyDescent="0.2">
      <c r="A682" s="47" t="s">
        <v>399</v>
      </c>
      <c r="B682" s="47" t="s">
        <v>2237</v>
      </c>
      <c r="C682" s="47" t="s">
        <v>4182</v>
      </c>
      <c r="D682" s="47" t="s">
        <v>1635</v>
      </c>
      <c r="E682" s="47" t="s">
        <v>2483</v>
      </c>
      <c r="F682" s="25">
        <v>4</v>
      </c>
      <c r="G682" s="25" t="s">
        <v>31</v>
      </c>
      <c r="H682" s="25">
        <v>1994</v>
      </c>
      <c r="I682" s="25" t="s">
        <v>2488</v>
      </c>
      <c r="J682" s="25" t="s">
        <v>2485</v>
      </c>
      <c r="K682" s="48" t="s">
        <v>2407</v>
      </c>
      <c r="L682" s="25" t="s">
        <v>398</v>
      </c>
      <c r="M682" s="25" t="s">
        <v>403</v>
      </c>
      <c r="N682" s="25">
        <v>1</v>
      </c>
      <c r="O682" s="25">
        <v>4</v>
      </c>
      <c r="P682" s="25" t="s">
        <v>1527</v>
      </c>
      <c r="Q682" s="31" t="s">
        <v>3462</v>
      </c>
      <c r="R682" s="31"/>
      <c r="S682" s="31"/>
      <c r="T682" s="31"/>
      <c r="U682" s="31"/>
      <c r="V682" s="31"/>
    </row>
    <row r="683" spans="1:22" x14ac:dyDescent="0.2">
      <c r="A683" s="47" t="s">
        <v>399</v>
      </c>
      <c r="B683" s="47" t="s">
        <v>2239</v>
      </c>
      <c r="C683" s="47" t="s">
        <v>4182</v>
      </c>
      <c r="D683" s="47" t="s">
        <v>1635</v>
      </c>
      <c r="E683" s="47" t="s">
        <v>2483</v>
      </c>
      <c r="F683" s="25">
        <v>5</v>
      </c>
      <c r="G683" s="25" t="s">
        <v>13</v>
      </c>
      <c r="H683" s="25">
        <v>1995</v>
      </c>
      <c r="I683" s="25" t="s">
        <v>2489</v>
      </c>
      <c r="J683" s="25" t="s">
        <v>2485</v>
      </c>
      <c r="K683" s="48" t="s">
        <v>2407</v>
      </c>
      <c r="L683" s="25" t="s">
        <v>398</v>
      </c>
      <c r="M683" s="25" t="s">
        <v>403</v>
      </c>
      <c r="N683" s="25">
        <v>1</v>
      </c>
      <c r="O683" s="25">
        <v>4</v>
      </c>
      <c r="P683" s="25" t="s">
        <v>1527</v>
      </c>
      <c r="Q683" s="31" t="s">
        <v>3462</v>
      </c>
      <c r="R683" s="31"/>
      <c r="S683" s="31"/>
      <c r="T683" s="31"/>
      <c r="U683" s="31"/>
      <c r="V683" s="31"/>
    </row>
    <row r="684" spans="1:22" x14ac:dyDescent="0.2">
      <c r="A684" s="47" t="s">
        <v>399</v>
      </c>
      <c r="B684" s="47" t="s">
        <v>2241</v>
      </c>
      <c r="C684" s="47" t="s">
        <v>4182</v>
      </c>
      <c r="D684" s="47" t="s">
        <v>1635</v>
      </c>
      <c r="E684" s="47" t="s">
        <v>2483</v>
      </c>
      <c r="F684" s="25">
        <v>6</v>
      </c>
      <c r="G684" s="25" t="s">
        <v>49</v>
      </c>
      <c r="H684" s="25">
        <v>1996</v>
      </c>
      <c r="I684" s="25" t="s">
        <v>2490</v>
      </c>
      <c r="J684" s="25" t="s">
        <v>2485</v>
      </c>
      <c r="K684" s="48" t="s">
        <v>2407</v>
      </c>
      <c r="L684" s="25" t="s">
        <v>398</v>
      </c>
      <c r="M684" s="25" t="s">
        <v>403</v>
      </c>
      <c r="N684" s="25">
        <v>1</v>
      </c>
      <c r="O684" s="25">
        <v>4</v>
      </c>
      <c r="P684" s="25" t="s">
        <v>1527</v>
      </c>
      <c r="Q684" s="31" t="s">
        <v>3462</v>
      </c>
      <c r="R684" s="31"/>
      <c r="S684" s="31"/>
      <c r="T684" s="31"/>
      <c r="U684" s="31"/>
      <c r="V684" s="31"/>
    </row>
    <row r="685" spans="1:22" x14ac:dyDescent="0.2">
      <c r="A685" s="47" t="s">
        <v>399</v>
      </c>
      <c r="B685" s="47" t="s">
        <v>2243</v>
      </c>
      <c r="C685" s="47" t="s">
        <v>4182</v>
      </c>
      <c r="D685" s="47" t="s">
        <v>1635</v>
      </c>
      <c r="E685" s="47" t="s">
        <v>2483</v>
      </c>
      <c r="F685" s="25">
        <v>7</v>
      </c>
      <c r="G685" s="25" t="s">
        <v>101</v>
      </c>
      <c r="H685" s="25">
        <v>1997</v>
      </c>
      <c r="I685" s="25" t="s">
        <v>2491</v>
      </c>
      <c r="J685" s="25" t="s">
        <v>2485</v>
      </c>
      <c r="K685" s="48" t="s">
        <v>2407</v>
      </c>
      <c r="L685" s="25" t="s">
        <v>398</v>
      </c>
      <c r="M685" s="25" t="s">
        <v>403</v>
      </c>
      <c r="N685" s="25">
        <v>1</v>
      </c>
      <c r="O685" s="25">
        <v>4</v>
      </c>
      <c r="P685" s="25" t="s">
        <v>1527</v>
      </c>
      <c r="Q685" s="31" t="s">
        <v>3462</v>
      </c>
      <c r="R685" s="31"/>
      <c r="S685" s="31"/>
      <c r="T685" s="31"/>
      <c r="U685" s="31"/>
      <c r="V685" s="31"/>
    </row>
    <row r="686" spans="1:22" x14ac:dyDescent="0.2">
      <c r="A686" s="47" t="s">
        <v>399</v>
      </c>
      <c r="B686" s="47" t="s">
        <v>2245</v>
      </c>
      <c r="C686" s="47" t="s">
        <v>4182</v>
      </c>
      <c r="D686" s="47" t="s">
        <v>1635</v>
      </c>
      <c r="E686" s="47" t="s">
        <v>2483</v>
      </c>
      <c r="F686" s="25">
        <v>8</v>
      </c>
      <c r="G686" s="25" t="s">
        <v>10</v>
      </c>
      <c r="H686" s="25">
        <v>1998</v>
      </c>
      <c r="I686" s="25" t="s">
        <v>2492</v>
      </c>
      <c r="J686" s="25" t="s">
        <v>2485</v>
      </c>
      <c r="K686" s="48" t="s">
        <v>2407</v>
      </c>
      <c r="L686" s="25" t="s">
        <v>398</v>
      </c>
      <c r="M686" s="25" t="s">
        <v>403</v>
      </c>
      <c r="N686" s="25">
        <v>1</v>
      </c>
      <c r="O686" s="25">
        <v>4</v>
      </c>
      <c r="P686" s="25" t="s">
        <v>1527</v>
      </c>
      <c r="Q686" s="31" t="s">
        <v>3462</v>
      </c>
      <c r="R686" s="31"/>
      <c r="S686" s="31"/>
      <c r="T686" s="31"/>
      <c r="U686" s="31"/>
      <c r="V686" s="31"/>
    </row>
    <row r="687" spans="1:22" x14ac:dyDescent="0.2">
      <c r="A687" s="47" t="s">
        <v>399</v>
      </c>
      <c r="B687" s="47" t="s">
        <v>2249</v>
      </c>
      <c r="C687" s="47" t="s">
        <v>4182</v>
      </c>
      <c r="D687" s="47" t="s">
        <v>1635</v>
      </c>
      <c r="E687" s="47" t="s">
        <v>2483</v>
      </c>
      <c r="F687" s="25">
        <v>10</v>
      </c>
      <c r="G687" s="25" t="s">
        <v>98</v>
      </c>
      <c r="H687" s="25">
        <v>2000</v>
      </c>
      <c r="I687" s="25" t="s">
        <v>2493</v>
      </c>
      <c r="J687" s="25" t="s">
        <v>2485</v>
      </c>
      <c r="K687" s="48" t="s">
        <v>2407</v>
      </c>
      <c r="L687" s="25" t="s">
        <v>398</v>
      </c>
      <c r="M687" s="25" t="s">
        <v>403</v>
      </c>
      <c r="N687" s="25">
        <v>1</v>
      </c>
      <c r="O687" s="25">
        <v>4</v>
      </c>
      <c r="P687" s="25" t="s">
        <v>1527</v>
      </c>
      <c r="Q687" s="31" t="s">
        <v>3462</v>
      </c>
      <c r="R687" s="31"/>
      <c r="S687" s="31"/>
      <c r="T687" s="31"/>
      <c r="U687" s="31"/>
      <c r="V687" s="31"/>
    </row>
    <row r="688" spans="1:22" x14ac:dyDescent="0.2">
      <c r="A688" s="47" t="s">
        <v>399</v>
      </c>
      <c r="B688" s="47" t="s">
        <v>2251</v>
      </c>
      <c r="C688" s="47" t="s">
        <v>4182</v>
      </c>
      <c r="D688" s="47" t="s">
        <v>1635</v>
      </c>
      <c r="E688" s="47" t="s">
        <v>2483</v>
      </c>
      <c r="F688" s="25">
        <v>11</v>
      </c>
      <c r="G688" s="25" t="s">
        <v>104</v>
      </c>
      <c r="H688" s="25">
        <v>2001</v>
      </c>
      <c r="I688" s="25" t="s">
        <v>2494</v>
      </c>
      <c r="J688" s="25" t="s">
        <v>2485</v>
      </c>
      <c r="K688" s="48" t="s">
        <v>2407</v>
      </c>
      <c r="L688" s="25" t="s">
        <v>398</v>
      </c>
      <c r="M688" s="25" t="s">
        <v>403</v>
      </c>
      <c r="N688" s="25">
        <v>1</v>
      </c>
      <c r="O688" s="25">
        <v>4</v>
      </c>
      <c r="P688" s="25" t="s">
        <v>1527</v>
      </c>
      <c r="Q688" s="31" t="s">
        <v>3462</v>
      </c>
      <c r="R688" s="31"/>
      <c r="S688" s="31"/>
      <c r="T688" s="31"/>
      <c r="U688" s="31"/>
      <c r="V688" s="31"/>
    </row>
    <row r="689" spans="1:22" x14ac:dyDescent="0.2">
      <c r="A689" s="47" t="s">
        <v>399</v>
      </c>
      <c r="B689" s="47" t="s">
        <v>2253</v>
      </c>
      <c r="C689" s="47" t="s">
        <v>4182</v>
      </c>
      <c r="D689" s="47" t="s">
        <v>1635</v>
      </c>
      <c r="E689" s="47" t="s">
        <v>2483</v>
      </c>
      <c r="F689" s="25">
        <v>12</v>
      </c>
      <c r="G689" s="25" t="s">
        <v>89</v>
      </c>
      <c r="H689" s="25">
        <v>2002</v>
      </c>
      <c r="I689" s="25" t="s">
        <v>2495</v>
      </c>
      <c r="J689" s="25" t="s">
        <v>2485</v>
      </c>
      <c r="K689" s="48" t="s">
        <v>2407</v>
      </c>
      <c r="L689" s="25" t="s">
        <v>398</v>
      </c>
      <c r="M689" s="25" t="s">
        <v>403</v>
      </c>
      <c r="N689" s="25">
        <v>1</v>
      </c>
      <c r="O689" s="25">
        <v>4</v>
      </c>
      <c r="P689" s="25" t="s">
        <v>1527</v>
      </c>
      <c r="Q689" s="31" t="s">
        <v>3462</v>
      </c>
      <c r="R689" s="31"/>
      <c r="S689" s="31"/>
      <c r="T689" s="31"/>
      <c r="U689" s="31"/>
      <c r="V689" s="31"/>
    </row>
    <row r="690" spans="1:22" x14ac:dyDescent="0.2">
      <c r="A690" s="47" t="s">
        <v>399</v>
      </c>
      <c r="B690" s="47" t="s">
        <v>2255</v>
      </c>
      <c r="C690" s="47" t="s">
        <v>4182</v>
      </c>
      <c r="D690" s="47" t="s">
        <v>1635</v>
      </c>
      <c r="E690" s="47" t="s">
        <v>2483</v>
      </c>
      <c r="F690" s="25">
        <v>13</v>
      </c>
      <c r="G690" s="25" t="s">
        <v>107</v>
      </c>
      <c r="H690" s="25">
        <v>2003</v>
      </c>
      <c r="I690" s="25" t="s">
        <v>2496</v>
      </c>
      <c r="J690" s="25" t="s">
        <v>2485</v>
      </c>
      <c r="K690" s="48" t="s">
        <v>2407</v>
      </c>
      <c r="L690" s="25" t="s">
        <v>398</v>
      </c>
      <c r="M690" s="25" t="s">
        <v>403</v>
      </c>
      <c r="N690" s="25">
        <v>1</v>
      </c>
      <c r="O690" s="25">
        <v>4</v>
      </c>
      <c r="P690" s="25" t="s">
        <v>1527</v>
      </c>
      <c r="Q690" s="31" t="s">
        <v>3462</v>
      </c>
      <c r="R690" s="31"/>
      <c r="S690" s="31"/>
      <c r="T690" s="31"/>
      <c r="U690" s="31"/>
      <c r="V690" s="31"/>
    </row>
    <row r="691" spans="1:22" x14ac:dyDescent="0.2">
      <c r="A691" s="47" t="s">
        <v>399</v>
      </c>
      <c r="B691" s="47" t="s">
        <v>2257</v>
      </c>
      <c r="C691" s="47" t="s">
        <v>4182</v>
      </c>
      <c r="D691" s="47" t="s">
        <v>1635</v>
      </c>
      <c r="E691" s="47" t="s">
        <v>2483</v>
      </c>
      <c r="F691" s="25">
        <v>14</v>
      </c>
      <c r="G691" s="25" t="s">
        <v>43</v>
      </c>
      <c r="H691" s="25">
        <v>2004</v>
      </c>
      <c r="I691" s="25" t="s">
        <v>2497</v>
      </c>
      <c r="J691" s="25" t="s">
        <v>2485</v>
      </c>
      <c r="K691" s="48" t="s">
        <v>2407</v>
      </c>
      <c r="L691" s="25" t="s">
        <v>398</v>
      </c>
      <c r="M691" s="25" t="s">
        <v>403</v>
      </c>
      <c r="N691" s="25">
        <v>1</v>
      </c>
      <c r="O691" s="25">
        <v>4</v>
      </c>
      <c r="P691" s="25" t="s">
        <v>1527</v>
      </c>
      <c r="Q691" s="31" t="s">
        <v>3462</v>
      </c>
      <c r="R691" s="31"/>
      <c r="S691" s="31"/>
      <c r="T691" s="31"/>
      <c r="U691" s="31"/>
      <c r="V691" s="31"/>
    </row>
    <row r="692" spans="1:22" x14ac:dyDescent="0.2">
      <c r="A692" s="47" t="s">
        <v>399</v>
      </c>
      <c r="B692" s="47" t="s">
        <v>2259</v>
      </c>
      <c r="C692" s="47" t="s">
        <v>4182</v>
      </c>
      <c r="D692" s="47" t="s">
        <v>1635</v>
      </c>
      <c r="E692" s="47" t="s">
        <v>2483</v>
      </c>
      <c r="F692" s="25">
        <v>15</v>
      </c>
      <c r="G692" s="25" t="s">
        <v>19</v>
      </c>
      <c r="H692" s="25">
        <v>2005</v>
      </c>
      <c r="I692" s="25" t="s">
        <v>2498</v>
      </c>
      <c r="J692" s="25" t="s">
        <v>2485</v>
      </c>
      <c r="K692" s="48" t="s">
        <v>2407</v>
      </c>
      <c r="L692" s="25" t="s">
        <v>398</v>
      </c>
      <c r="M692" s="25" t="s">
        <v>403</v>
      </c>
      <c r="N692" s="25">
        <v>1</v>
      </c>
      <c r="O692" s="25">
        <v>4</v>
      </c>
      <c r="P692" s="25" t="s">
        <v>1527</v>
      </c>
      <c r="Q692" s="31" t="s">
        <v>3462</v>
      </c>
      <c r="R692" s="31"/>
      <c r="S692" s="31"/>
      <c r="T692" s="31"/>
      <c r="U692" s="31"/>
      <c r="V692" s="31"/>
    </row>
    <row r="693" spans="1:22" x14ac:dyDescent="0.2">
      <c r="A693" s="47" t="s">
        <v>399</v>
      </c>
      <c r="B693" s="47" t="s">
        <v>2261</v>
      </c>
      <c r="C693" s="47" t="s">
        <v>4182</v>
      </c>
      <c r="D693" s="47" t="s">
        <v>1635</v>
      </c>
      <c r="E693" s="47" t="s">
        <v>2483</v>
      </c>
      <c r="F693" s="25">
        <v>16</v>
      </c>
      <c r="G693" s="25" t="s">
        <v>25</v>
      </c>
      <c r="H693" s="25">
        <v>2006</v>
      </c>
      <c r="I693" s="25" t="s">
        <v>2499</v>
      </c>
      <c r="J693" s="25" t="s">
        <v>2485</v>
      </c>
      <c r="K693" s="48" t="s">
        <v>2407</v>
      </c>
      <c r="L693" s="25" t="s">
        <v>398</v>
      </c>
      <c r="M693" s="25" t="s">
        <v>403</v>
      </c>
      <c r="N693" s="25">
        <v>1</v>
      </c>
      <c r="O693" s="25">
        <v>4</v>
      </c>
      <c r="P693" s="25" t="s">
        <v>1527</v>
      </c>
      <c r="Q693" s="31" t="s">
        <v>3462</v>
      </c>
      <c r="R693" s="31"/>
      <c r="S693" s="31"/>
      <c r="T693" s="31"/>
      <c r="U693" s="31"/>
      <c r="V693" s="31"/>
    </row>
    <row r="694" spans="1:22" x14ac:dyDescent="0.2">
      <c r="A694" s="47" t="s">
        <v>399</v>
      </c>
      <c r="B694" s="47" t="s">
        <v>2263</v>
      </c>
      <c r="C694" s="47" t="s">
        <v>4182</v>
      </c>
      <c r="D694" s="47" t="s">
        <v>1635</v>
      </c>
      <c r="E694" s="47" t="s">
        <v>2483</v>
      </c>
      <c r="F694" s="25">
        <v>17</v>
      </c>
      <c r="G694" s="25" t="s">
        <v>73</v>
      </c>
      <c r="H694" s="25">
        <v>2007</v>
      </c>
      <c r="I694" s="25" t="s">
        <v>2500</v>
      </c>
      <c r="J694" s="25" t="s">
        <v>2485</v>
      </c>
      <c r="K694" s="48" t="s">
        <v>2407</v>
      </c>
      <c r="L694" s="25" t="s">
        <v>398</v>
      </c>
      <c r="M694" s="25" t="s">
        <v>403</v>
      </c>
      <c r="N694" s="25">
        <v>1</v>
      </c>
      <c r="O694" s="25">
        <v>4</v>
      </c>
      <c r="P694" s="25" t="s">
        <v>1527</v>
      </c>
      <c r="Q694" s="31" t="s">
        <v>3462</v>
      </c>
      <c r="R694" s="31"/>
      <c r="S694" s="31"/>
      <c r="T694" s="31"/>
      <c r="U694" s="31"/>
      <c r="V694" s="31"/>
    </row>
    <row r="695" spans="1:22" x14ac:dyDescent="0.2">
      <c r="A695" s="47" t="s">
        <v>399</v>
      </c>
      <c r="B695" s="47" t="s">
        <v>2265</v>
      </c>
      <c r="C695" s="47" t="s">
        <v>4182</v>
      </c>
      <c r="D695" s="47" t="s">
        <v>1635</v>
      </c>
      <c r="E695" s="47" t="s">
        <v>2483</v>
      </c>
      <c r="F695" s="25">
        <v>18</v>
      </c>
      <c r="G695" s="25" t="s">
        <v>58</v>
      </c>
      <c r="H695" s="25">
        <v>2008</v>
      </c>
      <c r="I695" s="25" t="s">
        <v>2501</v>
      </c>
      <c r="J695" s="25" t="s">
        <v>2485</v>
      </c>
      <c r="K695" s="48" t="s">
        <v>2407</v>
      </c>
      <c r="L695" s="25" t="s">
        <v>398</v>
      </c>
      <c r="M695" s="25" t="s">
        <v>403</v>
      </c>
      <c r="N695" s="25">
        <v>1</v>
      </c>
      <c r="O695" s="25">
        <v>4</v>
      </c>
      <c r="P695" s="25" t="s">
        <v>1527</v>
      </c>
      <c r="Q695" s="31" t="s">
        <v>3462</v>
      </c>
      <c r="R695" s="31"/>
      <c r="S695" s="31"/>
      <c r="T695" s="31"/>
      <c r="U695" s="31"/>
      <c r="V695" s="31"/>
    </row>
    <row r="696" spans="1:22" x14ac:dyDescent="0.2">
      <c r="A696" s="47" t="s">
        <v>399</v>
      </c>
      <c r="B696" s="47" t="s">
        <v>2227</v>
      </c>
      <c r="C696" s="47" t="s">
        <v>4182</v>
      </c>
      <c r="D696" s="47" t="s">
        <v>1635</v>
      </c>
      <c r="E696" s="47" t="s">
        <v>2502</v>
      </c>
      <c r="F696" s="25">
        <v>1</v>
      </c>
      <c r="G696" s="25" t="s">
        <v>40</v>
      </c>
      <c r="H696" s="25">
        <v>1991</v>
      </c>
      <c r="I696" s="25" t="s">
        <v>2503</v>
      </c>
      <c r="J696" s="25" t="s">
        <v>2504</v>
      </c>
      <c r="K696" s="48" t="s">
        <v>2407</v>
      </c>
      <c r="L696" s="25" t="s">
        <v>398</v>
      </c>
      <c r="M696" s="25" t="s">
        <v>403</v>
      </c>
      <c r="N696" s="25">
        <v>1</v>
      </c>
      <c r="O696" s="25">
        <v>4</v>
      </c>
      <c r="P696" s="25" t="s">
        <v>1527</v>
      </c>
      <c r="Q696" s="31" t="s">
        <v>3462</v>
      </c>
      <c r="R696" s="31"/>
      <c r="S696" s="31"/>
      <c r="T696" s="31"/>
      <c r="U696" s="31"/>
      <c r="V696" s="31"/>
    </row>
    <row r="697" spans="1:22" x14ac:dyDescent="0.2">
      <c r="A697" s="47" t="s">
        <v>399</v>
      </c>
      <c r="B697" s="47" t="s">
        <v>2233</v>
      </c>
      <c r="C697" s="47" t="s">
        <v>4182</v>
      </c>
      <c r="D697" s="47" t="s">
        <v>1635</v>
      </c>
      <c r="E697" s="47" t="s">
        <v>2502</v>
      </c>
      <c r="F697" s="25">
        <v>2</v>
      </c>
      <c r="G697" s="25" t="s">
        <v>37</v>
      </c>
      <c r="H697" s="25">
        <v>1992</v>
      </c>
      <c r="I697" s="25" t="s">
        <v>2505</v>
      </c>
      <c r="J697" s="25" t="s">
        <v>2504</v>
      </c>
      <c r="K697" s="48" t="s">
        <v>2407</v>
      </c>
      <c r="L697" s="25" t="s">
        <v>398</v>
      </c>
      <c r="M697" s="25" t="s">
        <v>403</v>
      </c>
      <c r="N697" s="25">
        <v>1</v>
      </c>
      <c r="O697" s="25">
        <v>4</v>
      </c>
      <c r="P697" s="25" t="s">
        <v>1527</v>
      </c>
      <c r="Q697" s="31" t="s">
        <v>3462</v>
      </c>
      <c r="R697" s="31"/>
      <c r="S697" s="31"/>
      <c r="T697" s="31"/>
      <c r="U697" s="31"/>
      <c r="V697" s="31"/>
    </row>
    <row r="698" spans="1:22" x14ac:dyDescent="0.2">
      <c r="A698" s="47" t="s">
        <v>399</v>
      </c>
      <c r="B698" s="47" t="s">
        <v>2235</v>
      </c>
      <c r="C698" s="47" t="s">
        <v>4182</v>
      </c>
      <c r="D698" s="47" t="s">
        <v>1635</v>
      </c>
      <c r="E698" s="47" t="s">
        <v>2502</v>
      </c>
      <c r="F698" s="25">
        <v>3</v>
      </c>
      <c r="G698" s="25" t="s">
        <v>80</v>
      </c>
      <c r="H698" s="25">
        <v>1993</v>
      </c>
      <c r="I698" s="25" t="s">
        <v>2506</v>
      </c>
      <c r="J698" s="25" t="s">
        <v>2504</v>
      </c>
      <c r="K698" s="48" t="s">
        <v>2407</v>
      </c>
      <c r="L698" s="25" t="s">
        <v>398</v>
      </c>
      <c r="M698" s="25" t="s">
        <v>403</v>
      </c>
      <c r="N698" s="25">
        <v>1</v>
      </c>
      <c r="O698" s="25">
        <v>4</v>
      </c>
      <c r="P698" s="25" t="s">
        <v>1527</v>
      </c>
      <c r="Q698" s="31" t="s">
        <v>3462</v>
      </c>
      <c r="R698" s="31"/>
      <c r="S698" s="31"/>
      <c r="T698" s="31"/>
      <c r="U698" s="31"/>
      <c r="V698" s="31"/>
    </row>
    <row r="699" spans="1:22" x14ac:dyDescent="0.2">
      <c r="A699" s="47" t="s">
        <v>399</v>
      </c>
      <c r="B699" s="47" t="s">
        <v>2237</v>
      </c>
      <c r="C699" s="47" t="s">
        <v>4182</v>
      </c>
      <c r="D699" s="47" t="s">
        <v>1635</v>
      </c>
      <c r="E699" s="47" t="s">
        <v>2502</v>
      </c>
      <c r="F699" s="25">
        <v>4</v>
      </c>
      <c r="G699" s="25" t="s">
        <v>31</v>
      </c>
      <c r="H699" s="25">
        <v>1994</v>
      </c>
      <c r="I699" s="25" t="s">
        <v>2507</v>
      </c>
      <c r="J699" s="25" t="s">
        <v>2504</v>
      </c>
      <c r="K699" s="48" t="s">
        <v>2407</v>
      </c>
      <c r="L699" s="25" t="s">
        <v>398</v>
      </c>
      <c r="M699" s="25" t="s">
        <v>403</v>
      </c>
      <c r="N699" s="25">
        <v>1</v>
      </c>
      <c r="O699" s="25">
        <v>4</v>
      </c>
      <c r="P699" s="25" t="s">
        <v>1527</v>
      </c>
      <c r="Q699" s="31" t="s">
        <v>3462</v>
      </c>
      <c r="R699" s="31"/>
      <c r="S699" s="31"/>
      <c r="T699" s="31"/>
      <c r="U699" s="31"/>
      <c r="V699" s="31"/>
    </row>
    <row r="700" spans="1:22" x14ac:dyDescent="0.2">
      <c r="A700" s="47" t="s">
        <v>399</v>
      </c>
      <c r="B700" s="47" t="s">
        <v>2239</v>
      </c>
      <c r="C700" s="47" t="s">
        <v>4182</v>
      </c>
      <c r="D700" s="47" t="s">
        <v>1635</v>
      </c>
      <c r="E700" s="47" t="s">
        <v>2502</v>
      </c>
      <c r="F700" s="25">
        <v>5</v>
      </c>
      <c r="G700" s="25" t="s">
        <v>13</v>
      </c>
      <c r="H700" s="25">
        <v>1995</v>
      </c>
      <c r="I700" s="25" t="s">
        <v>2508</v>
      </c>
      <c r="J700" s="25" t="s">
        <v>2504</v>
      </c>
      <c r="K700" s="48" t="s">
        <v>2407</v>
      </c>
      <c r="L700" s="25" t="s">
        <v>398</v>
      </c>
      <c r="M700" s="25" t="s">
        <v>403</v>
      </c>
      <c r="N700" s="25">
        <v>1</v>
      </c>
      <c r="O700" s="25">
        <v>4</v>
      </c>
      <c r="P700" s="25" t="s">
        <v>1527</v>
      </c>
      <c r="Q700" s="31" t="s">
        <v>3462</v>
      </c>
      <c r="R700" s="31"/>
      <c r="S700" s="31"/>
      <c r="T700" s="31"/>
      <c r="U700" s="31"/>
      <c r="V700" s="31"/>
    </row>
    <row r="701" spans="1:22" x14ac:dyDescent="0.2">
      <c r="A701" s="47" t="s">
        <v>399</v>
      </c>
      <c r="B701" s="47" t="s">
        <v>2241</v>
      </c>
      <c r="C701" s="47" t="s">
        <v>4182</v>
      </c>
      <c r="D701" s="47" t="s">
        <v>1635</v>
      </c>
      <c r="E701" s="47" t="s">
        <v>2502</v>
      </c>
      <c r="F701" s="25">
        <v>6</v>
      </c>
      <c r="G701" s="25" t="s">
        <v>49</v>
      </c>
      <c r="H701" s="25">
        <v>1996</v>
      </c>
      <c r="I701" s="25" t="s">
        <v>2509</v>
      </c>
      <c r="J701" s="25" t="s">
        <v>2504</v>
      </c>
      <c r="K701" s="48" t="s">
        <v>2407</v>
      </c>
      <c r="L701" s="25" t="s">
        <v>398</v>
      </c>
      <c r="M701" s="25" t="s">
        <v>403</v>
      </c>
      <c r="N701" s="25">
        <v>1</v>
      </c>
      <c r="O701" s="25">
        <v>4</v>
      </c>
      <c r="P701" s="25" t="s">
        <v>1527</v>
      </c>
      <c r="Q701" s="31" t="s">
        <v>3462</v>
      </c>
      <c r="R701" s="31"/>
      <c r="S701" s="31"/>
      <c r="T701" s="31"/>
      <c r="U701" s="31"/>
      <c r="V701" s="31"/>
    </row>
    <row r="702" spans="1:22" x14ac:dyDescent="0.2">
      <c r="A702" s="47" t="s">
        <v>399</v>
      </c>
      <c r="B702" s="47" t="s">
        <v>2243</v>
      </c>
      <c r="C702" s="47" t="s">
        <v>4182</v>
      </c>
      <c r="D702" s="47" t="s">
        <v>1635</v>
      </c>
      <c r="E702" s="47" t="s">
        <v>2502</v>
      </c>
      <c r="F702" s="25">
        <v>7</v>
      </c>
      <c r="G702" s="25" t="s">
        <v>101</v>
      </c>
      <c r="H702" s="25">
        <v>1997</v>
      </c>
      <c r="I702" s="25" t="s">
        <v>2510</v>
      </c>
      <c r="J702" s="25" t="s">
        <v>2504</v>
      </c>
      <c r="K702" s="48" t="s">
        <v>2407</v>
      </c>
      <c r="L702" s="25" t="s">
        <v>398</v>
      </c>
      <c r="M702" s="25" t="s">
        <v>403</v>
      </c>
      <c r="N702" s="25">
        <v>1</v>
      </c>
      <c r="O702" s="25">
        <v>4</v>
      </c>
      <c r="P702" s="25" t="s">
        <v>1527</v>
      </c>
      <c r="Q702" s="31" t="s">
        <v>3462</v>
      </c>
      <c r="R702" s="31"/>
      <c r="S702" s="31"/>
      <c r="T702" s="31"/>
      <c r="U702" s="31"/>
      <c r="V702" s="31"/>
    </row>
    <row r="703" spans="1:22" x14ac:dyDescent="0.2">
      <c r="A703" s="47" t="s">
        <v>399</v>
      </c>
      <c r="B703" s="47" t="s">
        <v>2245</v>
      </c>
      <c r="C703" s="47" t="s">
        <v>4182</v>
      </c>
      <c r="D703" s="47" t="s">
        <v>1635</v>
      </c>
      <c r="E703" s="47" t="s">
        <v>2502</v>
      </c>
      <c r="F703" s="25">
        <v>8</v>
      </c>
      <c r="G703" s="25" t="s">
        <v>10</v>
      </c>
      <c r="H703" s="25">
        <v>1998</v>
      </c>
      <c r="I703" s="25" t="s">
        <v>2511</v>
      </c>
      <c r="J703" s="25" t="s">
        <v>2504</v>
      </c>
      <c r="K703" s="48" t="s">
        <v>2407</v>
      </c>
      <c r="L703" s="25" t="s">
        <v>398</v>
      </c>
      <c r="M703" s="25" t="s">
        <v>403</v>
      </c>
      <c r="N703" s="25">
        <v>1</v>
      </c>
      <c r="O703" s="25">
        <v>4</v>
      </c>
      <c r="P703" s="25" t="s">
        <v>1527</v>
      </c>
      <c r="Q703" s="31" t="s">
        <v>3462</v>
      </c>
      <c r="R703" s="31"/>
      <c r="S703" s="31"/>
      <c r="T703" s="31"/>
      <c r="U703" s="31"/>
      <c r="V703" s="31"/>
    </row>
    <row r="704" spans="1:22" x14ac:dyDescent="0.2">
      <c r="A704" s="47" t="s">
        <v>399</v>
      </c>
      <c r="B704" s="47" t="s">
        <v>2249</v>
      </c>
      <c r="C704" s="47" t="s">
        <v>4182</v>
      </c>
      <c r="D704" s="47" t="s">
        <v>1635</v>
      </c>
      <c r="E704" s="47" t="s">
        <v>2502</v>
      </c>
      <c r="F704" s="25">
        <v>10</v>
      </c>
      <c r="G704" s="25" t="s">
        <v>98</v>
      </c>
      <c r="H704" s="25">
        <v>2000</v>
      </c>
      <c r="I704" s="25" t="s">
        <v>2512</v>
      </c>
      <c r="J704" s="25" t="s">
        <v>2504</v>
      </c>
      <c r="K704" s="48" t="s">
        <v>2407</v>
      </c>
      <c r="L704" s="25" t="s">
        <v>398</v>
      </c>
      <c r="M704" s="25" t="s">
        <v>403</v>
      </c>
      <c r="N704" s="25">
        <v>1</v>
      </c>
      <c r="O704" s="25">
        <v>4</v>
      </c>
      <c r="P704" s="25" t="s">
        <v>1527</v>
      </c>
      <c r="Q704" s="31" t="s">
        <v>3462</v>
      </c>
      <c r="R704" s="31"/>
      <c r="S704" s="31"/>
      <c r="T704" s="31"/>
      <c r="U704" s="31"/>
      <c r="V704" s="31"/>
    </row>
    <row r="705" spans="1:22" x14ac:dyDescent="0.2">
      <c r="A705" s="47" t="s">
        <v>399</v>
      </c>
      <c r="B705" s="47" t="s">
        <v>2251</v>
      </c>
      <c r="C705" s="47" t="s">
        <v>4182</v>
      </c>
      <c r="D705" s="47" t="s">
        <v>1635</v>
      </c>
      <c r="E705" s="47" t="s">
        <v>2502</v>
      </c>
      <c r="F705" s="25">
        <v>11</v>
      </c>
      <c r="G705" s="25" t="s">
        <v>104</v>
      </c>
      <c r="H705" s="25">
        <v>2001</v>
      </c>
      <c r="I705" s="25" t="s">
        <v>2513</v>
      </c>
      <c r="J705" s="25" t="s">
        <v>2504</v>
      </c>
      <c r="K705" s="48" t="s">
        <v>2407</v>
      </c>
      <c r="L705" s="25" t="s">
        <v>398</v>
      </c>
      <c r="M705" s="25" t="s">
        <v>403</v>
      </c>
      <c r="N705" s="25">
        <v>1</v>
      </c>
      <c r="O705" s="25">
        <v>4</v>
      </c>
      <c r="P705" s="25" t="s">
        <v>1527</v>
      </c>
      <c r="Q705" s="31" t="s">
        <v>3462</v>
      </c>
      <c r="R705" s="31"/>
      <c r="S705" s="31"/>
      <c r="T705" s="31"/>
      <c r="U705" s="31"/>
      <c r="V705" s="31"/>
    </row>
    <row r="706" spans="1:22" x14ac:dyDescent="0.2">
      <c r="A706" s="47" t="s">
        <v>399</v>
      </c>
      <c r="B706" s="47" t="s">
        <v>2253</v>
      </c>
      <c r="C706" s="47" t="s">
        <v>4182</v>
      </c>
      <c r="D706" s="47" t="s">
        <v>1635</v>
      </c>
      <c r="E706" s="47" t="s">
        <v>2502</v>
      </c>
      <c r="F706" s="25">
        <v>12</v>
      </c>
      <c r="G706" s="25" t="s">
        <v>89</v>
      </c>
      <c r="H706" s="25">
        <v>2002</v>
      </c>
      <c r="I706" s="25" t="s">
        <v>2514</v>
      </c>
      <c r="J706" s="25" t="s">
        <v>2504</v>
      </c>
      <c r="K706" s="48" t="s">
        <v>2407</v>
      </c>
      <c r="L706" s="25" t="s">
        <v>398</v>
      </c>
      <c r="M706" s="25" t="s">
        <v>403</v>
      </c>
      <c r="N706" s="25">
        <v>1</v>
      </c>
      <c r="O706" s="25">
        <v>4</v>
      </c>
      <c r="P706" s="25" t="s">
        <v>1527</v>
      </c>
      <c r="Q706" s="31" t="s">
        <v>3462</v>
      </c>
      <c r="R706" s="31"/>
      <c r="S706" s="31"/>
      <c r="T706" s="31"/>
      <c r="U706" s="31"/>
      <c r="V706" s="31"/>
    </row>
    <row r="707" spans="1:22" x14ac:dyDescent="0.2">
      <c r="A707" s="47" t="s">
        <v>399</v>
      </c>
      <c r="B707" s="47" t="s">
        <v>2255</v>
      </c>
      <c r="C707" s="47" t="s">
        <v>4182</v>
      </c>
      <c r="D707" s="47" t="s">
        <v>1635</v>
      </c>
      <c r="E707" s="47" t="s">
        <v>2502</v>
      </c>
      <c r="F707" s="25">
        <v>13</v>
      </c>
      <c r="G707" s="25" t="s">
        <v>107</v>
      </c>
      <c r="H707" s="25">
        <v>2003</v>
      </c>
      <c r="I707" s="25" t="s">
        <v>2515</v>
      </c>
      <c r="J707" s="25" t="s">
        <v>2504</v>
      </c>
      <c r="K707" s="48" t="s">
        <v>2407</v>
      </c>
      <c r="L707" s="25" t="s">
        <v>398</v>
      </c>
      <c r="M707" s="25" t="s">
        <v>403</v>
      </c>
      <c r="N707" s="25">
        <v>1</v>
      </c>
      <c r="O707" s="25">
        <v>4</v>
      </c>
      <c r="P707" s="25" t="s">
        <v>1527</v>
      </c>
      <c r="Q707" s="31" t="s">
        <v>3462</v>
      </c>
      <c r="R707" s="31"/>
      <c r="S707" s="31"/>
      <c r="T707" s="31"/>
      <c r="U707" s="31"/>
      <c r="V707" s="31"/>
    </row>
    <row r="708" spans="1:22" x14ac:dyDescent="0.2">
      <c r="A708" s="47" t="s">
        <v>399</v>
      </c>
      <c r="B708" s="47" t="s">
        <v>2257</v>
      </c>
      <c r="C708" s="47" t="s">
        <v>4182</v>
      </c>
      <c r="D708" s="47" t="s">
        <v>1635</v>
      </c>
      <c r="E708" s="47" t="s">
        <v>2502</v>
      </c>
      <c r="F708" s="25">
        <v>14</v>
      </c>
      <c r="G708" s="25" t="s">
        <v>43</v>
      </c>
      <c r="H708" s="25">
        <v>2004</v>
      </c>
      <c r="I708" s="25" t="s">
        <v>2516</v>
      </c>
      <c r="J708" s="25" t="s">
        <v>2504</v>
      </c>
      <c r="K708" s="48" t="s">
        <v>2407</v>
      </c>
      <c r="L708" s="25" t="s">
        <v>398</v>
      </c>
      <c r="M708" s="25" t="s">
        <v>403</v>
      </c>
      <c r="N708" s="25">
        <v>1</v>
      </c>
      <c r="O708" s="25">
        <v>4</v>
      </c>
      <c r="P708" s="25" t="s">
        <v>1527</v>
      </c>
      <c r="Q708" s="31" t="s">
        <v>3462</v>
      </c>
      <c r="R708" s="31"/>
      <c r="S708" s="31"/>
      <c r="T708" s="31"/>
      <c r="U708" s="31"/>
      <c r="V708" s="31"/>
    </row>
    <row r="709" spans="1:22" x14ac:dyDescent="0.2">
      <c r="A709" s="47" t="s">
        <v>399</v>
      </c>
      <c r="B709" s="47" t="s">
        <v>2259</v>
      </c>
      <c r="C709" s="47" t="s">
        <v>4182</v>
      </c>
      <c r="D709" s="47" t="s">
        <v>1635</v>
      </c>
      <c r="E709" s="47" t="s">
        <v>2502</v>
      </c>
      <c r="F709" s="25">
        <v>15</v>
      </c>
      <c r="G709" s="25" t="s">
        <v>19</v>
      </c>
      <c r="H709" s="25">
        <v>2005</v>
      </c>
      <c r="I709" s="25" t="s">
        <v>2517</v>
      </c>
      <c r="J709" s="25" t="s">
        <v>2504</v>
      </c>
      <c r="K709" s="48" t="s">
        <v>2407</v>
      </c>
      <c r="L709" s="25" t="s">
        <v>398</v>
      </c>
      <c r="M709" s="25" t="s">
        <v>403</v>
      </c>
      <c r="N709" s="25">
        <v>1</v>
      </c>
      <c r="O709" s="25">
        <v>4</v>
      </c>
      <c r="P709" s="25" t="s">
        <v>1527</v>
      </c>
      <c r="Q709" s="31" t="s">
        <v>3462</v>
      </c>
      <c r="R709" s="31"/>
      <c r="S709" s="31"/>
      <c r="T709" s="31"/>
      <c r="U709" s="31"/>
      <c r="V709" s="31"/>
    </row>
    <row r="710" spans="1:22" x14ac:dyDescent="0.2">
      <c r="A710" s="47" t="s">
        <v>399</v>
      </c>
      <c r="B710" s="47" t="s">
        <v>2261</v>
      </c>
      <c r="C710" s="47" t="s">
        <v>4182</v>
      </c>
      <c r="D710" s="47" t="s">
        <v>1635</v>
      </c>
      <c r="E710" s="47" t="s">
        <v>2502</v>
      </c>
      <c r="F710" s="25">
        <v>16</v>
      </c>
      <c r="G710" s="25" t="s">
        <v>25</v>
      </c>
      <c r="H710" s="25">
        <v>2006</v>
      </c>
      <c r="I710" s="25" t="s">
        <v>2518</v>
      </c>
      <c r="J710" s="25" t="s">
        <v>2504</v>
      </c>
      <c r="K710" s="48" t="s">
        <v>2407</v>
      </c>
      <c r="L710" s="25" t="s">
        <v>398</v>
      </c>
      <c r="M710" s="25" t="s">
        <v>403</v>
      </c>
      <c r="N710" s="25">
        <v>1</v>
      </c>
      <c r="O710" s="25">
        <v>4</v>
      </c>
      <c r="P710" s="25" t="s">
        <v>1527</v>
      </c>
      <c r="Q710" s="31" t="s">
        <v>3462</v>
      </c>
      <c r="R710" s="31"/>
      <c r="S710" s="31"/>
      <c r="T710" s="31"/>
      <c r="U710" s="31"/>
      <c r="V710" s="31"/>
    </row>
    <row r="711" spans="1:22" x14ac:dyDescent="0.2">
      <c r="A711" s="47" t="s">
        <v>399</v>
      </c>
      <c r="B711" s="47" t="s">
        <v>2263</v>
      </c>
      <c r="C711" s="47" t="s">
        <v>4182</v>
      </c>
      <c r="D711" s="47" t="s">
        <v>1635</v>
      </c>
      <c r="E711" s="47" t="s">
        <v>2502</v>
      </c>
      <c r="F711" s="25">
        <v>17</v>
      </c>
      <c r="G711" s="25" t="s">
        <v>73</v>
      </c>
      <c r="H711" s="25">
        <v>2007</v>
      </c>
      <c r="I711" s="25" t="s">
        <v>2519</v>
      </c>
      <c r="J711" s="25" t="s">
        <v>2504</v>
      </c>
      <c r="K711" s="48" t="s">
        <v>2407</v>
      </c>
      <c r="L711" s="25" t="s">
        <v>398</v>
      </c>
      <c r="M711" s="25" t="s">
        <v>403</v>
      </c>
      <c r="N711" s="25">
        <v>1</v>
      </c>
      <c r="O711" s="25">
        <v>4</v>
      </c>
      <c r="P711" s="25" t="s">
        <v>1527</v>
      </c>
      <c r="Q711" s="31" t="s">
        <v>3462</v>
      </c>
      <c r="R711" s="31"/>
      <c r="S711" s="31"/>
      <c r="T711" s="31"/>
      <c r="U711" s="31"/>
      <c r="V711" s="31"/>
    </row>
    <row r="712" spans="1:22" x14ac:dyDescent="0.2">
      <c r="A712" s="47" t="s">
        <v>399</v>
      </c>
      <c r="B712" s="47" t="s">
        <v>2265</v>
      </c>
      <c r="C712" s="47" t="s">
        <v>4182</v>
      </c>
      <c r="D712" s="47" t="s">
        <v>1635</v>
      </c>
      <c r="E712" s="47" t="s">
        <v>2502</v>
      </c>
      <c r="F712" s="25">
        <v>18</v>
      </c>
      <c r="G712" s="25" t="s">
        <v>58</v>
      </c>
      <c r="H712" s="25">
        <v>2008</v>
      </c>
      <c r="I712" s="25" t="s">
        <v>2520</v>
      </c>
      <c r="J712" s="25" t="s">
        <v>2504</v>
      </c>
      <c r="K712" s="48" t="s">
        <v>2407</v>
      </c>
      <c r="L712" s="25" t="s">
        <v>398</v>
      </c>
      <c r="M712" s="25" t="s">
        <v>403</v>
      </c>
      <c r="N712" s="25">
        <v>1</v>
      </c>
      <c r="O712" s="25">
        <v>4</v>
      </c>
      <c r="P712" s="25" t="s">
        <v>1527</v>
      </c>
      <c r="Q712" s="31" t="s">
        <v>3462</v>
      </c>
      <c r="R712" s="31"/>
      <c r="S712" s="31"/>
      <c r="T712" s="31"/>
      <c r="U712" s="31"/>
      <c r="V712" s="31"/>
    </row>
    <row r="713" spans="1:22" x14ac:dyDescent="0.2">
      <c r="A713" s="47" t="s">
        <v>399</v>
      </c>
      <c r="B713" s="47" t="s">
        <v>2227</v>
      </c>
      <c r="C713" s="47" t="s">
        <v>4182</v>
      </c>
      <c r="D713" s="47" t="s">
        <v>1635</v>
      </c>
      <c r="E713" s="47" t="s">
        <v>2521</v>
      </c>
      <c r="F713" s="25">
        <v>1</v>
      </c>
      <c r="G713" s="25" t="s">
        <v>40</v>
      </c>
      <c r="H713" s="25">
        <v>1991</v>
      </c>
      <c r="I713" s="25" t="s">
        <v>2522</v>
      </c>
      <c r="J713" s="25" t="s">
        <v>2523</v>
      </c>
      <c r="K713" s="48" t="s">
        <v>2407</v>
      </c>
      <c r="L713" s="25" t="s">
        <v>398</v>
      </c>
      <c r="M713" s="25" t="s">
        <v>403</v>
      </c>
      <c r="N713" s="25">
        <v>1</v>
      </c>
      <c r="O713" s="25">
        <v>4</v>
      </c>
      <c r="P713" s="25" t="s">
        <v>1527</v>
      </c>
      <c r="Q713" s="31" t="s">
        <v>3462</v>
      </c>
      <c r="R713" s="31"/>
      <c r="S713" s="31"/>
      <c r="T713" s="31"/>
      <c r="U713" s="31"/>
      <c r="V713" s="31"/>
    </row>
    <row r="714" spans="1:22" x14ac:dyDescent="0.2">
      <c r="A714" s="47" t="s">
        <v>399</v>
      </c>
      <c r="B714" s="47" t="s">
        <v>2233</v>
      </c>
      <c r="C714" s="47" t="s">
        <v>4182</v>
      </c>
      <c r="D714" s="47" t="s">
        <v>1635</v>
      </c>
      <c r="E714" s="47" t="s">
        <v>2521</v>
      </c>
      <c r="F714" s="25">
        <v>2</v>
      </c>
      <c r="G714" s="25" t="s">
        <v>37</v>
      </c>
      <c r="H714" s="25">
        <v>1992</v>
      </c>
      <c r="I714" s="25" t="s">
        <v>2524</v>
      </c>
      <c r="J714" s="25" t="s">
        <v>2523</v>
      </c>
      <c r="K714" s="48" t="s">
        <v>2407</v>
      </c>
      <c r="L714" s="25" t="s">
        <v>398</v>
      </c>
      <c r="M714" s="25" t="s">
        <v>403</v>
      </c>
      <c r="N714" s="25">
        <v>1</v>
      </c>
      <c r="O714" s="25">
        <v>4</v>
      </c>
      <c r="P714" s="25" t="s">
        <v>1527</v>
      </c>
      <c r="Q714" s="31" t="s">
        <v>3462</v>
      </c>
      <c r="R714" s="31"/>
      <c r="S714" s="31"/>
      <c r="T714" s="31"/>
      <c r="U714" s="31"/>
      <c r="V714" s="31"/>
    </row>
    <row r="715" spans="1:22" x14ac:dyDescent="0.2">
      <c r="A715" s="47" t="s">
        <v>399</v>
      </c>
      <c r="B715" s="47" t="s">
        <v>2235</v>
      </c>
      <c r="C715" s="47" t="s">
        <v>4182</v>
      </c>
      <c r="D715" s="47" t="s">
        <v>1635</v>
      </c>
      <c r="E715" s="47" t="s">
        <v>2521</v>
      </c>
      <c r="F715" s="25">
        <v>3</v>
      </c>
      <c r="G715" s="25" t="s">
        <v>80</v>
      </c>
      <c r="H715" s="25">
        <v>1993</v>
      </c>
      <c r="I715" s="25" t="s">
        <v>2525</v>
      </c>
      <c r="J715" s="25" t="s">
        <v>2523</v>
      </c>
      <c r="K715" s="48" t="s">
        <v>2407</v>
      </c>
      <c r="L715" s="25" t="s">
        <v>398</v>
      </c>
      <c r="M715" s="25" t="s">
        <v>403</v>
      </c>
      <c r="N715" s="25">
        <v>1</v>
      </c>
      <c r="O715" s="25">
        <v>4</v>
      </c>
      <c r="P715" s="25" t="s">
        <v>1527</v>
      </c>
      <c r="Q715" s="31" t="s">
        <v>3462</v>
      </c>
      <c r="R715" s="31"/>
      <c r="S715" s="31"/>
      <c r="T715" s="31"/>
      <c r="U715" s="31"/>
      <c r="V715" s="31"/>
    </row>
    <row r="716" spans="1:22" x14ac:dyDescent="0.2">
      <c r="A716" s="47" t="s">
        <v>399</v>
      </c>
      <c r="B716" s="47" t="s">
        <v>2237</v>
      </c>
      <c r="C716" s="47" t="s">
        <v>4182</v>
      </c>
      <c r="D716" s="47" t="s">
        <v>1635</v>
      </c>
      <c r="E716" s="47" t="s">
        <v>2521</v>
      </c>
      <c r="F716" s="25">
        <v>4</v>
      </c>
      <c r="G716" s="25" t="s">
        <v>31</v>
      </c>
      <c r="H716" s="25">
        <v>1994</v>
      </c>
      <c r="I716" s="25" t="s">
        <v>2526</v>
      </c>
      <c r="J716" s="25" t="s">
        <v>2523</v>
      </c>
      <c r="K716" s="48" t="s">
        <v>2407</v>
      </c>
      <c r="L716" s="25" t="s">
        <v>398</v>
      </c>
      <c r="M716" s="25" t="s">
        <v>403</v>
      </c>
      <c r="N716" s="25">
        <v>1</v>
      </c>
      <c r="O716" s="25">
        <v>4</v>
      </c>
      <c r="P716" s="25" t="s">
        <v>1527</v>
      </c>
      <c r="Q716" s="31" t="s">
        <v>3462</v>
      </c>
      <c r="R716" s="31"/>
      <c r="S716" s="31"/>
      <c r="T716" s="31"/>
      <c r="U716" s="31"/>
      <c r="V716" s="31"/>
    </row>
    <row r="717" spans="1:22" x14ac:dyDescent="0.2">
      <c r="A717" s="47" t="s">
        <v>399</v>
      </c>
      <c r="B717" s="47" t="s">
        <v>2239</v>
      </c>
      <c r="C717" s="47" t="s">
        <v>4182</v>
      </c>
      <c r="D717" s="47" t="s">
        <v>1635</v>
      </c>
      <c r="E717" s="47" t="s">
        <v>2521</v>
      </c>
      <c r="F717" s="25">
        <v>5</v>
      </c>
      <c r="G717" s="25" t="s">
        <v>13</v>
      </c>
      <c r="H717" s="25">
        <v>1995</v>
      </c>
      <c r="I717" s="25" t="s">
        <v>2527</v>
      </c>
      <c r="J717" s="25" t="s">
        <v>2523</v>
      </c>
      <c r="K717" s="48" t="s">
        <v>2407</v>
      </c>
      <c r="L717" s="25" t="s">
        <v>398</v>
      </c>
      <c r="M717" s="25" t="s">
        <v>403</v>
      </c>
      <c r="N717" s="25">
        <v>1</v>
      </c>
      <c r="O717" s="25">
        <v>4</v>
      </c>
      <c r="P717" s="25" t="s">
        <v>1527</v>
      </c>
      <c r="Q717" s="31" t="s">
        <v>3462</v>
      </c>
      <c r="R717" s="31"/>
      <c r="S717" s="31"/>
      <c r="T717" s="31"/>
      <c r="U717" s="31"/>
      <c r="V717" s="31"/>
    </row>
    <row r="718" spans="1:22" x14ac:dyDescent="0.2">
      <c r="A718" s="47" t="s">
        <v>399</v>
      </c>
      <c r="B718" s="47" t="s">
        <v>2241</v>
      </c>
      <c r="C718" s="47" t="s">
        <v>4182</v>
      </c>
      <c r="D718" s="47" t="s">
        <v>1635</v>
      </c>
      <c r="E718" s="47" t="s">
        <v>2521</v>
      </c>
      <c r="F718" s="25">
        <v>6</v>
      </c>
      <c r="G718" s="25" t="s">
        <v>49</v>
      </c>
      <c r="H718" s="25">
        <v>1996</v>
      </c>
      <c r="I718" s="25" t="s">
        <v>2528</v>
      </c>
      <c r="J718" s="25" t="s">
        <v>2523</v>
      </c>
      <c r="K718" s="48" t="s">
        <v>2407</v>
      </c>
      <c r="L718" s="25" t="s">
        <v>398</v>
      </c>
      <c r="M718" s="25" t="s">
        <v>403</v>
      </c>
      <c r="N718" s="25">
        <v>1</v>
      </c>
      <c r="O718" s="25">
        <v>4</v>
      </c>
      <c r="P718" s="25" t="s">
        <v>1527</v>
      </c>
      <c r="Q718" s="31" t="s">
        <v>3462</v>
      </c>
      <c r="R718" s="31"/>
      <c r="S718" s="31"/>
      <c r="T718" s="31"/>
      <c r="U718" s="31"/>
      <c r="V718" s="31"/>
    </row>
    <row r="719" spans="1:22" x14ac:dyDescent="0.2">
      <c r="A719" s="47" t="s">
        <v>399</v>
      </c>
      <c r="B719" s="47" t="s">
        <v>2243</v>
      </c>
      <c r="C719" s="47" t="s">
        <v>4182</v>
      </c>
      <c r="D719" s="47" t="s">
        <v>1635</v>
      </c>
      <c r="E719" s="47" t="s">
        <v>2521</v>
      </c>
      <c r="F719" s="25">
        <v>7</v>
      </c>
      <c r="G719" s="25" t="s">
        <v>101</v>
      </c>
      <c r="H719" s="25">
        <v>1997</v>
      </c>
      <c r="I719" s="25" t="s">
        <v>2529</v>
      </c>
      <c r="J719" s="25" t="s">
        <v>2523</v>
      </c>
      <c r="K719" s="48" t="s">
        <v>2407</v>
      </c>
      <c r="L719" s="25" t="s">
        <v>398</v>
      </c>
      <c r="M719" s="25" t="s">
        <v>403</v>
      </c>
      <c r="N719" s="25">
        <v>1</v>
      </c>
      <c r="O719" s="25">
        <v>4</v>
      </c>
      <c r="P719" s="25" t="s">
        <v>1527</v>
      </c>
      <c r="Q719" s="31" t="s">
        <v>3462</v>
      </c>
      <c r="R719" s="31"/>
      <c r="S719" s="31"/>
      <c r="T719" s="31"/>
      <c r="U719" s="31"/>
      <c r="V719" s="31"/>
    </row>
    <row r="720" spans="1:22" x14ac:dyDescent="0.2">
      <c r="A720" s="47" t="s">
        <v>399</v>
      </c>
      <c r="B720" s="47" t="s">
        <v>2245</v>
      </c>
      <c r="C720" s="47" t="s">
        <v>4182</v>
      </c>
      <c r="D720" s="47" t="s">
        <v>1635</v>
      </c>
      <c r="E720" s="47" t="s">
        <v>2521</v>
      </c>
      <c r="F720" s="25">
        <v>8</v>
      </c>
      <c r="G720" s="25" t="s">
        <v>10</v>
      </c>
      <c r="H720" s="25">
        <v>1998</v>
      </c>
      <c r="I720" s="25" t="s">
        <v>2530</v>
      </c>
      <c r="J720" s="25" t="s">
        <v>2523</v>
      </c>
      <c r="K720" s="48" t="s">
        <v>2407</v>
      </c>
      <c r="L720" s="25" t="s">
        <v>398</v>
      </c>
      <c r="M720" s="25" t="s">
        <v>403</v>
      </c>
      <c r="N720" s="25">
        <v>1</v>
      </c>
      <c r="O720" s="25">
        <v>4</v>
      </c>
      <c r="P720" s="25" t="s">
        <v>1527</v>
      </c>
      <c r="Q720" s="31" t="s">
        <v>3462</v>
      </c>
      <c r="R720" s="31"/>
      <c r="S720" s="31"/>
      <c r="T720" s="31"/>
      <c r="U720" s="31"/>
      <c r="V720" s="31"/>
    </row>
    <row r="721" spans="1:22" x14ac:dyDescent="0.2">
      <c r="A721" s="47" t="s">
        <v>399</v>
      </c>
      <c r="B721" s="47" t="s">
        <v>2249</v>
      </c>
      <c r="C721" s="47" t="s">
        <v>4182</v>
      </c>
      <c r="D721" s="47" t="s">
        <v>1635</v>
      </c>
      <c r="E721" s="47" t="s">
        <v>2521</v>
      </c>
      <c r="F721" s="25">
        <v>10</v>
      </c>
      <c r="G721" s="25" t="s">
        <v>98</v>
      </c>
      <c r="H721" s="25">
        <v>2000</v>
      </c>
      <c r="I721" s="25" t="s">
        <v>2531</v>
      </c>
      <c r="J721" s="25" t="s">
        <v>2523</v>
      </c>
      <c r="K721" s="48" t="s">
        <v>2407</v>
      </c>
      <c r="L721" s="25" t="s">
        <v>398</v>
      </c>
      <c r="M721" s="25" t="s">
        <v>403</v>
      </c>
      <c r="N721" s="25">
        <v>1</v>
      </c>
      <c r="O721" s="25">
        <v>4</v>
      </c>
      <c r="P721" s="25" t="s">
        <v>1527</v>
      </c>
      <c r="Q721" s="31" t="s">
        <v>3462</v>
      </c>
      <c r="R721" s="31"/>
      <c r="S721" s="31"/>
      <c r="T721" s="31"/>
      <c r="U721" s="31"/>
      <c r="V721" s="31"/>
    </row>
    <row r="722" spans="1:22" x14ac:dyDescent="0.2">
      <c r="A722" s="47" t="s">
        <v>399</v>
      </c>
      <c r="B722" s="47" t="s">
        <v>2251</v>
      </c>
      <c r="C722" s="47" t="s">
        <v>4182</v>
      </c>
      <c r="D722" s="47" t="s">
        <v>1635</v>
      </c>
      <c r="E722" s="47" t="s">
        <v>2521</v>
      </c>
      <c r="F722" s="25">
        <v>11</v>
      </c>
      <c r="G722" s="25" t="s">
        <v>104</v>
      </c>
      <c r="H722" s="25">
        <v>2001</v>
      </c>
      <c r="I722" s="25" t="s">
        <v>2532</v>
      </c>
      <c r="J722" s="25" t="s">
        <v>2523</v>
      </c>
      <c r="K722" s="48" t="s">
        <v>2407</v>
      </c>
      <c r="L722" s="25" t="s">
        <v>398</v>
      </c>
      <c r="M722" s="25" t="s">
        <v>403</v>
      </c>
      <c r="N722" s="25">
        <v>1</v>
      </c>
      <c r="O722" s="25">
        <v>4</v>
      </c>
      <c r="P722" s="25" t="s">
        <v>1527</v>
      </c>
      <c r="Q722" s="31" t="s">
        <v>3462</v>
      </c>
      <c r="R722" s="31"/>
      <c r="S722" s="31"/>
      <c r="T722" s="31"/>
      <c r="U722" s="31"/>
      <c r="V722" s="31"/>
    </row>
    <row r="723" spans="1:22" x14ac:dyDescent="0.2">
      <c r="A723" s="47" t="s">
        <v>399</v>
      </c>
      <c r="B723" s="47" t="s">
        <v>2253</v>
      </c>
      <c r="C723" s="47" t="s">
        <v>4182</v>
      </c>
      <c r="D723" s="47" t="s">
        <v>1635</v>
      </c>
      <c r="E723" s="47" t="s">
        <v>2521</v>
      </c>
      <c r="F723" s="25">
        <v>12</v>
      </c>
      <c r="G723" s="25" t="s">
        <v>89</v>
      </c>
      <c r="H723" s="25">
        <v>2002</v>
      </c>
      <c r="I723" s="25" t="s">
        <v>2533</v>
      </c>
      <c r="J723" s="25" t="s">
        <v>2523</v>
      </c>
      <c r="K723" s="48" t="s">
        <v>2407</v>
      </c>
      <c r="L723" s="25" t="s">
        <v>398</v>
      </c>
      <c r="M723" s="25" t="s">
        <v>403</v>
      </c>
      <c r="N723" s="25">
        <v>1</v>
      </c>
      <c r="O723" s="25">
        <v>4</v>
      </c>
      <c r="P723" s="25" t="s">
        <v>1527</v>
      </c>
      <c r="Q723" s="31" t="s">
        <v>3462</v>
      </c>
      <c r="R723" s="31"/>
      <c r="S723" s="31"/>
      <c r="T723" s="31"/>
      <c r="U723" s="31"/>
      <c r="V723" s="31"/>
    </row>
    <row r="724" spans="1:22" x14ac:dyDescent="0.2">
      <c r="A724" s="47" t="s">
        <v>399</v>
      </c>
      <c r="B724" s="47" t="s">
        <v>2255</v>
      </c>
      <c r="C724" s="47" t="s">
        <v>4182</v>
      </c>
      <c r="D724" s="47" t="s">
        <v>1635</v>
      </c>
      <c r="E724" s="47" t="s">
        <v>2521</v>
      </c>
      <c r="F724" s="25">
        <v>13</v>
      </c>
      <c r="G724" s="25" t="s">
        <v>107</v>
      </c>
      <c r="H724" s="25">
        <v>2003</v>
      </c>
      <c r="I724" s="25" t="s">
        <v>2534</v>
      </c>
      <c r="J724" s="25" t="s">
        <v>2523</v>
      </c>
      <c r="K724" s="48" t="s">
        <v>2407</v>
      </c>
      <c r="L724" s="25" t="s">
        <v>398</v>
      </c>
      <c r="M724" s="25" t="s">
        <v>403</v>
      </c>
      <c r="N724" s="25">
        <v>1</v>
      </c>
      <c r="O724" s="25">
        <v>4</v>
      </c>
      <c r="P724" s="25" t="s">
        <v>1527</v>
      </c>
      <c r="Q724" s="31" t="s">
        <v>3462</v>
      </c>
      <c r="R724" s="31"/>
      <c r="S724" s="31"/>
      <c r="T724" s="31"/>
      <c r="U724" s="31"/>
      <c r="V724" s="31"/>
    </row>
    <row r="725" spans="1:22" x14ac:dyDescent="0.2">
      <c r="A725" s="47" t="s">
        <v>399</v>
      </c>
      <c r="B725" s="47" t="s">
        <v>2257</v>
      </c>
      <c r="C725" s="47" t="s">
        <v>4182</v>
      </c>
      <c r="D725" s="47" t="s">
        <v>1635</v>
      </c>
      <c r="E725" s="47" t="s">
        <v>2521</v>
      </c>
      <c r="F725" s="25">
        <v>14</v>
      </c>
      <c r="G725" s="25" t="s">
        <v>43</v>
      </c>
      <c r="H725" s="25">
        <v>2004</v>
      </c>
      <c r="I725" s="25" t="s">
        <v>2535</v>
      </c>
      <c r="J725" s="25" t="s">
        <v>2523</v>
      </c>
      <c r="K725" s="48" t="s">
        <v>2407</v>
      </c>
      <c r="L725" s="25" t="s">
        <v>398</v>
      </c>
      <c r="M725" s="25" t="s">
        <v>403</v>
      </c>
      <c r="N725" s="25">
        <v>1</v>
      </c>
      <c r="O725" s="25">
        <v>4</v>
      </c>
      <c r="P725" s="25" t="s">
        <v>1527</v>
      </c>
      <c r="Q725" s="31" t="s">
        <v>3462</v>
      </c>
      <c r="R725" s="31"/>
      <c r="S725" s="31"/>
      <c r="T725" s="31"/>
      <c r="U725" s="31"/>
      <c r="V725" s="31"/>
    </row>
    <row r="726" spans="1:22" x14ac:dyDescent="0.2">
      <c r="A726" s="47" t="s">
        <v>399</v>
      </c>
      <c r="B726" s="47" t="s">
        <v>2259</v>
      </c>
      <c r="C726" s="47" t="s">
        <v>4182</v>
      </c>
      <c r="D726" s="47" t="s">
        <v>1635</v>
      </c>
      <c r="E726" s="47" t="s">
        <v>2521</v>
      </c>
      <c r="F726" s="25">
        <v>15</v>
      </c>
      <c r="G726" s="25" t="s">
        <v>19</v>
      </c>
      <c r="H726" s="25">
        <v>2005</v>
      </c>
      <c r="I726" s="25" t="s">
        <v>2536</v>
      </c>
      <c r="J726" s="25" t="s">
        <v>2523</v>
      </c>
      <c r="K726" s="48" t="s">
        <v>2407</v>
      </c>
      <c r="L726" s="25" t="s">
        <v>398</v>
      </c>
      <c r="M726" s="25" t="s">
        <v>403</v>
      </c>
      <c r="N726" s="25">
        <v>1</v>
      </c>
      <c r="O726" s="25">
        <v>4</v>
      </c>
      <c r="P726" s="25" t="s">
        <v>1527</v>
      </c>
      <c r="Q726" s="31" t="s">
        <v>3462</v>
      </c>
      <c r="R726" s="31"/>
      <c r="S726" s="31"/>
      <c r="T726" s="31"/>
      <c r="U726" s="31"/>
      <c r="V726" s="31"/>
    </row>
    <row r="727" spans="1:22" x14ac:dyDescent="0.2">
      <c r="A727" s="47" t="s">
        <v>399</v>
      </c>
      <c r="B727" s="47" t="s">
        <v>2261</v>
      </c>
      <c r="C727" s="47" t="s">
        <v>4182</v>
      </c>
      <c r="D727" s="47" t="s">
        <v>1635</v>
      </c>
      <c r="E727" s="47" t="s">
        <v>2521</v>
      </c>
      <c r="F727" s="25">
        <v>16</v>
      </c>
      <c r="G727" s="25" t="s">
        <v>25</v>
      </c>
      <c r="H727" s="25">
        <v>2006</v>
      </c>
      <c r="I727" s="25" t="s">
        <v>2537</v>
      </c>
      <c r="J727" s="25" t="s">
        <v>2523</v>
      </c>
      <c r="K727" s="48" t="s">
        <v>2407</v>
      </c>
      <c r="L727" s="25" t="s">
        <v>398</v>
      </c>
      <c r="M727" s="25" t="s">
        <v>403</v>
      </c>
      <c r="N727" s="25">
        <v>1</v>
      </c>
      <c r="O727" s="25">
        <v>4</v>
      </c>
      <c r="P727" s="25" t="s">
        <v>1527</v>
      </c>
      <c r="Q727" s="31" t="s">
        <v>3462</v>
      </c>
      <c r="R727" s="31"/>
      <c r="S727" s="31"/>
      <c r="T727" s="31"/>
      <c r="U727" s="31"/>
      <c r="V727" s="31"/>
    </row>
    <row r="728" spans="1:22" x14ac:dyDescent="0.2">
      <c r="A728" s="47" t="s">
        <v>399</v>
      </c>
      <c r="B728" s="47" t="s">
        <v>2263</v>
      </c>
      <c r="C728" s="47" t="s">
        <v>4182</v>
      </c>
      <c r="D728" s="47" t="s">
        <v>1635</v>
      </c>
      <c r="E728" s="47" t="s">
        <v>2521</v>
      </c>
      <c r="F728" s="25">
        <v>17</v>
      </c>
      <c r="G728" s="25" t="s">
        <v>73</v>
      </c>
      <c r="H728" s="25">
        <v>2007</v>
      </c>
      <c r="I728" s="25" t="s">
        <v>2538</v>
      </c>
      <c r="J728" s="25" t="s">
        <v>2523</v>
      </c>
      <c r="K728" s="48" t="s">
        <v>2407</v>
      </c>
      <c r="L728" s="25" t="s">
        <v>398</v>
      </c>
      <c r="M728" s="25" t="s">
        <v>403</v>
      </c>
      <c r="N728" s="25">
        <v>1</v>
      </c>
      <c r="O728" s="25">
        <v>4</v>
      </c>
      <c r="P728" s="25" t="s">
        <v>1527</v>
      </c>
      <c r="Q728" s="31" t="s">
        <v>3462</v>
      </c>
      <c r="R728" s="31"/>
      <c r="S728" s="31"/>
      <c r="T728" s="31"/>
      <c r="U728" s="31"/>
      <c r="V728" s="31"/>
    </row>
    <row r="729" spans="1:22" x14ac:dyDescent="0.2">
      <c r="A729" s="47" t="s">
        <v>399</v>
      </c>
      <c r="B729" s="47" t="s">
        <v>2265</v>
      </c>
      <c r="C729" s="47" t="s">
        <v>4182</v>
      </c>
      <c r="D729" s="47" t="s">
        <v>1635</v>
      </c>
      <c r="E729" s="47" t="s">
        <v>2521</v>
      </c>
      <c r="F729" s="25">
        <v>18</v>
      </c>
      <c r="G729" s="25" t="s">
        <v>58</v>
      </c>
      <c r="H729" s="25">
        <v>2008</v>
      </c>
      <c r="I729" s="25" t="s">
        <v>2539</v>
      </c>
      <c r="J729" s="25" t="s">
        <v>2523</v>
      </c>
      <c r="K729" s="48" t="s">
        <v>2407</v>
      </c>
      <c r="L729" s="25" t="s">
        <v>398</v>
      </c>
      <c r="M729" s="25" t="s">
        <v>403</v>
      </c>
      <c r="N729" s="25">
        <v>1</v>
      </c>
      <c r="O729" s="25">
        <v>4</v>
      </c>
      <c r="P729" s="25" t="s">
        <v>1527</v>
      </c>
      <c r="Q729" s="31" t="s">
        <v>3462</v>
      </c>
      <c r="R729" s="31"/>
      <c r="S729" s="31"/>
      <c r="T729" s="31"/>
      <c r="U729" s="31"/>
      <c r="V729" s="31"/>
    </row>
    <row r="730" spans="1:22" x14ac:dyDescent="0.2">
      <c r="A730" s="47" t="s">
        <v>399</v>
      </c>
      <c r="B730" s="47" t="s">
        <v>2227</v>
      </c>
      <c r="C730" s="47" t="s">
        <v>4182</v>
      </c>
      <c r="D730" s="47" t="s">
        <v>1635</v>
      </c>
      <c r="E730" s="47" t="s">
        <v>2540</v>
      </c>
      <c r="F730" s="25">
        <v>1</v>
      </c>
      <c r="G730" s="25" t="s">
        <v>40</v>
      </c>
      <c r="H730" s="25">
        <v>1991</v>
      </c>
      <c r="I730" s="25" t="s">
        <v>2541</v>
      </c>
      <c r="J730" s="25" t="s">
        <v>2542</v>
      </c>
      <c r="K730" s="48" t="s">
        <v>2427</v>
      </c>
      <c r="L730" s="25" t="s">
        <v>398</v>
      </c>
      <c r="M730" s="25" t="s">
        <v>403</v>
      </c>
      <c r="N730" s="25">
        <v>1</v>
      </c>
      <c r="O730" s="25">
        <v>4</v>
      </c>
      <c r="P730" s="25" t="s">
        <v>1527</v>
      </c>
      <c r="Q730" s="31" t="s">
        <v>3462</v>
      </c>
      <c r="R730" s="31"/>
      <c r="S730" s="31"/>
      <c r="T730" s="31"/>
      <c r="U730" s="31"/>
      <c r="V730" s="31"/>
    </row>
    <row r="731" spans="1:22" x14ac:dyDescent="0.2">
      <c r="A731" s="47" t="s">
        <v>399</v>
      </c>
      <c r="B731" s="47" t="s">
        <v>2233</v>
      </c>
      <c r="C731" s="47" t="s">
        <v>4182</v>
      </c>
      <c r="D731" s="47" t="s">
        <v>1635</v>
      </c>
      <c r="E731" s="47" t="s">
        <v>2540</v>
      </c>
      <c r="F731" s="25">
        <v>2</v>
      </c>
      <c r="G731" s="25" t="s">
        <v>37</v>
      </c>
      <c r="H731" s="25">
        <v>1992</v>
      </c>
      <c r="I731" s="25" t="s">
        <v>2543</v>
      </c>
      <c r="J731" s="25" t="s">
        <v>2542</v>
      </c>
      <c r="K731" s="48" t="s">
        <v>2427</v>
      </c>
      <c r="L731" s="25" t="s">
        <v>398</v>
      </c>
      <c r="M731" s="25" t="s">
        <v>403</v>
      </c>
      <c r="N731" s="25">
        <v>1</v>
      </c>
      <c r="O731" s="25">
        <v>4</v>
      </c>
      <c r="P731" s="25" t="s">
        <v>1527</v>
      </c>
      <c r="Q731" s="31" t="s">
        <v>3462</v>
      </c>
      <c r="R731" s="31"/>
      <c r="S731" s="31"/>
      <c r="T731" s="31"/>
      <c r="U731" s="31"/>
      <c r="V731" s="31"/>
    </row>
    <row r="732" spans="1:22" x14ac:dyDescent="0.2">
      <c r="A732" s="47" t="s">
        <v>399</v>
      </c>
      <c r="B732" s="47" t="s">
        <v>2235</v>
      </c>
      <c r="C732" s="47" t="s">
        <v>4182</v>
      </c>
      <c r="D732" s="47" t="s">
        <v>1635</v>
      </c>
      <c r="E732" s="47" t="s">
        <v>2540</v>
      </c>
      <c r="F732" s="25">
        <v>3</v>
      </c>
      <c r="G732" s="25" t="s">
        <v>80</v>
      </c>
      <c r="H732" s="25">
        <v>1993</v>
      </c>
      <c r="I732" s="25" t="s">
        <v>2544</v>
      </c>
      <c r="J732" s="25" t="s">
        <v>2542</v>
      </c>
      <c r="K732" s="48" t="s">
        <v>2427</v>
      </c>
      <c r="L732" s="25" t="s">
        <v>398</v>
      </c>
      <c r="M732" s="25" t="s">
        <v>403</v>
      </c>
      <c r="N732" s="25">
        <v>1</v>
      </c>
      <c r="O732" s="25">
        <v>4</v>
      </c>
      <c r="P732" s="25" t="s">
        <v>1527</v>
      </c>
      <c r="Q732" s="31" t="s">
        <v>3462</v>
      </c>
      <c r="R732" s="31"/>
      <c r="S732" s="31"/>
      <c r="T732" s="31"/>
      <c r="U732" s="31"/>
      <c r="V732" s="31"/>
    </row>
    <row r="733" spans="1:22" x14ac:dyDescent="0.2">
      <c r="A733" s="47" t="s">
        <v>399</v>
      </c>
      <c r="B733" s="47" t="s">
        <v>2237</v>
      </c>
      <c r="C733" s="47" t="s">
        <v>4182</v>
      </c>
      <c r="D733" s="47" t="s">
        <v>1635</v>
      </c>
      <c r="E733" s="47" t="s">
        <v>2540</v>
      </c>
      <c r="F733" s="25">
        <v>4</v>
      </c>
      <c r="G733" s="25" t="s">
        <v>31</v>
      </c>
      <c r="H733" s="25">
        <v>1994</v>
      </c>
      <c r="I733" s="25" t="s">
        <v>2545</v>
      </c>
      <c r="J733" s="25" t="s">
        <v>2542</v>
      </c>
      <c r="K733" s="48" t="s">
        <v>2427</v>
      </c>
      <c r="L733" s="25" t="s">
        <v>398</v>
      </c>
      <c r="M733" s="25" t="s">
        <v>403</v>
      </c>
      <c r="N733" s="25">
        <v>1</v>
      </c>
      <c r="O733" s="25">
        <v>4</v>
      </c>
      <c r="P733" s="25" t="s">
        <v>1527</v>
      </c>
      <c r="Q733" s="31" t="s">
        <v>3462</v>
      </c>
      <c r="R733" s="31"/>
      <c r="S733" s="31"/>
      <c r="T733" s="31"/>
      <c r="U733" s="31"/>
      <c r="V733" s="31"/>
    </row>
    <row r="734" spans="1:22" x14ac:dyDescent="0.2">
      <c r="A734" s="47" t="s">
        <v>399</v>
      </c>
      <c r="B734" s="47" t="s">
        <v>2239</v>
      </c>
      <c r="C734" s="47" t="s">
        <v>4182</v>
      </c>
      <c r="D734" s="47" t="s">
        <v>1635</v>
      </c>
      <c r="E734" s="47" t="s">
        <v>2540</v>
      </c>
      <c r="F734" s="25">
        <v>5</v>
      </c>
      <c r="G734" s="25" t="s">
        <v>13</v>
      </c>
      <c r="H734" s="25">
        <v>1995</v>
      </c>
      <c r="I734" s="25" t="s">
        <v>2546</v>
      </c>
      <c r="J734" s="25" t="s">
        <v>2542</v>
      </c>
      <c r="K734" s="48" t="s">
        <v>2427</v>
      </c>
      <c r="L734" s="25" t="s">
        <v>398</v>
      </c>
      <c r="M734" s="25" t="s">
        <v>403</v>
      </c>
      <c r="N734" s="25">
        <v>1</v>
      </c>
      <c r="O734" s="25">
        <v>4</v>
      </c>
      <c r="P734" s="25" t="s">
        <v>1527</v>
      </c>
      <c r="Q734" s="31" t="s">
        <v>3462</v>
      </c>
      <c r="R734" s="31"/>
      <c r="S734" s="31"/>
      <c r="T734" s="31"/>
      <c r="U734" s="31"/>
      <c r="V734" s="31"/>
    </row>
    <row r="735" spans="1:22" x14ac:dyDescent="0.2">
      <c r="A735" s="47" t="s">
        <v>399</v>
      </c>
      <c r="B735" s="47" t="s">
        <v>2241</v>
      </c>
      <c r="C735" s="47" t="s">
        <v>4182</v>
      </c>
      <c r="D735" s="47" t="s">
        <v>1635</v>
      </c>
      <c r="E735" s="47" t="s">
        <v>2540</v>
      </c>
      <c r="F735" s="25">
        <v>6</v>
      </c>
      <c r="G735" s="25" t="s">
        <v>49</v>
      </c>
      <c r="H735" s="25">
        <v>1996</v>
      </c>
      <c r="I735" s="25" t="s">
        <v>2547</v>
      </c>
      <c r="J735" s="25" t="s">
        <v>2542</v>
      </c>
      <c r="K735" s="48" t="s">
        <v>2427</v>
      </c>
      <c r="L735" s="25" t="s">
        <v>398</v>
      </c>
      <c r="M735" s="25" t="s">
        <v>403</v>
      </c>
      <c r="N735" s="25">
        <v>1</v>
      </c>
      <c r="O735" s="25">
        <v>4</v>
      </c>
      <c r="P735" s="25" t="s">
        <v>1527</v>
      </c>
      <c r="Q735" s="31" t="s">
        <v>3462</v>
      </c>
      <c r="R735" s="31"/>
      <c r="S735" s="31"/>
      <c r="T735" s="31"/>
      <c r="U735" s="31"/>
      <c r="V735" s="31"/>
    </row>
    <row r="736" spans="1:22" x14ac:dyDescent="0.2">
      <c r="A736" s="47" t="s">
        <v>399</v>
      </c>
      <c r="B736" s="47" t="s">
        <v>2243</v>
      </c>
      <c r="C736" s="47" t="s">
        <v>4182</v>
      </c>
      <c r="D736" s="47" t="s">
        <v>1635</v>
      </c>
      <c r="E736" s="47" t="s">
        <v>2540</v>
      </c>
      <c r="F736" s="25">
        <v>7</v>
      </c>
      <c r="G736" s="25" t="s">
        <v>101</v>
      </c>
      <c r="H736" s="25">
        <v>1997</v>
      </c>
      <c r="I736" s="25" t="s">
        <v>2548</v>
      </c>
      <c r="J736" s="25" t="s">
        <v>2542</v>
      </c>
      <c r="K736" s="48" t="s">
        <v>2427</v>
      </c>
      <c r="L736" s="25" t="s">
        <v>398</v>
      </c>
      <c r="M736" s="25" t="s">
        <v>403</v>
      </c>
      <c r="N736" s="25">
        <v>1</v>
      </c>
      <c r="O736" s="25">
        <v>4</v>
      </c>
      <c r="P736" s="25" t="s">
        <v>1527</v>
      </c>
      <c r="Q736" s="31" t="s">
        <v>3462</v>
      </c>
      <c r="R736" s="31"/>
      <c r="S736" s="31"/>
      <c r="T736" s="31"/>
      <c r="U736" s="31"/>
      <c r="V736" s="31"/>
    </row>
    <row r="737" spans="1:22" x14ac:dyDescent="0.2">
      <c r="A737" s="47" t="s">
        <v>399</v>
      </c>
      <c r="B737" s="47" t="s">
        <v>2245</v>
      </c>
      <c r="C737" s="47" t="s">
        <v>4182</v>
      </c>
      <c r="D737" s="47" t="s">
        <v>1635</v>
      </c>
      <c r="E737" s="47" t="s">
        <v>2540</v>
      </c>
      <c r="F737" s="25">
        <v>8</v>
      </c>
      <c r="G737" s="25" t="s">
        <v>10</v>
      </c>
      <c r="H737" s="25">
        <v>1998</v>
      </c>
      <c r="I737" s="25" t="s">
        <v>2549</v>
      </c>
      <c r="J737" s="25" t="s">
        <v>2542</v>
      </c>
      <c r="K737" s="48" t="s">
        <v>2427</v>
      </c>
      <c r="L737" s="25" t="s">
        <v>398</v>
      </c>
      <c r="M737" s="25" t="s">
        <v>403</v>
      </c>
      <c r="N737" s="25">
        <v>1</v>
      </c>
      <c r="O737" s="25">
        <v>4</v>
      </c>
      <c r="P737" s="25" t="s">
        <v>1527</v>
      </c>
      <c r="Q737" s="31" t="s">
        <v>3462</v>
      </c>
      <c r="R737" s="31"/>
      <c r="S737" s="31"/>
      <c r="T737" s="31"/>
      <c r="U737" s="31"/>
      <c r="V737" s="31"/>
    </row>
    <row r="738" spans="1:22" x14ac:dyDescent="0.2">
      <c r="A738" s="47" t="s">
        <v>399</v>
      </c>
      <c r="B738" s="47" t="s">
        <v>2249</v>
      </c>
      <c r="C738" s="47" t="s">
        <v>4182</v>
      </c>
      <c r="D738" s="47" t="s">
        <v>1635</v>
      </c>
      <c r="E738" s="47" t="s">
        <v>2540</v>
      </c>
      <c r="F738" s="25">
        <v>10</v>
      </c>
      <c r="G738" s="25" t="s">
        <v>98</v>
      </c>
      <c r="H738" s="25">
        <v>2000</v>
      </c>
      <c r="I738" s="25" t="s">
        <v>2550</v>
      </c>
      <c r="J738" s="25" t="s">
        <v>2542</v>
      </c>
      <c r="K738" s="48" t="s">
        <v>2427</v>
      </c>
      <c r="L738" s="25" t="s">
        <v>398</v>
      </c>
      <c r="M738" s="25" t="s">
        <v>403</v>
      </c>
      <c r="N738" s="25">
        <v>1</v>
      </c>
      <c r="O738" s="25">
        <v>4</v>
      </c>
      <c r="P738" s="25" t="s">
        <v>1527</v>
      </c>
      <c r="Q738" s="31" t="s">
        <v>3462</v>
      </c>
      <c r="R738" s="31"/>
      <c r="S738" s="31"/>
      <c r="T738" s="31"/>
      <c r="U738" s="31"/>
      <c r="V738" s="31"/>
    </row>
    <row r="739" spans="1:22" x14ac:dyDescent="0.2">
      <c r="A739" s="47" t="s">
        <v>399</v>
      </c>
      <c r="B739" s="47" t="s">
        <v>2251</v>
      </c>
      <c r="C739" s="47" t="s">
        <v>4182</v>
      </c>
      <c r="D739" s="47" t="s">
        <v>1635</v>
      </c>
      <c r="E739" s="47" t="s">
        <v>2540</v>
      </c>
      <c r="F739" s="25">
        <v>11</v>
      </c>
      <c r="G739" s="25" t="s">
        <v>104</v>
      </c>
      <c r="H739" s="25">
        <v>2001</v>
      </c>
      <c r="I739" s="25" t="s">
        <v>2551</v>
      </c>
      <c r="J739" s="25" t="s">
        <v>2542</v>
      </c>
      <c r="K739" s="48" t="s">
        <v>2427</v>
      </c>
      <c r="L739" s="25" t="s">
        <v>398</v>
      </c>
      <c r="M739" s="25" t="s">
        <v>403</v>
      </c>
      <c r="N739" s="25">
        <v>1</v>
      </c>
      <c r="O739" s="25">
        <v>4</v>
      </c>
      <c r="P739" s="25" t="s">
        <v>1527</v>
      </c>
      <c r="Q739" s="31" t="s">
        <v>3462</v>
      </c>
      <c r="R739" s="31"/>
      <c r="S739" s="31"/>
      <c r="T739" s="31"/>
      <c r="U739" s="31"/>
      <c r="V739" s="31"/>
    </row>
    <row r="740" spans="1:22" x14ac:dyDescent="0.2">
      <c r="A740" s="47" t="s">
        <v>399</v>
      </c>
      <c r="B740" s="47" t="s">
        <v>2253</v>
      </c>
      <c r="C740" s="47" t="s">
        <v>4182</v>
      </c>
      <c r="D740" s="47" t="s">
        <v>1635</v>
      </c>
      <c r="E740" s="47" t="s">
        <v>2540</v>
      </c>
      <c r="F740" s="25">
        <v>12</v>
      </c>
      <c r="G740" s="25" t="s">
        <v>89</v>
      </c>
      <c r="H740" s="25">
        <v>2002</v>
      </c>
      <c r="I740" s="25" t="s">
        <v>2552</v>
      </c>
      <c r="J740" s="25" t="s">
        <v>2542</v>
      </c>
      <c r="K740" s="48" t="s">
        <v>2427</v>
      </c>
      <c r="L740" s="25" t="s">
        <v>398</v>
      </c>
      <c r="M740" s="25" t="s">
        <v>403</v>
      </c>
      <c r="N740" s="25">
        <v>1</v>
      </c>
      <c r="O740" s="25">
        <v>4</v>
      </c>
      <c r="P740" s="25" t="s">
        <v>1527</v>
      </c>
      <c r="Q740" s="31" t="s">
        <v>3462</v>
      </c>
      <c r="R740" s="31"/>
      <c r="S740" s="31"/>
      <c r="T740" s="31"/>
      <c r="U740" s="31"/>
      <c r="V740" s="31"/>
    </row>
    <row r="741" spans="1:22" x14ac:dyDescent="0.2">
      <c r="A741" s="47" t="s">
        <v>399</v>
      </c>
      <c r="B741" s="47" t="s">
        <v>2255</v>
      </c>
      <c r="C741" s="47" t="s">
        <v>4182</v>
      </c>
      <c r="D741" s="47" t="s">
        <v>1635</v>
      </c>
      <c r="E741" s="47" t="s">
        <v>2540</v>
      </c>
      <c r="F741" s="25">
        <v>13</v>
      </c>
      <c r="G741" s="25" t="s">
        <v>107</v>
      </c>
      <c r="H741" s="25">
        <v>2003</v>
      </c>
      <c r="I741" s="25" t="s">
        <v>2553</v>
      </c>
      <c r="J741" s="25" t="s">
        <v>2542</v>
      </c>
      <c r="K741" s="48" t="s">
        <v>2427</v>
      </c>
      <c r="L741" s="25" t="s">
        <v>398</v>
      </c>
      <c r="M741" s="25" t="s">
        <v>403</v>
      </c>
      <c r="N741" s="25">
        <v>1</v>
      </c>
      <c r="O741" s="25">
        <v>4</v>
      </c>
      <c r="P741" s="25" t="s">
        <v>1527</v>
      </c>
      <c r="Q741" s="31" t="s">
        <v>3462</v>
      </c>
      <c r="R741" s="31"/>
      <c r="S741" s="31"/>
      <c r="T741" s="31"/>
      <c r="U741" s="31"/>
      <c r="V741" s="31"/>
    </row>
    <row r="742" spans="1:22" x14ac:dyDescent="0.2">
      <c r="A742" s="47" t="s">
        <v>399</v>
      </c>
      <c r="B742" s="47" t="s">
        <v>2257</v>
      </c>
      <c r="C742" s="47" t="s">
        <v>4182</v>
      </c>
      <c r="D742" s="47" t="s">
        <v>1635</v>
      </c>
      <c r="E742" s="47" t="s">
        <v>2540</v>
      </c>
      <c r="F742" s="25">
        <v>14</v>
      </c>
      <c r="G742" s="25" t="s">
        <v>43</v>
      </c>
      <c r="H742" s="25">
        <v>2004</v>
      </c>
      <c r="I742" s="25" t="s">
        <v>2554</v>
      </c>
      <c r="J742" s="25" t="s">
        <v>2542</v>
      </c>
      <c r="K742" s="48" t="s">
        <v>2427</v>
      </c>
      <c r="L742" s="25" t="s">
        <v>398</v>
      </c>
      <c r="M742" s="25" t="s">
        <v>403</v>
      </c>
      <c r="N742" s="25">
        <v>1</v>
      </c>
      <c r="O742" s="25">
        <v>4</v>
      </c>
      <c r="P742" s="25" t="s">
        <v>1527</v>
      </c>
      <c r="Q742" s="31" t="s">
        <v>3462</v>
      </c>
      <c r="R742" s="31"/>
      <c r="S742" s="31"/>
      <c r="T742" s="31"/>
      <c r="U742" s="31"/>
      <c r="V742" s="31"/>
    </row>
    <row r="743" spans="1:22" x14ac:dyDescent="0.2">
      <c r="A743" s="47" t="s">
        <v>399</v>
      </c>
      <c r="B743" s="47" t="s">
        <v>2259</v>
      </c>
      <c r="C743" s="47" t="s">
        <v>4182</v>
      </c>
      <c r="D743" s="47" t="s">
        <v>1635</v>
      </c>
      <c r="E743" s="47" t="s">
        <v>2540</v>
      </c>
      <c r="F743" s="25">
        <v>15</v>
      </c>
      <c r="G743" s="25" t="s">
        <v>19</v>
      </c>
      <c r="H743" s="25">
        <v>2005</v>
      </c>
      <c r="I743" s="25" t="s">
        <v>2555</v>
      </c>
      <c r="J743" s="25" t="s">
        <v>2542</v>
      </c>
      <c r="K743" s="48" t="s">
        <v>2427</v>
      </c>
      <c r="L743" s="25" t="s">
        <v>398</v>
      </c>
      <c r="M743" s="25" t="s">
        <v>403</v>
      </c>
      <c r="N743" s="25">
        <v>1</v>
      </c>
      <c r="O743" s="25">
        <v>4</v>
      </c>
      <c r="P743" s="25" t="s">
        <v>1527</v>
      </c>
      <c r="Q743" s="31" t="s">
        <v>3462</v>
      </c>
      <c r="R743" s="31"/>
      <c r="S743" s="31"/>
      <c r="T743" s="31"/>
      <c r="U743" s="31"/>
      <c r="V743" s="31"/>
    </row>
    <row r="744" spans="1:22" x14ac:dyDescent="0.2">
      <c r="A744" s="47" t="s">
        <v>399</v>
      </c>
      <c r="B744" s="47" t="s">
        <v>2261</v>
      </c>
      <c r="C744" s="47" t="s">
        <v>4182</v>
      </c>
      <c r="D744" s="47" t="s">
        <v>1635</v>
      </c>
      <c r="E744" s="47" t="s">
        <v>2540</v>
      </c>
      <c r="F744" s="25">
        <v>16</v>
      </c>
      <c r="G744" s="25" t="s">
        <v>25</v>
      </c>
      <c r="H744" s="25">
        <v>2006</v>
      </c>
      <c r="I744" s="25" t="s">
        <v>2556</v>
      </c>
      <c r="J744" s="25" t="s">
        <v>2542</v>
      </c>
      <c r="K744" s="48" t="s">
        <v>2427</v>
      </c>
      <c r="L744" s="25" t="s">
        <v>398</v>
      </c>
      <c r="M744" s="25" t="s">
        <v>403</v>
      </c>
      <c r="N744" s="25">
        <v>1</v>
      </c>
      <c r="O744" s="25">
        <v>4</v>
      </c>
      <c r="P744" s="25" t="s">
        <v>1527</v>
      </c>
      <c r="Q744" s="31" t="s">
        <v>3462</v>
      </c>
      <c r="R744" s="31"/>
      <c r="S744" s="31"/>
      <c r="T744" s="31"/>
      <c r="U744" s="31"/>
      <c r="V744" s="31"/>
    </row>
    <row r="745" spans="1:22" x14ac:dyDescent="0.2">
      <c r="A745" s="47" t="s">
        <v>399</v>
      </c>
      <c r="B745" s="47" t="s">
        <v>2263</v>
      </c>
      <c r="C745" s="47" t="s">
        <v>4182</v>
      </c>
      <c r="D745" s="47" t="s">
        <v>1635</v>
      </c>
      <c r="E745" s="47" t="s">
        <v>2540</v>
      </c>
      <c r="F745" s="25">
        <v>17</v>
      </c>
      <c r="G745" s="25" t="s">
        <v>73</v>
      </c>
      <c r="H745" s="25">
        <v>2007</v>
      </c>
      <c r="I745" s="25" t="s">
        <v>2557</v>
      </c>
      <c r="J745" s="25" t="s">
        <v>2542</v>
      </c>
      <c r="K745" s="48" t="s">
        <v>2427</v>
      </c>
      <c r="L745" s="25" t="s">
        <v>398</v>
      </c>
      <c r="M745" s="25" t="s">
        <v>403</v>
      </c>
      <c r="N745" s="25">
        <v>1</v>
      </c>
      <c r="O745" s="25">
        <v>4</v>
      </c>
      <c r="P745" s="25" t="s">
        <v>1527</v>
      </c>
      <c r="Q745" s="31" t="s">
        <v>3462</v>
      </c>
      <c r="R745" s="31"/>
      <c r="S745" s="31"/>
      <c r="T745" s="31"/>
      <c r="U745" s="31"/>
      <c r="V745" s="31"/>
    </row>
    <row r="746" spans="1:22" x14ac:dyDescent="0.2">
      <c r="A746" s="47" t="s">
        <v>399</v>
      </c>
      <c r="B746" s="47" t="s">
        <v>2265</v>
      </c>
      <c r="C746" s="47" t="s">
        <v>4182</v>
      </c>
      <c r="D746" s="47" t="s">
        <v>1635</v>
      </c>
      <c r="E746" s="47" t="s">
        <v>2540</v>
      </c>
      <c r="F746" s="25">
        <v>18</v>
      </c>
      <c r="G746" s="25" t="s">
        <v>58</v>
      </c>
      <c r="H746" s="25">
        <v>2008</v>
      </c>
      <c r="I746" s="25" t="s">
        <v>2558</v>
      </c>
      <c r="J746" s="25" t="s">
        <v>2542</v>
      </c>
      <c r="K746" s="48" t="s">
        <v>2427</v>
      </c>
      <c r="L746" s="25" t="s">
        <v>398</v>
      </c>
      <c r="M746" s="25" t="s">
        <v>403</v>
      </c>
      <c r="N746" s="25">
        <v>1</v>
      </c>
      <c r="O746" s="25">
        <v>4</v>
      </c>
      <c r="P746" s="25" t="s">
        <v>1527</v>
      </c>
      <c r="Q746" s="31" t="s">
        <v>3462</v>
      </c>
      <c r="R746" s="31"/>
      <c r="S746" s="31"/>
      <c r="T746" s="31"/>
      <c r="U746" s="31"/>
      <c r="V746" s="31"/>
    </row>
    <row r="747" spans="1:22" x14ac:dyDescent="0.2">
      <c r="A747" s="47" t="s">
        <v>399</v>
      </c>
      <c r="B747" s="47" t="s">
        <v>2227</v>
      </c>
      <c r="C747" s="47" t="s">
        <v>4182</v>
      </c>
      <c r="D747" s="47" t="s">
        <v>1635</v>
      </c>
      <c r="E747" s="47" t="s">
        <v>2559</v>
      </c>
      <c r="F747" s="25">
        <v>1</v>
      </c>
      <c r="G747" s="25" t="s">
        <v>40</v>
      </c>
      <c r="H747" s="25">
        <v>1991</v>
      </c>
      <c r="I747" s="25" t="s">
        <v>2560</v>
      </c>
      <c r="J747" s="25" t="s">
        <v>2561</v>
      </c>
      <c r="K747" s="48" t="s">
        <v>2427</v>
      </c>
      <c r="L747" s="25" t="s">
        <v>398</v>
      </c>
      <c r="M747" s="25" t="s">
        <v>403</v>
      </c>
      <c r="N747" s="25">
        <v>1</v>
      </c>
      <c r="O747" s="25">
        <v>4</v>
      </c>
      <c r="P747" s="25" t="s">
        <v>1527</v>
      </c>
      <c r="Q747" s="31" t="s">
        <v>3462</v>
      </c>
      <c r="R747" s="31"/>
      <c r="S747" s="31"/>
      <c r="T747" s="31"/>
      <c r="U747" s="31"/>
      <c r="V747" s="31"/>
    </row>
    <row r="748" spans="1:22" x14ac:dyDescent="0.2">
      <c r="A748" s="47" t="s">
        <v>399</v>
      </c>
      <c r="B748" s="47" t="s">
        <v>2233</v>
      </c>
      <c r="C748" s="47" t="s">
        <v>4182</v>
      </c>
      <c r="D748" s="47" t="s">
        <v>1635</v>
      </c>
      <c r="E748" s="47" t="s">
        <v>2559</v>
      </c>
      <c r="F748" s="25">
        <v>2</v>
      </c>
      <c r="G748" s="25" t="s">
        <v>37</v>
      </c>
      <c r="H748" s="25">
        <v>1992</v>
      </c>
      <c r="I748" s="25" t="s">
        <v>2562</v>
      </c>
      <c r="J748" s="25" t="s">
        <v>2561</v>
      </c>
      <c r="K748" s="48" t="s">
        <v>2427</v>
      </c>
      <c r="L748" s="25" t="s">
        <v>398</v>
      </c>
      <c r="M748" s="25" t="s">
        <v>403</v>
      </c>
      <c r="N748" s="25">
        <v>1</v>
      </c>
      <c r="O748" s="25">
        <v>4</v>
      </c>
      <c r="P748" s="25" t="s">
        <v>1527</v>
      </c>
      <c r="Q748" s="31" t="s">
        <v>3462</v>
      </c>
      <c r="R748" s="31"/>
      <c r="S748" s="31"/>
      <c r="T748" s="31"/>
      <c r="U748" s="31"/>
      <c r="V748" s="31"/>
    </row>
    <row r="749" spans="1:22" x14ac:dyDescent="0.2">
      <c r="A749" s="47" t="s">
        <v>399</v>
      </c>
      <c r="B749" s="47" t="s">
        <v>2235</v>
      </c>
      <c r="C749" s="47" t="s">
        <v>4182</v>
      </c>
      <c r="D749" s="47" t="s">
        <v>1635</v>
      </c>
      <c r="E749" s="47" t="s">
        <v>2559</v>
      </c>
      <c r="F749" s="25">
        <v>3</v>
      </c>
      <c r="G749" s="25" t="s">
        <v>80</v>
      </c>
      <c r="H749" s="25">
        <v>1993</v>
      </c>
      <c r="I749" s="25" t="s">
        <v>2563</v>
      </c>
      <c r="J749" s="25" t="s">
        <v>2561</v>
      </c>
      <c r="K749" s="48" t="s">
        <v>2427</v>
      </c>
      <c r="L749" s="25" t="s">
        <v>398</v>
      </c>
      <c r="M749" s="25" t="s">
        <v>403</v>
      </c>
      <c r="N749" s="25">
        <v>1</v>
      </c>
      <c r="O749" s="25">
        <v>4</v>
      </c>
      <c r="P749" s="25" t="s">
        <v>1527</v>
      </c>
      <c r="Q749" s="31" t="s">
        <v>3462</v>
      </c>
      <c r="R749" s="31"/>
      <c r="S749" s="31"/>
      <c r="T749" s="31"/>
      <c r="U749" s="31"/>
      <c r="V749" s="31"/>
    </row>
    <row r="750" spans="1:22" x14ac:dyDescent="0.2">
      <c r="A750" s="47" t="s">
        <v>399</v>
      </c>
      <c r="B750" s="47" t="s">
        <v>2237</v>
      </c>
      <c r="C750" s="47" t="s">
        <v>4182</v>
      </c>
      <c r="D750" s="47" t="s">
        <v>1635</v>
      </c>
      <c r="E750" s="47" t="s">
        <v>2559</v>
      </c>
      <c r="F750" s="25">
        <v>4</v>
      </c>
      <c r="G750" s="25" t="s">
        <v>31</v>
      </c>
      <c r="H750" s="25">
        <v>1994</v>
      </c>
      <c r="I750" s="25" t="s">
        <v>2564</v>
      </c>
      <c r="J750" s="25" t="s">
        <v>2561</v>
      </c>
      <c r="K750" s="48" t="s">
        <v>2427</v>
      </c>
      <c r="L750" s="25" t="s">
        <v>398</v>
      </c>
      <c r="M750" s="25" t="s">
        <v>403</v>
      </c>
      <c r="N750" s="25">
        <v>1</v>
      </c>
      <c r="O750" s="25">
        <v>4</v>
      </c>
      <c r="P750" s="25" t="s">
        <v>1527</v>
      </c>
      <c r="Q750" s="31" t="s">
        <v>3462</v>
      </c>
      <c r="R750" s="31"/>
      <c r="S750" s="31"/>
      <c r="T750" s="31"/>
      <c r="U750" s="31"/>
      <c r="V750" s="31"/>
    </row>
    <row r="751" spans="1:22" x14ac:dyDescent="0.2">
      <c r="A751" s="47" t="s">
        <v>399</v>
      </c>
      <c r="B751" s="47" t="s">
        <v>2239</v>
      </c>
      <c r="C751" s="47" t="s">
        <v>4182</v>
      </c>
      <c r="D751" s="47" t="s">
        <v>1635</v>
      </c>
      <c r="E751" s="47" t="s">
        <v>2559</v>
      </c>
      <c r="F751" s="25">
        <v>5</v>
      </c>
      <c r="G751" s="25" t="s">
        <v>13</v>
      </c>
      <c r="H751" s="25">
        <v>1995</v>
      </c>
      <c r="I751" s="25" t="s">
        <v>2565</v>
      </c>
      <c r="J751" s="25" t="s">
        <v>2561</v>
      </c>
      <c r="K751" s="48" t="s">
        <v>2427</v>
      </c>
      <c r="L751" s="25" t="s">
        <v>398</v>
      </c>
      <c r="M751" s="25" t="s">
        <v>403</v>
      </c>
      <c r="N751" s="25">
        <v>1</v>
      </c>
      <c r="O751" s="25">
        <v>4</v>
      </c>
      <c r="P751" s="25" t="s">
        <v>1527</v>
      </c>
      <c r="Q751" s="31" t="s">
        <v>3462</v>
      </c>
      <c r="R751" s="31"/>
      <c r="S751" s="31"/>
      <c r="T751" s="31"/>
      <c r="U751" s="31"/>
      <c r="V751" s="31"/>
    </row>
    <row r="752" spans="1:22" x14ac:dyDescent="0.2">
      <c r="A752" s="47" t="s">
        <v>399</v>
      </c>
      <c r="B752" s="47" t="s">
        <v>2241</v>
      </c>
      <c r="C752" s="47" t="s">
        <v>4182</v>
      </c>
      <c r="D752" s="47" t="s">
        <v>1635</v>
      </c>
      <c r="E752" s="47" t="s">
        <v>2559</v>
      </c>
      <c r="F752" s="25">
        <v>6</v>
      </c>
      <c r="G752" s="25" t="s">
        <v>49</v>
      </c>
      <c r="H752" s="25">
        <v>1996</v>
      </c>
      <c r="I752" s="25" t="s">
        <v>2566</v>
      </c>
      <c r="J752" s="25" t="s">
        <v>2561</v>
      </c>
      <c r="K752" s="48" t="s">
        <v>2427</v>
      </c>
      <c r="L752" s="25" t="s">
        <v>398</v>
      </c>
      <c r="M752" s="25" t="s">
        <v>403</v>
      </c>
      <c r="N752" s="25">
        <v>1</v>
      </c>
      <c r="O752" s="25">
        <v>4</v>
      </c>
      <c r="P752" s="25" t="s">
        <v>1527</v>
      </c>
      <c r="Q752" s="31" t="s">
        <v>3462</v>
      </c>
      <c r="R752" s="31"/>
      <c r="S752" s="31"/>
      <c r="T752" s="31"/>
      <c r="U752" s="31"/>
      <c r="V752" s="31"/>
    </row>
    <row r="753" spans="1:22" x14ac:dyDescent="0.2">
      <c r="A753" s="47" t="s">
        <v>399</v>
      </c>
      <c r="B753" s="47" t="s">
        <v>2243</v>
      </c>
      <c r="C753" s="47" t="s">
        <v>4182</v>
      </c>
      <c r="D753" s="47" t="s">
        <v>1635</v>
      </c>
      <c r="E753" s="47" t="s">
        <v>2559</v>
      </c>
      <c r="F753" s="25">
        <v>7</v>
      </c>
      <c r="G753" s="25" t="s">
        <v>101</v>
      </c>
      <c r="H753" s="25">
        <v>1997</v>
      </c>
      <c r="I753" s="25" t="s">
        <v>2567</v>
      </c>
      <c r="J753" s="25" t="s">
        <v>2561</v>
      </c>
      <c r="K753" s="48" t="s">
        <v>2427</v>
      </c>
      <c r="L753" s="25" t="s">
        <v>398</v>
      </c>
      <c r="M753" s="25" t="s">
        <v>403</v>
      </c>
      <c r="N753" s="25">
        <v>1</v>
      </c>
      <c r="O753" s="25">
        <v>4</v>
      </c>
      <c r="P753" s="25" t="s">
        <v>1527</v>
      </c>
      <c r="Q753" s="31" t="s">
        <v>3462</v>
      </c>
      <c r="R753" s="31"/>
      <c r="S753" s="31"/>
      <c r="T753" s="31"/>
      <c r="U753" s="31"/>
      <c r="V753" s="31"/>
    </row>
    <row r="754" spans="1:22" x14ac:dyDescent="0.2">
      <c r="A754" s="47" t="s">
        <v>399</v>
      </c>
      <c r="B754" s="47" t="s">
        <v>2245</v>
      </c>
      <c r="C754" s="47" t="s">
        <v>4182</v>
      </c>
      <c r="D754" s="47" t="s">
        <v>1635</v>
      </c>
      <c r="E754" s="47" t="s">
        <v>2559</v>
      </c>
      <c r="F754" s="25">
        <v>8</v>
      </c>
      <c r="G754" s="25" t="s">
        <v>10</v>
      </c>
      <c r="H754" s="25">
        <v>1998</v>
      </c>
      <c r="I754" s="25" t="s">
        <v>2568</v>
      </c>
      <c r="J754" s="25" t="s">
        <v>2561</v>
      </c>
      <c r="K754" s="48" t="s">
        <v>2427</v>
      </c>
      <c r="L754" s="25" t="s">
        <v>398</v>
      </c>
      <c r="M754" s="25" t="s">
        <v>403</v>
      </c>
      <c r="N754" s="25">
        <v>1</v>
      </c>
      <c r="O754" s="25">
        <v>4</v>
      </c>
      <c r="P754" s="25" t="s">
        <v>1527</v>
      </c>
      <c r="Q754" s="31" t="s">
        <v>3462</v>
      </c>
      <c r="R754" s="31"/>
      <c r="S754" s="31"/>
      <c r="T754" s="31"/>
      <c r="U754" s="31"/>
      <c r="V754" s="31"/>
    </row>
    <row r="755" spans="1:22" x14ac:dyDescent="0.2">
      <c r="A755" s="47" t="s">
        <v>399</v>
      </c>
      <c r="B755" s="47" t="s">
        <v>2249</v>
      </c>
      <c r="C755" s="47" t="s">
        <v>4182</v>
      </c>
      <c r="D755" s="47" t="s">
        <v>1635</v>
      </c>
      <c r="E755" s="47" t="s">
        <v>2559</v>
      </c>
      <c r="F755" s="25">
        <v>10</v>
      </c>
      <c r="G755" s="25" t="s">
        <v>98</v>
      </c>
      <c r="H755" s="25">
        <v>2000</v>
      </c>
      <c r="I755" s="25" t="s">
        <v>2569</v>
      </c>
      <c r="J755" s="25" t="s">
        <v>2561</v>
      </c>
      <c r="K755" s="48" t="s">
        <v>2427</v>
      </c>
      <c r="L755" s="25" t="s">
        <v>398</v>
      </c>
      <c r="M755" s="25" t="s">
        <v>403</v>
      </c>
      <c r="N755" s="25">
        <v>1</v>
      </c>
      <c r="O755" s="25">
        <v>4</v>
      </c>
      <c r="P755" s="25" t="s">
        <v>1527</v>
      </c>
      <c r="Q755" s="31" t="s">
        <v>3462</v>
      </c>
      <c r="R755" s="31"/>
      <c r="S755" s="31"/>
      <c r="T755" s="31"/>
      <c r="U755" s="31"/>
      <c r="V755" s="31"/>
    </row>
    <row r="756" spans="1:22" x14ac:dyDescent="0.2">
      <c r="A756" s="47" t="s">
        <v>399</v>
      </c>
      <c r="B756" s="47" t="s">
        <v>2251</v>
      </c>
      <c r="C756" s="47" t="s">
        <v>4182</v>
      </c>
      <c r="D756" s="47" t="s">
        <v>1635</v>
      </c>
      <c r="E756" s="47" t="s">
        <v>2559</v>
      </c>
      <c r="F756" s="25">
        <v>11</v>
      </c>
      <c r="G756" s="25" t="s">
        <v>104</v>
      </c>
      <c r="H756" s="25">
        <v>2001</v>
      </c>
      <c r="I756" s="25" t="s">
        <v>2570</v>
      </c>
      <c r="J756" s="25" t="s">
        <v>2561</v>
      </c>
      <c r="K756" s="48" t="s">
        <v>2427</v>
      </c>
      <c r="L756" s="25" t="s">
        <v>398</v>
      </c>
      <c r="M756" s="25" t="s">
        <v>403</v>
      </c>
      <c r="N756" s="25">
        <v>1</v>
      </c>
      <c r="O756" s="25">
        <v>4</v>
      </c>
      <c r="P756" s="25" t="s">
        <v>1527</v>
      </c>
      <c r="Q756" s="31" t="s">
        <v>3462</v>
      </c>
      <c r="R756" s="31"/>
      <c r="S756" s="31"/>
      <c r="T756" s="31"/>
      <c r="U756" s="31"/>
      <c r="V756" s="31"/>
    </row>
    <row r="757" spans="1:22" x14ac:dyDescent="0.2">
      <c r="A757" s="47" t="s">
        <v>399</v>
      </c>
      <c r="B757" s="47" t="s">
        <v>2253</v>
      </c>
      <c r="C757" s="47" t="s">
        <v>4182</v>
      </c>
      <c r="D757" s="47" t="s">
        <v>1635</v>
      </c>
      <c r="E757" s="47" t="s">
        <v>2559</v>
      </c>
      <c r="F757" s="25">
        <v>12</v>
      </c>
      <c r="G757" s="25" t="s">
        <v>89</v>
      </c>
      <c r="H757" s="25">
        <v>2002</v>
      </c>
      <c r="I757" s="25" t="s">
        <v>2571</v>
      </c>
      <c r="J757" s="25" t="s">
        <v>2561</v>
      </c>
      <c r="K757" s="48" t="s">
        <v>2427</v>
      </c>
      <c r="L757" s="25" t="s">
        <v>398</v>
      </c>
      <c r="M757" s="25" t="s">
        <v>403</v>
      </c>
      <c r="N757" s="25">
        <v>1</v>
      </c>
      <c r="O757" s="25">
        <v>4</v>
      </c>
      <c r="P757" s="25" t="s">
        <v>1527</v>
      </c>
      <c r="Q757" s="31" t="s">
        <v>3462</v>
      </c>
      <c r="R757" s="31"/>
      <c r="S757" s="31"/>
      <c r="T757" s="31"/>
      <c r="U757" s="31"/>
      <c r="V757" s="31"/>
    </row>
    <row r="758" spans="1:22" x14ac:dyDescent="0.2">
      <c r="A758" s="47" t="s">
        <v>399</v>
      </c>
      <c r="B758" s="47" t="s">
        <v>2255</v>
      </c>
      <c r="C758" s="47" t="s">
        <v>4182</v>
      </c>
      <c r="D758" s="47" t="s">
        <v>1635</v>
      </c>
      <c r="E758" s="47" t="s">
        <v>2559</v>
      </c>
      <c r="F758" s="25">
        <v>13</v>
      </c>
      <c r="G758" s="25" t="s">
        <v>107</v>
      </c>
      <c r="H758" s="25">
        <v>2003</v>
      </c>
      <c r="I758" s="25" t="s">
        <v>2572</v>
      </c>
      <c r="J758" s="25" t="s">
        <v>2561</v>
      </c>
      <c r="K758" s="48" t="s">
        <v>2427</v>
      </c>
      <c r="L758" s="25" t="s">
        <v>398</v>
      </c>
      <c r="M758" s="25" t="s">
        <v>403</v>
      </c>
      <c r="N758" s="25">
        <v>1</v>
      </c>
      <c r="O758" s="25">
        <v>4</v>
      </c>
      <c r="P758" s="25" t="s">
        <v>1527</v>
      </c>
      <c r="Q758" s="31" t="s">
        <v>3462</v>
      </c>
      <c r="R758" s="31"/>
      <c r="S758" s="31"/>
      <c r="T758" s="31"/>
      <c r="U758" s="31"/>
      <c r="V758" s="31"/>
    </row>
    <row r="759" spans="1:22" x14ac:dyDescent="0.2">
      <c r="A759" s="47" t="s">
        <v>399</v>
      </c>
      <c r="B759" s="47" t="s">
        <v>2257</v>
      </c>
      <c r="C759" s="47" t="s">
        <v>4182</v>
      </c>
      <c r="D759" s="47" t="s">
        <v>1635</v>
      </c>
      <c r="E759" s="47" t="s">
        <v>2559</v>
      </c>
      <c r="F759" s="25">
        <v>14</v>
      </c>
      <c r="G759" s="25" t="s">
        <v>43</v>
      </c>
      <c r="H759" s="25">
        <v>2004</v>
      </c>
      <c r="I759" s="25" t="s">
        <v>2573</v>
      </c>
      <c r="J759" s="25" t="s">
        <v>2561</v>
      </c>
      <c r="K759" s="48" t="s">
        <v>2427</v>
      </c>
      <c r="L759" s="25" t="s">
        <v>398</v>
      </c>
      <c r="M759" s="25" t="s">
        <v>403</v>
      </c>
      <c r="N759" s="25">
        <v>1</v>
      </c>
      <c r="O759" s="25">
        <v>4</v>
      </c>
      <c r="P759" s="25" t="s">
        <v>1527</v>
      </c>
      <c r="Q759" s="31" t="s">
        <v>3462</v>
      </c>
      <c r="R759" s="31"/>
      <c r="S759" s="31"/>
      <c r="T759" s="31"/>
      <c r="U759" s="31"/>
      <c r="V759" s="31"/>
    </row>
    <row r="760" spans="1:22" x14ac:dyDescent="0.2">
      <c r="A760" s="47" t="s">
        <v>399</v>
      </c>
      <c r="B760" s="47" t="s">
        <v>2259</v>
      </c>
      <c r="C760" s="47" t="s">
        <v>4182</v>
      </c>
      <c r="D760" s="47" t="s">
        <v>1635</v>
      </c>
      <c r="E760" s="47" t="s">
        <v>2559</v>
      </c>
      <c r="F760" s="25">
        <v>15</v>
      </c>
      <c r="G760" s="25" t="s">
        <v>19</v>
      </c>
      <c r="H760" s="25">
        <v>2005</v>
      </c>
      <c r="I760" s="25" t="s">
        <v>2574</v>
      </c>
      <c r="J760" s="25" t="s">
        <v>2561</v>
      </c>
      <c r="K760" s="48" t="s">
        <v>2427</v>
      </c>
      <c r="L760" s="25" t="s">
        <v>398</v>
      </c>
      <c r="M760" s="25" t="s">
        <v>403</v>
      </c>
      <c r="N760" s="25">
        <v>1</v>
      </c>
      <c r="O760" s="25">
        <v>4</v>
      </c>
      <c r="P760" s="25" t="s">
        <v>1527</v>
      </c>
      <c r="Q760" s="31" t="s">
        <v>3462</v>
      </c>
      <c r="R760" s="31"/>
      <c r="S760" s="31"/>
      <c r="T760" s="31"/>
      <c r="U760" s="31"/>
      <c r="V760" s="31"/>
    </row>
    <row r="761" spans="1:22" x14ac:dyDescent="0.2">
      <c r="A761" s="47" t="s">
        <v>399</v>
      </c>
      <c r="B761" s="47" t="s">
        <v>2261</v>
      </c>
      <c r="C761" s="47" t="s">
        <v>4182</v>
      </c>
      <c r="D761" s="47" t="s">
        <v>1635</v>
      </c>
      <c r="E761" s="47" t="s">
        <v>2559</v>
      </c>
      <c r="F761" s="25">
        <v>16</v>
      </c>
      <c r="G761" s="25" t="s">
        <v>25</v>
      </c>
      <c r="H761" s="25">
        <v>2006</v>
      </c>
      <c r="I761" s="25" t="s">
        <v>2575</v>
      </c>
      <c r="J761" s="25" t="s">
        <v>2561</v>
      </c>
      <c r="K761" s="48" t="s">
        <v>2427</v>
      </c>
      <c r="L761" s="25" t="s">
        <v>398</v>
      </c>
      <c r="M761" s="25" t="s">
        <v>403</v>
      </c>
      <c r="N761" s="25">
        <v>1</v>
      </c>
      <c r="O761" s="25">
        <v>4</v>
      </c>
      <c r="P761" s="25" t="s">
        <v>1527</v>
      </c>
      <c r="Q761" s="31" t="s">
        <v>3462</v>
      </c>
      <c r="R761" s="31"/>
      <c r="S761" s="31"/>
      <c r="T761" s="31"/>
      <c r="U761" s="31"/>
      <c r="V761" s="31"/>
    </row>
    <row r="762" spans="1:22" x14ac:dyDescent="0.2">
      <c r="A762" s="47" t="s">
        <v>399</v>
      </c>
      <c r="B762" s="47" t="s">
        <v>2263</v>
      </c>
      <c r="C762" s="47" t="s">
        <v>4182</v>
      </c>
      <c r="D762" s="47" t="s">
        <v>1635</v>
      </c>
      <c r="E762" s="47" t="s">
        <v>2559</v>
      </c>
      <c r="F762" s="25">
        <v>17</v>
      </c>
      <c r="G762" s="25" t="s">
        <v>73</v>
      </c>
      <c r="H762" s="25">
        <v>2007</v>
      </c>
      <c r="I762" s="25" t="s">
        <v>2576</v>
      </c>
      <c r="J762" s="25" t="s">
        <v>2561</v>
      </c>
      <c r="K762" s="48" t="s">
        <v>2427</v>
      </c>
      <c r="L762" s="25" t="s">
        <v>398</v>
      </c>
      <c r="M762" s="25" t="s">
        <v>403</v>
      </c>
      <c r="N762" s="25">
        <v>1</v>
      </c>
      <c r="O762" s="25">
        <v>4</v>
      </c>
      <c r="P762" s="25" t="s">
        <v>1527</v>
      </c>
      <c r="Q762" s="31" t="s">
        <v>3462</v>
      </c>
      <c r="R762" s="31"/>
      <c r="S762" s="31"/>
      <c r="T762" s="31"/>
      <c r="U762" s="31"/>
      <c r="V762" s="31"/>
    </row>
    <row r="763" spans="1:22" x14ac:dyDescent="0.2">
      <c r="A763" s="47" t="s">
        <v>399</v>
      </c>
      <c r="B763" s="47" t="s">
        <v>2265</v>
      </c>
      <c r="C763" s="47" t="s">
        <v>4182</v>
      </c>
      <c r="D763" s="47" t="s">
        <v>1635</v>
      </c>
      <c r="E763" s="47" t="s">
        <v>2559</v>
      </c>
      <c r="F763" s="25">
        <v>18</v>
      </c>
      <c r="G763" s="25" t="s">
        <v>58</v>
      </c>
      <c r="H763" s="25">
        <v>2008</v>
      </c>
      <c r="I763" s="25" t="s">
        <v>2577</v>
      </c>
      <c r="J763" s="25" t="s">
        <v>2561</v>
      </c>
      <c r="K763" s="48" t="s">
        <v>2427</v>
      </c>
      <c r="L763" s="25" t="s">
        <v>398</v>
      </c>
      <c r="M763" s="25" t="s">
        <v>403</v>
      </c>
      <c r="N763" s="25">
        <v>1</v>
      </c>
      <c r="O763" s="25">
        <v>4</v>
      </c>
      <c r="P763" s="25" t="s">
        <v>1527</v>
      </c>
      <c r="Q763" s="31" t="s">
        <v>3462</v>
      </c>
      <c r="R763" s="31"/>
      <c r="S763" s="31"/>
      <c r="T763" s="31"/>
      <c r="U763" s="31"/>
      <c r="V763" s="31"/>
    </row>
    <row r="764" spans="1:22" x14ac:dyDescent="0.2">
      <c r="A764" s="47" t="s">
        <v>399</v>
      </c>
      <c r="B764" s="47" t="s">
        <v>2227</v>
      </c>
      <c r="C764" s="47" t="s">
        <v>4182</v>
      </c>
      <c r="D764" s="47" t="s">
        <v>1635</v>
      </c>
      <c r="E764" s="47" t="s">
        <v>2578</v>
      </c>
      <c r="F764" s="25">
        <v>1</v>
      </c>
      <c r="G764" s="25" t="s">
        <v>40</v>
      </c>
      <c r="H764" s="25">
        <v>1991</v>
      </c>
      <c r="I764" s="25" t="s">
        <v>2579</v>
      </c>
      <c r="J764" s="25" t="s">
        <v>2580</v>
      </c>
      <c r="K764" s="48" t="s">
        <v>2427</v>
      </c>
      <c r="L764" s="25" t="s">
        <v>398</v>
      </c>
      <c r="M764" s="25" t="s">
        <v>403</v>
      </c>
      <c r="N764" s="25">
        <v>1</v>
      </c>
      <c r="O764" s="25">
        <v>4</v>
      </c>
      <c r="P764" s="25" t="s">
        <v>1527</v>
      </c>
      <c r="Q764" s="31" t="s">
        <v>3462</v>
      </c>
      <c r="R764" s="31"/>
      <c r="S764" s="31"/>
      <c r="T764" s="31"/>
      <c r="U764" s="31"/>
      <c r="V764" s="31"/>
    </row>
    <row r="765" spans="1:22" x14ac:dyDescent="0.2">
      <c r="A765" s="47" t="s">
        <v>399</v>
      </c>
      <c r="B765" s="47" t="s">
        <v>2233</v>
      </c>
      <c r="C765" s="47" t="s">
        <v>4182</v>
      </c>
      <c r="D765" s="47" t="s">
        <v>1635</v>
      </c>
      <c r="E765" s="47" t="s">
        <v>2578</v>
      </c>
      <c r="F765" s="25">
        <v>2</v>
      </c>
      <c r="G765" s="25" t="s">
        <v>37</v>
      </c>
      <c r="H765" s="25">
        <v>1992</v>
      </c>
      <c r="I765" s="25" t="s">
        <v>2581</v>
      </c>
      <c r="J765" s="25" t="s">
        <v>2580</v>
      </c>
      <c r="K765" s="48" t="s">
        <v>2427</v>
      </c>
      <c r="L765" s="25" t="s">
        <v>398</v>
      </c>
      <c r="M765" s="25" t="s">
        <v>403</v>
      </c>
      <c r="N765" s="25">
        <v>1</v>
      </c>
      <c r="O765" s="25">
        <v>4</v>
      </c>
      <c r="P765" s="25" t="s">
        <v>1527</v>
      </c>
      <c r="Q765" s="31" t="s">
        <v>3462</v>
      </c>
      <c r="R765" s="31"/>
      <c r="S765" s="31"/>
      <c r="T765" s="31"/>
      <c r="U765" s="31"/>
      <c r="V765" s="31"/>
    </row>
    <row r="766" spans="1:22" x14ac:dyDescent="0.2">
      <c r="A766" s="47" t="s">
        <v>399</v>
      </c>
      <c r="B766" s="47" t="s">
        <v>2235</v>
      </c>
      <c r="C766" s="47" t="s">
        <v>4182</v>
      </c>
      <c r="D766" s="47" t="s">
        <v>1635</v>
      </c>
      <c r="E766" s="47" t="s">
        <v>2578</v>
      </c>
      <c r="F766" s="25">
        <v>3</v>
      </c>
      <c r="G766" s="25" t="s">
        <v>80</v>
      </c>
      <c r="H766" s="25">
        <v>1993</v>
      </c>
      <c r="I766" s="25" t="s">
        <v>2582</v>
      </c>
      <c r="J766" s="25" t="s">
        <v>2580</v>
      </c>
      <c r="K766" s="48" t="s">
        <v>2427</v>
      </c>
      <c r="L766" s="25" t="s">
        <v>398</v>
      </c>
      <c r="M766" s="25" t="s">
        <v>403</v>
      </c>
      <c r="N766" s="25">
        <v>1</v>
      </c>
      <c r="O766" s="25">
        <v>4</v>
      </c>
      <c r="P766" s="25" t="s">
        <v>1527</v>
      </c>
      <c r="Q766" s="31" t="s">
        <v>3462</v>
      </c>
      <c r="R766" s="31"/>
      <c r="S766" s="31"/>
      <c r="T766" s="31"/>
      <c r="U766" s="31"/>
      <c r="V766" s="31"/>
    </row>
    <row r="767" spans="1:22" x14ac:dyDescent="0.2">
      <c r="A767" s="47" t="s">
        <v>399</v>
      </c>
      <c r="B767" s="47" t="s">
        <v>2237</v>
      </c>
      <c r="C767" s="47" t="s">
        <v>4182</v>
      </c>
      <c r="D767" s="47" t="s">
        <v>1635</v>
      </c>
      <c r="E767" s="47" t="s">
        <v>2578</v>
      </c>
      <c r="F767" s="25">
        <v>4</v>
      </c>
      <c r="G767" s="25" t="s">
        <v>31</v>
      </c>
      <c r="H767" s="25">
        <v>1994</v>
      </c>
      <c r="I767" s="25" t="s">
        <v>2583</v>
      </c>
      <c r="J767" s="25" t="s">
        <v>2580</v>
      </c>
      <c r="K767" s="48" t="s">
        <v>2427</v>
      </c>
      <c r="L767" s="25" t="s">
        <v>398</v>
      </c>
      <c r="M767" s="25" t="s">
        <v>403</v>
      </c>
      <c r="N767" s="25">
        <v>1</v>
      </c>
      <c r="O767" s="25">
        <v>4</v>
      </c>
      <c r="P767" s="25" t="s">
        <v>1527</v>
      </c>
      <c r="Q767" s="31" t="s">
        <v>3462</v>
      </c>
      <c r="R767" s="31"/>
      <c r="S767" s="31"/>
      <c r="T767" s="31"/>
      <c r="U767" s="31"/>
      <c r="V767" s="31"/>
    </row>
    <row r="768" spans="1:22" x14ac:dyDescent="0.2">
      <c r="A768" s="47" t="s">
        <v>399</v>
      </c>
      <c r="B768" s="47" t="s">
        <v>2239</v>
      </c>
      <c r="C768" s="47" t="s">
        <v>4182</v>
      </c>
      <c r="D768" s="47" t="s">
        <v>1635</v>
      </c>
      <c r="E768" s="47" t="s">
        <v>2578</v>
      </c>
      <c r="F768" s="25">
        <v>5</v>
      </c>
      <c r="G768" s="25" t="s">
        <v>13</v>
      </c>
      <c r="H768" s="25">
        <v>1995</v>
      </c>
      <c r="I768" s="25" t="s">
        <v>2584</v>
      </c>
      <c r="J768" s="25" t="s">
        <v>2580</v>
      </c>
      <c r="K768" s="48" t="s">
        <v>2427</v>
      </c>
      <c r="L768" s="25" t="s">
        <v>398</v>
      </c>
      <c r="M768" s="25" t="s">
        <v>403</v>
      </c>
      <c r="N768" s="25">
        <v>1</v>
      </c>
      <c r="O768" s="25">
        <v>4</v>
      </c>
      <c r="P768" s="25" t="s">
        <v>1527</v>
      </c>
      <c r="Q768" s="31" t="s">
        <v>3462</v>
      </c>
      <c r="R768" s="31"/>
      <c r="S768" s="31"/>
      <c r="T768" s="31"/>
      <c r="U768" s="31"/>
      <c r="V768" s="31"/>
    </row>
    <row r="769" spans="1:22" x14ac:dyDescent="0.2">
      <c r="A769" s="47" t="s">
        <v>399</v>
      </c>
      <c r="B769" s="47" t="s">
        <v>2241</v>
      </c>
      <c r="C769" s="47" t="s">
        <v>4182</v>
      </c>
      <c r="D769" s="47" t="s">
        <v>1635</v>
      </c>
      <c r="E769" s="47" t="s">
        <v>2578</v>
      </c>
      <c r="F769" s="25">
        <v>6</v>
      </c>
      <c r="G769" s="25" t="s">
        <v>49</v>
      </c>
      <c r="H769" s="25">
        <v>1996</v>
      </c>
      <c r="I769" s="25" t="s">
        <v>2585</v>
      </c>
      <c r="J769" s="25" t="s">
        <v>2580</v>
      </c>
      <c r="K769" s="48" t="s">
        <v>2427</v>
      </c>
      <c r="L769" s="25" t="s">
        <v>398</v>
      </c>
      <c r="M769" s="25" t="s">
        <v>403</v>
      </c>
      <c r="N769" s="25">
        <v>1</v>
      </c>
      <c r="O769" s="25">
        <v>4</v>
      </c>
      <c r="P769" s="25" t="s">
        <v>1527</v>
      </c>
      <c r="Q769" s="31" t="s">
        <v>3462</v>
      </c>
      <c r="R769" s="31"/>
      <c r="S769" s="31"/>
      <c r="T769" s="31"/>
      <c r="U769" s="31"/>
      <c r="V769" s="31"/>
    </row>
    <row r="770" spans="1:22" x14ac:dyDescent="0.2">
      <c r="A770" s="47" t="s">
        <v>399</v>
      </c>
      <c r="B770" s="47" t="s">
        <v>2243</v>
      </c>
      <c r="C770" s="47" t="s">
        <v>4182</v>
      </c>
      <c r="D770" s="47" t="s">
        <v>1635</v>
      </c>
      <c r="E770" s="47" t="s">
        <v>2578</v>
      </c>
      <c r="F770" s="25">
        <v>7</v>
      </c>
      <c r="G770" s="25" t="s">
        <v>101</v>
      </c>
      <c r="H770" s="25">
        <v>1997</v>
      </c>
      <c r="I770" s="25" t="s">
        <v>2586</v>
      </c>
      <c r="J770" s="25" t="s">
        <v>2580</v>
      </c>
      <c r="K770" s="48" t="s">
        <v>2427</v>
      </c>
      <c r="L770" s="25" t="s">
        <v>398</v>
      </c>
      <c r="M770" s="25" t="s">
        <v>403</v>
      </c>
      <c r="N770" s="25">
        <v>1</v>
      </c>
      <c r="O770" s="25">
        <v>4</v>
      </c>
      <c r="P770" s="25" t="s">
        <v>1527</v>
      </c>
      <c r="Q770" s="31" t="s">
        <v>3462</v>
      </c>
      <c r="R770" s="31"/>
      <c r="S770" s="31"/>
      <c r="T770" s="31"/>
      <c r="U770" s="31"/>
      <c r="V770" s="31"/>
    </row>
    <row r="771" spans="1:22" x14ac:dyDescent="0.2">
      <c r="A771" s="47" t="s">
        <v>399</v>
      </c>
      <c r="B771" s="47" t="s">
        <v>2245</v>
      </c>
      <c r="C771" s="47" t="s">
        <v>4182</v>
      </c>
      <c r="D771" s="47" t="s">
        <v>1635</v>
      </c>
      <c r="E771" s="47" t="s">
        <v>2578</v>
      </c>
      <c r="F771" s="25">
        <v>8</v>
      </c>
      <c r="G771" s="25" t="s">
        <v>10</v>
      </c>
      <c r="H771" s="25">
        <v>1998</v>
      </c>
      <c r="I771" s="25" t="s">
        <v>2587</v>
      </c>
      <c r="J771" s="25" t="s">
        <v>2580</v>
      </c>
      <c r="K771" s="48" t="s">
        <v>2427</v>
      </c>
      <c r="L771" s="25" t="s">
        <v>398</v>
      </c>
      <c r="M771" s="25" t="s">
        <v>403</v>
      </c>
      <c r="N771" s="25">
        <v>1</v>
      </c>
      <c r="O771" s="25">
        <v>4</v>
      </c>
      <c r="P771" s="25" t="s">
        <v>1527</v>
      </c>
      <c r="Q771" s="31" t="s">
        <v>3462</v>
      </c>
      <c r="R771" s="31"/>
      <c r="S771" s="31"/>
      <c r="T771" s="31"/>
      <c r="U771" s="31"/>
      <c r="V771" s="31"/>
    </row>
    <row r="772" spans="1:22" x14ac:dyDescent="0.2">
      <c r="A772" s="47" t="s">
        <v>399</v>
      </c>
      <c r="B772" s="47" t="s">
        <v>2249</v>
      </c>
      <c r="C772" s="47" t="s">
        <v>4182</v>
      </c>
      <c r="D772" s="47" t="s">
        <v>1635</v>
      </c>
      <c r="E772" s="47" t="s">
        <v>2578</v>
      </c>
      <c r="F772" s="25">
        <v>10</v>
      </c>
      <c r="G772" s="25" t="s">
        <v>98</v>
      </c>
      <c r="H772" s="25">
        <v>2000</v>
      </c>
      <c r="I772" s="25" t="s">
        <v>2588</v>
      </c>
      <c r="J772" s="25" t="s">
        <v>2580</v>
      </c>
      <c r="K772" s="48" t="s">
        <v>2427</v>
      </c>
      <c r="L772" s="25" t="s">
        <v>398</v>
      </c>
      <c r="M772" s="25" t="s">
        <v>403</v>
      </c>
      <c r="N772" s="25">
        <v>1</v>
      </c>
      <c r="O772" s="25">
        <v>4</v>
      </c>
      <c r="P772" s="25" t="s">
        <v>1527</v>
      </c>
      <c r="Q772" s="31" t="s">
        <v>3462</v>
      </c>
      <c r="R772" s="31"/>
      <c r="S772" s="31"/>
      <c r="T772" s="31"/>
      <c r="U772" s="31"/>
      <c r="V772" s="31"/>
    </row>
    <row r="773" spans="1:22" x14ac:dyDescent="0.2">
      <c r="A773" s="47" t="s">
        <v>399</v>
      </c>
      <c r="B773" s="47" t="s">
        <v>2251</v>
      </c>
      <c r="C773" s="47" t="s">
        <v>4182</v>
      </c>
      <c r="D773" s="47" t="s">
        <v>1635</v>
      </c>
      <c r="E773" s="47" t="s">
        <v>2578</v>
      </c>
      <c r="F773" s="25">
        <v>11</v>
      </c>
      <c r="G773" s="25" t="s">
        <v>104</v>
      </c>
      <c r="H773" s="25">
        <v>2001</v>
      </c>
      <c r="I773" s="25" t="s">
        <v>2589</v>
      </c>
      <c r="J773" s="25" t="s">
        <v>2580</v>
      </c>
      <c r="K773" s="48" t="s">
        <v>2427</v>
      </c>
      <c r="L773" s="25" t="s">
        <v>398</v>
      </c>
      <c r="M773" s="25" t="s">
        <v>403</v>
      </c>
      <c r="N773" s="25">
        <v>1</v>
      </c>
      <c r="O773" s="25">
        <v>4</v>
      </c>
      <c r="P773" s="25" t="s">
        <v>1527</v>
      </c>
      <c r="Q773" s="31" t="s">
        <v>3462</v>
      </c>
      <c r="R773" s="31"/>
      <c r="S773" s="31"/>
      <c r="T773" s="31"/>
      <c r="U773" s="31"/>
      <c r="V773" s="31"/>
    </row>
    <row r="774" spans="1:22" x14ac:dyDescent="0.2">
      <c r="A774" s="47" t="s">
        <v>399</v>
      </c>
      <c r="B774" s="47" t="s">
        <v>2253</v>
      </c>
      <c r="C774" s="47" t="s">
        <v>4182</v>
      </c>
      <c r="D774" s="47" t="s">
        <v>1635</v>
      </c>
      <c r="E774" s="47" t="s">
        <v>2578</v>
      </c>
      <c r="F774" s="25">
        <v>12</v>
      </c>
      <c r="G774" s="25" t="s">
        <v>89</v>
      </c>
      <c r="H774" s="25">
        <v>2002</v>
      </c>
      <c r="I774" s="25" t="s">
        <v>2590</v>
      </c>
      <c r="J774" s="25" t="s">
        <v>2580</v>
      </c>
      <c r="K774" s="48" t="s">
        <v>2427</v>
      </c>
      <c r="L774" s="25" t="s">
        <v>398</v>
      </c>
      <c r="M774" s="25" t="s">
        <v>403</v>
      </c>
      <c r="N774" s="25">
        <v>1</v>
      </c>
      <c r="O774" s="25">
        <v>4</v>
      </c>
      <c r="P774" s="25" t="s">
        <v>1527</v>
      </c>
      <c r="Q774" s="31" t="s">
        <v>3462</v>
      </c>
      <c r="R774" s="31"/>
      <c r="S774" s="31"/>
      <c r="T774" s="31"/>
      <c r="U774" s="31"/>
      <c r="V774" s="31"/>
    </row>
    <row r="775" spans="1:22" x14ac:dyDescent="0.2">
      <c r="A775" s="47" t="s">
        <v>399</v>
      </c>
      <c r="B775" s="47" t="s">
        <v>2255</v>
      </c>
      <c r="C775" s="47" t="s">
        <v>4182</v>
      </c>
      <c r="D775" s="47" t="s">
        <v>1635</v>
      </c>
      <c r="E775" s="47" t="s">
        <v>2578</v>
      </c>
      <c r="F775" s="25">
        <v>13</v>
      </c>
      <c r="G775" s="25" t="s">
        <v>107</v>
      </c>
      <c r="H775" s="25">
        <v>2003</v>
      </c>
      <c r="I775" s="25" t="s">
        <v>2591</v>
      </c>
      <c r="J775" s="25" t="s">
        <v>2580</v>
      </c>
      <c r="K775" s="48" t="s">
        <v>2427</v>
      </c>
      <c r="L775" s="25" t="s">
        <v>398</v>
      </c>
      <c r="M775" s="25" t="s">
        <v>403</v>
      </c>
      <c r="N775" s="25">
        <v>1</v>
      </c>
      <c r="O775" s="25">
        <v>4</v>
      </c>
      <c r="P775" s="25" t="s">
        <v>1527</v>
      </c>
      <c r="Q775" s="31" t="s">
        <v>3462</v>
      </c>
      <c r="R775" s="31"/>
      <c r="S775" s="31"/>
      <c r="T775" s="31"/>
      <c r="U775" s="31"/>
      <c r="V775" s="31"/>
    </row>
    <row r="776" spans="1:22" x14ac:dyDescent="0.2">
      <c r="A776" s="47" t="s">
        <v>399</v>
      </c>
      <c r="B776" s="47" t="s">
        <v>2257</v>
      </c>
      <c r="C776" s="47" t="s">
        <v>4182</v>
      </c>
      <c r="D776" s="47" t="s">
        <v>1635</v>
      </c>
      <c r="E776" s="47" t="s">
        <v>2578</v>
      </c>
      <c r="F776" s="25">
        <v>14</v>
      </c>
      <c r="G776" s="25" t="s">
        <v>43</v>
      </c>
      <c r="H776" s="25">
        <v>2004</v>
      </c>
      <c r="I776" s="25" t="s">
        <v>2592</v>
      </c>
      <c r="J776" s="25" t="s">
        <v>2580</v>
      </c>
      <c r="K776" s="48" t="s">
        <v>2427</v>
      </c>
      <c r="L776" s="25" t="s">
        <v>398</v>
      </c>
      <c r="M776" s="25" t="s">
        <v>403</v>
      </c>
      <c r="N776" s="25">
        <v>1</v>
      </c>
      <c r="O776" s="25">
        <v>4</v>
      </c>
      <c r="P776" s="25" t="s">
        <v>1527</v>
      </c>
      <c r="Q776" s="31" t="s">
        <v>3462</v>
      </c>
      <c r="R776" s="31"/>
      <c r="S776" s="31"/>
      <c r="T776" s="31"/>
      <c r="U776" s="31"/>
      <c r="V776" s="31"/>
    </row>
    <row r="777" spans="1:22" x14ac:dyDescent="0.2">
      <c r="A777" s="47" t="s">
        <v>399</v>
      </c>
      <c r="B777" s="47" t="s">
        <v>2259</v>
      </c>
      <c r="C777" s="47" t="s">
        <v>4182</v>
      </c>
      <c r="D777" s="47" t="s">
        <v>1635</v>
      </c>
      <c r="E777" s="47" t="s">
        <v>2578</v>
      </c>
      <c r="F777" s="25">
        <v>15</v>
      </c>
      <c r="G777" s="25" t="s">
        <v>19</v>
      </c>
      <c r="H777" s="25">
        <v>2005</v>
      </c>
      <c r="I777" s="25" t="s">
        <v>2593</v>
      </c>
      <c r="J777" s="25" t="s">
        <v>2580</v>
      </c>
      <c r="K777" s="48" t="s">
        <v>2427</v>
      </c>
      <c r="L777" s="25" t="s">
        <v>398</v>
      </c>
      <c r="M777" s="25" t="s">
        <v>403</v>
      </c>
      <c r="N777" s="25">
        <v>1</v>
      </c>
      <c r="O777" s="25">
        <v>4</v>
      </c>
      <c r="P777" s="25" t="s">
        <v>1527</v>
      </c>
      <c r="Q777" s="31" t="s">
        <v>3462</v>
      </c>
      <c r="R777" s="31"/>
      <c r="S777" s="31"/>
      <c r="T777" s="31"/>
      <c r="U777" s="31"/>
      <c r="V777" s="31"/>
    </row>
    <row r="778" spans="1:22" x14ac:dyDescent="0.2">
      <c r="A778" s="47" t="s">
        <v>399</v>
      </c>
      <c r="B778" s="47" t="s">
        <v>2261</v>
      </c>
      <c r="C778" s="47" t="s">
        <v>4182</v>
      </c>
      <c r="D778" s="47" t="s">
        <v>1635</v>
      </c>
      <c r="E778" s="47" t="s">
        <v>2578</v>
      </c>
      <c r="F778" s="25">
        <v>16</v>
      </c>
      <c r="G778" s="25" t="s">
        <v>25</v>
      </c>
      <c r="H778" s="25">
        <v>2006</v>
      </c>
      <c r="I778" s="25" t="s">
        <v>2594</v>
      </c>
      <c r="J778" s="25" t="s">
        <v>2580</v>
      </c>
      <c r="K778" s="48" t="s">
        <v>2427</v>
      </c>
      <c r="L778" s="25" t="s">
        <v>398</v>
      </c>
      <c r="M778" s="25" t="s">
        <v>403</v>
      </c>
      <c r="N778" s="25">
        <v>1</v>
      </c>
      <c r="O778" s="25">
        <v>4</v>
      </c>
      <c r="P778" s="25" t="s">
        <v>1527</v>
      </c>
      <c r="Q778" s="31" t="s">
        <v>3462</v>
      </c>
      <c r="R778" s="31"/>
      <c r="S778" s="31"/>
      <c r="T778" s="31"/>
      <c r="U778" s="31"/>
      <c r="V778" s="31"/>
    </row>
    <row r="779" spans="1:22" x14ac:dyDescent="0.2">
      <c r="A779" s="47" t="s">
        <v>399</v>
      </c>
      <c r="B779" s="47" t="s">
        <v>2263</v>
      </c>
      <c r="C779" s="47" t="s">
        <v>4182</v>
      </c>
      <c r="D779" s="47" t="s">
        <v>1635</v>
      </c>
      <c r="E779" s="47" t="s">
        <v>2578</v>
      </c>
      <c r="F779" s="25">
        <v>17</v>
      </c>
      <c r="G779" s="25" t="s">
        <v>73</v>
      </c>
      <c r="H779" s="25">
        <v>2007</v>
      </c>
      <c r="I779" s="25" t="s">
        <v>2595</v>
      </c>
      <c r="J779" s="25" t="s">
        <v>2580</v>
      </c>
      <c r="K779" s="48" t="s">
        <v>2427</v>
      </c>
      <c r="L779" s="25" t="s">
        <v>398</v>
      </c>
      <c r="M779" s="25" t="s">
        <v>403</v>
      </c>
      <c r="N779" s="25">
        <v>1</v>
      </c>
      <c r="O779" s="25">
        <v>4</v>
      </c>
      <c r="P779" s="25" t="s">
        <v>1527</v>
      </c>
      <c r="Q779" s="31" t="s">
        <v>3462</v>
      </c>
      <c r="R779" s="31"/>
      <c r="S779" s="31"/>
      <c r="T779" s="31"/>
      <c r="U779" s="31"/>
      <c r="V779" s="31"/>
    </row>
    <row r="780" spans="1:22" x14ac:dyDescent="0.2">
      <c r="A780" s="47" t="s">
        <v>399</v>
      </c>
      <c r="B780" s="47" t="s">
        <v>2265</v>
      </c>
      <c r="C780" s="47" t="s">
        <v>4182</v>
      </c>
      <c r="D780" s="47" t="s">
        <v>1635</v>
      </c>
      <c r="E780" s="47" t="s">
        <v>2578</v>
      </c>
      <c r="F780" s="25">
        <v>18</v>
      </c>
      <c r="G780" s="25" t="s">
        <v>58</v>
      </c>
      <c r="H780" s="25">
        <v>2008</v>
      </c>
      <c r="I780" s="25" t="s">
        <v>2596</v>
      </c>
      <c r="J780" s="25" t="s">
        <v>2580</v>
      </c>
      <c r="K780" s="48" t="s">
        <v>2427</v>
      </c>
      <c r="L780" s="25" t="s">
        <v>398</v>
      </c>
      <c r="M780" s="25" t="s">
        <v>403</v>
      </c>
      <c r="N780" s="25">
        <v>1</v>
      </c>
      <c r="O780" s="25">
        <v>4</v>
      </c>
      <c r="P780" s="25" t="s">
        <v>1527</v>
      </c>
      <c r="Q780" s="31" t="s">
        <v>3462</v>
      </c>
      <c r="R780" s="31"/>
      <c r="S780" s="31"/>
      <c r="T780" s="31"/>
      <c r="U780" s="31"/>
      <c r="V780" s="31"/>
    </row>
    <row r="781" spans="1:22" x14ac:dyDescent="0.2">
      <c r="A781" s="47" t="s">
        <v>399</v>
      </c>
      <c r="B781" s="47" t="s">
        <v>2227</v>
      </c>
      <c r="C781" s="47" t="s">
        <v>4182</v>
      </c>
      <c r="D781" s="47" t="s">
        <v>1635</v>
      </c>
      <c r="E781" s="47" t="s">
        <v>2597</v>
      </c>
      <c r="F781" s="25">
        <v>1</v>
      </c>
      <c r="G781" s="25" t="s">
        <v>40</v>
      </c>
      <c r="H781" s="25">
        <v>1991</v>
      </c>
      <c r="I781" s="25" t="s">
        <v>2598</v>
      </c>
      <c r="J781" s="25" t="s">
        <v>2599</v>
      </c>
      <c r="K781" s="48" t="s">
        <v>2600</v>
      </c>
      <c r="L781" s="25" t="s">
        <v>398</v>
      </c>
      <c r="M781" s="25" t="s">
        <v>403</v>
      </c>
      <c r="N781" s="25">
        <v>1</v>
      </c>
      <c r="O781" s="25">
        <v>4</v>
      </c>
      <c r="P781" s="25" t="s">
        <v>1527</v>
      </c>
      <c r="Q781" s="31" t="s">
        <v>3462</v>
      </c>
      <c r="R781" s="31"/>
      <c r="S781" s="31"/>
      <c r="T781" s="31"/>
      <c r="U781" s="31"/>
      <c r="V781" s="31"/>
    </row>
    <row r="782" spans="1:22" x14ac:dyDescent="0.2">
      <c r="A782" s="47" t="s">
        <v>399</v>
      </c>
      <c r="B782" s="47" t="s">
        <v>2233</v>
      </c>
      <c r="C782" s="47" t="s">
        <v>4182</v>
      </c>
      <c r="D782" s="47" t="s">
        <v>1635</v>
      </c>
      <c r="E782" s="47" t="s">
        <v>2597</v>
      </c>
      <c r="F782" s="25">
        <v>2</v>
      </c>
      <c r="G782" s="25" t="s">
        <v>37</v>
      </c>
      <c r="H782" s="25">
        <v>1992</v>
      </c>
      <c r="I782" s="25" t="s">
        <v>2601</v>
      </c>
      <c r="J782" s="25" t="s">
        <v>2599</v>
      </c>
      <c r="K782" s="48" t="s">
        <v>2600</v>
      </c>
      <c r="L782" s="25" t="s">
        <v>398</v>
      </c>
      <c r="M782" s="25" t="s">
        <v>403</v>
      </c>
      <c r="N782" s="25">
        <v>1</v>
      </c>
      <c r="O782" s="25">
        <v>4</v>
      </c>
      <c r="P782" s="25" t="s">
        <v>1527</v>
      </c>
      <c r="Q782" s="31" t="s">
        <v>3462</v>
      </c>
      <c r="R782" s="31"/>
      <c r="S782" s="31"/>
      <c r="T782" s="31"/>
      <c r="U782" s="31"/>
      <c r="V782" s="31"/>
    </row>
    <row r="783" spans="1:22" x14ac:dyDescent="0.2">
      <c r="A783" s="47" t="s">
        <v>399</v>
      </c>
      <c r="B783" s="47" t="s">
        <v>2235</v>
      </c>
      <c r="C783" s="47" t="s">
        <v>4182</v>
      </c>
      <c r="D783" s="47" t="s">
        <v>1635</v>
      </c>
      <c r="E783" s="47" t="s">
        <v>2597</v>
      </c>
      <c r="F783" s="25">
        <v>3</v>
      </c>
      <c r="G783" s="25" t="s">
        <v>80</v>
      </c>
      <c r="H783" s="25">
        <v>1993</v>
      </c>
      <c r="I783" s="25" t="s">
        <v>2602</v>
      </c>
      <c r="J783" s="25" t="s">
        <v>2599</v>
      </c>
      <c r="K783" s="48" t="s">
        <v>2600</v>
      </c>
      <c r="L783" s="25" t="s">
        <v>398</v>
      </c>
      <c r="M783" s="25" t="s">
        <v>403</v>
      </c>
      <c r="N783" s="25">
        <v>1</v>
      </c>
      <c r="O783" s="25">
        <v>4</v>
      </c>
      <c r="P783" s="25" t="s">
        <v>1527</v>
      </c>
      <c r="Q783" s="31" t="s">
        <v>3462</v>
      </c>
      <c r="R783" s="31"/>
      <c r="S783" s="31"/>
      <c r="T783" s="31"/>
      <c r="U783" s="31"/>
      <c r="V783" s="31"/>
    </row>
    <row r="784" spans="1:22" x14ac:dyDescent="0.2">
      <c r="A784" s="47" t="s">
        <v>399</v>
      </c>
      <c r="B784" s="47" t="s">
        <v>2237</v>
      </c>
      <c r="C784" s="47" t="s">
        <v>4182</v>
      </c>
      <c r="D784" s="47" t="s">
        <v>1635</v>
      </c>
      <c r="E784" s="47" t="s">
        <v>2597</v>
      </c>
      <c r="F784" s="25">
        <v>4</v>
      </c>
      <c r="G784" s="25" t="s">
        <v>31</v>
      </c>
      <c r="H784" s="25">
        <v>1994</v>
      </c>
      <c r="I784" s="25" t="s">
        <v>2603</v>
      </c>
      <c r="J784" s="25" t="s">
        <v>2599</v>
      </c>
      <c r="K784" s="48" t="s">
        <v>2600</v>
      </c>
      <c r="L784" s="25" t="s">
        <v>398</v>
      </c>
      <c r="M784" s="25" t="s">
        <v>403</v>
      </c>
      <c r="N784" s="25">
        <v>1</v>
      </c>
      <c r="O784" s="25">
        <v>4</v>
      </c>
      <c r="P784" s="25" t="s">
        <v>1527</v>
      </c>
      <c r="Q784" s="31" t="s">
        <v>3462</v>
      </c>
      <c r="R784" s="31"/>
      <c r="S784" s="31"/>
      <c r="T784" s="31"/>
      <c r="U784" s="31"/>
      <c r="V784" s="31"/>
    </row>
    <row r="785" spans="1:22" x14ac:dyDescent="0.2">
      <c r="A785" s="47" t="s">
        <v>399</v>
      </c>
      <c r="B785" s="47" t="s">
        <v>2239</v>
      </c>
      <c r="C785" s="47" t="s">
        <v>4182</v>
      </c>
      <c r="D785" s="47" t="s">
        <v>1635</v>
      </c>
      <c r="E785" s="47" t="s">
        <v>2597</v>
      </c>
      <c r="F785" s="25">
        <v>5</v>
      </c>
      <c r="G785" s="25" t="s">
        <v>13</v>
      </c>
      <c r="H785" s="25">
        <v>1995</v>
      </c>
      <c r="I785" s="25" t="s">
        <v>2604</v>
      </c>
      <c r="J785" s="25" t="s">
        <v>2599</v>
      </c>
      <c r="K785" s="48" t="s">
        <v>2600</v>
      </c>
      <c r="L785" s="25" t="s">
        <v>398</v>
      </c>
      <c r="M785" s="25" t="s">
        <v>403</v>
      </c>
      <c r="N785" s="25">
        <v>1</v>
      </c>
      <c r="O785" s="25">
        <v>4</v>
      </c>
      <c r="P785" s="25" t="s">
        <v>1527</v>
      </c>
      <c r="Q785" s="31" t="s">
        <v>3462</v>
      </c>
      <c r="R785" s="31"/>
      <c r="S785" s="31"/>
      <c r="T785" s="31"/>
      <c r="U785" s="31"/>
      <c r="V785" s="31"/>
    </row>
    <row r="786" spans="1:22" x14ac:dyDescent="0.2">
      <c r="A786" s="47" t="s">
        <v>399</v>
      </c>
      <c r="B786" s="47" t="s">
        <v>2241</v>
      </c>
      <c r="C786" s="47" t="s">
        <v>4182</v>
      </c>
      <c r="D786" s="47" t="s">
        <v>1635</v>
      </c>
      <c r="E786" s="47" t="s">
        <v>2597</v>
      </c>
      <c r="F786" s="25">
        <v>6</v>
      </c>
      <c r="G786" s="25" t="s">
        <v>49</v>
      </c>
      <c r="H786" s="25">
        <v>1996</v>
      </c>
      <c r="I786" s="25" t="s">
        <v>2605</v>
      </c>
      <c r="J786" s="25" t="s">
        <v>2599</v>
      </c>
      <c r="K786" s="48" t="s">
        <v>2600</v>
      </c>
      <c r="L786" s="25" t="s">
        <v>398</v>
      </c>
      <c r="M786" s="25" t="s">
        <v>403</v>
      </c>
      <c r="N786" s="25">
        <v>1</v>
      </c>
      <c r="O786" s="25">
        <v>4</v>
      </c>
      <c r="P786" s="25" t="s">
        <v>1527</v>
      </c>
      <c r="Q786" s="31" t="s">
        <v>3462</v>
      </c>
      <c r="R786" s="31"/>
      <c r="S786" s="31"/>
      <c r="T786" s="31"/>
      <c r="U786" s="31"/>
      <c r="V786" s="31"/>
    </row>
    <row r="787" spans="1:22" x14ac:dyDescent="0.2">
      <c r="A787" s="47" t="s">
        <v>399</v>
      </c>
      <c r="B787" s="47" t="s">
        <v>2243</v>
      </c>
      <c r="C787" s="47" t="s">
        <v>4182</v>
      </c>
      <c r="D787" s="47" t="s">
        <v>1635</v>
      </c>
      <c r="E787" s="47" t="s">
        <v>2597</v>
      </c>
      <c r="F787" s="25">
        <v>7</v>
      </c>
      <c r="G787" s="25" t="s">
        <v>101</v>
      </c>
      <c r="H787" s="25">
        <v>1997</v>
      </c>
      <c r="I787" s="25" t="s">
        <v>2606</v>
      </c>
      <c r="J787" s="25" t="s">
        <v>2599</v>
      </c>
      <c r="K787" s="48" t="s">
        <v>2600</v>
      </c>
      <c r="L787" s="25" t="s">
        <v>398</v>
      </c>
      <c r="M787" s="25" t="s">
        <v>403</v>
      </c>
      <c r="N787" s="25">
        <v>1</v>
      </c>
      <c r="O787" s="25">
        <v>4</v>
      </c>
      <c r="P787" s="25" t="s">
        <v>1527</v>
      </c>
      <c r="Q787" s="31" t="s">
        <v>3462</v>
      </c>
      <c r="R787" s="31"/>
      <c r="S787" s="31"/>
      <c r="T787" s="31"/>
      <c r="U787" s="31"/>
      <c r="V787" s="31"/>
    </row>
    <row r="788" spans="1:22" x14ac:dyDescent="0.2">
      <c r="A788" s="47" t="s">
        <v>399</v>
      </c>
      <c r="B788" s="47" t="s">
        <v>2245</v>
      </c>
      <c r="C788" s="47" t="s">
        <v>4182</v>
      </c>
      <c r="D788" s="47" t="s">
        <v>1635</v>
      </c>
      <c r="E788" s="47" t="s">
        <v>2597</v>
      </c>
      <c r="F788" s="25">
        <v>8</v>
      </c>
      <c r="G788" s="25" t="s">
        <v>10</v>
      </c>
      <c r="H788" s="25">
        <v>1998</v>
      </c>
      <c r="I788" s="25" t="s">
        <v>2607</v>
      </c>
      <c r="J788" s="25" t="s">
        <v>2599</v>
      </c>
      <c r="K788" s="48" t="s">
        <v>2600</v>
      </c>
      <c r="L788" s="25" t="s">
        <v>398</v>
      </c>
      <c r="M788" s="25" t="s">
        <v>403</v>
      </c>
      <c r="N788" s="25">
        <v>1</v>
      </c>
      <c r="O788" s="25">
        <v>4</v>
      </c>
      <c r="P788" s="25" t="s">
        <v>1527</v>
      </c>
      <c r="Q788" s="31" t="s">
        <v>3462</v>
      </c>
      <c r="R788" s="31"/>
      <c r="S788" s="31"/>
      <c r="T788" s="31"/>
      <c r="U788" s="31"/>
      <c r="V788" s="31"/>
    </row>
    <row r="789" spans="1:22" x14ac:dyDescent="0.2">
      <c r="A789" s="47" t="s">
        <v>399</v>
      </c>
      <c r="B789" s="47" t="s">
        <v>2249</v>
      </c>
      <c r="C789" s="47" t="s">
        <v>4182</v>
      </c>
      <c r="D789" s="47" t="s">
        <v>1635</v>
      </c>
      <c r="E789" s="47" t="s">
        <v>2597</v>
      </c>
      <c r="F789" s="25">
        <v>10</v>
      </c>
      <c r="G789" s="25" t="s">
        <v>98</v>
      </c>
      <c r="H789" s="25">
        <v>2000</v>
      </c>
      <c r="I789" s="25" t="s">
        <v>2608</v>
      </c>
      <c r="J789" s="25" t="s">
        <v>2599</v>
      </c>
      <c r="K789" s="48" t="s">
        <v>2600</v>
      </c>
      <c r="L789" s="25" t="s">
        <v>398</v>
      </c>
      <c r="M789" s="25" t="s">
        <v>403</v>
      </c>
      <c r="N789" s="25">
        <v>1</v>
      </c>
      <c r="O789" s="25">
        <v>4</v>
      </c>
      <c r="P789" s="25" t="s">
        <v>1527</v>
      </c>
      <c r="Q789" s="31" t="s">
        <v>3462</v>
      </c>
      <c r="R789" s="31"/>
      <c r="S789" s="31"/>
      <c r="T789" s="31"/>
      <c r="U789" s="31"/>
      <c r="V789" s="31"/>
    </row>
    <row r="790" spans="1:22" x14ac:dyDescent="0.2">
      <c r="A790" s="47" t="s">
        <v>399</v>
      </c>
      <c r="B790" s="47" t="s">
        <v>2251</v>
      </c>
      <c r="C790" s="47" t="s">
        <v>4182</v>
      </c>
      <c r="D790" s="47" t="s">
        <v>1635</v>
      </c>
      <c r="E790" s="47" t="s">
        <v>2597</v>
      </c>
      <c r="F790" s="25">
        <v>11</v>
      </c>
      <c r="G790" s="25" t="s">
        <v>104</v>
      </c>
      <c r="H790" s="25">
        <v>2001</v>
      </c>
      <c r="I790" s="25" t="s">
        <v>2609</v>
      </c>
      <c r="J790" s="25" t="s">
        <v>2599</v>
      </c>
      <c r="K790" s="48" t="s">
        <v>2600</v>
      </c>
      <c r="L790" s="25" t="s">
        <v>398</v>
      </c>
      <c r="M790" s="25" t="s">
        <v>403</v>
      </c>
      <c r="N790" s="25">
        <v>1</v>
      </c>
      <c r="O790" s="25">
        <v>4</v>
      </c>
      <c r="P790" s="25" t="s">
        <v>1527</v>
      </c>
      <c r="Q790" s="31" t="s">
        <v>3462</v>
      </c>
      <c r="R790" s="31"/>
      <c r="S790" s="31"/>
      <c r="T790" s="31"/>
      <c r="U790" s="31"/>
      <c r="V790" s="31"/>
    </row>
    <row r="791" spans="1:22" x14ac:dyDescent="0.2">
      <c r="A791" s="47" t="s">
        <v>399</v>
      </c>
      <c r="B791" s="47" t="s">
        <v>2253</v>
      </c>
      <c r="C791" s="47" t="s">
        <v>4182</v>
      </c>
      <c r="D791" s="47" t="s">
        <v>1635</v>
      </c>
      <c r="E791" s="47" t="s">
        <v>2597</v>
      </c>
      <c r="F791" s="25">
        <v>12</v>
      </c>
      <c r="G791" s="25" t="s">
        <v>89</v>
      </c>
      <c r="H791" s="25">
        <v>2002</v>
      </c>
      <c r="I791" s="25" t="s">
        <v>2610</v>
      </c>
      <c r="J791" s="25" t="s">
        <v>2599</v>
      </c>
      <c r="K791" s="48" t="s">
        <v>2600</v>
      </c>
      <c r="L791" s="25" t="s">
        <v>398</v>
      </c>
      <c r="M791" s="25" t="s">
        <v>403</v>
      </c>
      <c r="N791" s="25">
        <v>1</v>
      </c>
      <c r="O791" s="25">
        <v>4</v>
      </c>
      <c r="P791" s="25" t="s">
        <v>1527</v>
      </c>
      <c r="Q791" s="31" t="s">
        <v>3462</v>
      </c>
      <c r="R791" s="31"/>
      <c r="S791" s="31"/>
      <c r="T791" s="31"/>
      <c r="U791" s="31"/>
      <c r="V791" s="31"/>
    </row>
    <row r="792" spans="1:22" x14ac:dyDescent="0.2">
      <c r="A792" s="47" t="s">
        <v>399</v>
      </c>
      <c r="B792" s="47" t="s">
        <v>2255</v>
      </c>
      <c r="C792" s="47" t="s">
        <v>4182</v>
      </c>
      <c r="D792" s="47" t="s">
        <v>1635</v>
      </c>
      <c r="E792" s="47" t="s">
        <v>2597</v>
      </c>
      <c r="F792" s="25">
        <v>13</v>
      </c>
      <c r="G792" s="25" t="s">
        <v>107</v>
      </c>
      <c r="H792" s="25">
        <v>2003</v>
      </c>
      <c r="I792" s="25" t="s">
        <v>2611</v>
      </c>
      <c r="J792" s="25" t="s">
        <v>2599</v>
      </c>
      <c r="K792" s="48" t="s">
        <v>2600</v>
      </c>
      <c r="L792" s="25" t="s">
        <v>398</v>
      </c>
      <c r="M792" s="25" t="s">
        <v>403</v>
      </c>
      <c r="N792" s="25">
        <v>1</v>
      </c>
      <c r="O792" s="25">
        <v>4</v>
      </c>
      <c r="P792" s="25" t="s">
        <v>1527</v>
      </c>
      <c r="Q792" s="31" t="s">
        <v>3462</v>
      </c>
      <c r="R792" s="31"/>
      <c r="S792" s="31"/>
      <c r="T792" s="31"/>
      <c r="U792" s="31"/>
      <c r="V792" s="31"/>
    </row>
    <row r="793" spans="1:22" x14ac:dyDescent="0.2">
      <c r="A793" s="47" t="s">
        <v>399</v>
      </c>
      <c r="B793" s="47" t="s">
        <v>2257</v>
      </c>
      <c r="C793" s="47" t="s">
        <v>4182</v>
      </c>
      <c r="D793" s="47" t="s">
        <v>1635</v>
      </c>
      <c r="E793" s="47" t="s">
        <v>2597</v>
      </c>
      <c r="F793" s="25">
        <v>14</v>
      </c>
      <c r="G793" s="25" t="s">
        <v>43</v>
      </c>
      <c r="H793" s="25">
        <v>2004</v>
      </c>
      <c r="I793" s="25" t="s">
        <v>2612</v>
      </c>
      <c r="J793" s="25" t="s">
        <v>2599</v>
      </c>
      <c r="K793" s="48" t="s">
        <v>2600</v>
      </c>
      <c r="L793" s="25" t="s">
        <v>398</v>
      </c>
      <c r="M793" s="25" t="s">
        <v>403</v>
      </c>
      <c r="N793" s="25">
        <v>1</v>
      </c>
      <c r="O793" s="25">
        <v>4</v>
      </c>
      <c r="P793" s="25" t="s">
        <v>1527</v>
      </c>
      <c r="Q793" s="31" t="s">
        <v>3462</v>
      </c>
      <c r="R793" s="31"/>
      <c r="S793" s="31"/>
      <c r="T793" s="31"/>
      <c r="U793" s="31"/>
      <c r="V793" s="31"/>
    </row>
    <row r="794" spans="1:22" x14ac:dyDescent="0.2">
      <c r="A794" s="47" t="s">
        <v>399</v>
      </c>
      <c r="B794" s="47" t="s">
        <v>2259</v>
      </c>
      <c r="C794" s="47" t="s">
        <v>4182</v>
      </c>
      <c r="D794" s="47" t="s">
        <v>1635</v>
      </c>
      <c r="E794" s="47" t="s">
        <v>2597</v>
      </c>
      <c r="F794" s="25">
        <v>15</v>
      </c>
      <c r="G794" s="25" t="s">
        <v>19</v>
      </c>
      <c r="H794" s="25">
        <v>2005</v>
      </c>
      <c r="I794" s="25" t="s">
        <v>2613</v>
      </c>
      <c r="J794" s="25" t="s">
        <v>2599</v>
      </c>
      <c r="K794" s="48" t="s">
        <v>2600</v>
      </c>
      <c r="L794" s="25" t="s">
        <v>398</v>
      </c>
      <c r="M794" s="25" t="s">
        <v>403</v>
      </c>
      <c r="N794" s="25">
        <v>1</v>
      </c>
      <c r="O794" s="25">
        <v>4</v>
      </c>
      <c r="P794" s="25" t="s">
        <v>1527</v>
      </c>
      <c r="Q794" s="31" t="s">
        <v>3462</v>
      </c>
      <c r="R794" s="31"/>
      <c r="S794" s="31"/>
      <c r="T794" s="31"/>
      <c r="U794" s="31"/>
      <c r="V794" s="31"/>
    </row>
    <row r="795" spans="1:22" x14ac:dyDescent="0.2">
      <c r="A795" s="47" t="s">
        <v>399</v>
      </c>
      <c r="B795" s="47" t="s">
        <v>2261</v>
      </c>
      <c r="C795" s="47" t="s">
        <v>4182</v>
      </c>
      <c r="D795" s="47" t="s">
        <v>1635</v>
      </c>
      <c r="E795" s="47" t="s">
        <v>2597</v>
      </c>
      <c r="F795" s="25">
        <v>16</v>
      </c>
      <c r="G795" s="25" t="s">
        <v>25</v>
      </c>
      <c r="H795" s="25">
        <v>2006</v>
      </c>
      <c r="I795" s="25" t="s">
        <v>2614</v>
      </c>
      <c r="J795" s="25" t="s">
        <v>2599</v>
      </c>
      <c r="K795" s="48" t="s">
        <v>2600</v>
      </c>
      <c r="L795" s="25" t="s">
        <v>398</v>
      </c>
      <c r="M795" s="25" t="s">
        <v>403</v>
      </c>
      <c r="N795" s="25">
        <v>1</v>
      </c>
      <c r="O795" s="25">
        <v>4</v>
      </c>
      <c r="P795" s="25" t="s">
        <v>1527</v>
      </c>
      <c r="Q795" s="31" t="s">
        <v>3462</v>
      </c>
      <c r="R795" s="31"/>
      <c r="S795" s="31"/>
      <c r="T795" s="31"/>
      <c r="U795" s="31"/>
      <c r="V795" s="31"/>
    </row>
    <row r="796" spans="1:22" x14ac:dyDescent="0.2">
      <c r="A796" s="47" t="s">
        <v>399</v>
      </c>
      <c r="B796" s="47" t="s">
        <v>2263</v>
      </c>
      <c r="C796" s="47" t="s">
        <v>4182</v>
      </c>
      <c r="D796" s="47" t="s">
        <v>1635</v>
      </c>
      <c r="E796" s="47" t="s">
        <v>2597</v>
      </c>
      <c r="F796" s="25">
        <v>17</v>
      </c>
      <c r="G796" s="25" t="s">
        <v>73</v>
      </c>
      <c r="H796" s="25">
        <v>2007</v>
      </c>
      <c r="I796" s="25" t="s">
        <v>2615</v>
      </c>
      <c r="J796" s="25" t="s">
        <v>2599</v>
      </c>
      <c r="K796" s="48" t="s">
        <v>2600</v>
      </c>
      <c r="L796" s="25" t="s">
        <v>398</v>
      </c>
      <c r="M796" s="25" t="s">
        <v>403</v>
      </c>
      <c r="N796" s="25">
        <v>1</v>
      </c>
      <c r="O796" s="25">
        <v>4</v>
      </c>
      <c r="P796" s="25" t="s">
        <v>1527</v>
      </c>
      <c r="Q796" s="31" t="s">
        <v>3462</v>
      </c>
      <c r="R796" s="31"/>
      <c r="S796" s="31"/>
      <c r="T796" s="31"/>
      <c r="U796" s="31"/>
      <c r="V796" s="31"/>
    </row>
    <row r="797" spans="1:22" x14ac:dyDescent="0.2">
      <c r="A797" s="47" t="s">
        <v>399</v>
      </c>
      <c r="B797" s="47" t="s">
        <v>2265</v>
      </c>
      <c r="C797" s="47" t="s">
        <v>4182</v>
      </c>
      <c r="D797" s="47" t="s">
        <v>1635</v>
      </c>
      <c r="E797" s="47" t="s">
        <v>2597</v>
      </c>
      <c r="F797" s="25">
        <v>18</v>
      </c>
      <c r="G797" s="25" t="s">
        <v>58</v>
      </c>
      <c r="H797" s="25">
        <v>2008</v>
      </c>
      <c r="I797" s="25" t="s">
        <v>2616</v>
      </c>
      <c r="J797" s="25" t="s">
        <v>2599</v>
      </c>
      <c r="K797" s="48" t="s">
        <v>2600</v>
      </c>
      <c r="L797" s="25" t="s">
        <v>398</v>
      </c>
      <c r="M797" s="25" t="s">
        <v>403</v>
      </c>
      <c r="N797" s="25">
        <v>1</v>
      </c>
      <c r="O797" s="25">
        <v>4</v>
      </c>
      <c r="P797" s="25" t="s">
        <v>1527</v>
      </c>
      <c r="Q797" s="31" t="s">
        <v>3462</v>
      </c>
      <c r="R797" s="31"/>
      <c r="S797" s="31"/>
      <c r="T797" s="31"/>
      <c r="U797" s="31"/>
      <c r="V797" s="31"/>
    </row>
    <row r="798" spans="1:22" x14ac:dyDescent="0.2">
      <c r="A798" s="47" t="s">
        <v>399</v>
      </c>
      <c r="B798" s="47" t="s">
        <v>2227</v>
      </c>
      <c r="C798" s="47" t="s">
        <v>4182</v>
      </c>
      <c r="D798" s="47" t="s">
        <v>1635</v>
      </c>
      <c r="E798" s="47" t="s">
        <v>2617</v>
      </c>
      <c r="F798" s="25">
        <v>1</v>
      </c>
      <c r="G798" s="25" t="s">
        <v>40</v>
      </c>
      <c r="H798" s="25">
        <v>1991</v>
      </c>
      <c r="I798" s="25" t="s">
        <v>2618</v>
      </c>
      <c r="J798" s="25" t="s">
        <v>2619</v>
      </c>
      <c r="K798" s="48" t="s">
        <v>2620</v>
      </c>
      <c r="L798" s="25" t="s">
        <v>398</v>
      </c>
      <c r="M798" s="25" t="s">
        <v>403</v>
      </c>
      <c r="N798" s="25">
        <v>1</v>
      </c>
      <c r="O798" s="25">
        <v>4</v>
      </c>
      <c r="P798" s="25" t="s">
        <v>1527</v>
      </c>
      <c r="Q798" s="31" t="s">
        <v>3462</v>
      </c>
      <c r="R798" s="31"/>
      <c r="S798" s="31"/>
      <c r="T798" s="31"/>
      <c r="U798" s="31"/>
      <c r="V798" s="31"/>
    </row>
    <row r="799" spans="1:22" x14ac:dyDescent="0.2">
      <c r="A799" s="47" t="s">
        <v>399</v>
      </c>
      <c r="B799" s="47" t="s">
        <v>2233</v>
      </c>
      <c r="C799" s="47" t="s">
        <v>4182</v>
      </c>
      <c r="D799" s="47" t="s">
        <v>1635</v>
      </c>
      <c r="E799" s="47" t="s">
        <v>2617</v>
      </c>
      <c r="F799" s="25">
        <v>2</v>
      </c>
      <c r="G799" s="25" t="s">
        <v>37</v>
      </c>
      <c r="H799" s="25">
        <v>1992</v>
      </c>
      <c r="I799" s="25" t="s">
        <v>2621</v>
      </c>
      <c r="J799" s="25" t="s">
        <v>2619</v>
      </c>
      <c r="K799" s="48" t="s">
        <v>2620</v>
      </c>
      <c r="L799" s="25" t="s">
        <v>398</v>
      </c>
      <c r="M799" s="25" t="s">
        <v>403</v>
      </c>
      <c r="N799" s="25">
        <v>1</v>
      </c>
      <c r="O799" s="25">
        <v>4</v>
      </c>
      <c r="P799" s="25" t="s">
        <v>1527</v>
      </c>
      <c r="Q799" s="31" t="s">
        <v>3462</v>
      </c>
      <c r="R799" s="31"/>
      <c r="S799" s="31"/>
      <c r="T799" s="31"/>
      <c r="U799" s="31"/>
      <c r="V799" s="31"/>
    </row>
    <row r="800" spans="1:22" x14ac:dyDescent="0.2">
      <c r="A800" s="47" t="s">
        <v>399</v>
      </c>
      <c r="B800" s="47" t="s">
        <v>2235</v>
      </c>
      <c r="C800" s="47" t="s">
        <v>4182</v>
      </c>
      <c r="D800" s="47" t="s">
        <v>1635</v>
      </c>
      <c r="E800" s="47" t="s">
        <v>2617</v>
      </c>
      <c r="F800" s="25">
        <v>3</v>
      </c>
      <c r="G800" s="25" t="s">
        <v>80</v>
      </c>
      <c r="H800" s="25">
        <v>1993</v>
      </c>
      <c r="I800" s="25" t="s">
        <v>2622</v>
      </c>
      <c r="J800" s="25" t="s">
        <v>2619</v>
      </c>
      <c r="K800" s="48" t="s">
        <v>2620</v>
      </c>
      <c r="L800" s="25" t="s">
        <v>398</v>
      </c>
      <c r="M800" s="25" t="s">
        <v>403</v>
      </c>
      <c r="N800" s="25">
        <v>1</v>
      </c>
      <c r="O800" s="25">
        <v>4</v>
      </c>
      <c r="P800" s="25" t="s">
        <v>1527</v>
      </c>
      <c r="Q800" s="31" t="s">
        <v>3462</v>
      </c>
      <c r="R800" s="31"/>
      <c r="S800" s="31"/>
      <c r="T800" s="31"/>
      <c r="U800" s="31"/>
      <c r="V800" s="31"/>
    </row>
    <row r="801" spans="1:22" x14ac:dyDescent="0.2">
      <c r="A801" s="47" t="s">
        <v>399</v>
      </c>
      <c r="B801" s="47" t="s">
        <v>2237</v>
      </c>
      <c r="C801" s="47" t="s">
        <v>4182</v>
      </c>
      <c r="D801" s="47" t="s">
        <v>1635</v>
      </c>
      <c r="E801" s="47" t="s">
        <v>2617</v>
      </c>
      <c r="F801" s="25">
        <v>4</v>
      </c>
      <c r="G801" s="25" t="s">
        <v>31</v>
      </c>
      <c r="H801" s="25">
        <v>1994</v>
      </c>
      <c r="I801" s="25" t="s">
        <v>2623</v>
      </c>
      <c r="J801" s="25" t="s">
        <v>2619</v>
      </c>
      <c r="K801" s="48" t="s">
        <v>2620</v>
      </c>
      <c r="L801" s="25" t="s">
        <v>398</v>
      </c>
      <c r="M801" s="25" t="s">
        <v>403</v>
      </c>
      <c r="N801" s="25">
        <v>1</v>
      </c>
      <c r="O801" s="25">
        <v>4</v>
      </c>
      <c r="P801" s="25" t="s">
        <v>1527</v>
      </c>
      <c r="Q801" s="31" t="s">
        <v>3462</v>
      </c>
      <c r="R801" s="31"/>
      <c r="S801" s="31"/>
      <c r="T801" s="31"/>
      <c r="U801" s="31"/>
      <c r="V801" s="31"/>
    </row>
    <row r="802" spans="1:22" x14ac:dyDescent="0.2">
      <c r="A802" s="47" t="s">
        <v>399</v>
      </c>
      <c r="B802" s="47" t="s">
        <v>2239</v>
      </c>
      <c r="C802" s="47" t="s">
        <v>4182</v>
      </c>
      <c r="D802" s="47" t="s">
        <v>1635</v>
      </c>
      <c r="E802" s="47" t="s">
        <v>2617</v>
      </c>
      <c r="F802" s="25">
        <v>5</v>
      </c>
      <c r="G802" s="25" t="s">
        <v>13</v>
      </c>
      <c r="H802" s="25">
        <v>1995</v>
      </c>
      <c r="I802" s="25" t="s">
        <v>2624</v>
      </c>
      <c r="J802" s="25" t="s">
        <v>2619</v>
      </c>
      <c r="K802" s="48" t="s">
        <v>2620</v>
      </c>
      <c r="L802" s="25" t="s">
        <v>398</v>
      </c>
      <c r="M802" s="25" t="s">
        <v>403</v>
      </c>
      <c r="N802" s="25">
        <v>1</v>
      </c>
      <c r="O802" s="25">
        <v>4</v>
      </c>
      <c r="P802" s="25" t="s">
        <v>1527</v>
      </c>
      <c r="Q802" s="31" t="s">
        <v>3462</v>
      </c>
      <c r="R802" s="31"/>
      <c r="S802" s="31"/>
      <c r="T802" s="31"/>
      <c r="U802" s="31"/>
      <c r="V802" s="31"/>
    </row>
    <row r="803" spans="1:22" x14ac:dyDescent="0.2">
      <c r="A803" s="47" t="s">
        <v>399</v>
      </c>
      <c r="B803" s="47" t="s">
        <v>2241</v>
      </c>
      <c r="C803" s="47" t="s">
        <v>4182</v>
      </c>
      <c r="D803" s="47" t="s">
        <v>1635</v>
      </c>
      <c r="E803" s="47" t="s">
        <v>2617</v>
      </c>
      <c r="F803" s="25">
        <v>6</v>
      </c>
      <c r="G803" s="25" t="s">
        <v>49</v>
      </c>
      <c r="H803" s="25">
        <v>1996</v>
      </c>
      <c r="I803" s="25" t="s">
        <v>2625</v>
      </c>
      <c r="J803" s="25" t="s">
        <v>2619</v>
      </c>
      <c r="K803" s="48" t="s">
        <v>2620</v>
      </c>
      <c r="L803" s="25" t="s">
        <v>398</v>
      </c>
      <c r="M803" s="25" t="s">
        <v>403</v>
      </c>
      <c r="N803" s="25">
        <v>1</v>
      </c>
      <c r="O803" s="25">
        <v>4</v>
      </c>
      <c r="P803" s="25" t="s">
        <v>1527</v>
      </c>
      <c r="Q803" s="31" t="s">
        <v>3462</v>
      </c>
      <c r="R803" s="31"/>
      <c r="S803" s="31"/>
      <c r="T803" s="31"/>
      <c r="U803" s="31"/>
      <c r="V803" s="31"/>
    </row>
    <row r="804" spans="1:22" x14ac:dyDescent="0.2">
      <c r="A804" s="47" t="s">
        <v>399</v>
      </c>
      <c r="B804" s="47" t="s">
        <v>2243</v>
      </c>
      <c r="C804" s="47" t="s">
        <v>4182</v>
      </c>
      <c r="D804" s="47" t="s">
        <v>1635</v>
      </c>
      <c r="E804" s="47" t="s">
        <v>2617</v>
      </c>
      <c r="F804" s="25">
        <v>7</v>
      </c>
      <c r="G804" s="25" t="s">
        <v>101</v>
      </c>
      <c r="H804" s="25">
        <v>1997</v>
      </c>
      <c r="I804" s="25" t="s">
        <v>2626</v>
      </c>
      <c r="J804" s="25" t="s">
        <v>2619</v>
      </c>
      <c r="K804" s="48" t="s">
        <v>2620</v>
      </c>
      <c r="L804" s="25" t="s">
        <v>398</v>
      </c>
      <c r="M804" s="25" t="s">
        <v>403</v>
      </c>
      <c r="N804" s="25">
        <v>1</v>
      </c>
      <c r="O804" s="25">
        <v>4</v>
      </c>
      <c r="P804" s="25" t="s">
        <v>1527</v>
      </c>
      <c r="Q804" s="31" t="s">
        <v>3462</v>
      </c>
      <c r="R804" s="31"/>
      <c r="S804" s="31"/>
      <c r="T804" s="31"/>
      <c r="U804" s="31"/>
      <c r="V804" s="31"/>
    </row>
    <row r="805" spans="1:22" x14ac:dyDescent="0.2">
      <c r="A805" s="47" t="s">
        <v>399</v>
      </c>
      <c r="B805" s="47" t="s">
        <v>2245</v>
      </c>
      <c r="C805" s="47" t="s">
        <v>4182</v>
      </c>
      <c r="D805" s="47" t="s">
        <v>1635</v>
      </c>
      <c r="E805" s="47" t="s">
        <v>2617</v>
      </c>
      <c r="F805" s="25">
        <v>8</v>
      </c>
      <c r="G805" s="25" t="s">
        <v>10</v>
      </c>
      <c r="H805" s="25">
        <v>1998</v>
      </c>
      <c r="I805" s="25" t="s">
        <v>2627</v>
      </c>
      <c r="J805" s="25" t="s">
        <v>2619</v>
      </c>
      <c r="K805" s="48" t="s">
        <v>2620</v>
      </c>
      <c r="L805" s="25" t="s">
        <v>398</v>
      </c>
      <c r="M805" s="25" t="s">
        <v>403</v>
      </c>
      <c r="N805" s="25">
        <v>1</v>
      </c>
      <c r="O805" s="25">
        <v>4</v>
      </c>
      <c r="P805" s="25" t="s">
        <v>1527</v>
      </c>
      <c r="Q805" s="31" t="s">
        <v>3462</v>
      </c>
      <c r="R805" s="31"/>
      <c r="S805" s="31"/>
      <c r="T805" s="31"/>
      <c r="U805" s="31"/>
      <c r="V805" s="31"/>
    </row>
    <row r="806" spans="1:22" x14ac:dyDescent="0.2">
      <c r="A806" s="47" t="s">
        <v>399</v>
      </c>
      <c r="B806" s="47" t="s">
        <v>2249</v>
      </c>
      <c r="C806" s="47" t="s">
        <v>4182</v>
      </c>
      <c r="D806" s="47" t="s">
        <v>1635</v>
      </c>
      <c r="E806" s="47" t="s">
        <v>2617</v>
      </c>
      <c r="F806" s="25">
        <v>10</v>
      </c>
      <c r="G806" s="25" t="s">
        <v>98</v>
      </c>
      <c r="H806" s="25">
        <v>2000</v>
      </c>
      <c r="I806" s="25" t="s">
        <v>2628</v>
      </c>
      <c r="J806" s="25" t="s">
        <v>2619</v>
      </c>
      <c r="K806" s="48" t="s">
        <v>2620</v>
      </c>
      <c r="L806" s="25" t="s">
        <v>398</v>
      </c>
      <c r="M806" s="25" t="s">
        <v>403</v>
      </c>
      <c r="N806" s="25">
        <v>1</v>
      </c>
      <c r="O806" s="25">
        <v>4</v>
      </c>
      <c r="P806" s="25" t="s">
        <v>1527</v>
      </c>
      <c r="Q806" s="31" t="s">
        <v>3462</v>
      </c>
      <c r="R806" s="31"/>
      <c r="S806" s="31"/>
      <c r="T806" s="31"/>
      <c r="U806" s="31"/>
      <c r="V806" s="31"/>
    </row>
    <row r="807" spans="1:22" x14ac:dyDescent="0.2">
      <c r="A807" s="47" t="s">
        <v>399</v>
      </c>
      <c r="B807" s="47" t="s">
        <v>2251</v>
      </c>
      <c r="C807" s="47" t="s">
        <v>4182</v>
      </c>
      <c r="D807" s="47" t="s">
        <v>1635</v>
      </c>
      <c r="E807" s="47" t="s">
        <v>2617</v>
      </c>
      <c r="F807" s="25">
        <v>11</v>
      </c>
      <c r="G807" s="25" t="s">
        <v>104</v>
      </c>
      <c r="H807" s="25">
        <v>2001</v>
      </c>
      <c r="I807" s="25" t="s">
        <v>2629</v>
      </c>
      <c r="J807" s="25" t="s">
        <v>2619</v>
      </c>
      <c r="K807" s="48" t="s">
        <v>2620</v>
      </c>
      <c r="L807" s="25" t="s">
        <v>398</v>
      </c>
      <c r="M807" s="25" t="s">
        <v>403</v>
      </c>
      <c r="N807" s="25">
        <v>1</v>
      </c>
      <c r="O807" s="25">
        <v>4</v>
      </c>
      <c r="P807" s="25" t="s">
        <v>1527</v>
      </c>
      <c r="Q807" s="31" t="s">
        <v>3462</v>
      </c>
      <c r="R807" s="31"/>
      <c r="S807" s="31"/>
      <c r="T807" s="31"/>
      <c r="U807" s="31"/>
      <c r="V807" s="31"/>
    </row>
    <row r="808" spans="1:22" x14ac:dyDescent="0.2">
      <c r="A808" s="47" t="s">
        <v>399</v>
      </c>
      <c r="B808" s="47" t="s">
        <v>2253</v>
      </c>
      <c r="C808" s="47" t="s">
        <v>4182</v>
      </c>
      <c r="D808" s="47" t="s">
        <v>1635</v>
      </c>
      <c r="E808" s="47" t="s">
        <v>2617</v>
      </c>
      <c r="F808" s="25">
        <v>12</v>
      </c>
      <c r="G808" s="25" t="s">
        <v>89</v>
      </c>
      <c r="H808" s="25">
        <v>2002</v>
      </c>
      <c r="I808" s="25" t="s">
        <v>2630</v>
      </c>
      <c r="J808" s="25" t="s">
        <v>2619</v>
      </c>
      <c r="K808" s="48" t="s">
        <v>2620</v>
      </c>
      <c r="L808" s="25" t="s">
        <v>398</v>
      </c>
      <c r="M808" s="25" t="s">
        <v>403</v>
      </c>
      <c r="N808" s="25">
        <v>1</v>
      </c>
      <c r="O808" s="25">
        <v>4</v>
      </c>
      <c r="P808" s="25" t="s">
        <v>1527</v>
      </c>
      <c r="Q808" s="31" t="s">
        <v>3462</v>
      </c>
      <c r="R808" s="31"/>
      <c r="S808" s="31"/>
      <c r="T808" s="31"/>
      <c r="U808" s="31"/>
      <c r="V808" s="31"/>
    </row>
    <row r="809" spans="1:22" x14ac:dyDescent="0.2">
      <c r="A809" s="47" t="s">
        <v>399</v>
      </c>
      <c r="B809" s="47" t="s">
        <v>2255</v>
      </c>
      <c r="C809" s="47" t="s">
        <v>4182</v>
      </c>
      <c r="D809" s="47" t="s">
        <v>1635</v>
      </c>
      <c r="E809" s="47" t="s">
        <v>2617</v>
      </c>
      <c r="F809" s="25">
        <v>13</v>
      </c>
      <c r="G809" s="25" t="s">
        <v>107</v>
      </c>
      <c r="H809" s="25">
        <v>2003</v>
      </c>
      <c r="I809" s="25" t="s">
        <v>2631</v>
      </c>
      <c r="J809" s="25" t="s">
        <v>2619</v>
      </c>
      <c r="K809" s="48" t="s">
        <v>2620</v>
      </c>
      <c r="L809" s="25" t="s">
        <v>398</v>
      </c>
      <c r="M809" s="25" t="s">
        <v>403</v>
      </c>
      <c r="N809" s="25">
        <v>1</v>
      </c>
      <c r="O809" s="25">
        <v>4</v>
      </c>
      <c r="P809" s="25" t="s">
        <v>1527</v>
      </c>
      <c r="Q809" s="31" t="s">
        <v>3462</v>
      </c>
      <c r="R809" s="31"/>
      <c r="S809" s="31"/>
      <c r="T809" s="31"/>
      <c r="U809" s="31"/>
      <c r="V809" s="31"/>
    </row>
    <row r="810" spans="1:22" x14ac:dyDescent="0.2">
      <c r="A810" s="47" t="s">
        <v>399</v>
      </c>
      <c r="B810" s="47" t="s">
        <v>2257</v>
      </c>
      <c r="C810" s="47" t="s">
        <v>4182</v>
      </c>
      <c r="D810" s="47" t="s">
        <v>1635</v>
      </c>
      <c r="E810" s="47" t="s">
        <v>2617</v>
      </c>
      <c r="F810" s="25">
        <v>14</v>
      </c>
      <c r="G810" s="25" t="s">
        <v>43</v>
      </c>
      <c r="H810" s="25">
        <v>2004</v>
      </c>
      <c r="I810" s="25" t="s">
        <v>2632</v>
      </c>
      <c r="J810" s="25" t="s">
        <v>2619</v>
      </c>
      <c r="K810" s="48" t="s">
        <v>2620</v>
      </c>
      <c r="L810" s="25" t="s">
        <v>398</v>
      </c>
      <c r="M810" s="25" t="s">
        <v>403</v>
      </c>
      <c r="N810" s="25">
        <v>1</v>
      </c>
      <c r="O810" s="25">
        <v>4</v>
      </c>
      <c r="P810" s="25" t="s">
        <v>1527</v>
      </c>
      <c r="Q810" s="31" t="s">
        <v>3462</v>
      </c>
      <c r="R810" s="31"/>
      <c r="S810" s="31"/>
      <c r="T810" s="31"/>
      <c r="U810" s="31"/>
      <c r="V810" s="31"/>
    </row>
    <row r="811" spans="1:22" x14ac:dyDescent="0.2">
      <c r="A811" s="47" t="s">
        <v>399</v>
      </c>
      <c r="B811" s="47" t="s">
        <v>2259</v>
      </c>
      <c r="C811" s="47" t="s">
        <v>4182</v>
      </c>
      <c r="D811" s="47" t="s">
        <v>1635</v>
      </c>
      <c r="E811" s="47" t="s">
        <v>2617</v>
      </c>
      <c r="F811" s="25">
        <v>15</v>
      </c>
      <c r="G811" s="25" t="s">
        <v>19</v>
      </c>
      <c r="H811" s="25">
        <v>2005</v>
      </c>
      <c r="I811" s="25" t="s">
        <v>2633</v>
      </c>
      <c r="J811" s="25" t="s">
        <v>2619</v>
      </c>
      <c r="K811" s="48" t="s">
        <v>2620</v>
      </c>
      <c r="L811" s="25" t="s">
        <v>398</v>
      </c>
      <c r="M811" s="25" t="s">
        <v>403</v>
      </c>
      <c r="N811" s="25">
        <v>1</v>
      </c>
      <c r="O811" s="25">
        <v>4</v>
      </c>
      <c r="P811" s="25" t="s">
        <v>1527</v>
      </c>
      <c r="Q811" s="31" t="s">
        <v>3462</v>
      </c>
      <c r="R811" s="31"/>
      <c r="S811" s="31"/>
      <c r="T811" s="31"/>
      <c r="U811" s="31"/>
      <c r="V811" s="31"/>
    </row>
    <row r="812" spans="1:22" x14ac:dyDescent="0.2">
      <c r="A812" s="47" t="s">
        <v>399</v>
      </c>
      <c r="B812" s="47" t="s">
        <v>2261</v>
      </c>
      <c r="C812" s="47" t="s">
        <v>4182</v>
      </c>
      <c r="D812" s="47" t="s">
        <v>1635</v>
      </c>
      <c r="E812" s="47" t="s">
        <v>2617</v>
      </c>
      <c r="F812" s="25">
        <v>16</v>
      </c>
      <c r="G812" s="25" t="s">
        <v>25</v>
      </c>
      <c r="H812" s="25">
        <v>2006</v>
      </c>
      <c r="I812" s="25" t="s">
        <v>2634</v>
      </c>
      <c r="J812" s="25" t="s">
        <v>2619</v>
      </c>
      <c r="K812" s="48" t="s">
        <v>2620</v>
      </c>
      <c r="L812" s="25" t="s">
        <v>398</v>
      </c>
      <c r="M812" s="25" t="s">
        <v>403</v>
      </c>
      <c r="N812" s="25">
        <v>1</v>
      </c>
      <c r="O812" s="25">
        <v>4</v>
      </c>
      <c r="P812" s="25" t="s">
        <v>1527</v>
      </c>
      <c r="Q812" s="31" t="s">
        <v>3462</v>
      </c>
      <c r="R812" s="31"/>
      <c r="S812" s="31"/>
      <c r="T812" s="31"/>
      <c r="U812" s="31"/>
      <c r="V812" s="31"/>
    </row>
    <row r="813" spans="1:22" x14ac:dyDescent="0.2">
      <c r="A813" s="47" t="s">
        <v>399</v>
      </c>
      <c r="B813" s="47" t="s">
        <v>2263</v>
      </c>
      <c r="C813" s="47" t="s">
        <v>4182</v>
      </c>
      <c r="D813" s="47" t="s">
        <v>1635</v>
      </c>
      <c r="E813" s="47" t="s">
        <v>2617</v>
      </c>
      <c r="F813" s="25">
        <v>17</v>
      </c>
      <c r="G813" s="25" t="s">
        <v>73</v>
      </c>
      <c r="H813" s="25">
        <v>2007</v>
      </c>
      <c r="I813" s="25" t="s">
        <v>2635</v>
      </c>
      <c r="J813" s="25" t="s">
        <v>2619</v>
      </c>
      <c r="K813" s="48" t="s">
        <v>2620</v>
      </c>
      <c r="L813" s="25" t="s">
        <v>398</v>
      </c>
      <c r="M813" s="25" t="s">
        <v>403</v>
      </c>
      <c r="N813" s="25">
        <v>1</v>
      </c>
      <c r="O813" s="25">
        <v>4</v>
      </c>
      <c r="P813" s="25" t="s">
        <v>1527</v>
      </c>
      <c r="Q813" s="31" t="s">
        <v>3462</v>
      </c>
      <c r="R813" s="31"/>
      <c r="S813" s="31"/>
      <c r="T813" s="31"/>
      <c r="U813" s="31"/>
      <c r="V813" s="31"/>
    </row>
    <row r="814" spans="1:22" x14ac:dyDescent="0.2">
      <c r="A814" s="47" t="s">
        <v>399</v>
      </c>
      <c r="B814" s="47" t="s">
        <v>2265</v>
      </c>
      <c r="C814" s="47" t="s">
        <v>4182</v>
      </c>
      <c r="D814" s="47" t="s">
        <v>1635</v>
      </c>
      <c r="E814" s="47" t="s">
        <v>2617</v>
      </c>
      <c r="F814" s="25">
        <v>18</v>
      </c>
      <c r="G814" s="25" t="s">
        <v>58</v>
      </c>
      <c r="H814" s="25">
        <v>2008</v>
      </c>
      <c r="I814" s="25" t="s">
        <v>2636</v>
      </c>
      <c r="J814" s="25" t="s">
        <v>2619</v>
      </c>
      <c r="K814" s="48" t="s">
        <v>2620</v>
      </c>
      <c r="L814" s="25" t="s">
        <v>398</v>
      </c>
      <c r="M814" s="25" t="s">
        <v>403</v>
      </c>
      <c r="N814" s="25">
        <v>1</v>
      </c>
      <c r="O814" s="25">
        <v>4</v>
      </c>
      <c r="P814" s="25" t="s">
        <v>1527</v>
      </c>
      <c r="Q814" s="31" t="s">
        <v>3462</v>
      </c>
      <c r="R814" s="31"/>
      <c r="S814" s="31"/>
      <c r="T814" s="31"/>
      <c r="U814" s="31"/>
      <c r="V814" s="31"/>
    </row>
    <row r="815" spans="1:22" ht="16.5" customHeight="1" x14ac:dyDescent="0.2">
      <c r="A815" s="17" t="s">
        <v>399</v>
      </c>
      <c r="B815" s="17" t="str">
        <f t="shared" ref="B815:B849" si="41">_xlfn.CONCAT(G815,"INDRESP")</f>
        <v>kINDRESP</v>
      </c>
      <c r="C815" s="17" t="s">
        <v>4182</v>
      </c>
      <c r="D815" s="17" t="s">
        <v>1639</v>
      </c>
      <c r="E815" s="17" t="s">
        <v>2637</v>
      </c>
      <c r="F815" s="2">
        <v>11</v>
      </c>
      <c r="G815" s="2" t="s">
        <v>104</v>
      </c>
      <c r="H815" s="2">
        <v>2001</v>
      </c>
      <c r="I815" s="2" t="s">
        <v>2638</v>
      </c>
      <c r="J815" s="2" t="s">
        <v>2639</v>
      </c>
      <c r="K815" s="8" t="s">
        <v>2640</v>
      </c>
      <c r="L815" s="2" t="s">
        <v>2395</v>
      </c>
      <c r="M815" s="2" t="s">
        <v>403</v>
      </c>
      <c r="N815" s="2">
        <v>1</v>
      </c>
      <c r="O815" s="2">
        <v>6</v>
      </c>
      <c r="P815" s="2" t="s">
        <v>1527</v>
      </c>
      <c r="Q815" s="31" t="s">
        <v>3462</v>
      </c>
    </row>
    <row r="816" spans="1:22" ht="16.5" customHeight="1" x14ac:dyDescent="0.2">
      <c r="A816" s="17" t="s">
        <v>399</v>
      </c>
      <c r="B816" s="17" t="str">
        <f t="shared" si="41"/>
        <v>lINDRESP</v>
      </c>
      <c r="C816" s="17" t="s">
        <v>4182</v>
      </c>
      <c r="D816" s="17" t="s">
        <v>1639</v>
      </c>
      <c r="E816" s="17" t="s">
        <v>2637</v>
      </c>
      <c r="F816" s="2">
        <v>12</v>
      </c>
      <c r="G816" s="2" t="s">
        <v>89</v>
      </c>
      <c r="H816" s="2">
        <v>2002</v>
      </c>
      <c r="I816" s="2" t="s">
        <v>2641</v>
      </c>
      <c r="J816" s="2" t="s">
        <v>2639</v>
      </c>
      <c r="K816" s="8" t="s">
        <v>2640</v>
      </c>
      <c r="L816" s="2" t="s">
        <v>2395</v>
      </c>
      <c r="M816" s="2" t="s">
        <v>403</v>
      </c>
      <c r="N816" s="2">
        <v>1</v>
      </c>
      <c r="O816" s="2">
        <v>6</v>
      </c>
      <c r="P816" s="2" t="s">
        <v>1527</v>
      </c>
      <c r="Q816" s="31" t="s">
        <v>3462</v>
      </c>
    </row>
    <row r="817" spans="1:17" ht="16.5" customHeight="1" x14ac:dyDescent="0.2">
      <c r="A817" s="17" t="s">
        <v>399</v>
      </c>
      <c r="B817" s="17" t="str">
        <f t="shared" si="41"/>
        <v>pINDRESP</v>
      </c>
      <c r="C817" s="17" t="s">
        <v>4182</v>
      </c>
      <c r="D817" s="17" t="s">
        <v>1639</v>
      </c>
      <c r="E817" s="17" t="s">
        <v>2637</v>
      </c>
      <c r="F817" s="2">
        <v>16</v>
      </c>
      <c r="G817" s="2" t="s">
        <v>25</v>
      </c>
      <c r="H817" s="2">
        <v>2006</v>
      </c>
      <c r="I817" s="2" t="s">
        <v>2642</v>
      </c>
      <c r="J817" s="2" t="s">
        <v>2639</v>
      </c>
      <c r="K817" s="8" t="s">
        <v>2640</v>
      </c>
      <c r="L817" s="2" t="s">
        <v>2395</v>
      </c>
      <c r="M817" s="2" t="s">
        <v>403</v>
      </c>
      <c r="N817" s="2">
        <v>1</v>
      </c>
      <c r="O817" s="2">
        <v>6</v>
      </c>
      <c r="P817" s="2" t="s">
        <v>1527</v>
      </c>
      <c r="Q817" s="31" t="s">
        <v>3462</v>
      </c>
    </row>
    <row r="818" spans="1:17" ht="16.5" customHeight="1" x14ac:dyDescent="0.2">
      <c r="A818" s="17" t="s">
        <v>399</v>
      </c>
      <c r="B818" s="17" t="str">
        <f t="shared" si="41"/>
        <v>kINDRESP</v>
      </c>
      <c r="C818" s="17" t="s">
        <v>4182</v>
      </c>
      <c r="D818" s="17" t="s">
        <v>1639</v>
      </c>
      <c r="E818" s="17" t="s">
        <v>2643</v>
      </c>
      <c r="F818" s="2">
        <v>11</v>
      </c>
      <c r="G818" s="2" t="s">
        <v>104</v>
      </c>
      <c r="H818" s="2">
        <v>2001</v>
      </c>
      <c r="I818" s="2" t="s">
        <v>2644</v>
      </c>
      <c r="J818" s="2" t="s">
        <v>2645</v>
      </c>
      <c r="K818" s="8" t="s">
        <v>2640</v>
      </c>
      <c r="L818" s="2" t="s">
        <v>2395</v>
      </c>
      <c r="M818" s="2" t="s">
        <v>403</v>
      </c>
      <c r="N818" s="2">
        <v>1</v>
      </c>
      <c r="O818" s="2">
        <v>6</v>
      </c>
      <c r="P818" s="2" t="s">
        <v>1527</v>
      </c>
      <c r="Q818" s="31" t="s">
        <v>3462</v>
      </c>
    </row>
    <row r="819" spans="1:17" ht="16.5" customHeight="1" x14ac:dyDescent="0.2">
      <c r="A819" s="17" t="s">
        <v>399</v>
      </c>
      <c r="B819" s="17" t="str">
        <f t="shared" si="41"/>
        <v>lINDRESP</v>
      </c>
      <c r="C819" s="17" t="s">
        <v>4182</v>
      </c>
      <c r="D819" s="17" t="s">
        <v>1639</v>
      </c>
      <c r="E819" s="17" t="s">
        <v>2643</v>
      </c>
      <c r="F819" s="2">
        <v>12</v>
      </c>
      <c r="G819" s="2" t="s">
        <v>89</v>
      </c>
      <c r="H819" s="2">
        <v>2002</v>
      </c>
      <c r="I819" s="2" t="s">
        <v>2646</v>
      </c>
      <c r="J819" s="2" t="s">
        <v>2645</v>
      </c>
      <c r="K819" s="8" t="s">
        <v>2640</v>
      </c>
      <c r="L819" s="2" t="s">
        <v>2395</v>
      </c>
      <c r="M819" s="2" t="s">
        <v>403</v>
      </c>
      <c r="N819" s="2">
        <v>1</v>
      </c>
      <c r="O819" s="2">
        <v>6</v>
      </c>
      <c r="P819" s="2" t="s">
        <v>1527</v>
      </c>
      <c r="Q819" s="31" t="s">
        <v>3462</v>
      </c>
    </row>
    <row r="820" spans="1:17" ht="16.5" customHeight="1" x14ac:dyDescent="0.2">
      <c r="A820" s="17" t="s">
        <v>399</v>
      </c>
      <c r="B820" s="17" t="str">
        <f t="shared" si="41"/>
        <v>pINDRESP</v>
      </c>
      <c r="C820" s="17" t="s">
        <v>4182</v>
      </c>
      <c r="D820" s="17" t="s">
        <v>1639</v>
      </c>
      <c r="E820" s="17" t="s">
        <v>2643</v>
      </c>
      <c r="F820" s="2">
        <v>16</v>
      </c>
      <c r="G820" s="2" t="s">
        <v>25</v>
      </c>
      <c r="H820" s="2">
        <v>2006</v>
      </c>
      <c r="I820" s="2" t="s">
        <v>2647</v>
      </c>
      <c r="J820" s="2" t="s">
        <v>2645</v>
      </c>
      <c r="K820" s="8" t="s">
        <v>2640</v>
      </c>
      <c r="L820" s="2" t="s">
        <v>2395</v>
      </c>
      <c r="M820" s="2" t="s">
        <v>403</v>
      </c>
      <c r="N820" s="2">
        <v>1</v>
      </c>
      <c r="O820" s="2">
        <v>6</v>
      </c>
      <c r="P820" s="2" t="s">
        <v>1527</v>
      </c>
      <c r="Q820" s="31" t="s">
        <v>3462</v>
      </c>
    </row>
    <row r="821" spans="1:17" ht="16.5" customHeight="1" x14ac:dyDescent="0.2">
      <c r="A821" s="17" t="s">
        <v>399</v>
      </c>
      <c r="B821" s="17" t="str">
        <f t="shared" si="41"/>
        <v>kINDRESP</v>
      </c>
      <c r="C821" s="17" t="s">
        <v>4182</v>
      </c>
      <c r="D821" s="17" t="s">
        <v>1639</v>
      </c>
      <c r="E821" s="17" t="s">
        <v>2648</v>
      </c>
      <c r="F821" s="2">
        <v>11</v>
      </c>
      <c r="G821" s="2" t="s">
        <v>104</v>
      </c>
      <c r="H821" s="2">
        <v>2001</v>
      </c>
      <c r="I821" s="2" t="s">
        <v>2649</v>
      </c>
      <c r="J821" s="2" t="s">
        <v>2650</v>
      </c>
      <c r="K821" s="8" t="s">
        <v>2640</v>
      </c>
      <c r="L821" s="2" t="s">
        <v>2395</v>
      </c>
      <c r="M821" s="2" t="s">
        <v>403</v>
      </c>
      <c r="N821" s="2">
        <v>1</v>
      </c>
      <c r="O821" s="2">
        <v>6</v>
      </c>
      <c r="P821" s="2" t="s">
        <v>1527</v>
      </c>
      <c r="Q821" s="31" t="s">
        <v>3462</v>
      </c>
    </row>
    <row r="822" spans="1:17" ht="16.5" customHeight="1" x14ac:dyDescent="0.2">
      <c r="A822" s="17" t="s">
        <v>399</v>
      </c>
      <c r="B822" s="17" t="str">
        <f t="shared" si="41"/>
        <v>lINDRESP</v>
      </c>
      <c r="C822" s="17" t="s">
        <v>4182</v>
      </c>
      <c r="D822" s="17" t="s">
        <v>1639</v>
      </c>
      <c r="E822" s="17" t="s">
        <v>2648</v>
      </c>
      <c r="F822" s="2">
        <v>12</v>
      </c>
      <c r="G822" s="2" t="s">
        <v>89</v>
      </c>
      <c r="H822" s="2">
        <v>2002</v>
      </c>
      <c r="I822" s="2" t="s">
        <v>2651</v>
      </c>
      <c r="J822" s="2" t="s">
        <v>2650</v>
      </c>
      <c r="K822" s="8" t="s">
        <v>2640</v>
      </c>
      <c r="L822" s="2" t="s">
        <v>2395</v>
      </c>
      <c r="M822" s="2" t="s">
        <v>403</v>
      </c>
      <c r="N822" s="2">
        <v>1</v>
      </c>
      <c r="O822" s="2">
        <v>6</v>
      </c>
      <c r="P822" s="2" t="s">
        <v>1527</v>
      </c>
      <c r="Q822" s="31" t="s">
        <v>3462</v>
      </c>
    </row>
    <row r="823" spans="1:17" ht="16.5" customHeight="1" x14ac:dyDescent="0.2">
      <c r="A823" s="17" t="s">
        <v>399</v>
      </c>
      <c r="B823" s="17" t="str">
        <f t="shared" si="41"/>
        <v>pINDRESP</v>
      </c>
      <c r="C823" s="17" t="s">
        <v>4182</v>
      </c>
      <c r="D823" s="17" t="s">
        <v>1639</v>
      </c>
      <c r="E823" s="17" t="s">
        <v>2648</v>
      </c>
      <c r="F823" s="2">
        <v>16</v>
      </c>
      <c r="G823" s="2" t="s">
        <v>25</v>
      </c>
      <c r="H823" s="2">
        <v>2006</v>
      </c>
      <c r="I823" s="2" t="s">
        <v>2652</v>
      </c>
      <c r="J823" s="2" t="s">
        <v>2650</v>
      </c>
      <c r="K823" s="8" t="s">
        <v>2640</v>
      </c>
      <c r="L823" s="2" t="s">
        <v>2395</v>
      </c>
      <c r="M823" s="2" t="s">
        <v>403</v>
      </c>
      <c r="N823" s="2">
        <v>1</v>
      </c>
      <c r="O823" s="2">
        <v>6</v>
      </c>
      <c r="P823" s="2" t="s">
        <v>1527</v>
      </c>
      <c r="Q823" s="31" t="s">
        <v>3462</v>
      </c>
    </row>
    <row r="824" spans="1:17" ht="16.5" customHeight="1" x14ac:dyDescent="0.2">
      <c r="A824" s="17" t="s">
        <v>399</v>
      </c>
      <c r="B824" s="17" t="str">
        <f t="shared" si="41"/>
        <v>kINDRESP</v>
      </c>
      <c r="C824" s="17" t="s">
        <v>4182</v>
      </c>
      <c r="D824" s="17" t="s">
        <v>1639</v>
      </c>
      <c r="E824" s="17" t="s">
        <v>2653</v>
      </c>
      <c r="F824" s="2">
        <v>11</v>
      </c>
      <c r="G824" s="2" t="s">
        <v>104</v>
      </c>
      <c r="H824" s="2">
        <v>2001</v>
      </c>
      <c r="I824" s="2" t="s">
        <v>2654</v>
      </c>
      <c r="J824" s="2" t="s">
        <v>2655</v>
      </c>
      <c r="K824" s="8" t="s">
        <v>2640</v>
      </c>
      <c r="L824" s="2" t="s">
        <v>2395</v>
      </c>
      <c r="M824" s="2" t="s">
        <v>403</v>
      </c>
      <c r="N824" s="2">
        <v>1</v>
      </c>
      <c r="O824" s="2">
        <v>6</v>
      </c>
      <c r="P824" s="2" t="s">
        <v>1527</v>
      </c>
      <c r="Q824" s="31" t="s">
        <v>3462</v>
      </c>
    </row>
    <row r="825" spans="1:17" ht="16.5" customHeight="1" x14ac:dyDescent="0.2">
      <c r="A825" s="17" t="s">
        <v>399</v>
      </c>
      <c r="B825" s="17" t="str">
        <f t="shared" si="41"/>
        <v>lINDRESP</v>
      </c>
      <c r="C825" s="17" t="s">
        <v>4182</v>
      </c>
      <c r="D825" s="17" t="s">
        <v>1639</v>
      </c>
      <c r="E825" s="17" t="s">
        <v>2653</v>
      </c>
      <c r="F825" s="2">
        <v>12</v>
      </c>
      <c r="G825" s="2" t="s">
        <v>89</v>
      </c>
      <c r="H825" s="2">
        <v>2002</v>
      </c>
      <c r="I825" s="2" t="s">
        <v>2656</v>
      </c>
      <c r="J825" s="2" t="s">
        <v>2655</v>
      </c>
      <c r="K825" s="8" t="s">
        <v>2640</v>
      </c>
      <c r="L825" s="2" t="s">
        <v>2395</v>
      </c>
      <c r="M825" s="2" t="s">
        <v>403</v>
      </c>
      <c r="N825" s="2">
        <v>1</v>
      </c>
      <c r="O825" s="2">
        <v>6</v>
      </c>
      <c r="P825" s="2" t="s">
        <v>1527</v>
      </c>
      <c r="Q825" s="31" t="s">
        <v>3462</v>
      </c>
    </row>
    <row r="826" spans="1:17" ht="16.5" customHeight="1" x14ac:dyDescent="0.2">
      <c r="A826" s="17" t="s">
        <v>399</v>
      </c>
      <c r="B826" s="17" t="str">
        <f t="shared" si="41"/>
        <v>pINDRESP</v>
      </c>
      <c r="C826" s="17" t="s">
        <v>4182</v>
      </c>
      <c r="D826" s="17" t="s">
        <v>1639</v>
      </c>
      <c r="E826" s="17" t="s">
        <v>2653</v>
      </c>
      <c r="F826" s="2">
        <v>16</v>
      </c>
      <c r="G826" s="2" t="s">
        <v>25</v>
      </c>
      <c r="H826" s="2">
        <v>2006</v>
      </c>
      <c r="I826" s="2" t="s">
        <v>2657</v>
      </c>
      <c r="J826" s="2" t="s">
        <v>2655</v>
      </c>
      <c r="K826" s="8" t="s">
        <v>2640</v>
      </c>
      <c r="L826" s="2" t="s">
        <v>2395</v>
      </c>
      <c r="M826" s="2" t="s">
        <v>403</v>
      </c>
      <c r="N826" s="2">
        <v>1</v>
      </c>
      <c r="O826" s="2">
        <v>6</v>
      </c>
      <c r="P826" s="2" t="s">
        <v>1527</v>
      </c>
      <c r="Q826" s="31" t="s">
        <v>3462</v>
      </c>
    </row>
    <row r="827" spans="1:17" ht="16.5" customHeight="1" x14ac:dyDescent="0.2">
      <c r="A827" s="17" t="s">
        <v>399</v>
      </c>
      <c r="B827" s="17" t="str">
        <f t="shared" si="41"/>
        <v>kINDRESP</v>
      </c>
      <c r="C827" s="17" t="s">
        <v>4182</v>
      </c>
      <c r="D827" s="17" t="s">
        <v>1639</v>
      </c>
      <c r="E827" s="17" t="s">
        <v>2658</v>
      </c>
      <c r="F827" s="2">
        <v>11</v>
      </c>
      <c r="G827" s="2" t="s">
        <v>104</v>
      </c>
      <c r="H827" s="2">
        <v>2001</v>
      </c>
      <c r="I827" s="2" t="s">
        <v>2659</v>
      </c>
      <c r="J827" s="2" t="s">
        <v>2660</v>
      </c>
      <c r="K827" s="8" t="s">
        <v>2640</v>
      </c>
      <c r="L827" s="2" t="s">
        <v>2395</v>
      </c>
      <c r="M827" s="2" t="s">
        <v>403</v>
      </c>
      <c r="N827" s="2">
        <v>1</v>
      </c>
      <c r="O827" s="2">
        <v>6</v>
      </c>
      <c r="P827" s="2" t="s">
        <v>1527</v>
      </c>
      <c r="Q827" s="31" t="s">
        <v>3462</v>
      </c>
    </row>
    <row r="828" spans="1:17" ht="16.5" customHeight="1" x14ac:dyDescent="0.2">
      <c r="A828" s="17" t="s">
        <v>399</v>
      </c>
      <c r="B828" s="17" t="str">
        <f t="shared" si="41"/>
        <v>lINDRESP</v>
      </c>
      <c r="C828" s="17" t="s">
        <v>4182</v>
      </c>
      <c r="D828" s="17" t="s">
        <v>1639</v>
      </c>
      <c r="E828" s="17" t="s">
        <v>2658</v>
      </c>
      <c r="F828" s="2">
        <v>12</v>
      </c>
      <c r="G828" s="2" t="s">
        <v>89</v>
      </c>
      <c r="H828" s="2">
        <v>2002</v>
      </c>
      <c r="I828" s="2" t="s">
        <v>2661</v>
      </c>
      <c r="J828" s="2" t="s">
        <v>2660</v>
      </c>
      <c r="K828" s="8" t="s">
        <v>2640</v>
      </c>
      <c r="L828" s="2" t="s">
        <v>2395</v>
      </c>
      <c r="M828" s="2" t="s">
        <v>403</v>
      </c>
      <c r="N828" s="2">
        <v>1</v>
      </c>
      <c r="O828" s="2">
        <v>6</v>
      </c>
      <c r="P828" s="2" t="s">
        <v>1527</v>
      </c>
      <c r="Q828" s="31" t="s">
        <v>3462</v>
      </c>
    </row>
    <row r="829" spans="1:17" ht="16.5" customHeight="1" x14ac:dyDescent="0.2">
      <c r="A829" s="17" t="s">
        <v>399</v>
      </c>
      <c r="B829" s="17" t="str">
        <f t="shared" si="41"/>
        <v>pINDRESP</v>
      </c>
      <c r="C829" s="17" t="s">
        <v>4182</v>
      </c>
      <c r="D829" s="17" t="s">
        <v>1639</v>
      </c>
      <c r="E829" s="17" t="s">
        <v>2658</v>
      </c>
      <c r="F829" s="2">
        <v>16</v>
      </c>
      <c r="G829" s="2" t="s">
        <v>25</v>
      </c>
      <c r="H829" s="2">
        <v>2006</v>
      </c>
      <c r="I829" s="2" t="s">
        <v>2662</v>
      </c>
      <c r="J829" s="2" t="s">
        <v>2660</v>
      </c>
      <c r="K829" s="8" t="s">
        <v>2640</v>
      </c>
      <c r="L829" s="2" t="s">
        <v>2395</v>
      </c>
      <c r="M829" s="2" t="s">
        <v>403</v>
      </c>
      <c r="N829" s="2">
        <v>1</v>
      </c>
      <c r="O829" s="2">
        <v>6</v>
      </c>
      <c r="P829" s="2" t="s">
        <v>1527</v>
      </c>
      <c r="Q829" s="31" t="s">
        <v>3462</v>
      </c>
    </row>
    <row r="830" spans="1:17" ht="16.5" customHeight="1" x14ac:dyDescent="0.2">
      <c r="A830" s="17" t="s">
        <v>399</v>
      </c>
      <c r="B830" s="17" t="str">
        <f t="shared" si="41"/>
        <v>kINDRESP</v>
      </c>
      <c r="C830" s="17" t="s">
        <v>4182</v>
      </c>
      <c r="D830" s="17" t="s">
        <v>1639</v>
      </c>
      <c r="E830" s="17" t="s">
        <v>2663</v>
      </c>
      <c r="F830" s="2">
        <v>11</v>
      </c>
      <c r="G830" s="2" t="s">
        <v>104</v>
      </c>
      <c r="H830" s="2">
        <v>2001</v>
      </c>
      <c r="I830" s="2" t="s">
        <v>2664</v>
      </c>
      <c r="J830" s="2" t="s">
        <v>2665</v>
      </c>
      <c r="K830" s="8" t="s">
        <v>2640</v>
      </c>
      <c r="L830" s="2" t="s">
        <v>2395</v>
      </c>
      <c r="M830" s="2" t="s">
        <v>403</v>
      </c>
      <c r="N830" s="2">
        <v>1</v>
      </c>
      <c r="O830" s="2">
        <v>6</v>
      </c>
      <c r="P830" s="2" t="s">
        <v>1527</v>
      </c>
      <c r="Q830" s="31" t="s">
        <v>3462</v>
      </c>
    </row>
    <row r="831" spans="1:17" ht="16.5" customHeight="1" x14ac:dyDescent="0.2">
      <c r="A831" s="17" t="s">
        <v>399</v>
      </c>
      <c r="B831" s="17" t="str">
        <f t="shared" si="41"/>
        <v>lINDRESP</v>
      </c>
      <c r="C831" s="17" t="s">
        <v>4182</v>
      </c>
      <c r="D831" s="17" t="s">
        <v>1639</v>
      </c>
      <c r="E831" s="17" t="s">
        <v>2663</v>
      </c>
      <c r="F831" s="2">
        <v>12</v>
      </c>
      <c r="G831" s="2" t="s">
        <v>89</v>
      </c>
      <c r="H831" s="2">
        <v>2002</v>
      </c>
      <c r="I831" s="2" t="s">
        <v>2666</v>
      </c>
      <c r="J831" s="2" t="s">
        <v>2665</v>
      </c>
      <c r="K831" s="8" t="s">
        <v>2640</v>
      </c>
      <c r="L831" s="2" t="s">
        <v>2395</v>
      </c>
      <c r="M831" s="2" t="s">
        <v>403</v>
      </c>
      <c r="N831" s="2">
        <v>1</v>
      </c>
      <c r="O831" s="2">
        <v>6</v>
      </c>
      <c r="P831" s="2" t="s">
        <v>1527</v>
      </c>
      <c r="Q831" s="31" t="s">
        <v>3462</v>
      </c>
    </row>
    <row r="832" spans="1:17" ht="16.5" customHeight="1" x14ac:dyDescent="0.2">
      <c r="A832" s="17" t="s">
        <v>399</v>
      </c>
      <c r="B832" s="17" t="str">
        <f t="shared" si="41"/>
        <v>pINDRESP</v>
      </c>
      <c r="C832" s="17" t="s">
        <v>4182</v>
      </c>
      <c r="D832" s="17" t="s">
        <v>1639</v>
      </c>
      <c r="E832" s="17" t="s">
        <v>2663</v>
      </c>
      <c r="F832" s="2">
        <v>16</v>
      </c>
      <c r="G832" s="2" t="s">
        <v>25</v>
      </c>
      <c r="H832" s="2">
        <v>2006</v>
      </c>
      <c r="I832" s="2" t="s">
        <v>2667</v>
      </c>
      <c r="J832" s="2" t="s">
        <v>2665</v>
      </c>
      <c r="K832" s="8" t="s">
        <v>2640</v>
      </c>
      <c r="L832" s="2" t="s">
        <v>2395</v>
      </c>
      <c r="M832" s="2" t="s">
        <v>403</v>
      </c>
      <c r="N832" s="2">
        <v>1</v>
      </c>
      <c r="O832" s="2">
        <v>6</v>
      </c>
      <c r="P832" s="2" t="s">
        <v>1527</v>
      </c>
      <c r="Q832" s="31" t="s">
        <v>3462</v>
      </c>
    </row>
    <row r="833" spans="1:17" x14ac:dyDescent="0.2">
      <c r="A833" s="17" t="s">
        <v>399</v>
      </c>
      <c r="B833" s="17" t="str">
        <f t="shared" si="41"/>
        <v>aINDRESP</v>
      </c>
      <c r="C833" s="17" t="s">
        <v>4182</v>
      </c>
      <c r="D833" t="s">
        <v>1633</v>
      </c>
      <c r="E833" t="s">
        <v>1633</v>
      </c>
      <c r="F833" s="25">
        <v>1</v>
      </c>
      <c r="G833" s="25" t="s">
        <v>40</v>
      </c>
      <c r="H833" s="25">
        <v>1991</v>
      </c>
      <c r="I833" t="str">
        <f>G833&amp;"HSOWND"</f>
        <v>aHSOWND</v>
      </c>
      <c r="J833" s="2" t="s">
        <v>2668</v>
      </c>
      <c r="K833" s="7" t="s">
        <v>2669</v>
      </c>
      <c r="L833"/>
      <c r="M833" s="2" t="s">
        <v>2670</v>
      </c>
      <c r="P833" s="2" t="s">
        <v>1127</v>
      </c>
      <c r="Q833" s="31" t="s">
        <v>3462</v>
      </c>
    </row>
    <row r="834" spans="1:17" x14ac:dyDescent="0.2">
      <c r="A834" s="17" t="s">
        <v>399</v>
      </c>
      <c r="B834" s="17" t="str">
        <f t="shared" si="41"/>
        <v>bINDRESP</v>
      </c>
      <c r="C834" s="17" t="s">
        <v>4182</v>
      </c>
      <c r="D834" t="s">
        <v>1633</v>
      </c>
      <c r="E834" t="s">
        <v>1633</v>
      </c>
      <c r="F834" s="25">
        <v>2</v>
      </c>
      <c r="G834" s="25" t="s">
        <v>37</v>
      </c>
      <c r="H834" s="25">
        <v>1992</v>
      </c>
      <c r="I834" t="str">
        <f t="shared" ref="I834:I849" si="42">G834&amp;"HSOWND"</f>
        <v>bHSOWND</v>
      </c>
      <c r="J834" s="2" t="s">
        <v>2668</v>
      </c>
      <c r="K834" s="7" t="s">
        <v>2669</v>
      </c>
      <c r="L834"/>
      <c r="M834" s="2" t="s">
        <v>2670</v>
      </c>
      <c r="P834" s="2" t="s">
        <v>1127</v>
      </c>
      <c r="Q834" s="31" t="s">
        <v>3462</v>
      </c>
    </row>
    <row r="835" spans="1:17" x14ac:dyDescent="0.2">
      <c r="A835" s="17" t="s">
        <v>399</v>
      </c>
      <c r="B835" s="17" t="str">
        <f t="shared" si="41"/>
        <v>cINDRESP</v>
      </c>
      <c r="C835" s="17" t="s">
        <v>4182</v>
      </c>
      <c r="D835" t="s">
        <v>1633</v>
      </c>
      <c r="E835" t="s">
        <v>1633</v>
      </c>
      <c r="F835" s="25">
        <v>3</v>
      </c>
      <c r="G835" s="25" t="s">
        <v>80</v>
      </c>
      <c r="H835" s="25">
        <v>1993</v>
      </c>
      <c r="I835" t="str">
        <f t="shared" si="42"/>
        <v>cHSOWND</v>
      </c>
      <c r="J835" s="2" t="s">
        <v>2668</v>
      </c>
      <c r="K835" s="7" t="s">
        <v>2669</v>
      </c>
      <c r="L835"/>
      <c r="M835" s="2" t="s">
        <v>2670</v>
      </c>
      <c r="P835" s="2" t="s">
        <v>1127</v>
      </c>
      <c r="Q835" s="31" t="s">
        <v>3462</v>
      </c>
    </row>
    <row r="836" spans="1:17" x14ac:dyDescent="0.2">
      <c r="A836" s="17" t="s">
        <v>399</v>
      </c>
      <c r="B836" s="17" t="str">
        <f t="shared" si="41"/>
        <v>dINDRESP</v>
      </c>
      <c r="C836" s="17" t="s">
        <v>4182</v>
      </c>
      <c r="D836" t="s">
        <v>1633</v>
      </c>
      <c r="E836" t="s">
        <v>1633</v>
      </c>
      <c r="F836" s="25">
        <v>4</v>
      </c>
      <c r="G836" s="25" t="s">
        <v>31</v>
      </c>
      <c r="H836" s="25">
        <v>1994</v>
      </c>
      <c r="I836" t="str">
        <f t="shared" si="42"/>
        <v>dHSOWND</v>
      </c>
      <c r="J836" s="2" t="s">
        <v>2668</v>
      </c>
      <c r="K836" s="7" t="s">
        <v>2669</v>
      </c>
      <c r="L836"/>
      <c r="M836" s="2" t="s">
        <v>2670</v>
      </c>
      <c r="P836" s="2" t="s">
        <v>1127</v>
      </c>
      <c r="Q836" s="31" t="s">
        <v>3462</v>
      </c>
    </row>
    <row r="837" spans="1:17" x14ac:dyDescent="0.2">
      <c r="A837" s="17" t="s">
        <v>399</v>
      </c>
      <c r="B837" s="17" t="str">
        <f t="shared" si="41"/>
        <v>eINDRESP</v>
      </c>
      <c r="C837" s="17" t="s">
        <v>4182</v>
      </c>
      <c r="D837" t="s">
        <v>1633</v>
      </c>
      <c r="E837" t="s">
        <v>1633</v>
      </c>
      <c r="F837" s="25">
        <v>5</v>
      </c>
      <c r="G837" s="25" t="s">
        <v>13</v>
      </c>
      <c r="H837" s="25">
        <v>1995</v>
      </c>
      <c r="I837" t="str">
        <f t="shared" si="42"/>
        <v>eHSOWND</v>
      </c>
      <c r="J837" s="2" t="s">
        <v>2668</v>
      </c>
      <c r="K837" s="7" t="s">
        <v>2669</v>
      </c>
      <c r="L837"/>
      <c r="M837" s="2" t="s">
        <v>2670</v>
      </c>
      <c r="P837" s="2" t="s">
        <v>1127</v>
      </c>
      <c r="Q837" s="31" t="s">
        <v>3462</v>
      </c>
    </row>
    <row r="838" spans="1:17" x14ac:dyDescent="0.2">
      <c r="A838" s="17" t="s">
        <v>399</v>
      </c>
      <c r="B838" s="17" t="str">
        <f t="shared" si="41"/>
        <v>fINDRESP</v>
      </c>
      <c r="C838" s="17" t="s">
        <v>4182</v>
      </c>
      <c r="D838" t="s">
        <v>1633</v>
      </c>
      <c r="E838" t="s">
        <v>1633</v>
      </c>
      <c r="F838" s="25">
        <v>6</v>
      </c>
      <c r="G838" s="25" t="s">
        <v>49</v>
      </c>
      <c r="H838" s="25">
        <v>1996</v>
      </c>
      <c r="I838" t="str">
        <f t="shared" si="42"/>
        <v>fHSOWND</v>
      </c>
      <c r="J838" s="2" t="s">
        <v>2668</v>
      </c>
      <c r="K838" s="7" t="s">
        <v>2669</v>
      </c>
      <c r="L838"/>
      <c r="M838" s="2" t="s">
        <v>2670</v>
      </c>
      <c r="P838" s="2" t="s">
        <v>1127</v>
      </c>
      <c r="Q838" s="31" t="s">
        <v>3462</v>
      </c>
    </row>
    <row r="839" spans="1:17" x14ac:dyDescent="0.2">
      <c r="A839" s="17" t="s">
        <v>399</v>
      </c>
      <c r="B839" s="17" t="str">
        <f t="shared" si="41"/>
        <v>gINDRESP</v>
      </c>
      <c r="C839" s="17" t="s">
        <v>4182</v>
      </c>
      <c r="D839" t="s">
        <v>1633</v>
      </c>
      <c r="E839" t="s">
        <v>1633</v>
      </c>
      <c r="F839" s="25">
        <v>7</v>
      </c>
      <c r="G839" s="25" t="s">
        <v>101</v>
      </c>
      <c r="H839" s="25">
        <v>1997</v>
      </c>
      <c r="I839" t="str">
        <f t="shared" si="42"/>
        <v>gHSOWND</v>
      </c>
      <c r="J839" s="2" t="s">
        <v>2668</v>
      </c>
      <c r="K839" s="7" t="s">
        <v>2669</v>
      </c>
      <c r="L839"/>
      <c r="M839" s="2" t="s">
        <v>2670</v>
      </c>
      <c r="P839" s="2" t="s">
        <v>1127</v>
      </c>
      <c r="Q839" s="31" t="s">
        <v>3462</v>
      </c>
    </row>
    <row r="840" spans="1:17" x14ac:dyDescent="0.2">
      <c r="A840" s="17" t="s">
        <v>399</v>
      </c>
      <c r="B840" s="17" t="str">
        <f t="shared" si="41"/>
        <v>hINDRESP</v>
      </c>
      <c r="C840" s="17" t="s">
        <v>4182</v>
      </c>
      <c r="D840" t="s">
        <v>1633</v>
      </c>
      <c r="E840" t="s">
        <v>1633</v>
      </c>
      <c r="F840" s="25">
        <v>8</v>
      </c>
      <c r="G840" s="25" t="s">
        <v>10</v>
      </c>
      <c r="H840" s="25">
        <v>1998</v>
      </c>
      <c r="I840" t="str">
        <f t="shared" si="42"/>
        <v>hHSOWND</v>
      </c>
      <c r="J840" s="2" t="s">
        <v>2668</v>
      </c>
      <c r="K840" s="7" t="s">
        <v>2669</v>
      </c>
      <c r="L840"/>
      <c r="M840" s="2" t="s">
        <v>2670</v>
      </c>
      <c r="P840" s="2" t="s">
        <v>1127</v>
      </c>
      <c r="Q840" s="31" t="s">
        <v>3462</v>
      </c>
    </row>
    <row r="841" spans="1:17" x14ac:dyDescent="0.2">
      <c r="A841" s="17" t="s">
        <v>399</v>
      </c>
      <c r="B841" s="17" t="str">
        <f t="shared" si="41"/>
        <v>jINDRESP</v>
      </c>
      <c r="C841" s="17" t="s">
        <v>4182</v>
      </c>
      <c r="D841" t="s">
        <v>1633</v>
      </c>
      <c r="E841" t="s">
        <v>1633</v>
      </c>
      <c r="F841" s="25">
        <v>10</v>
      </c>
      <c r="G841" s="25" t="s">
        <v>98</v>
      </c>
      <c r="H841" s="25">
        <v>2000</v>
      </c>
      <c r="I841" t="str">
        <f t="shared" si="42"/>
        <v>jHSOWND</v>
      </c>
      <c r="J841" s="2" t="s">
        <v>2668</v>
      </c>
      <c r="K841" s="7" t="s">
        <v>2669</v>
      </c>
      <c r="L841"/>
      <c r="M841" s="2" t="s">
        <v>2670</v>
      </c>
      <c r="P841" s="2" t="s">
        <v>1127</v>
      </c>
      <c r="Q841" s="31" t="s">
        <v>3462</v>
      </c>
    </row>
    <row r="842" spans="1:17" x14ac:dyDescent="0.2">
      <c r="A842" s="17" t="s">
        <v>399</v>
      </c>
      <c r="B842" s="17" t="str">
        <f t="shared" si="41"/>
        <v>kINDRESP</v>
      </c>
      <c r="C842" s="17" t="s">
        <v>4182</v>
      </c>
      <c r="D842" t="s">
        <v>1633</v>
      </c>
      <c r="E842" t="s">
        <v>1633</v>
      </c>
      <c r="F842" s="25">
        <v>11</v>
      </c>
      <c r="G842" s="25" t="s">
        <v>104</v>
      </c>
      <c r="H842" s="25">
        <v>2001</v>
      </c>
      <c r="I842" t="str">
        <f t="shared" si="42"/>
        <v>kHSOWND</v>
      </c>
      <c r="J842" s="2" t="s">
        <v>2668</v>
      </c>
      <c r="K842" s="7" t="s">
        <v>2669</v>
      </c>
      <c r="L842"/>
      <c r="M842" s="2" t="s">
        <v>2670</v>
      </c>
      <c r="P842" s="2" t="s">
        <v>1127</v>
      </c>
      <c r="Q842" s="31" t="s">
        <v>3462</v>
      </c>
    </row>
    <row r="843" spans="1:17" x14ac:dyDescent="0.2">
      <c r="A843" s="17" t="s">
        <v>399</v>
      </c>
      <c r="B843" s="17" t="str">
        <f t="shared" si="41"/>
        <v>lINDRESP</v>
      </c>
      <c r="C843" s="17" t="s">
        <v>4182</v>
      </c>
      <c r="D843" t="s">
        <v>1633</v>
      </c>
      <c r="E843" t="s">
        <v>1633</v>
      </c>
      <c r="F843" s="25">
        <v>12</v>
      </c>
      <c r="G843" s="25" t="s">
        <v>89</v>
      </c>
      <c r="H843" s="25">
        <v>2002</v>
      </c>
      <c r="I843" t="str">
        <f t="shared" si="42"/>
        <v>lHSOWND</v>
      </c>
      <c r="J843" s="2" t="s">
        <v>2668</v>
      </c>
      <c r="K843" s="7" t="s">
        <v>2669</v>
      </c>
      <c r="L843"/>
      <c r="M843" s="2" t="s">
        <v>2670</v>
      </c>
      <c r="P843" s="2" t="s">
        <v>1127</v>
      </c>
      <c r="Q843" s="31" t="s">
        <v>3462</v>
      </c>
    </row>
    <row r="844" spans="1:17" x14ac:dyDescent="0.2">
      <c r="A844" s="17" t="s">
        <v>399</v>
      </c>
      <c r="B844" s="17" t="str">
        <f t="shared" si="41"/>
        <v>mINDRESP</v>
      </c>
      <c r="C844" s="17" t="s">
        <v>4182</v>
      </c>
      <c r="D844" t="s">
        <v>1633</v>
      </c>
      <c r="E844" t="s">
        <v>1633</v>
      </c>
      <c r="F844" s="25">
        <v>13</v>
      </c>
      <c r="G844" s="25" t="s">
        <v>107</v>
      </c>
      <c r="H844" s="25">
        <v>2003</v>
      </c>
      <c r="I844" t="str">
        <f t="shared" si="42"/>
        <v>mHSOWND</v>
      </c>
      <c r="J844" s="2" t="s">
        <v>2668</v>
      </c>
      <c r="K844" s="7" t="s">
        <v>2669</v>
      </c>
      <c r="L844"/>
      <c r="M844" s="2" t="s">
        <v>2670</v>
      </c>
      <c r="P844" s="2" t="s">
        <v>1127</v>
      </c>
      <c r="Q844" s="31" t="s">
        <v>3462</v>
      </c>
    </row>
    <row r="845" spans="1:17" x14ac:dyDescent="0.2">
      <c r="A845" s="17" t="s">
        <v>399</v>
      </c>
      <c r="B845" s="17" t="str">
        <f t="shared" si="41"/>
        <v>nINDRESP</v>
      </c>
      <c r="C845" s="17" t="s">
        <v>4182</v>
      </c>
      <c r="D845" t="s">
        <v>1633</v>
      </c>
      <c r="E845" t="s">
        <v>1633</v>
      </c>
      <c r="F845" s="25">
        <v>14</v>
      </c>
      <c r="G845" s="25" t="s">
        <v>43</v>
      </c>
      <c r="H845" s="25">
        <v>2004</v>
      </c>
      <c r="I845" t="str">
        <f t="shared" si="42"/>
        <v>nHSOWND</v>
      </c>
      <c r="J845" s="2" t="s">
        <v>2668</v>
      </c>
      <c r="K845" s="7" t="s">
        <v>2669</v>
      </c>
      <c r="L845"/>
      <c r="M845" s="2" t="s">
        <v>2670</v>
      </c>
      <c r="P845" s="2" t="s">
        <v>1127</v>
      </c>
      <c r="Q845" s="31" t="s">
        <v>3462</v>
      </c>
    </row>
    <row r="846" spans="1:17" x14ac:dyDescent="0.2">
      <c r="A846" s="17" t="s">
        <v>399</v>
      </c>
      <c r="B846" s="17" t="str">
        <f t="shared" si="41"/>
        <v>oINDRESP</v>
      </c>
      <c r="C846" s="17" t="s">
        <v>4182</v>
      </c>
      <c r="D846" t="s">
        <v>1633</v>
      </c>
      <c r="E846" t="s">
        <v>1633</v>
      </c>
      <c r="F846" s="25">
        <v>15</v>
      </c>
      <c r="G846" s="25" t="s">
        <v>19</v>
      </c>
      <c r="H846" s="25">
        <v>2005</v>
      </c>
      <c r="I846" t="str">
        <f t="shared" si="42"/>
        <v>oHSOWND</v>
      </c>
      <c r="J846" s="2" t="s">
        <v>2668</v>
      </c>
      <c r="K846" s="7" t="s">
        <v>2669</v>
      </c>
      <c r="L846"/>
      <c r="M846" s="2" t="s">
        <v>2670</v>
      </c>
      <c r="P846" s="2" t="s">
        <v>1127</v>
      </c>
      <c r="Q846" s="31" t="s">
        <v>3462</v>
      </c>
    </row>
    <row r="847" spans="1:17" x14ac:dyDescent="0.2">
      <c r="A847" s="17" t="s">
        <v>399</v>
      </c>
      <c r="B847" s="17" t="str">
        <f t="shared" si="41"/>
        <v>pINDRESP</v>
      </c>
      <c r="C847" s="17" t="s">
        <v>4182</v>
      </c>
      <c r="D847" t="s">
        <v>1633</v>
      </c>
      <c r="E847" t="s">
        <v>1633</v>
      </c>
      <c r="F847" s="25">
        <v>16</v>
      </c>
      <c r="G847" s="25" t="s">
        <v>25</v>
      </c>
      <c r="H847" s="25">
        <v>2006</v>
      </c>
      <c r="I847" t="str">
        <f t="shared" si="42"/>
        <v>pHSOWND</v>
      </c>
      <c r="J847" s="2" t="s">
        <v>2668</v>
      </c>
      <c r="K847" s="7" t="s">
        <v>2669</v>
      </c>
      <c r="L847"/>
      <c r="M847" s="2" t="s">
        <v>2670</v>
      </c>
      <c r="P847" s="2" t="s">
        <v>1127</v>
      </c>
      <c r="Q847" s="31" t="s">
        <v>3462</v>
      </c>
    </row>
    <row r="848" spans="1:17" x14ac:dyDescent="0.2">
      <c r="A848" s="17" t="s">
        <v>399</v>
      </c>
      <c r="B848" s="17" t="str">
        <f t="shared" si="41"/>
        <v>qINDRESP</v>
      </c>
      <c r="C848" s="17" t="s">
        <v>4182</v>
      </c>
      <c r="D848" t="s">
        <v>1633</v>
      </c>
      <c r="E848" t="s">
        <v>1633</v>
      </c>
      <c r="F848" s="25">
        <v>17</v>
      </c>
      <c r="G848" s="25" t="s">
        <v>73</v>
      </c>
      <c r="H848" s="25">
        <v>2007</v>
      </c>
      <c r="I848" t="str">
        <f t="shared" si="42"/>
        <v>qHSOWND</v>
      </c>
      <c r="J848" s="2" t="s">
        <v>2668</v>
      </c>
      <c r="K848" s="7" t="s">
        <v>2669</v>
      </c>
      <c r="L848"/>
      <c r="M848" s="2" t="s">
        <v>2670</v>
      </c>
      <c r="P848" s="2" t="s">
        <v>1127</v>
      </c>
      <c r="Q848" s="31" t="s">
        <v>3462</v>
      </c>
    </row>
    <row r="849" spans="1:17" x14ac:dyDescent="0.2">
      <c r="A849" s="17" t="s">
        <v>399</v>
      </c>
      <c r="B849" s="17" t="str">
        <f t="shared" si="41"/>
        <v>rINDRESP</v>
      </c>
      <c r="C849" s="17" t="s">
        <v>4182</v>
      </c>
      <c r="D849" t="s">
        <v>1633</v>
      </c>
      <c r="E849" t="s">
        <v>1633</v>
      </c>
      <c r="F849" s="25">
        <v>18</v>
      </c>
      <c r="G849" s="25" t="s">
        <v>58</v>
      </c>
      <c r="H849" s="25">
        <v>2008</v>
      </c>
      <c r="I849" t="str">
        <f t="shared" si="42"/>
        <v>rHSOWND</v>
      </c>
      <c r="J849" s="2" t="s">
        <v>2668</v>
      </c>
      <c r="K849" s="7" t="s">
        <v>2669</v>
      </c>
      <c r="L849"/>
      <c r="M849" s="2" t="s">
        <v>2670</v>
      </c>
      <c r="P849" s="2" t="s">
        <v>1127</v>
      </c>
      <c r="Q849" s="31" t="s">
        <v>3462</v>
      </c>
    </row>
    <row r="850" spans="1:17" x14ac:dyDescent="0.2">
      <c r="A850" s="28" t="s">
        <v>399</v>
      </c>
      <c r="B850" s="28" t="str">
        <f t="shared" ref="B850:B866" si="43">_xlfn.CONCAT(G850,"INDRESP")</f>
        <v>bINDRESP</v>
      </c>
      <c r="C850" s="27" t="s">
        <v>4182</v>
      </c>
      <c r="D850" s="28" t="s">
        <v>1632</v>
      </c>
      <c r="E850" s="28" t="s">
        <v>2671</v>
      </c>
      <c r="F850" s="2">
        <v>2</v>
      </c>
      <c r="G850" s="2" t="s">
        <v>37</v>
      </c>
      <c r="H850" s="2">
        <v>1992</v>
      </c>
      <c r="I850" t="str">
        <f t="shared" ref="I850:I866" si="44">G850&amp;"movest"</f>
        <v>bmovest</v>
      </c>
      <c r="J850" s="2" t="s">
        <v>2672</v>
      </c>
      <c r="K850" s="49" t="s">
        <v>2673</v>
      </c>
      <c r="L850"/>
      <c r="M850" s="30" t="s">
        <v>2674</v>
      </c>
      <c r="P850" s="2" t="s">
        <v>1127</v>
      </c>
      <c r="Q850" s="2" t="s">
        <v>1127</v>
      </c>
    </row>
    <row r="851" spans="1:17" x14ac:dyDescent="0.2">
      <c r="A851" s="28" t="s">
        <v>399</v>
      </c>
      <c r="B851" s="28" t="str">
        <f t="shared" si="43"/>
        <v>cINDRESP</v>
      </c>
      <c r="C851" s="27" t="s">
        <v>4182</v>
      </c>
      <c r="D851" s="28" t="s">
        <v>1632</v>
      </c>
      <c r="E851" s="28" t="s">
        <v>2671</v>
      </c>
      <c r="F851" s="2">
        <v>3</v>
      </c>
      <c r="G851" s="2" t="s">
        <v>80</v>
      </c>
      <c r="H851" s="2">
        <v>1993</v>
      </c>
      <c r="I851" t="str">
        <f t="shared" si="44"/>
        <v>cmovest</v>
      </c>
      <c r="J851" s="2" t="s">
        <v>2672</v>
      </c>
      <c r="K851" s="49" t="s">
        <v>2673</v>
      </c>
      <c r="L851"/>
      <c r="M851" s="30" t="s">
        <v>2674</v>
      </c>
      <c r="P851" s="2" t="s">
        <v>1127</v>
      </c>
      <c r="Q851" s="2" t="s">
        <v>1127</v>
      </c>
    </row>
    <row r="852" spans="1:17" x14ac:dyDescent="0.2">
      <c r="A852" s="28" t="s">
        <v>399</v>
      </c>
      <c r="B852" s="28" t="str">
        <f t="shared" si="43"/>
        <v>dINDRESP</v>
      </c>
      <c r="C852" s="27" t="s">
        <v>4182</v>
      </c>
      <c r="D852" s="28" t="s">
        <v>1632</v>
      </c>
      <c r="E852" s="28" t="s">
        <v>2671</v>
      </c>
      <c r="F852" s="2">
        <v>4</v>
      </c>
      <c r="G852" s="2" t="s">
        <v>31</v>
      </c>
      <c r="H852" s="2">
        <v>1994</v>
      </c>
      <c r="I852" t="str">
        <f t="shared" si="44"/>
        <v>dmovest</v>
      </c>
      <c r="J852" s="2" t="s">
        <v>2672</v>
      </c>
      <c r="K852" s="49" t="s">
        <v>2673</v>
      </c>
      <c r="L852"/>
      <c r="M852" s="30" t="s">
        <v>2674</v>
      </c>
      <c r="P852" s="2" t="s">
        <v>1127</v>
      </c>
      <c r="Q852" s="2" t="s">
        <v>1127</v>
      </c>
    </row>
    <row r="853" spans="1:17" x14ac:dyDescent="0.2">
      <c r="A853" s="28" t="s">
        <v>399</v>
      </c>
      <c r="B853" s="28" t="str">
        <f t="shared" si="43"/>
        <v>eINDRESP</v>
      </c>
      <c r="C853" s="27" t="s">
        <v>4182</v>
      </c>
      <c r="D853" s="28" t="s">
        <v>1632</v>
      </c>
      <c r="E853" s="28" t="s">
        <v>2671</v>
      </c>
      <c r="F853" s="2">
        <v>5</v>
      </c>
      <c r="G853" s="2" t="s">
        <v>13</v>
      </c>
      <c r="H853" s="2">
        <v>1995</v>
      </c>
      <c r="I853" t="str">
        <f t="shared" si="44"/>
        <v>emovest</v>
      </c>
      <c r="J853" s="2" t="s">
        <v>2672</v>
      </c>
      <c r="K853" s="49" t="s">
        <v>2673</v>
      </c>
      <c r="L853"/>
      <c r="M853" s="30" t="s">
        <v>2674</v>
      </c>
      <c r="P853" s="2" t="s">
        <v>1127</v>
      </c>
      <c r="Q853" s="2" t="s">
        <v>1127</v>
      </c>
    </row>
    <row r="854" spans="1:17" x14ac:dyDescent="0.2">
      <c r="A854" s="28" t="s">
        <v>399</v>
      </c>
      <c r="B854" s="28" t="str">
        <f t="shared" si="43"/>
        <v>fINDRESP</v>
      </c>
      <c r="C854" s="27" t="s">
        <v>4182</v>
      </c>
      <c r="D854" s="28" t="s">
        <v>1632</v>
      </c>
      <c r="E854" s="28" t="s">
        <v>2671</v>
      </c>
      <c r="F854" s="2">
        <v>6</v>
      </c>
      <c r="G854" s="2" t="s">
        <v>49</v>
      </c>
      <c r="H854" s="2">
        <v>1996</v>
      </c>
      <c r="I854" t="str">
        <f t="shared" si="44"/>
        <v>fmovest</v>
      </c>
      <c r="J854" s="2" t="s">
        <v>2672</v>
      </c>
      <c r="K854" s="49" t="s">
        <v>2673</v>
      </c>
      <c r="L854"/>
      <c r="M854" s="30" t="s">
        <v>2674</v>
      </c>
      <c r="P854" s="2" t="s">
        <v>1127</v>
      </c>
      <c r="Q854" s="2" t="s">
        <v>1127</v>
      </c>
    </row>
    <row r="855" spans="1:17" x14ac:dyDescent="0.2">
      <c r="A855" s="28" t="s">
        <v>399</v>
      </c>
      <c r="B855" s="28" t="str">
        <f t="shared" si="43"/>
        <v>gINDRESP</v>
      </c>
      <c r="C855" s="27" t="s">
        <v>4182</v>
      </c>
      <c r="D855" s="28" t="s">
        <v>1632</v>
      </c>
      <c r="E855" s="28" t="s">
        <v>2671</v>
      </c>
      <c r="F855" s="2">
        <v>7</v>
      </c>
      <c r="G855" s="2" t="s">
        <v>101</v>
      </c>
      <c r="H855" s="2">
        <v>1997</v>
      </c>
      <c r="I855" t="str">
        <f t="shared" si="44"/>
        <v>gmovest</v>
      </c>
      <c r="J855" s="2" t="s">
        <v>2672</v>
      </c>
      <c r="K855" s="49" t="s">
        <v>2673</v>
      </c>
      <c r="L855"/>
      <c r="M855" s="30" t="s">
        <v>2674</v>
      </c>
      <c r="P855" s="2" t="s">
        <v>1127</v>
      </c>
      <c r="Q855" s="2" t="s">
        <v>1127</v>
      </c>
    </row>
    <row r="856" spans="1:17" x14ac:dyDescent="0.2">
      <c r="A856" s="28" t="s">
        <v>399</v>
      </c>
      <c r="B856" s="28" t="str">
        <f t="shared" si="43"/>
        <v>hINDRESP</v>
      </c>
      <c r="C856" s="27" t="s">
        <v>4182</v>
      </c>
      <c r="D856" s="28" t="s">
        <v>1632</v>
      </c>
      <c r="E856" s="28" t="s">
        <v>2671</v>
      </c>
      <c r="F856" s="2">
        <v>8</v>
      </c>
      <c r="G856" s="2" t="s">
        <v>10</v>
      </c>
      <c r="H856" s="2">
        <v>1998</v>
      </c>
      <c r="I856" t="str">
        <f t="shared" si="44"/>
        <v>hmovest</v>
      </c>
      <c r="J856" s="2" t="s">
        <v>2672</v>
      </c>
      <c r="K856" s="49" t="s">
        <v>2673</v>
      </c>
      <c r="L856"/>
      <c r="M856" s="30" t="s">
        <v>2674</v>
      </c>
      <c r="P856" s="2" t="s">
        <v>1127</v>
      </c>
      <c r="Q856" s="2" t="s">
        <v>1127</v>
      </c>
    </row>
    <row r="857" spans="1:17" x14ac:dyDescent="0.2">
      <c r="A857" s="28" t="s">
        <v>399</v>
      </c>
      <c r="B857" s="28" t="str">
        <f t="shared" si="43"/>
        <v>iINDRESP</v>
      </c>
      <c r="C857" s="27" t="s">
        <v>4182</v>
      </c>
      <c r="D857" s="28" t="s">
        <v>1632</v>
      </c>
      <c r="E857" s="28" t="s">
        <v>2671</v>
      </c>
      <c r="F857" s="2">
        <v>9</v>
      </c>
      <c r="G857" s="2" t="s">
        <v>55</v>
      </c>
      <c r="H857" s="2">
        <v>1999</v>
      </c>
      <c r="I857" t="str">
        <f t="shared" si="44"/>
        <v>imovest</v>
      </c>
      <c r="J857" s="2" t="s">
        <v>2672</v>
      </c>
      <c r="K857" s="49" t="s">
        <v>2673</v>
      </c>
      <c r="L857"/>
      <c r="M857" s="30" t="s">
        <v>2674</v>
      </c>
      <c r="P857" s="2" t="s">
        <v>1127</v>
      </c>
      <c r="Q857" s="2" t="s">
        <v>1127</v>
      </c>
    </row>
    <row r="858" spans="1:17" x14ac:dyDescent="0.2">
      <c r="A858" s="28" t="s">
        <v>399</v>
      </c>
      <c r="B858" s="28" t="str">
        <f t="shared" si="43"/>
        <v>jINDRESP</v>
      </c>
      <c r="C858" s="27" t="s">
        <v>4182</v>
      </c>
      <c r="D858" s="28" t="s">
        <v>1632</v>
      </c>
      <c r="E858" s="28" t="s">
        <v>2671</v>
      </c>
      <c r="F858" s="2">
        <v>10</v>
      </c>
      <c r="G858" s="2" t="s">
        <v>98</v>
      </c>
      <c r="H858" s="2">
        <v>2000</v>
      </c>
      <c r="I858" t="str">
        <f t="shared" si="44"/>
        <v>jmovest</v>
      </c>
      <c r="J858" s="2" t="s">
        <v>2672</v>
      </c>
      <c r="K858" s="49" t="s">
        <v>2673</v>
      </c>
      <c r="L858"/>
      <c r="M858" s="30" t="s">
        <v>2674</v>
      </c>
      <c r="P858" s="2" t="s">
        <v>1127</v>
      </c>
      <c r="Q858" s="2" t="s">
        <v>1127</v>
      </c>
    </row>
    <row r="859" spans="1:17" x14ac:dyDescent="0.2">
      <c r="A859" s="28" t="s">
        <v>399</v>
      </c>
      <c r="B859" s="28" t="str">
        <f t="shared" si="43"/>
        <v>kINDRESP</v>
      </c>
      <c r="C859" s="27" t="s">
        <v>4182</v>
      </c>
      <c r="D859" s="28" t="s">
        <v>1632</v>
      </c>
      <c r="E859" s="28" t="s">
        <v>2671</v>
      </c>
      <c r="F859" s="2">
        <v>11</v>
      </c>
      <c r="G859" s="2" t="s">
        <v>104</v>
      </c>
      <c r="H859" s="2">
        <v>2001</v>
      </c>
      <c r="I859" t="str">
        <f t="shared" si="44"/>
        <v>kmovest</v>
      </c>
      <c r="J859" s="2" t="s">
        <v>2672</v>
      </c>
      <c r="K859" s="49" t="s">
        <v>2673</v>
      </c>
      <c r="L859"/>
      <c r="M859" s="30" t="s">
        <v>2674</v>
      </c>
      <c r="P859" s="2" t="s">
        <v>1127</v>
      </c>
      <c r="Q859" s="2" t="s">
        <v>1127</v>
      </c>
    </row>
    <row r="860" spans="1:17" x14ac:dyDescent="0.2">
      <c r="A860" s="28" t="s">
        <v>399</v>
      </c>
      <c r="B860" s="28" t="str">
        <f t="shared" si="43"/>
        <v>lINDRESP</v>
      </c>
      <c r="C860" s="27" t="s">
        <v>4182</v>
      </c>
      <c r="D860" s="28" t="s">
        <v>1632</v>
      </c>
      <c r="E860" s="28" t="s">
        <v>2671</v>
      </c>
      <c r="F860" s="2">
        <v>12</v>
      </c>
      <c r="G860" s="2" t="s">
        <v>89</v>
      </c>
      <c r="H860" s="2">
        <v>2002</v>
      </c>
      <c r="I860" t="str">
        <f t="shared" si="44"/>
        <v>lmovest</v>
      </c>
      <c r="J860" s="2" t="s">
        <v>2672</v>
      </c>
      <c r="K860" s="49" t="s">
        <v>2673</v>
      </c>
      <c r="L860"/>
      <c r="M860" s="30" t="s">
        <v>2674</v>
      </c>
      <c r="P860" s="2" t="s">
        <v>1127</v>
      </c>
      <c r="Q860" s="2" t="s">
        <v>1127</v>
      </c>
    </row>
    <row r="861" spans="1:17" x14ac:dyDescent="0.2">
      <c r="A861" s="28" t="s">
        <v>399</v>
      </c>
      <c r="B861" s="28" t="str">
        <f t="shared" si="43"/>
        <v>mINDRESP</v>
      </c>
      <c r="C861" s="27" t="s">
        <v>4182</v>
      </c>
      <c r="D861" s="28" t="s">
        <v>1632</v>
      </c>
      <c r="E861" s="28" t="s">
        <v>2671</v>
      </c>
      <c r="F861" s="2">
        <v>13</v>
      </c>
      <c r="G861" s="2" t="s">
        <v>107</v>
      </c>
      <c r="H861" s="2">
        <v>2003</v>
      </c>
      <c r="I861" t="str">
        <f t="shared" si="44"/>
        <v>mmovest</v>
      </c>
      <c r="J861" s="2" t="s">
        <v>2672</v>
      </c>
      <c r="K861" s="49" t="s">
        <v>2673</v>
      </c>
      <c r="L861"/>
      <c r="M861" s="30" t="s">
        <v>2674</v>
      </c>
      <c r="P861" s="2" t="s">
        <v>1127</v>
      </c>
      <c r="Q861" s="2" t="s">
        <v>1127</v>
      </c>
    </row>
    <row r="862" spans="1:17" x14ac:dyDescent="0.2">
      <c r="A862" s="28" t="s">
        <v>399</v>
      </c>
      <c r="B862" s="28" t="str">
        <f t="shared" si="43"/>
        <v>nINDRESP</v>
      </c>
      <c r="C862" s="27" t="s">
        <v>4182</v>
      </c>
      <c r="D862" s="28" t="s">
        <v>1632</v>
      </c>
      <c r="E862" s="28" t="s">
        <v>2671</v>
      </c>
      <c r="F862" s="2">
        <v>14</v>
      </c>
      <c r="G862" s="2" t="s">
        <v>43</v>
      </c>
      <c r="H862" s="2">
        <v>2004</v>
      </c>
      <c r="I862" t="str">
        <f t="shared" si="44"/>
        <v>nmovest</v>
      </c>
      <c r="J862" s="2" t="s">
        <v>2672</v>
      </c>
      <c r="K862" s="49" t="s">
        <v>2673</v>
      </c>
      <c r="L862"/>
      <c r="M862" s="30" t="s">
        <v>2674</v>
      </c>
      <c r="P862" s="2" t="s">
        <v>1127</v>
      </c>
      <c r="Q862" s="2" t="s">
        <v>1127</v>
      </c>
    </row>
    <row r="863" spans="1:17" x14ac:dyDescent="0.2">
      <c r="A863" s="28" t="s">
        <v>399</v>
      </c>
      <c r="B863" s="28" t="str">
        <f t="shared" si="43"/>
        <v>oINDRESP</v>
      </c>
      <c r="C863" s="27" t="s">
        <v>4182</v>
      </c>
      <c r="D863" s="28" t="s">
        <v>1632</v>
      </c>
      <c r="E863" s="28" t="s">
        <v>2671</v>
      </c>
      <c r="F863" s="2">
        <v>15</v>
      </c>
      <c r="G863" s="2" t="s">
        <v>19</v>
      </c>
      <c r="H863" s="2">
        <v>2005</v>
      </c>
      <c r="I863" t="str">
        <f t="shared" si="44"/>
        <v>omovest</v>
      </c>
      <c r="J863" s="2" t="s">
        <v>2672</v>
      </c>
      <c r="K863" s="49" t="s">
        <v>2673</v>
      </c>
      <c r="L863"/>
      <c r="M863" s="30" t="s">
        <v>2674</v>
      </c>
      <c r="P863" s="2" t="s">
        <v>1127</v>
      </c>
      <c r="Q863" s="2" t="s">
        <v>1127</v>
      </c>
    </row>
    <row r="864" spans="1:17" x14ac:dyDescent="0.2">
      <c r="A864" s="28" t="s">
        <v>399</v>
      </c>
      <c r="B864" s="28" t="str">
        <f t="shared" si="43"/>
        <v>pINDRESP</v>
      </c>
      <c r="C864" s="27" t="s">
        <v>4182</v>
      </c>
      <c r="D864" s="28" t="s">
        <v>1632</v>
      </c>
      <c r="E864" s="28" t="s">
        <v>2671</v>
      </c>
      <c r="F864" s="2">
        <v>16</v>
      </c>
      <c r="G864" s="2" t="s">
        <v>25</v>
      </c>
      <c r="H864" s="2">
        <v>2006</v>
      </c>
      <c r="I864" t="str">
        <f t="shared" si="44"/>
        <v>pmovest</v>
      </c>
      <c r="J864" s="2" t="s">
        <v>2672</v>
      </c>
      <c r="K864" s="49" t="s">
        <v>2673</v>
      </c>
      <c r="L864"/>
      <c r="M864" s="30" t="s">
        <v>2674</v>
      </c>
      <c r="P864" s="2" t="s">
        <v>1127</v>
      </c>
      <c r="Q864" s="2" t="s">
        <v>1127</v>
      </c>
    </row>
    <row r="865" spans="1:17" x14ac:dyDescent="0.2">
      <c r="A865" s="28" t="s">
        <v>399</v>
      </c>
      <c r="B865" s="28" t="str">
        <f t="shared" si="43"/>
        <v>qINDRESP</v>
      </c>
      <c r="C865" s="27" t="s">
        <v>4182</v>
      </c>
      <c r="D865" s="28" t="s">
        <v>1632</v>
      </c>
      <c r="E865" s="28" t="s">
        <v>2671</v>
      </c>
      <c r="F865" s="2">
        <v>17</v>
      </c>
      <c r="G865" s="2" t="s">
        <v>73</v>
      </c>
      <c r="H865" s="2">
        <v>2007</v>
      </c>
      <c r="I865" t="str">
        <f t="shared" si="44"/>
        <v>qmovest</v>
      </c>
      <c r="J865" s="2" t="s">
        <v>2672</v>
      </c>
      <c r="K865" s="49" t="s">
        <v>2673</v>
      </c>
      <c r="L865"/>
      <c r="M865" s="30" t="s">
        <v>2674</v>
      </c>
      <c r="P865" s="2" t="s">
        <v>1127</v>
      </c>
      <c r="Q865" s="2" t="s">
        <v>1127</v>
      </c>
    </row>
    <row r="866" spans="1:17" x14ac:dyDescent="0.2">
      <c r="A866" s="28" t="s">
        <v>399</v>
      </c>
      <c r="B866" s="28" t="str">
        <f t="shared" si="43"/>
        <v>rINDRESP</v>
      </c>
      <c r="C866" s="27" t="s">
        <v>4182</v>
      </c>
      <c r="D866" s="28" t="s">
        <v>1632</v>
      </c>
      <c r="E866" s="28" t="s">
        <v>2671</v>
      </c>
      <c r="F866" s="2">
        <v>18</v>
      </c>
      <c r="G866" s="2" t="s">
        <v>58</v>
      </c>
      <c r="H866" s="2">
        <v>2008</v>
      </c>
      <c r="I866" t="str">
        <f t="shared" si="44"/>
        <v>rmovest</v>
      </c>
      <c r="J866" s="2" t="s">
        <v>2672</v>
      </c>
      <c r="K866" s="49" t="s">
        <v>2673</v>
      </c>
      <c r="L866"/>
      <c r="M866" s="30" t="s">
        <v>2674</v>
      </c>
      <c r="P866" s="2" t="s">
        <v>1127</v>
      </c>
      <c r="Q866" s="2" t="s">
        <v>1127</v>
      </c>
    </row>
    <row r="867" spans="1:17" ht="16.5" customHeight="1" x14ac:dyDescent="0.2">
      <c r="A867" s="28" t="s">
        <v>399</v>
      </c>
      <c r="B867" s="28" t="s">
        <v>2251</v>
      </c>
      <c r="C867" s="28" t="s">
        <v>4182</v>
      </c>
      <c r="D867" s="28" t="s">
        <v>1636</v>
      </c>
      <c r="E867" s="28" t="s">
        <v>1165</v>
      </c>
      <c r="F867" s="2">
        <v>11</v>
      </c>
      <c r="G867" s="2" t="s">
        <v>104</v>
      </c>
      <c r="H867" s="2">
        <v>2001</v>
      </c>
      <c r="I867" s="2" t="str">
        <f t="shared" ref="I867:I874" si="45">_xlfn.CONCAT(G867,"HLPRBN")</f>
        <v>kHLPRBN</v>
      </c>
      <c r="J867" s="2" t="s">
        <v>2309</v>
      </c>
      <c r="K867" s="8" t="s">
        <v>2273</v>
      </c>
      <c r="L867"/>
      <c r="M867" s="2" t="s">
        <v>2270</v>
      </c>
      <c r="P867" s="2" t="s">
        <v>1127</v>
      </c>
      <c r="Q867" s="2" t="s">
        <v>1127</v>
      </c>
    </row>
    <row r="868" spans="1:17" ht="16.5" customHeight="1" x14ac:dyDescent="0.2">
      <c r="A868" s="28" t="s">
        <v>399</v>
      </c>
      <c r="B868" s="28" t="s">
        <v>2253</v>
      </c>
      <c r="C868" s="28" t="s">
        <v>4182</v>
      </c>
      <c r="D868" s="28" t="s">
        <v>1636</v>
      </c>
      <c r="E868" s="28" t="s">
        <v>1165</v>
      </c>
      <c r="F868" s="2">
        <v>12</v>
      </c>
      <c r="G868" s="2" t="s">
        <v>89</v>
      </c>
      <c r="H868" s="2">
        <v>2002</v>
      </c>
      <c r="I868" s="2" t="str">
        <f t="shared" si="45"/>
        <v>lHLPRBN</v>
      </c>
      <c r="J868" s="2" t="s">
        <v>2309</v>
      </c>
      <c r="K868" s="8" t="s">
        <v>2273</v>
      </c>
      <c r="L868"/>
      <c r="M868" s="2" t="s">
        <v>2270</v>
      </c>
      <c r="P868" s="2" t="s">
        <v>1127</v>
      </c>
      <c r="Q868" s="2" t="s">
        <v>1127</v>
      </c>
    </row>
    <row r="869" spans="1:17" ht="16.5" customHeight="1" x14ac:dyDescent="0.2">
      <c r="A869" s="28" t="s">
        <v>399</v>
      </c>
      <c r="B869" s="28" t="s">
        <v>2255</v>
      </c>
      <c r="C869" s="28" t="s">
        <v>4182</v>
      </c>
      <c r="D869" s="28" t="s">
        <v>1636</v>
      </c>
      <c r="E869" s="28" t="s">
        <v>1165</v>
      </c>
      <c r="F869" s="2">
        <v>13</v>
      </c>
      <c r="G869" s="2" t="s">
        <v>107</v>
      </c>
      <c r="H869" s="2">
        <v>2003</v>
      </c>
      <c r="I869" s="2" t="str">
        <f t="shared" si="45"/>
        <v>mHLPRBN</v>
      </c>
      <c r="J869" s="2" t="s">
        <v>2309</v>
      </c>
      <c r="K869" s="8" t="s">
        <v>2273</v>
      </c>
      <c r="L869"/>
      <c r="M869" s="2" t="s">
        <v>2270</v>
      </c>
      <c r="P869" s="2" t="s">
        <v>1127</v>
      </c>
      <c r="Q869" s="2" t="s">
        <v>1127</v>
      </c>
    </row>
    <row r="870" spans="1:17" ht="16.5" customHeight="1" x14ac:dyDescent="0.2">
      <c r="A870" s="28" t="s">
        <v>399</v>
      </c>
      <c r="B870" s="28" t="s">
        <v>2257</v>
      </c>
      <c r="C870" s="28" t="s">
        <v>4182</v>
      </c>
      <c r="D870" s="28" t="s">
        <v>1636</v>
      </c>
      <c r="E870" s="28" t="s">
        <v>1165</v>
      </c>
      <c r="F870" s="2">
        <v>14</v>
      </c>
      <c r="G870" s="2" t="s">
        <v>43</v>
      </c>
      <c r="H870" s="2">
        <v>2004</v>
      </c>
      <c r="I870" s="2" t="str">
        <f t="shared" si="45"/>
        <v>nHLPRBN</v>
      </c>
      <c r="J870" s="2" t="s">
        <v>2309</v>
      </c>
      <c r="K870" s="8" t="s">
        <v>2273</v>
      </c>
      <c r="L870"/>
      <c r="M870" s="2" t="s">
        <v>2270</v>
      </c>
      <c r="P870" s="2" t="s">
        <v>1127</v>
      </c>
      <c r="Q870" s="2" t="s">
        <v>1127</v>
      </c>
    </row>
    <row r="871" spans="1:17" ht="16.5" customHeight="1" x14ac:dyDescent="0.2">
      <c r="A871" s="28" t="s">
        <v>399</v>
      </c>
      <c r="B871" s="28" t="s">
        <v>2259</v>
      </c>
      <c r="C871" s="28" t="s">
        <v>4182</v>
      </c>
      <c r="D871" s="28" t="s">
        <v>1636</v>
      </c>
      <c r="E871" s="28" t="s">
        <v>1165</v>
      </c>
      <c r="F871" s="2">
        <v>15</v>
      </c>
      <c r="G871" s="2" t="s">
        <v>19</v>
      </c>
      <c r="H871" s="2">
        <v>2005</v>
      </c>
      <c r="I871" s="2" t="str">
        <f t="shared" si="45"/>
        <v>oHLPRBN</v>
      </c>
      <c r="J871" s="2" t="s">
        <v>2309</v>
      </c>
      <c r="K871" s="8" t="s">
        <v>2273</v>
      </c>
      <c r="L871"/>
      <c r="M871" s="2" t="s">
        <v>2270</v>
      </c>
      <c r="P871" s="2" t="s">
        <v>1127</v>
      </c>
      <c r="Q871" s="2" t="s">
        <v>1127</v>
      </c>
    </row>
    <row r="872" spans="1:17" ht="16.5" customHeight="1" x14ac:dyDescent="0.2">
      <c r="A872" s="28" t="s">
        <v>399</v>
      </c>
      <c r="B872" s="28" t="s">
        <v>2261</v>
      </c>
      <c r="C872" s="28" t="s">
        <v>4182</v>
      </c>
      <c r="D872" s="28" t="s">
        <v>1636</v>
      </c>
      <c r="E872" s="28" t="s">
        <v>1165</v>
      </c>
      <c r="F872" s="2">
        <v>16</v>
      </c>
      <c r="G872" s="2" t="s">
        <v>25</v>
      </c>
      <c r="H872" s="2">
        <v>2006</v>
      </c>
      <c r="I872" s="2" t="str">
        <f t="shared" si="45"/>
        <v>pHLPRBN</v>
      </c>
      <c r="J872" s="2" t="s">
        <v>2309</v>
      </c>
      <c r="K872" s="8" t="s">
        <v>2273</v>
      </c>
      <c r="L872"/>
      <c r="M872" s="2" t="s">
        <v>2270</v>
      </c>
      <c r="P872" s="2" t="s">
        <v>1127</v>
      </c>
      <c r="Q872" s="2" t="s">
        <v>1127</v>
      </c>
    </row>
    <row r="873" spans="1:17" ht="16.5" customHeight="1" x14ac:dyDescent="0.2">
      <c r="A873" s="28" t="s">
        <v>399</v>
      </c>
      <c r="B873" s="28" t="s">
        <v>2263</v>
      </c>
      <c r="C873" s="28" t="s">
        <v>4182</v>
      </c>
      <c r="D873" s="28" t="s">
        <v>1636</v>
      </c>
      <c r="E873" s="28" t="s">
        <v>1165</v>
      </c>
      <c r="F873" s="2">
        <v>17</v>
      </c>
      <c r="G873" s="2" t="s">
        <v>73</v>
      </c>
      <c r="H873" s="2">
        <v>2007</v>
      </c>
      <c r="I873" s="2" t="str">
        <f t="shared" si="45"/>
        <v>qHLPRBN</v>
      </c>
      <c r="J873" s="2" t="s">
        <v>2309</v>
      </c>
      <c r="K873" s="8" t="s">
        <v>2273</v>
      </c>
      <c r="L873"/>
      <c r="M873" s="2" t="s">
        <v>2270</v>
      </c>
      <c r="P873" s="2" t="s">
        <v>1127</v>
      </c>
      <c r="Q873" s="2" t="s">
        <v>1127</v>
      </c>
    </row>
    <row r="874" spans="1:17" ht="16.5" customHeight="1" x14ac:dyDescent="0.2">
      <c r="A874" s="28" t="s">
        <v>399</v>
      </c>
      <c r="B874" s="28" t="s">
        <v>2265</v>
      </c>
      <c r="C874" s="28" t="s">
        <v>4182</v>
      </c>
      <c r="D874" s="28" t="s">
        <v>1636</v>
      </c>
      <c r="E874" s="28" t="s">
        <v>1165</v>
      </c>
      <c r="F874" s="2">
        <v>18</v>
      </c>
      <c r="G874" s="2" t="s">
        <v>58</v>
      </c>
      <c r="H874" s="2">
        <v>2008</v>
      </c>
      <c r="I874" s="2" t="str">
        <f t="shared" si="45"/>
        <v>rHLPRBN</v>
      </c>
      <c r="J874" s="2" t="s">
        <v>2309</v>
      </c>
      <c r="K874" s="8" t="s">
        <v>2273</v>
      </c>
      <c r="L874"/>
      <c r="M874" s="2" t="s">
        <v>2270</v>
      </c>
      <c r="P874" s="2" t="s">
        <v>1127</v>
      </c>
      <c r="Q874" s="2" t="s">
        <v>1127</v>
      </c>
    </row>
    <row r="875" spans="1:17" ht="16.5" customHeight="1" x14ac:dyDescent="0.2">
      <c r="A875" s="28" t="s">
        <v>399</v>
      </c>
      <c r="B875" s="28" t="s">
        <v>2227</v>
      </c>
      <c r="C875" s="28" t="s">
        <v>4182</v>
      </c>
      <c r="D875" s="28" t="s">
        <v>1636</v>
      </c>
      <c r="E875" s="28" t="s">
        <v>1232</v>
      </c>
      <c r="F875" s="2">
        <v>1</v>
      </c>
      <c r="G875" s="2" t="s">
        <v>40</v>
      </c>
      <c r="H875" s="2">
        <v>1991</v>
      </c>
      <c r="I875" s="2" t="str">
        <f t="shared" ref="I875:I892" si="46">_xlfn.CONCAT(G875,"HLPRBH")</f>
        <v>aHLPRBH</v>
      </c>
      <c r="J875" s="2" t="s">
        <v>2310</v>
      </c>
      <c r="K875" s="8" t="s">
        <v>2273</v>
      </c>
      <c r="L875"/>
      <c r="M875" s="2" t="s">
        <v>2270</v>
      </c>
      <c r="P875" s="2" t="s">
        <v>1127</v>
      </c>
      <c r="Q875" s="2" t="s">
        <v>1127</v>
      </c>
    </row>
    <row r="876" spans="1:17" ht="16.5" customHeight="1" x14ac:dyDescent="0.2">
      <c r="A876" s="28" t="s">
        <v>399</v>
      </c>
      <c r="B876" s="28" t="s">
        <v>2233</v>
      </c>
      <c r="C876" s="28" t="s">
        <v>4182</v>
      </c>
      <c r="D876" s="28" t="s">
        <v>1636</v>
      </c>
      <c r="E876" s="28" t="s">
        <v>1232</v>
      </c>
      <c r="F876" s="2">
        <v>2</v>
      </c>
      <c r="G876" s="2" t="s">
        <v>37</v>
      </c>
      <c r="H876" s="2">
        <v>1992</v>
      </c>
      <c r="I876" s="2" t="str">
        <f t="shared" si="46"/>
        <v>bHLPRBH</v>
      </c>
      <c r="J876" s="2" t="s">
        <v>2310</v>
      </c>
      <c r="K876" s="8" t="s">
        <v>2273</v>
      </c>
      <c r="L876"/>
      <c r="M876" s="2" t="s">
        <v>2270</v>
      </c>
      <c r="P876" s="2" t="s">
        <v>1127</v>
      </c>
      <c r="Q876" s="2" t="s">
        <v>1127</v>
      </c>
    </row>
    <row r="877" spans="1:17" ht="16.5" customHeight="1" x14ac:dyDescent="0.2">
      <c r="A877" s="28" t="s">
        <v>399</v>
      </c>
      <c r="B877" s="28" t="s">
        <v>2235</v>
      </c>
      <c r="C877" s="28" t="s">
        <v>4182</v>
      </c>
      <c r="D877" s="28" t="s">
        <v>1636</v>
      </c>
      <c r="E877" s="28" t="s">
        <v>1232</v>
      </c>
      <c r="F877" s="2">
        <v>3</v>
      </c>
      <c r="G877" s="2" t="s">
        <v>80</v>
      </c>
      <c r="H877" s="2">
        <v>1993</v>
      </c>
      <c r="I877" s="2" t="str">
        <f t="shared" si="46"/>
        <v>cHLPRBH</v>
      </c>
      <c r="J877" s="2" t="s">
        <v>2310</v>
      </c>
      <c r="K877" s="8" t="s">
        <v>2273</v>
      </c>
      <c r="L877"/>
      <c r="M877" s="2" t="s">
        <v>2270</v>
      </c>
      <c r="P877" s="2" t="s">
        <v>1127</v>
      </c>
      <c r="Q877" s="2" t="s">
        <v>1127</v>
      </c>
    </row>
    <row r="878" spans="1:17" ht="16.5" customHeight="1" x14ac:dyDescent="0.2">
      <c r="A878" s="28" t="s">
        <v>399</v>
      </c>
      <c r="B878" s="28" t="s">
        <v>2237</v>
      </c>
      <c r="C878" s="28" t="s">
        <v>4182</v>
      </c>
      <c r="D878" s="28" t="s">
        <v>1636</v>
      </c>
      <c r="E878" s="28" t="s">
        <v>1232</v>
      </c>
      <c r="F878" s="2">
        <v>4</v>
      </c>
      <c r="G878" s="2" t="s">
        <v>31</v>
      </c>
      <c r="H878" s="2">
        <v>1994</v>
      </c>
      <c r="I878" s="2" t="str">
        <f t="shared" si="46"/>
        <v>dHLPRBH</v>
      </c>
      <c r="J878" s="2" t="s">
        <v>2310</v>
      </c>
      <c r="K878" s="8" t="s">
        <v>2273</v>
      </c>
      <c r="L878"/>
      <c r="M878" s="2" t="s">
        <v>2270</v>
      </c>
      <c r="P878" s="2" t="s">
        <v>1127</v>
      </c>
      <c r="Q878" s="2" t="s">
        <v>1127</v>
      </c>
    </row>
    <row r="879" spans="1:17" ht="16.5" customHeight="1" x14ac:dyDescent="0.2">
      <c r="A879" s="28" t="s">
        <v>399</v>
      </c>
      <c r="B879" s="28" t="s">
        <v>2239</v>
      </c>
      <c r="C879" s="28" t="s">
        <v>4182</v>
      </c>
      <c r="D879" s="28" t="s">
        <v>1636</v>
      </c>
      <c r="E879" s="28" t="s">
        <v>1232</v>
      </c>
      <c r="F879" s="2">
        <v>5</v>
      </c>
      <c r="G879" s="2" t="s">
        <v>13</v>
      </c>
      <c r="H879" s="2">
        <v>1995</v>
      </c>
      <c r="I879" s="2" t="str">
        <f t="shared" si="46"/>
        <v>eHLPRBH</v>
      </c>
      <c r="J879" s="2" t="s">
        <v>2310</v>
      </c>
      <c r="K879" s="8" t="s">
        <v>2273</v>
      </c>
      <c r="L879"/>
      <c r="M879" s="2" t="s">
        <v>2270</v>
      </c>
      <c r="P879" s="2" t="s">
        <v>1127</v>
      </c>
      <c r="Q879" s="2" t="s">
        <v>1127</v>
      </c>
    </row>
    <row r="880" spans="1:17" ht="16.5" customHeight="1" x14ac:dyDescent="0.2">
      <c r="A880" s="28" t="s">
        <v>399</v>
      </c>
      <c r="B880" s="28" t="s">
        <v>2241</v>
      </c>
      <c r="C880" s="28" t="s">
        <v>4182</v>
      </c>
      <c r="D880" s="28" t="s">
        <v>1636</v>
      </c>
      <c r="E880" s="28" t="s">
        <v>1232</v>
      </c>
      <c r="F880" s="2">
        <v>6</v>
      </c>
      <c r="G880" s="2" t="s">
        <v>49</v>
      </c>
      <c r="H880" s="2">
        <v>1996</v>
      </c>
      <c r="I880" s="2" t="str">
        <f t="shared" si="46"/>
        <v>fHLPRBH</v>
      </c>
      <c r="J880" s="2" t="s">
        <v>2310</v>
      </c>
      <c r="K880" s="8" t="s">
        <v>2273</v>
      </c>
      <c r="L880"/>
      <c r="M880" s="2" t="s">
        <v>2270</v>
      </c>
      <c r="P880" s="2" t="s">
        <v>1127</v>
      </c>
      <c r="Q880" s="2" t="s">
        <v>1127</v>
      </c>
    </row>
    <row r="881" spans="1:17" ht="16.5" customHeight="1" x14ac:dyDescent="0.2">
      <c r="A881" s="28" t="s">
        <v>399</v>
      </c>
      <c r="B881" s="28" t="s">
        <v>2243</v>
      </c>
      <c r="C881" s="28" t="s">
        <v>4182</v>
      </c>
      <c r="D881" s="28" t="s">
        <v>1636</v>
      </c>
      <c r="E881" s="28" t="s">
        <v>1232</v>
      </c>
      <c r="F881" s="2">
        <v>7</v>
      </c>
      <c r="G881" s="2" t="s">
        <v>101</v>
      </c>
      <c r="H881" s="2">
        <v>1997</v>
      </c>
      <c r="I881" s="2" t="str">
        <f t="shared" si="46"/>
        <v>gHLPRBH</v>
      </c>
      <c r="J881" s="2" t="s">
        <v>2310</v>
      </c>
      <c r="K881" s="8" t="s">
        <v>2273</v>
      </c>
      <c r="L881"/>
      <c r="M881" s="2" t="s">
        <v>2270</v>
      </c>
      <c r="P881" s="2" t="s">
        <v>1127</v>
      </c>
      <c r="Q881" s="2" t="s">
        <v>1127</v>
      </c>
    </row>
    <row r="882" spans="1:17" ht="16.5" customHeight="1" x14ac:dyDescent="0.2">
      <c r="A882" s="28" t="s">
        <v>399</v>
      </c>
      <c r="B882" s="28" t="s">
        <v>2245</v>
      </c>
      <c r="C882" s="28" t="s">
        <v>4182</v>
      </c>
      <c r="D882" s="28" t="s">
        <v>1636</v>
      </c>
      <c r="E882" s="28" t="s">
        <v>1232</v>
      </c>
      <c r="F882" s="2">
        <v>8</v>
      </c>
      <c r="G882" s="2" t="s">
        <v>10</v>
      </c>
      <c r="H882" s="2">
        <v>1998</v>
      </c>
      <c r="I882" s="2" t="str">
        <f t="shared" si="46"/>
        <v>hHLPRBH</v>
      </c>
      <c r="J882" s="2" t="s">
        <v>2310</v>
      </c>
      <c r="K882" s="8" t="s">
        <v>2273</v>
      </c>
      <c r="L882"/>
      <c r="M882" s="2" t="s">
        <v>2270</v>
      </c>
      <c r="P882" s="2" t="s">
        <v>1127</v>
      </c>
      <c r="Q882" s="2" t="s">
        <v>1127</v>
      </c>
    </row>
    <row r="883" spans="1:17" ht="16.5" customHeight="1" x14ac:dyDescent="0.2">
      <c r="A883" s="28" t="s">
        <v>399</v>
      </c>
      <c r="B883" s="28" t="s">
        <v>2247</v>
      </c>
      <c r="C883" s="28" t="s">
        <v>4182</v>
      </c>
      <c r="D883" s="28" t="s">
        <v>1636</v>
      </c>
      <c r="E883" s="28" t="s">
        <v>1232</v>
      </c>
      <c r="F883" s="2">
        <v>9</v>
      </c>
      <c r="G883" s="2" t="s">
        <v>55</v>
      </c>
      <c r="H883" s="2">
        <v>1999</v>
      </c>
      <c r="I883" s="2" t="str">
        <f t="shared" si="46"/>
        <v>iHLPRBH</v>
      </c>
      <c r="J883" s="2" t="s">
        <v>2310</v>
      </c>
      <c r="K883" s="8" t="s">
        <v>2273</v>
      </c>
      <c r="L883"/>
      <c r="M883" s="2" t="s">
        <v>2270</v>
      </c>
      <c r="P883" s="2" t="s">
        <v>1127</v>
      </c>
      <c r="Q883" s="2" t="s">
        <v>1127</v>
      </c>
    </row>
    <row r="884" spans="1:17" ht="16.5" customHeight="1" x14ac:dyDescent="0.2">
      <c r="A884" s="28" t="s">
        <v>399</v>
      </c>
      <c r="B884" s="28" t="s">
        <v>2249</v>
      </c>
      <c r="C884" s="28" t="s">
        <v>4182</v>
      </c>
      <c r="D884" s="28" t="s">
        <v>1636</v>
      </c>
      <c r="E884" s="28" t="s">
        <v>1232</v>
      </c>
      <c r="F884" s="2">
        <v>10</v>
      </c>
      <c r="G884" s="2" t="s">
        <v>98</v>
      </c>
      <c r="H884" s="2">
        <v>2000</v>
      </c>
      <c r="I884" s="2" t="str">
        <f t="shared" si="46"/>
        <v>jHLPRBH</v>
      </c>
      <c r="J884" s="2" t="s">
        <v>2310</v>
      </c>
      <c r="K884" s="8" t="s">
        <v>2273</v>
      </c>
      <c r="L884"/>
      <c r="M884" s="2" t="s">
        <v>2270</v>
      </c>
      <c r="P884" s="2" t="s">
        <v>1127</v>
      </c>
      <c r="Q884" s="2" t="s">
        <v>1127</v>
      </c>
    </row>
    <row r="885" spans="1:17" ht="16.5" customHeight="1" x14ac:dyDescent="0.2">
      <c r="A885" s="28" t="s">
        <v>399</v>
      </c>
      <c r="B885" s="28" t="s">
        <v>2251</v>
      </c>
      <c r="C885" s="28" t="s">
        <v>4182</v>
      </c>
      <c r="D885" s="28" t="s">
        <v>1636</v>
      </c>
      <c r="E885" s="28" t="s">
        <v>1232</v>
      </c>
      <c r="F885" s="2">
        <v>11</v>
      </c>
      <c r="G885" s="2" t="s">
        <v>104</v>
      </c>
      <c r="H885" s="2">
        <v>2001</v>
      </c>
      <c r="I885" s="2" t="str">
        <f t="shared" si="46"/>
        <v>kHLPRBH</v>
      </c>
      <c r="J885" s="2" t="s">
        <v>2310</v>
      </c>
      <c r="K885" s="8" t="s">
        <v>2273</v>
      </c>
      <c r="L885"/>
      <c r="M885" s="2" t="s">
        <v>2270</v>
      </c>
      <c r="P885" s="2" t="s">
        <v>1127</v>
      </c>
      <c r="Q885" s="2" t="s">
        <v>1127</v>
      </c>
    </row>
    <row r="886" spans="1:17" ht="16.5" customHeight="1" x14ac:dyDescent="0.2">
      <c r="A886" s="28" t="s">
        <v>399</v>
      </c>
      <c r="B886" s="28" t="s">
        <v>2253</v>
      </c>
      <c r="C886" s="28" t="s">
        <v>4182</v>
      </c>
      <c r="D886" s="28" t="s">
        <v>1636</v>
      </c>
      <c r="E886" s="28" t="s">
        <v>1232</v>
      </c>
      <c r="F886" s="2">
        <v>12</v>
      </c>
      <c r="G886" s="2" t="s">
        <v>89</v>
      </c>
      <c r="H886" s="2">
        <v>2002</v>
      </c>
      <c r="I886" s="2" t="str">
        <f t="shared" si="46"/>
        <v>lHLPRBH</v>
      </c>
      <c r="J886" s="2" t="s">
        <v>2310</v>
      </c>
      <c r="K886" s="8" t="s">
        <v>2273</v>
      </c>
      <c r="L886"/>
      <c r="M886" s="2" t="s">
        <v>2270</v>
      </c>
      <c r="P886" s="2" t="s">
        <v>1127</v>
      </c>
      <c r="Q886" s="2" t="s">
        <v>1127</v>
      </c>
    </row>
    <row r="887" spans="1:17" ht="16.5" customHeight="1" x14ac:dyDescent="0.2">
      <c r="A887" s="28" t="s">
        <v>399</v>
      </c>
      <c r="B887" s="28" t="s">
        <v>2255</v>
      </c>
      <c r="C887" s="28" t="s">
        <v>4182</v>
      </c>
      <c r="D887" s="28" t="s">
        <v>1636</v>
      </c>
      <c r="E887" s="28" t="s">
        <v>1232</v>
      </c>
      <c r="F887" s="2">
        <v>13</v>
      </c>
      <c r="G887" s="2" t="s">
        <v>107</v>
      </c>
      <c r="H887" s="2">
        <v>2003</v>
      </c>
      <c r="I887" s="2" t="str">
        <f t="shared" si="46"/>
        <v>mHLPRBH</v>
      </c>
      <c r="J887" s="2" t="s">
        <v>2310</v>
      </c>
      <c r="K887" s="8" t="s">
        <v>2273</v>
      </c>
      <c r="L887"/>
      <c r="M887" s="2" t="s">
        <v>2270</v>
      </c>
      <c r="P887" s="2" t="s">
        <v>1127</v>
      </c>
      <c r="Q887" s="2" t="s">
        <v>1127</v>
      </c>
    </row>
    <row r="888" spans="1:17" ht="16.5" customHeight="1" x14ac:dyDescent="0.2">
      <c r="A888" s="28" t="s">
        <v>399</v>
      </c>
      <c r="B888" s="28" t="s">
        <v>2257</v>
      </c>
      <c r="C888" s="28" t="s">
        <v>4182</v>
      </c>
      <c r="D888" s="28" t="s">
        <v>1636</v>
      </c>
      <c r="E888" s="28" t="s">
        <v>1232</v>
      </c>
      <c r="F888" s="2">
        <v>14</v>
      </c>
      <c r="G888" s="2" t="s">
        <v>43</v>
      </c>
      <c r="H888" s="2">
        <v>2004</v>
      </c>
      <c r="I888" s="2" t="str">
        <f t="shared" si="46"/>
        <v>nHLPRBH</v>
      </c>
      <c r="J888" s="2" t="s">
        <v>2310</v>
      </c>
      <c r="K888" s="8" t="s">
        <v>2273</v>
      </c>
      <c r="L888"/>
      <c r="M888" s="2" t="s">
        <v>2270</v>
      </c>
      <c r="P888" s="2" t="s">
        <v>1127</v>
      </c>
      <c r="Q888" s="2" t="s">
        <v>1127</v>
      </c>
    </row>
    <row r="889" spans="1:17" ht="16.5" customHeight="1" x14ac:dyDescent="0.2">
      <c r="A889" s="28" t="s">
        <v>399</v>
      </c>
      <c r="B889" s="28" t="s">
        <v>2259</v>
      </c>
      <c r="C889" s="28" t="s">
        <v>4182</v>
      </c>
      <c r="D889" s="28" t="s">
        <v>1636</v>
      </c>
      <c r="E889" s="28" t="s">
        <v>1232</v>
      </c>
      <c r="F889" s="2">
        <v>15</v>
      </c>
      <c r="G889" s="2" t="s">
        <v>19</v>
      </c>
      <c r="H889" s="2">
        <v>2005</v>
      </c>
      <c r="I889" s="2" t="str">
        <f t="shared" si="46"/>
        <v>oHLPRBH</v>
      </c>
      <c r="J889" s="2" t="s">
        <v>2310</v>
      </c>
      <c r="K889" s="8" t="s">
        <v>2273</v>
      </c>
      <c r="L889"/>
      <c r="M889" s="2" t="s">
        <v>2270</v>
      </c>
      <c r="P889" s="2" t="s">
        <v>1127</v>
      </c>
      <c r="Q889" s="2" t="s">
        <v>1127</v>
      </c>
    </row>
    <row r="890" spans="1:17" ht="16.5" customHeight="1" x14ac:dyDescent="0.2">
      <c r="A890" s="28" t="s">
        <v>399</v>
      </c>
      <c r="B890" s="28" t="s">
        <v>2261</v>
      </c>
      <c r="C890" s="28" t="s">
        <v>4182</v>
      </c>
      <c r="D890" s="28" t="s">
        <v>1636</v>
      </c>
      <c r="E890" s="28" t="s">
        <v>1232</v>
      </c>
      <c r="F890" s="2">
        <v>16</v>
      </c>
      <c r="G890" s="2" t="s">
        <v>25</v>
      </c>
      <c r="H890" s="2">
        <v>2006</v>
      </c>
      <c r="I890" s="2" t="str">
        <f t="shared" si="46"/>
        <v>pHLPRBH</v>
      </c>
      <c r="J890" s="2" t="s">
        <v>2310</v>
      </c>
      <c r="K890" s="8" t="s">
        <v>2273</v>
      </c>
      <c r="L890"/>
      <c r="M890" s="2" t="s">
        <v>2270</v>
      </c>
      <c r="P890" s="2" t="s">
        <v>1127</v>
      </c>
      <c r="Q890" s="2" t="s">
        <v>1127</v>
      </c>
    </row>
    <row r="891" spans="1:17" ht="16.5" customHeight="1" x14ac:dyDescent="0.2">
      <c r="A891" s="28" t="s">
        <v>399</v>
      </c>
      <c r="B891" s="28" t="s">
        <v>2263</v>
      </c>
      <c r="C891" s="28" t="s">
        <v>4182</v>
      </c>
      <c r="D891" s="28" t="s">
        <v>1636</v>
      </c>
      <c r="E891" s="28" t="s">
        <v>1232</v>
      </c>
      <c r="F891" s="2">
        <v>17</v>
      </c>
      <c r="G891" s="2" t="s">
        <v>73</v>
      </c>
      <c r="H891" s="2">
        <v>2007</v>
      </c>
      <c r="I891" s="2" t="str">
        <f t="shared" si="46"/>
        <v>qHLPRBH</v>
      </c>
      <c r="J891" s="2" t="s">
        <v>2310</v>
      </c>
      <c r="K891" s="8" t="s">
        <v>2273</v>
      </c>
      <c r="L891"/>
      <c r="M891" s="2" t="s">
        <v>2270</v>
      </c>
      <c r="P891" s="2" t="s">
        <v>1127</v>
      </c>
      <c r="Q891" s="2" t="s">
        <v>1127</v>
      </c>
    </row>
    <row r="892" spans="1:17" ht="16.5" customHeight="1" x14ac:dyDescent="0.2">
      <c r="A892" s="28" t="s">
        <v>399</v>
      </c>
      <c r="B892" s="28" t="s">
        <v>2265</v>
      </c>
      <c r="C892" s="28" t="s">
        <v>4182</v>
      </c>
      <c r="D892" s="28" t="s">
        <v>1636</v>
      </c>
      <c r="E892" s="28" t="s">
        <v>1232</v>
      </c>
      <c r="F892" s="2">
        <v>18</v>
      </c>
      <c r="G892" s="2" t="s">
        <v>58</v>
      </c>
      <c r="H892" s="2">
        <v>2008</v>
      </c>
      <c r="I892" s="2" t="str">
        <f t="shared" si="46"/>
        <v>rHLPRBH</v>
      </c>
      <c r="J892" s="2" t="s">
        <v>2310</v>
      </c>
      <c r="K892" s="8" t="s">
        <v>2273</v>
      </c>
      <c r="L892"/>
      <c r="M892" s="2" t="s">
        <v>2270</v>
      </c>
      <c r="P892" s="2" t="s">
        <v>1127</v>
      </c>
      <c r="Q892" s="2" t="s">
        <v>1127</v>
      </c>
    </row>
    <row r="893" spans="1:17" ht="16.5" customHeight="1" x14ac:dyDescent="0.2">
      <c r="A893" s="28" t="s">
        <v>399</v>
      </c>
      <c r="B893" s="28" t="s">
        <v>2227</v>
      </c>
      <c r="C893" s="28" t="s">
        <v>4182</v>
      </c>
      <c r="D893" s="28" t="s">
        <v>1636</v>
      </c>
      <c r="E893" s="28" t="s">
        <v>1610</v>
      </c>
      <c r="F893" s="2">
        <v>1</v>
      </c>
      <c r="G893" s="2" t="s">
        <v>40</v>
      </c>
      <c r="H893" s="2">
        <v>1991</v>
      </c>
      <c r="I893" s="2" t="str">
        <f t="shared" ref="I893:I910" si="47">_xlfn.CONCAT(G893,"HLPRBF")</f>
        <v>aHLPRBF</v>
      </c>
      <c r="J893" s="2" t="s">
        <v>2313</v>
      </c>
      <c r="K893" s="8" t="s">
        <v>2273</v>
      </c>
      <c r="L893"/>
      <c r="M893" s="2" t="s">
        <v>2270</v>
      </c>
      <c r="P893" s="2" t="s">
        <v>1127</v>
      </c>
      <c r="Q893" s="2" t="s">
        <v>1127</v>
      </c>
    </row>
    <row r="894" spans="1:17" ht="16.5" customHeight="1" x14ac:dyDescent="0.2">
      <c r="A894" s="28" t="s">
        <v>399</v>
      </c>
      <c r="B894" s="28" t="s">
        <v>2233</v>
      </c>
      <c r="C894" s="28" t="s">
        <v>4182</v>
      </c>
      <c r="D894" s="28" t="s">
        <v>1636</v>
      </c>
      <c r="E894" s="28" t="s">
        <v>1610</v>
      </c>
      <c r="F894" s="2">
        <v>2</v>
      </c>
      <c r="G894" s="2" t="s">
        <v>37</v>
      </c>
      <c r="H894" s="2">
        <v>1992</v>
      </c>
      <c r="I894" s="2" t="str">
        <f t="shared" si="47"/>
        <v>bHLPRBF</v>
      </c>
      <c r="J894" s="2" t="s">
        <v>2313</v>
      </c>
      <c r="K894" s="8" t="s">
        <v>2273</v>
      </c>
      <c r="L894"/>
      <c r="M894" s="2" t="s">
        <v>2270</v>
      </c>
      <c r="P894" s="2" t="s">
        <v>1127</v>
      </c>
      <c r="Q894" s="2" t="s">
        <v>1127</v>
      </c>
    </row>
    <row r="895" spans="1:17" ht="16.5" customHeight="1" x14ac:dyDescent="0.2">
      <c r="A895" s="28" t="s">
        <v>399</v>
      </c>
      <c r="B895" s="28" t="s">
        <v>2235</v>
      </c>
      <c r="C895" s="28" t="s">
        <v>4182</v>
      </c>
      <c r="D895" s="28" t="s">
        <v>1636</v>
      </c>
      <c r="E895" s="28" t="s">
        <v>1610</v>
      </c>
      <c r="F895" s="2">
        <v>3</v>
      </c>
      <c r="G895" s="2" t="s">
        <v>80</v>
      </c>
      <c r="H895" s="2">
        <v>1993</v>
      </c>
      <c r="I895" s="2" t="str">
        <f t="shared" si="47"/>
        <v>cHLPRBF</v>
      </c>
      <c r="J895" s="2" t="s">
        <v>2313</v>
      </c>
      <c r="K895" s="8" t="s">
        <v>2273</v>
      </c>
      <c r="L895"/>
      <c r="M895" s="2" t="s">
        <v>2270</v>
      </c>
      <c r="P895" s="2" t="s">
        <v>1127</v>
      </c>
      <c r="Q895" s="2" t="s">
        <v>1127</v>
      </c>
    </row>
    <row r="896" spans="1:17" ht="16.5" customHeight="1" x14ac:dyDescent="0.2">
      <c r="A896" s="28" t="s">
        <v>399</v>
      </c>
      <c r="B896" s="28" t="s">
        <v>2237</v>
      </c>
      <c r="C896" s="28" t="s">
        <v>4182</v>
      </c>
      <c r="D896" s="28" t="s">
        <v>1636</v>
      </c>
      <c r="E896" s="28" t="s">
        <v>1610</v>
      </c>
      <c r="F896" s="2">
        <v>4</v>
      </c>
      <c r="G896" s="2" t="s">
        <v>31</v>
      </c>
      <c r="H896" s="2">
        <v>1994</v>
      </c>
      <c r="I896" s="2" t="str">
        <f t="shared" si="47"/>
        <v>dHLPRBF</v>
      </c>
      <c r="J896" s="2" t="s">
        <v>2313</v>
      </c>
      <c r="K896" s="8" t="s">
        <v>2273</v>
      </c>
      <c r="L896"/>
      <c r="M896" s="2" t="s">
        <v>2270</v>
      </c>
      <c r="P896" s="2" t="s">
        <v>1127</v>
      </c>
      <c r="Q896" s="2" t="s">
        <v>1127</v>
      </c>
    </row>
    <row r="897" spans="1:17" ht="16.5" customHeight="1" x14ac:dyDescent="0.2">
      <c r="A897" s="28" t="s">
        <v>399</v>
      </c>
      <c r="B897" s="28" t="s">
        <v>2239</v>
      </c>
      <c r="C897" s="28" t="s">
        <v>4182</v>
      </c>
      <c r="D897" s="28" t="s">
        <v>1636</v>
      </c>
      <c r="E897" s="28" t="s">
        <v>1610</v>
      </c>
      <c r="F897" s="2">
        <v>5</v>
      </c>
      <c r="G897" s="2" t="s">
        <v>13</v>
      </c>
      <c r="H897" s="2">
        <v>1995</v>
      </c>
      <c r="I897" s="2" t="str">
        <f t="shared" si="47"/>
        <v>eHLPRBF</v>
      </c>
      <c r="J897" s="2" t="s">
        <v>2313</v>
      </c>
      <c r="K897" s="8" t="s">
        <v>2273</v>
      </c>
      <c r="L897"/>
      <c r="M897" s="2" t="s">
        <v>2270</v>
      </c>
      <c r="P897" s="2" t="s">
        <v>1127</v>
      </c>
      <c r="Q897" s="2" t="s">
        <v>1127</v>
      </c>
    </row>
    <row r="898" spans="1:17" ht="16.5" customHeight="1" x14ac:dyDescent="0.2">
      <c r="A898" s="28" t="s">
        <v>399</v>
      </c>
      <c r="B898" s="28" t="s">
        <v>2241</v>
      </c>
      <c r="C898" s="28" t="s">
        <v>4182</v>
      </c>
      <c r="D898" s="28" t="s">
        <v>1636</v>
      </c>
      <c r="E898" s="28" t="s">
        <v>1610</v>
      </c>
      <c r="F898" s="2">
        <v>6</v>
      </c>
      <c r="G898" s="2" t="s">
        <v>49</v>
      </c>
      <c r="H898" s="2">
        <v>1996</v>
      </c>
      <c r="I898" s="2" t="str">
        <f t="shared" si="47"/>
        <v>fHLPRBF</v>
      </c>
      <c r="J898" s="2" t="s">
        <v>2313</v>
      </c>
      <c r="K898" s="8" t="s">
        <v>2273</v>
      </c>
      <c r="L898"/>
      <c r="M898" s="2" t="s">
        <v>2270</v>
      </c>
      <c r="P898" s="2" t="s">
        <v>1127</v>
      </c>
      <c r="Q898" s="2" t="s">
        <v>1127</v>
      </c>
    </row>
    <row r="899" spans="1:17" ht="16.5" customHeight="1" x14ac:dyDescent="0.2">
      <c r="A899" s="28" t="s">
        <v>399</v>
      </c>
      <c r="B899" s="28" t="s">
        <v>2243</v>
      </c>
      <c r="C899" s="28" t="s">
        <v>4182</v>
      </c>
      <c r="D899" s="28" t="s">
        <v>1636</v>
      </c>
      <c r="E899" s="28" t="s">
        <v>1610</v>
      </c>
      <c r="F899" s="2">
        <v>7</v>
      </c>
      <c r="G899" s="2" t="s">
        <v>101</v>
      </c>
      <c r="H899" s="2">
        <v>1997</v>
      </c>
      <c r="I899" s="2" t="str">
        <f t="shared" si="47"/>
        <v>gHLPRBF</v>
      </c>
      <c r="J899" s="2" t="s">
        <v>2313</v>
      </c>
      <c r="K899" s="8" t="s">
        <v>2273</v>
      </c>
      <c r="L899"/>
      <c r="M899" s="2" t="s">
        <v>2270</v>
      </c>
      <c r="P899" s="2" t="s">
        <v>1127</v>
      </c>
      <c r="Q899" s="2" t="s">
        <v>1127</v>
      </c>
    </row>
    <row r="900" spans="1:17" ht="16.5" customHeight="1" x14ac:dyDescent="0.2">
      <c r="A900" s="28" t="s">
        <v>399</v>
      </c>
      <c r="B900" s="28" t="s">
        <v>2245</v>
      </c>
      <c r="C900" s="28" t="s">
        <v>4182</v>
      </c>
      <c r="D900" s="28" t="s">
        <v>1636</v>
      </c>
      <c r="E900" s="28" t="s">
        <v>1610</v>
      </c>
      <c r="F900" s="2">
        <v>8</v>
      </c>
      <c r="G900" s="2" t="s">
        <v>10</v>
      </c>
      <c r="H900" s="2">
        <v>1998</v>
      </c>
      <c r="I900" s="2" t="str">
        <f t="shared" si="47"/>
        <v>hHLPRBF</v>
      </c>
      <c r="J900" s="2" t="s">
        <v>2313</v>
      </c>
      <c r="K900" s="8" t="s">
        <v>2273</v>
      </c>
      <c r="L900"/>
      <c r="M900" s="2" t="s">
        <v>2270</v>
      </c>
      <c r="P900" s="2" t="s">
        <v>1127</v>
      </c>
      <c r="Q900" s="2" t="s">
        <v>1127</v>
      </c>
    </row>
    <row r="901" spans="1:17" ht="16.5" customHeight="1" x14ac:dyDescent="0.2">
      <c r="A901" s="28" t="s">
        <v>399</v>
      </c>
      <c r="B901" s="28" t="s">
        <v>2247</v>
      </c>
      <c r="C901" s="28" t="s">
        <v>4182</v>
      </c>
      <c r="D901" s="28" t="s">
        <v>1636</v>
      </c>
      <c r="E901" s="28" t="s">
        <v>1610</v>
      </c>
      <c r="F901" s="2">
        <v>9</v>
      </c>
      <c r="G901" s="2" t="s">
        <v>55</v>
      </c>
      <c r="H901" s="2">
        <v>1999</v>
      </c>
      <c r="I901" s="2" t="str">
        <f t="shared" si="47"/>
        <v>iHLPRBF</v>
      </c>
      <c r="J901" s="2" t="s">
        <v>2313</v>
      </c>
      <c r="K901" s="8" t="s">
        <v>2273</v>
      </c>
      <c r="L901"/>
      <c r="M901" s="2" t="s">
        <v>2270</v>
      </c>
      <c r="P901" s="2" t="s">
        <v>1127</v>
      </c>
      <c r="Q901" s="2" t="s">
        <v>1127</v>
      </c>
    </row>
    <row r="902" spans="1:17" ht="16.5" customHeight="1" x14ac:dyDescent="0.2">
      <c r="A902" s="28" t="s">
        <v>399</v>
      </c>
      <c r="B902" s="28" t="s">
        <v>2249</v>
      </c>
      <c r="C902" s="28" t="s">
        <v>4182</v>
      </c>
      <c r="D902" s="28" t="s">
        <v>1636</v>
      </c>
      <c r="E902" s="28" t="s">
        <v>1610</v>
      </c>
      <c r="F902" s="2">
        <v>10</v>
      </c>
      <c r="G902" s="2" t="s">
        <v>98</v>
      </c>
      <c r="H902" s="2">
        <v>2000</v>
      </c>
      <c r="I902" s="2" t="str">
        <f t="shared" si="47"/>
        <v>jHLPRBF</v>
      </c>
      <c r="J902" s="2" t="s">
        <v>2313</v>
      </c>
      <c r="K902" s="8" t="s">
        <v>2273</v>
      </c>
      <c r="L902"/>
      <c r="M902" s="2" t="s">
        <v>2270</v>
      </c>
      <c r="P902" s="2" t="s">
        <v>1127</v>
      </c>
      <c r="Q902" s="2" t="s">
        <v>1127</v>
      </c>
    </row>
    <row r="903" spans="1:17" ht="16.5" customHeight="1" x14ac:dyDescent="0.2">
      <c r="A903" s="28" t="s">
        <v>399</v>
      </c>
      <c r="B903" s="28" t="s">
        <v>2251</v>
      </c>
      <c r="C903" s="28" t="s">
        <v>4182</v>
      </c>
      <c r="D903" s="28" t="s">
        <v>1636</v>
      </c>
      <c r="E903" s="28" t="s">
        <v>1610</v>
      </c>
      <c r="F903" s="2">
        <v>11</v>
      </c>
      <c r="G903" s="2" t="s">
        <v>104</v>
      </c>
      <c r="H903" s="2">
        <v>2001</v>
      </c>
      <c r="I903" s="2" t="str">
        <f t="shared" si="47"/>
        <v>kHLPRBF</v>
      </c>
      <c r="J903" s="2" t="s">
        <v>2313</v>
      </c>
      <c r="K903" s="8" t="s">
        <v>2273</v>
      </c>
      <c r="L903"/>
      <c r="M903" s="2" t="s">
        <v>2270</v>
      </c>
      <c r="P903" s="2" t="s">
        <v>1127</v>
      </c>
      <c r="Q903" s="2" t="s">
        <v>1127</v>
      </c>
    </row>
    <row r="904" spans="1:17" ht="16.5" customHeight="1" x14ac:dyDescent="0.2">
      <c r="A904" s="28" t="s">
        <v>399</v>
      </c>
      <c r="B904" s="28" t="s">
        <v>2253</v>
      </c>
      <c r="C904" s="28" t="s">
        <v>4182</v>
      </c>
      <c r="D904" s="28" t="s">
        <v>1636</v>
      </c>
      <c r="E904" s="28" t="s">
        <v>1610</v>
      </c>
      <c r="F904" s="2">
        <v>12</v>
      </c>
      <c r="G904" s="2" t="s">
        <v>89</v>
      </c>
      <c r="H904" s="2">
        <v>2002</v>
      </c>
      <c r="I904" s="2" t="str">
        <f t="shared" si="47"/>
        <v>lHLPRBF</v>
      </c>
      <c r="J904" s="2" t="s">
        <v>2313</v>
      </c>
      <c r="K904" s="8" t="s">
        <v>2273</v>
      </c>
      <c r="L904"/>
      <c r="M904" s="2" t="s">
        <v>2270</v>
      </c>
      <c r="P904" s="2" t="s">
        <v>1127</v>
      </c>
      <c r="Q904" s="2" t="s">
        <v>1127</v>
      </c>
    </row>
    <row r="905" spans="1:17" ht="16.5" customHeight="1" x14ac:dyDescent="0.2">
      <c r="A905" s="28" t="s">
        <v>399</v>
      </c>
      <c r="B905" s="28" t="s">
        <v>2255</v>
      </c>
      <c r="C905" s="28" t="s">
        <v>4182</v>
      </c>
      <c r="D905" s="28" t="s">
        <v>1636</v>
      </c>
      <c r="E905" s="28" t="s">
        <v>1610</v>
      </c>
      <c r="F905" s="2">
        <v>13</v>
      </c>
      <c r="G905" s="2" t="s">
        <v>107</v>
      </c>
      <c r="H905" s="2">
        <v>2003</v>
      </c>
      <c r="I905" s="2" t="str">
        <f t="shared" si="47"/>
        <v>mHLPRBF</v>
      </c>
      <c r="J905" s="2" t="s">
        <v>2313</v>
      </c>
      <c r="K905" s="8" t="s">
        <v>2273</v>
      </c>
      <c r="L905"/>
      <c r="M905" s="2" t="s">
        <v>2270</v>
      </c>
      <c r="P905" s="2" t="s">
        <v>1127</v>
      </c>
      <c r="Q905" s="2" t="s">
        <v>1127</v>
      </c>
    </row>
    <row r="906" spans="1:17" ht="16.5" customHeight="1" x14ac:dyDescent="0.2">
      <c r="A906" s="28" t="s">
        <v>399</v>
      </c>
      <c r="B906" s="28" t="s">
        <v>2257</v>
      </c>
      <c r="C906" s="28" t="s">
        <v>4182</v>
      </c>
      <c r="D906" s="28" t="s">
        <v>1636</v>
      </c>
      <c r="E906" s="28" t="s">
        <v>1610</v>
      </c>
      <c r="F906" s="2">
        <v>14</v>
      </c>
      <c r="G906" s="2" t="s">
        <v>43</v>
      </c>
      <c r="H906" s="2">
        <v>2004</v>
      </c>
      <c r="I906" s="2" t="str">
        <f t="shared" si="47"/>
        <v>nHLPRBF</v>
      </c>
      <c r="J906" s="2" t="s">
        <v>2313</v>
      </c>
      <c r="K906" s="8" t="s">
        <v>2273</v>
      </c>
      <c r="L906"/>
      <c r="M906" s="2" t="s">
        <v>2270</v>
      </c>
      <c r="P906" s="2" t="s">
        <v>1127</v>
      </c>
      <c r="Q906" s="2" t="s">
        <v>1127</v>
      </c>
    </row>
    <row r="907" spans="1:17" ht="16.5" customHeight="1" x14ac:dyDescent="0.2">
      <c r="A907" s="28" t="s">
        <v>399</v>
      </c>
      <c r="B907" s="28" t="s">
        <v>2259</v>
      </c>
      <c r="C907" s="28" t="s">
        <v>4182</v>
      </c>
      <c r="D907" s="28" t="s">
        <v>1636</v>
      </c>
      <c r="E907" s="28" t="s">
        <v>1610</v>
      </c>
      <c r="F907" s="2">
        <v>15</v>
      </c>
      <c r="G907" s="2" t="s">
        <v>19</v>
      </c>
      <c r="H907" s="2">
        <v>2005</v>
      </c>
      <c r="I907" s="2" t="str">
        <f t="shared" si="47"/>
        <v>oHLPRBF</v>
      </c>
      <c r="J907" s="2" t="s">
        <v>2313</v>
      </c>
      <c r="K907" s="8" t="s">
        <v>2273</v>
      </c>
      <c r="L907"/>
      <c r="M907" s="2" t="s">
        <v>2270</v>
      </c>
      <c r="P907" s="2" t="s">
        <v>1127</v>
      </c>
      <c r="Q907" s="2" t="s">
        <v>1127</v>
      </c>
    </row>
    <row r="908" spans="1:17" ht="16.5" customHeight="1" x14ac:dyDescent="0.2">
      <c r="A908" s="28" t="s">
        <v>399</v>
      </c>
      <c r="B908" s="28" t="s">
        <v>2261</v>
      </c>
      <c r="C908" s="28" t="s">
        <v>4182</v>
      </c>
      <c r="D908" s="28" t="s">
        <v>1636</v>
      </c>
      <c r="E908" s="28" t="s">
        <v>1610</v>
      </c>
      <c r="F908" s="2">
        <v>16</v>
      </c>
      <c r="G908" s="2" t="s">
        <v>25</v>
      </c>
      <c r="H908" s="2">
        <v>2006</v>
      </c>
      <c r="I908" s="2" t="str">
        <f t="shared" si="47"/>
        <v>pHLPRBF</v>
      </c>
      <c r="J908" s="2" t="s">
        <v>2313</v>
      </c>
      <c r="K908" s="8" t="s">
        <v>2273</v>
      </c>
      <c r="L908"/>
      <c r="M908" s="2" t="s">
        <v>2270</v>
      </c>
      <c r="P908" s="2" t="s">
        <v>1127</v>
      </c>
      <c r="Q908" s="2" t="s">
        <v>1127</v>
      </c>
    </row>
    <row r="909" spans="1:17" ht="16.5" customHeight="1" x14ac:dyDescent="0.2">
      <c r="A909" s="28" t="s">
        <v>399</v>
      </c>
      <c r="B909" s="28" t="s">
        <v>2263</v>
      </c>
      <c r="C909" s="28" t="s">
        <v>4182</v>
      </c>
      <c r="D909" s="28" t="s">
        <v>1636</v>
      </c>
      <c r="E909" s="28" t="s">
        <v>1610</v>
      </c>
      <c r="F909" s="2">
        <v>17</v>
      </c>
      <c r="G909" s="2" t="s">
        <v>73</v>
      </c>
      <c r="H909" s="2">
        <v>2007</v>
      </c>
      <c r="I909" s="2" t="str">
        <f t="shared" si="47"/>
        <v>qHLPRBF</v>
      </c>
      <c r="J909" s="2" t="s">
        <v>2313</v>
      </c>
      <c r="K909" s="8" t="s">
        <v>2273</v>
      </c>
      <c r="L909"/>
      <c r="M909" s="2" t="s">
        <v>2270</v>
      </c>
      <c r="P909" s="2" t="s">
        <v>1127</v>
      </c>
      <c r="Q909" s="2" t="s">
        <v>1127</v>
      </c>
    </row>
    <row r="910" spans="1:17" ht="16.5" customHeight="1" x14ac:dyDescent="0.2">
      <c r="A910" s="28" t="s">
        <v>399</v>
      </c>
      <c r="B910" s="28" t="s">
        <v>2265</v>
      </c>
      <c r="C910" s="28" t="s">
        <v>4182</v>
      </c>
      <c r="D910" s="28" t="s">
        <v>1636</v>
      </c>
      <c r="E910" s="28" t="s">
        <v>1610</v>
      </c>
      <c r="F910" s="2">
        <v>18</v>
      </c>
      <c r="G910" s="2" t="s">
        <v>58</v>
      </c>
      <c r="H910" s="2">
        <v>2008</v>
      </c>
      <c r="I910" s="2" t="str">
        <f t="shared" si="47"/>
        <v>rHLPRBF</v>
      </c>
      <c r="J910" s="2" t="s">
        <v>2313</v>
      </c>
      <c r="K910" s="8" t="s">
        <v>2273</v>
      </c>
      <c r="L910"/>
      <c r="M910" s="2" t="s">
        <v>2270</v>
      </c>
      <c r="P910" s="2" t="s">
        <v>1127</v>
      </c>
      <c r="Q910" s="2" t="s">
        <v>1127</v>
      </c>
    </row>
    <row r="911" spans="1:17" ht="16.5" customHeight="1" x14ac:dyDescent="0.2">
      <c r="A911" s="28" t="s">
        <v>399</v>
      </c>
      <c r="B911" s="28" t="s">
        <v>2227</v>
      </c>
      <c r="C911" s="28" t="s">
        <v>4182</v>
      </c>
      <c r="D911" s="28" t="s">
        <v>1636</v>
      </c>
      <c r="E911" s="28" t="s">
        <v>2314</v>
      </c>
      <c r="F911" s="2">
        <v>1</v>
      </c>
      <c r="G911" s="2" t="s">
        <v>40</v>
      </c>
      <c r="H911" s="2">
        <v>1991</v>
      </c>
      <c r="I911" s="2" t="str">
        <f t="shared" ref="I911:I928" si="48">_xlfn.CONCAT(G911,"HLPRXF")</f>
        <v>aHLPRXF</v>
      </c>
      <c r="J911" s="2" t="s">
        <v>2315</v>
      </c>
      <c r="K911" s="8" t="s">
        <v>2273</v>
      </c>
      <c r="L911"/>
      <c r="M911" s="2" t="s">
        <v>2270</v>
      </c>
      <c r="P911" s="2" t="s">
        <v>1127</v>
      </c>
      <c r="Q911" s="2" t="s">
        <v>1127</v>
      </c>
    </row>
    <row r="912" spans="1:17" ht="16.5" customHeight="1" x14ac:dyDescent="0.2">
      <c r="A912" s="28" t="s">
        <v>399</v>
      </c>
      <c r="B912" s="28" t="s">
        <v>2233</v>
      </c>
      <c r="C912" s="28" t="s">
        <v>4182</v>
      </c>
      <c r="D912" s="28" t="s">
        <v>1636</v>
      </c>
      <c r="E912" s="28" t="s">
        <v>2314</v>
      </c>
      <c r="F912" s="2">
        <v>2</v>
      </c>
      <c r="G912" s="2" t="s">
        <v>37</v>
      </c>
      <c r="H912" s="2">
        <v>1992</v>
      </c>
      <c r="I912" s="2" t="str">
        <f t="shared" si="48"/>
        <v>bHLPRXF</v>
      </c>
      <c r="J912" s="2" t="s">
        <v>2315</v>
      </c>
      <c r="K912" s="8" t="s">
        <v>2273</v>
      </c>
      <c r="L912"/>
      <c r="M912" s="2" t="s">
        <v>2270</v>
      </c>
      <c r="P912" s="2" t="s">
        <v>1127</v>
      </c>
      <c r="Q912" s="2" t="s">
        <v>1127</v>
      </c>
    </row>
    <row r="913" spans="1:17" ht="16.5" customHeight="1" x14ac:dyDescent="0.2">
      <c r="A913" s="28" t="s">
        <v>399</v>
      </c>
      <c r="B913" s="28" t="s">
        <v>2235</v>
      </c>
      <c r="C913" s="28" t="s">
        <v>4182</v>
      </c>
      <c r="D913" s="28" t="s">
        <v>1636</v>
      </c>
      <c r="E913" s="28" t="s">
        <v>2314</v>
      </c>
      <c r="F913" s="2">
        <v>3</v>
      </c>
      <c r="G913" s="2" t="s">
        <v>80</v>
      </c>
      <c r="H913" s="2">
        <v>1993</v>
      </c>
      <c r="I913" s="2" t="str">
        <f t="shared" si="48"/>
        <v>cHLPRXF</v>
      </c>
      <c r="J913" s="2" t="s">
        <v>2315</v>
      </c>
      <c r="K913" s="8" t="s">
        <v>2273</v>
      </c>
      <c r="L913"/>
      <c r="M913" s="2" t="s">
        <v>2270</v>
      </c>
      <c r="P913" s="2" t="s">
        <v>1127</v>
      </c>
      <c r="Q913" s="2" t="s">
        <v>1127</v>
      </c>
    </row>
    <row r="914" spans="1:17" ht="16.5" customHeight="1" x14ac:dyDescent="0.2">
      <c r="A914" s="28" t="s">
        <v>399</v>
      </c>
      <c r="B914" s="28" t="s">
        <v>2237</v>
      </c>
      <c r="C914" s="28" t="s">
        <v>4182</v>
      </c>
      <c r="D914" s="28" t="s">
        <v>1636</v>
      </c>
      <c r="E914" s="28" t="s">
        <v>2314</v>
      </c>
      <c r="F914" s="2">
        <v>4</v>
      </c>
      <c r="G914" s="2" t="s">
        <v>31</v>
      </c>
      <c r="H914" s="2">
        <v>1994</v>
      </c>
      <c r="I914" s="2" t="str">
        <f t="shared" si="48"/>
        <v>dHLPRXF</v>
      </c>
      <c r="J914" s="2" t="s">
        <v>2315</v>
      </c>
      <c r="K914" s="8" t="s">
        <v>2273</v>
      </c>
      <c r="L914"/>
      <c r="M914" s="2" t="s">
        <v>2270</v>
      </c>
      <c r="P914" s="2" t="s">
        <v>1127</v>
      </c>
      <c r="Q914" s="2" t="s">
        <v>1127</v>
      </c>
    </row>
    <row r="915" spans="1:17" ht="16.5" customHeight="1" x14ac:dyDescent="0.2">
      <c r="A915" s="28" t="s">
        <v>399</v>
      </c>
      <c r="B915" s="28" t="s">
        <v>2239</v>
      </c>
      <c r="C915" s="28" t="s">
        <v>4182</v>
      </c>
      <c r="D915" s="28" t="s">
        <v>1636</v>
      </c>
      <c r="E915" s="28" t="s">
        <v>2314</v>
      </c>
      <c r="F915" s="2">
        <v>5</v>
      </c>
      <c r="G915" s="2" t="s">
        <v>13</v>
      </c>
      <c r="H915" s="2">
        <v>1995</v>
      </c>
      <c r="I915" s="2" t="str">
        <f t="shared" si="48"/>
        <v>eHLPRXF</v>
      </c>
      <c r="J915" s="2" t="s">
        <v>2315</v>
      </c>
      <c r="K915" s="8" t="s">
        <v>2273</v>
      </c>
      <c r="L915"/>
      <c r="M915" s="2" t="s">
        <v>2270</v>
      </c>
      <c r="P915" s="2" t="s">
        <v>1127</v>
      </c>
      <c r="Q915" s="2" t="s">
        <v>1127</v>
      </c>
    </row>
    <row r="916" spans="1:17" ht="16.5" customHeight="1" x14ac:dyDescent="0.2">
      <c r="A916" s="28" t="s">
        <v>399</v>
      </c>
      <c r="B916" s="28" t="s">
        <v>2241</v>
      </c>
      <c r="C916" s="28" t="s">
        <v>4182</v>
      </c>
      <c r="D916" s="28" t="s">
        <v>1636</v>
      </c>
      <c r="E916" s="28" t="s">
        <v>2314</v>
      </c>
      <c r="F916" s="2">
        <v>6</v>
      </c>
      <c r="G916" s="2" t="s">
        <v>49</v>
      </c>
      <c r="H916" s="2">
        <v>1996</v>
      </c>
      <c r="I916" s="2" t="str">
        <f t="shared" si="48"/>
        <v>fHLPRXF</v>
      </c>
      <c r="J916" s="2" t="s">
        <v>2315</v>
      </c>
      <c r="K916" s="8" t="s">
        <v>2273</v>
      </c>
      <c r="L916"/>
      <c r="M916" s="2" t="s">
        <v>2270</v>
      </c>
      <c r="P916" s="2" t="s">
        <v>1127</v>
      </c>
      <c r="Q916" s="2" t="s">
        <v>1127</v>
      </c>
    </row>
    <row r="917" spans="1:17" ht="16.5" customHeight="1" x14ac:dyDescent="0.2">
      <c r="A917" s="28" t="s">
        <v>399</v>
      </c>
      <c r="B917" s="28" t="s">
        <v>2243</v>
      </c>
      <c r="C917" s="28" t="s">
        <v>4182</v>
      </c>
      <c r="D917" s="28" t="s">
        <v>1636</v>
      </c>
      <c r="E917" s="28" t="s">
        <v>2314</v>
      </c>
      <c r="F917" s="2">
        <v>7</v>
      </c>
      <c r="G917" s="2" t="s">
        <v>101</v>
      </c>
      <c r="H917" s="2">
        <v>1997</v>
      </c>
      <c r="I917" s="2" t="str">
        <f t="shared" si="48"/>
        <v>gHLPRXF</v>
      </c>
      <c r="J917" s="2" t="s">
        <v>2315</v>
      </c>
      <c r="K917" s="8" t="s">
        <v>2273</v>
      </c>
      <c r="L917"/>
      <c r="M917" s="2" t="s">
        <v>2270</v>
      </c>
      <c r="P917" s="2" t="s">
        <v>1127</v>
      </c>
      <c r="Q917" s="2" t="s">
        <v>1127</v>
      </c>
    </row>
    <row r="918" spans="1:17" ht="16.5" customHeight="1" x14ac:dyDescent="0.2">
      <c r="A918" s="28" t="s">
        <v>399</v>
      </c>
      <c r="B918" s="28" t="s">
        <v>2245</v>
      </c>
      <c r="C918" s="28" t="s">
        <v>4182</v>
      </c>
      <c r="D918" s="28" t="s">
        <v>1636</v>
      </c>
      <c r="E918" s="28" t="s">
        <v>2314</v>
      </c>
      <c r="F918" s="2">
        <v>8</v>
      </c>
      <c r="G918" s="2" t="s">
        <v>10</v>
      </c>
      <c r="H918" s="2">
        <v>1998</v>
      </c>
      <c r="I918" s="2" t="str">
        <f t="shared" si="48"/>
        <v>hHLPRXF</v>
      </c>
      <c r="J918" s="2" t="s">
        <v>2315</v>
      </c>
      <c r="K918" s="8" t="s">
        <v>2273</v>
      </c>
      <c r="L918"/>
      <c r="M918" s="2" t="s">
        <v>2270</v>
      </c>
      <c r="P918" s="2" t="s">
        <v>1127</v>
      </c>
      <c r="Q918" s="2" t="s">
        <v>1127</v>
      </c>
    </row>
    <row r="919" spans="1:17" ht="16.5" customHeight="1" x14ac:dyDescent="0.2">
      <c r="A919" s="28" t="s">
        <v>399</v>
      </c>
      <c r="B919" s="28" t="s">
        <v>2247</v>
      </c>
      <c r="C919" s="28" t="s">
        <v>4182</v>
      </c>
      <c r="D919" s="28" t="s">
        <v>1636</v>
      </c>
      <c r="E919" s="28" t="s">
        <v>2314</v>
      </c>
      <c r="F919" s="2">
        <v>9</v>
      </c>
      <c r="G919" s="2" t="s">
        <v>55</v>
      </c>
      <c r="H919" s="2">
        <v>1999</v>
      </c>
      <c r="I919" s="2" t="str">
        <f t="shared" si="48"/>
        <v>iHLPRXF</v>
      </c>
      <c r="J919" s="2" t="s">
        <v>2315</v>
      </c>
      <c r="K919" s="8" t="s">
        <v>2273</v>
      </c>
      <c r="L919"/>
      <c r="M919" s="2" t="s">
        <v>2270</v>
      </c>
      <c r="P919" s="2" t="s">
        <v>1127</v>
      </c>
      <c r="Q919" s="2" t="s">
        <v>1127</v>
      </c>
    </row>
    <row r="920" spans="1:17" ht="16.5" customHeight="1" x14ac:dyDescent="0.2">
      <c r="A920" s="28" t="s">
        <v>399</v>
      </c>
      <c r="B920" s="28" t="s">
        <v>2249</v>
      </c>
      <c r="C920" s="28" t="s">
        <v>4182</v>
      </c>
      <c r="D920" s="28" t="s">
        <v>1636</v>
      </c>
      <c r="E920" s="28" t="s">
        <v>2314</v>
      </c>
      <c r="F920" s="2">
        <v>10</v>
      </c>
      <c r="G920" s="2" t="s">
        <v>98</v>
      </c>
      <c r="H920" s="2">
        <v>2000</v>
      </c>
      <c r="I920" s="2" t="str">
        <f t="shared" si="48"/>
        <v>jHLPRXF</v>
      </c>
      <c r="J920" s="2" t="s">
        <v>2315</v>
      </c>
      <c r="K920" s="8" t="s">
        <v>2273</v>
      </c>
      <c r="L920"/>
      <c r="M920" s="2" t="s">
        <v>2270</v>
      </c>
      <c r="P920" s="2" t="s">
        <v>1127</v>
      </c>
      <c r="Q920" s="2" t="s">
        <v>1127</v>
      </c>
    </row>
    <row r="921" spans="1:17" ht="16.5" customHeight="1" x14ac:dyDescent="0.2">
      <c r="A921" s="28" t="s">
        <v>399</v>
      </c>
      <c r="B921" s="28" t="s">
        <v>2251</v>
      </c>
      <c r="C921" s="28" t="s">
        <v>4182</v>
      </c>
      <c r="D921" s="28" t="s">
        <v>1636</v>
      </c>
      <c r="E921" s="28" t="s">
        <v>2314</v>
      </c>
      <c r="F921" s="2">
        <v>11</v>
      </c>
      <c r="G921" s="2" t="s">
        <v>104</v>
      </c>
      <c r="H921" s="2">
        <v>2001</v>
      </c>
      <c r="I921" s="2" t="str">
        <f t="shared" si="48"/>
        <v>kHLPRXF</v>
      </c>
      <c r="J921" s="2" t="s">
        <v>2315</v>
      </c>
      <c r="K921" s="8" t="s">
        <v>2273</v>
      </c>
      <c r="L921"/>
      <c r="M921" s="2" t="s">
        <v>2270</v>
      </c>
      <c r="P921" s="2" t="s">
        <v>1127</v>
      </c>
      <c r="Q921" s="2" t="s">
        <v>1127</v>
      </c>
    </row>
    <row r="922" spans="1:17" ht="16.5" customHeight="1" x14ac:dyDescent="0.2">
      <c r="A922" s="28" t="s">
        <v>399</v>
      </c>
      <c r="B922" s="28" t="s">
        <v>2253</v>
      </c>
      <c r="C922" s="28" t="s">
        <v>4182</v>
      </c>
      <c r="D922" s="28" t="s">
        <v>1636</v>
      </c>
      <c r="E922" s="28" t="s">
        <v>2314</v>
      </c>
      <c r="F922" s="2">
        <v>12</v>
      </c>
      <c r="G922" s="2" t="s">
        <v>89</v>
      </c>
      <c r="H922" s="2">
        <v>2002</v>
      </c>
      <c r="I922" s="2" t="str">
        <f t="shared" si="48"/>
        <v>lHLPRXF</v>
      </c>
      <c r="J922" s="2" t="s">
        <v>2315</v>
      </c>
      <c r="K922" s="8" t="s">
        <v>2273</v>
      </c>
      <c r="L922"/>
      <c r="M922" s="2" t="s">
        <v>2270</v>
      </c>
      <c r="P922" s="2" t="s">
        <v>1127</v>
      </c>
      <c r="Q922" s="2" t="s">
        <v>1127</v>
      </c>
    </row>
    <row r="923" spans="1:17" ht="16.5" customHeight="1" x14ac:dyDescent="0.2">
      <c r="A923" s="28" t="s">
        <v>399</v>
      </c>
      <c r="B923" s="28" t="s">
        <v>2255</v>
      </c>
      <c r="C923" s="28" t="s">
        <v>4182</v>
      </c>
      <c r="D923" s="28" t="s">
        <v>1636</v>
      </c>
      <c r="E923" s="28" t="s">
        <v>2314</v>
      </c>
      <c r="F923" s="2">
        <v>13</v>
      </c>
      <c r="G923" s="2" t="s">
        <v>107</v>
      </c>
      <c r="H923" s="2">
        <v>2003</v>
      </c>
      <c r="I923" s="2" t="str">
        <f t="shared" si="48"/>
        <v>mHLPRXF</v>
      </c>
      <c r="J923" s="2" t="s">
        <v>2315</v>
      </c>
      <c r="K923" s="8" t="s">
        <v>2273</v>
      </c>
      <c r="L923"/>
      <c r="M923" s="2" t="s">
        <v>2270</v>
      </c>
      <c r="P923" s="2" t="s">
        <v>1127</v>
      </c>
      <c r="Q923" s="2" t="s">
        <v>1127</v>
      </c>
    </row>
    <row r="924" spans="1:17" ht="16.5" customHeight="1" x14ac:dyDescent="0.2">
      <c r="A924" s="28" t="s">
        <v>399</v>
      </c>
      <c r="B924" s="28" t="s">
        <v>2257</v>
      </c>
      <c r="C924" s="28" t="s">
        <v>4182</v>
      </c>
      <c r="D924" s="28" t="s">
        <v>1636</v>
      </c>
      <c r="E924" s="28" t="s">
        <v>2314</v>
      </c>
      <c r="F924" s="2">
        <v>14</v>
      </c>
      <c r="G924" s="2" t="s">
        <v>43</v>
      </c>
      <c r="H924" s="2">
        <v>2004</v>
      </c>
      <c r="I924" s="2" t="str">
        <f t="shared" si="48"/>
        <v>nHLPRXF</v>
      </c>
      <c r="J924" s="2" t="s">
        <v>2315</v>
      </c>
      <c r="K924" s="8" t="s">
        <v>2273</v>
      </c>
      <c r="L924"/>
      <c r="M924" s="2" t="s">
        <v>2270</v>
      </c>
      <c r="P924" s="2" t="s">
        <v>1127</v>
      </c>
      <c r="Q924" s="2" t="s">
        <v>1127</v>
      </c>
    </row>
    <row r="925" spans="1:17" ht="16.5" customHeight="1" x14ac:dyDescent="0.2">
      <c r="A925" s="28" t="s">
        <v>399</v>
      </c>
      <c r="B925" s="28" t="s">
        <v>2259</v>
      </c>
      <c r="C925" s="28" t="s">
        <v>4182</v>
      </c>
      <c r="D925" s="28" t="s">
        <v>1636</v>
      </c>
      <c r="E925" s="28" t="s">
        <v>2314</v>
      </c>
      <c r="F925" s="2">
        <v>15</v>
      </c>
      <c r="G925" s="2" t="s">
        <v>19</v>
      </c>
      <c r="H925" s="2">
        <v>2005</v>
      </c>
      <c r="I925" s="2" t="str">
        <f t="shared" si="48"/>
        <v>oHLPRXF</v>
      </c>
      <c r="J925" s="2" t="s">
        <v>2315</v>
      </c>
      <c r="K925" s="8" t="s">
        <v>2273</v>
      </c>
      <c r="L925"/>
      <c r="M925" s="2" t="s">
        <v>2270</v>
      </c>
      <c r="P925" s="2" t="s">
        <v>1127</v>
      </c>
      <c r="Q925" s="2" t="s">
        <v>1127</v>
      </c>
    </row>
    <row r="926" spans="1:17" ht="16.5" customHeight="1" x14ac:dyDescent="0.2">
      <c r="A926" s="28" t="s">
        <v>399</v>
      </c>
      <c r="B926" s="28" t="s">
        <v>2261</v>
      </c>
      <c r="C926" s="28" t="s">
        <v>4182</v>
      </c>
      <c r="D926" s="28" t="s">
        <v>1636</v>
      </c>
      <c r="E926" s="28" t="s">
        <v>2314</v>
      </c>
      <c r="F926" s="2">
        <v>16</v>
      </c>
      <c r="G926" s="2" t="s">
        <v>25</v>
      </c>
      <c r="H926" s="2">
        <v>2006</v>
      </c>
      <c r="I926" s="2" t="str">
        <f t="shared" si="48"/>
        <v>pHLPRXF</v>
      </c>
      <c r="J926" s="2" t="s">
        <v>2315</v>
      </c>
      <c r="K926" s="8" t="s">
        <v>2273</v>
      </c>
      <c r="L926"/>
      <c r="M926" s="2" t="s">
        <v>2270</v>
      </c>
      <c r="P926" s="2" t="s">
        <v>1127</v>
      </c>
      <c r="Q926" s="2" t="s">
        <v>1127</v>
      </c>
    </row>
    <row r="927" spans="1:17" ht="16.5" customHeight="1" x14ac:dyDescent="0.2">
      <c r="A927" s="28" t="s">
        <v>399</v>
      </c>
      <c r="B927" s="28" t="s">
        <v>2263</v>
      </c>
      <c r="C927" s="28" t="s">
        <v>4182</v>
      </c>
      <c r="D927" s="28" t="s">
        <v>1636</v>
      </c>
      <c r="E927" s="28" t="s">
        <v>2314</v>
      </c>
      <c r="F927" s="2">
        <v>17</v>
      </c>
      <c r="G927" s="2" t="s">
        <v>73</v>
      </c>
      <c r="H927" s="2">
        <v>2007</v>
      </c>
      <c r="I927" s="2" t="str">
        <f t="shared" si="48"/>
        <v>qHLPRXF</v>
      </c>
      <c r="J927" s="2" t="s">
        <v>2315</v>
      </c>
      <c r="K927" s="8" t="s">
        <v>2273</v>
      </c>
      <c r="L927"/>
      <c r="M927" s="2" t="s">
        <v>2270</v>
      </c>
      <c r="P927" s="2" t="s">
        <v>1127</v>
      </c>
      <c r="Q927" s="2" t="s">
        <v>1127</v>
      </c>
    </row>
    <row r="928" spans="1:17" ht="16.5" customHeight="1" x14ac:dyDescent="0.2">
      <c r="A928" s="28" t="s">
        <v>399</v>
      </c>
      <c r="B928" s="28" t="s">
        <v>2265</v>
      </c>
      <c r="C928" s="28" t="s">
        <v>4182</v>
      </c>
      <c r="D928" s="28" t="s">
        <v>1636</v>
      </c>
      <c r="E928" s="28" t="s">
        <v>2314</v>
      </c>
      <c r="F928" s="2">
        <v>18</v>
      </c>
      <c r="G928" s="2" t="s">
        <v>58</v>
      </c>
      <c r="H928" s="2">
        <v>2008</v>
      </c>
      <c r="I928" s="2" t="str">
        <f t="shared" si="48"/>
        <v>rHLPRXF</v>
      </c>
      <c r="J928" s="2" t="s">
        <v>2315</v>
      </c>
      <c r="K928" s="8" t="s">
        <v>2273</v>
      </c>
      <c r="L928"/>
      <c r="M928" s="2" t="s">
        <v>2270</v>
      </c>
      <c r="P928" s="2" t="s">
        <v>1127</v>
      </c>
      <c r="Q928" s="2" t="s">
        <v>1127</v>
      </c>
    </row>
    <row r="929" spans="1:17" ht="16.5" customHeight="1" x14ac:dyDescent="0.2">
      <c r="A929" s="28" t="s">
        <v>399</v>
      </c>
      <c r="B929" s="28" t="s">
        <v>2251</v>
      </c>
      <c r="C929" s="28" t="s">
        <v>4182</v>
      </c>
      <c r="D929" s="28" t="s">
        <v>1636</v>
      </c>
      <c r="E929" s="28" t="s">
        <v>1318</v>
      </c>
      <c r="F929" s="2">
        <v>11</v>
      </c>
      <c r="G929" s="2" t="s">
        <v>104</v>
      </c>
      <c r="H929" s="2">
        <v>2001</v>
      </c>
      <c r="I929" s="2" t="str">
        <f t="shared" ref="I929:I936" si="49">_xlfn.CONCAT(G929,"HLPRBO")</f>
        <v>kHLPRBO</v>
      </c>
      <c r="J929" s="2" t="s">
        <v>2316</v>
      </c>
      <c r="K929" s="8" t="s">
        <v>2273</v>
      </c>
      <c r="L929"/>
      <c r="M929" s="2" t="s">
        <v>2270</v>
      </c>
      <c r="P929" s="2" t="s">
        <v>1127</v>
      </c>
      <c r="Q929" s="2" t="s">
        <v>1127</v>
      </c>
    </row>
    <row r="930" spans="1:17" ht="16.5" customHeight="1" x14ac:dyDescent="0.2">
      <c r="A930" s="28" t="s">
        <v>399</v>
      </c>
      <c r="B930" s="28" t="s">
        <v>2253</v>
      </c>
      <c r="C930" s="28" t="s">
        <v>4182</v>
      </c>
      <c r="D930" s="28" t="s">
        <v>1636</v>
      </c>
      <c r="E930" s="28" t="s">
        <v>1318</v>
      </c>
      <c r="F930" s="2">
        <v>12</v>
      </c>
      <c r="G930" s="2" t="s">
        <v>89</v>
      </c>
      <c r="H930" s="2">
        <v>2002</v>
      </c>
      <c r="I930" s="2" t="str">
        <f t="shared" si="49"/>
        <v>lHLPRBO</v>
      </c>
      <c r="J930" s="2" t="s">
        <v>2316</v>
      </c>
      <c r="K930" s="8" t="s">
        <v>2273</v>
      </c>
      <c r="L930"/>
      <c r="M930" s="2" t="s">
        <v>2270</v>
      </c>
      <c r="P930" s="2" t="s">
        <v>1127</v>
      </c>
      <c r="Q930" s="2" t="s">
        <v>1127</v>
      </c>
    </row>
    <row r="931" spans="1:17" ht="16.5" customHeight="1" x14ac:dyDescent="0.2">
      <c r="A931" s="28" t="s">
        <v>399</v>
      </c>
      <c r="B931" s="28" t="s">
        <v>2255</v>
      </c>
      <c r="C931" s="28" t="s">
        <v>4182</v>
      </c>
      <c r="D931" s="28" t="s">
        <v>1636</v>
      </c>
      <c r="E931" s="28" t="s">
        <v>1318</v>
      </c>
      <c r="F931" s="2">
        <v>13</v>
      </c>
      <c r="G931" s="2" t="s">
        <v>107</v>
      </c>
      <c r="H931" s="2">
        <v>2003</v>
      </c>
      <c r="I931" s="2" t="str">
        <f t="shared" si="49"/>
        <v>mHLPRBO</v>
      </c>
      <c r="J931" s="2" t="s">
        <v>2316</v>
      </c>
      <c r="K931" s="8" t="s">
        <v>2273</v>
      </c>
      <c r="L931"/>
      <c r="M931" s="2" t="s">
        <v>2270</v>
      </c>
      <c r="P931" s="2" t="s">
        <v>1127</v>
      </c>
      <c r="Q931" s="2" t="s">
        <v>1127</v>
      </c>
    </row>
    <row r="932" spans="1:17" ht="16.5" customHeight="1" x14ac:dyDescent="0.2">
      <c r="A932" s="28" t="s">
        <v>399</v>
      </c>
      <c r="B932" s="28" t="s">
        <v>2257</v>
      </c>
      <c r="C932" s="28" t="s">
        <v>4182</v>
      </c>
      <c r="D932" s="28" t="s">
        <v>1636</v>
      </c>
      <c r="E932" s="28" t="s">
        <v>1318</v>
      </c>
      <c r="F932" s="2">
        <v>14</v>
      </c>
      <c r="G932" s="2" t="s">
        <v>43</v>
      </c>
      <c r="H932" s="2">
        <v>2004</v>
      </c>
      <c r="I932" s="2" t="str">
        <f t="shared" si="49"/>
        <v>nHLPRBO</v>
      </c>
      <c r="J932" s="2" t="s">
        <v>2316</v>
      </c>
      <c r="K932" s="8" t="s">
        <v>2273</v>
      </c>
      <c r="L932"/>
      <c r="M932" s="2" t="s">
        <v>2270</v>
      </c>
      <c r="P932" s="2" t="s">
        <v>1127</v>
      </c>
      <c r="Q932" s="2" t="s">
        <v>1127</v>
      </c>
    </row>
    <row r="933" spans="1:17" ht="16.5" customHeight="1" x14ac:dyDescent="0.2">
      <c r="A933" s="28" t="s">
        <v>399</v>
      </c>
      <c r="B933" s="28" t="s">
        <v>2259</v>
      </c>
      <c r="C933" s="28" t="s">
        <v>4182</v>
      </c>
      <c r="D933" s="28" t="s">
        <v>1636</v>
      </c>
      <c r="E933" s="28" t="s">
        <v>1318</v>
      </c>
      <c r="F933" s="2">
        <v>15</v>
      </c>
      <c r="G933" s="2" t="s">
        <v>19</v>
      </c>
      <c r="H933" s="2">
        <v>2005</v>
      </c>
      <c r="I933" s="2" t="str">
        <f t="shared" si="49"/>
        <v>oHLPRBO</v>
      </c>
      <c r="J933" s="2" t="s">
        <v>2316</v>
      </c>
      <c r="K933" s="8" t="s">
        <v>2273</v>
      </c>
      <c r="L933"/>
      <c r="M933" s="2" t="s">
        <v>2270</v>
      </c>
      <c r="P933" s="2" t="s">
        <v>1127</v>
      </c>
      <c r="Q933" s="2" t="s">
        <v>1127</v>
      </c>
    </row>
    <row r="934" spans="1:17" ht="16.5" customHeight="1" x14ac:dyDescent="0.2">
      <c r="A934" s="28" t="s">
        <v>399</v>
      </c>
      <c r="B934" s="28" t="s">
        <v>2261</v>
      </c>
      <c r="C934" s="28" t="s">
        <v>4182</v>
      </c>
      <c r="D934" s="28" t="s">
        <v>1636</v>
      </c>
      <c r="E934" s="28" t="s">
        <v>1318</v>
      </c>
      <c r="F934" s="2">
        <v>16</v>
      </c>
      <c r="G934" s="2" t="s">
        <v>25</v>
      </c>
      <c r="H934" s="2">
        <v>2006</v>
      </c>
      <c r="I934" s="2" t="str">
        <f t="shared" si="49"/>
        <v>pHLPRBO</v>
      </c>
      <c r="J934" s="2" t="s">
        <v>2316</v>
      </c>
      <c r="K934" s="8" t="s">
        <v>2273</v>
      </c>
      <c r="L934"/>
      <c r="M934" s="2" t="s">
        <v>2270</v>
      </c>
      <c r="P934" s="2" t="s">
        <v>1127</v>
      </c>
      <c r="Q934" s="2" t="s">
        <v>1127</v>
      </c>
    </row>
    <row r="935" spans="1:17" ht="16.5" customHeight="1" x14ac:dyDescent="0.2">
      <c r="A935" s="28" t="s">
        <v>399</v>
      </c>
      <c r="B935" s="28" t="s">
        <v>2263</v>
      </c>
      <c r="C935" s="28" t="s">
        <v>4182</v>
      </c>
      <c r="D935" s="28" t="s">
        <v>1636</v>
      </c>
      <c r="E935" s="28" t="s">
        <v>1318</v>
      </c>
      <c r="F935" s="2">
        <v>17</v>
      </c>
      <c r="G935" s="2" t="s">
        <v>73</v>
      </c>
      <c r="H935" s="2">
        <v>2007</v>
      </c>
      <c r="I935" s="2" t="str">
        <f t="shared" si="49"/>
        <v>qHLPRBO</v>
      </c>
      <c r="J935" s="2" t="s">
        <v>2316</v>
      </c>
      <c r="K935" s="8" t="s">
        <v>2273</v>
      </c>
      <c r="L935"/>
      <c r="M935" s="2" t="s">
        <v>2270</v>
      </c>
      <c r="P935" s="2" t="s">
        <v>1127</v>
      </c>
      <c r="Q935" s="2" t="s">
        <v>1127</v>
      </c>
    </row>
    <row r="936" spans="1:17" ht="16.5" customHeight="1" x14ac:dyDescent="0.2">
      <c r="A936" s="28" t="s">
        <v>399</v>
      </c>
      <c r="B936" s="28" t="s">
        <v>2265</v>
      </c>
      <c r="C936" s="28" t="s">
        <v>4182</v>
      </c>
      <c r="D936" s="28" t="s">
        <v>1636</v>
      </c>
      <c r="E936" s="28" t="s">
        <v>1318</v>
      </c>
      <c r="F936" s="2">
        <v>18</v>
      </c>
      <c r="G936" s="2" t="s">
        <v>58</v>
      </c>
      <c r="H936" s="2">
        <v>2008</v>
      </c>
      <c r="I936" s="2" t="str">
        <f t="shared" si="49"/>
        <v>rHLPRBO</v>
      </c>
      <c r="J936" s="2" t="s">
        <v>2316</v>
      </c>
      <c r="K936" s="8" t="s">
        <v>2273</v>
      </c>
      <c r="L936"/>
      <c r="M936" s="2" t="s">
        <v>2270</v>
      </c>
      <c r="P936" s="2" t="s">
        <v>1127</v>
      </c>
      <c r="Q936" s="2" t="s">
        <v>1127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9E1C-16B0-6E42-B333-FC16A38DA8C8}">
  <dimension ref="A1:Q1165"/>
  <sheetViews>
    <sheetView workbookViewId="0">
      <selection activeCell="F16" sqref="F16"/>
    </sheetView>
  </sheetViews>
  <sheetFormatPr baseColWidth="10" defaultRowHeight="16" x14ac:dyDescent="0.2"/>
  <sheetData>
    <row r="1" spans="1:17" ht="15.75" customHeight="1" x14ac:dyDescent="0.2">
      <c r="A1" s="2" t="s">
        <v>109</v>
      </c>
      <c r="B1" s="2" t="s">
        <v>110</v>
      </c>
      <c r="C1" s="2" t="s">
        <v>111</v>
      </c>
      <c r="D1" s="2" t="s">
        <v>112</v>
      </c>
      <c r="E1" s="2" t="s">
        <v>113</v>
      </c>
      <c r="F1" s="21" t="s">
        <v>114</v>
      </c>
      <c r="G1" s="21" t="s">
        <v>116</v>
      </c>
      <c r="H1" s="2" t="s">
        <v>117</v>
      </c>
      <c r="I1" s="2" t="s">
        <v>486</v>
      </c>
      <c r="J1" s="2" t="s">
        <v>118</v>
      </c>
      <c r="K1" s="2" t="s">
        <v>119</v>
      </c>
      <c r="L1" s="2" t="s">
        <v>120</v>
      </c>
      <c r="M1" s="2" t="s">
        <v>121</v>
      </c>
      <c r="N1" s="2" t="s">
        <v>122</v>
      </c>
      <c r="O1" s="2" t="s">
        <v>123</v>
      </c>
      <c r="P1" s="2" t="s">
        <v>4179</v>
      </c>
      <c r="Q1" s="2" t="s">
        <v>4180</v>
      </c>
    </row>
    <row r="2" spans="1:17" ht="15" customHeight="1" x14ac:dyDescent="0.2">
      <c r="A2" s="23" t="s">
        <v>460</v>
      </c>
      <c r="B2" s="23" t="s">
        <v>461</v>
      </c>
      <c r="C2" s="23" t="s">
        <v>598</v>
      </c>
      <c r="D2" s="23" t="s">
        <v>716</v>
      </c>
      <c r="E2" s="23" t="s">
        <v>716</v>
      </c>
      <c r="F2" s="4"/>
      <c r="G2" s="21">
        <v>0</v>
      </c>
      <c r="H2" t="s">
        <v>726</v>
      </c>
      <c r="J2" s="2" t="s">
        <v>727</v>
      </c>
    </row>
    <row r="3" spans="1:17" ht="18" customHeight="1" x14ac:dyDescent="0.2">
      <c r="A3" s="23" t="s">
        <v>460</v>
      </c>
      <c r="B3" s="23" t="s">
        <v>728</v>
      </c>
      <c r="C3" s="23" t="s">
        <v>598</v>
      </c>
      <c r="D3" s="23" t="s">
        <v>729</v>
      </c>
      <c r="E3" s="23" t="s">
        <v>730</v>
      </c>
      <c r="F3" s="2">
        <v>1</v>
      </c>
      <c r="G3" s="21">
        <v>1999</v>
      </c>
      <c r="H3" s="4" t="s">
        <v>731</v>
      </c>
      <c r="I3" s="4" t="s">
        <v>732</v>
      </c>
      <c r="J3" s="4" t="s">
        <v>733</v>
      </c>
      <c r="K3" s="2" t="s">
        <v>725</v>
      </c>
    </row>
    <row r="4" spans="1:17" ht="18" customHeight="1" x14ac:dyDescent="0.2">
      <c r="A4" s="23" t="s">
        <v>460</v>
      </c>
      <c r="B4" s="23" t="s">
        <v>728</v>
      </c>
      <c r="C4" s="23" t="s">
        <v>598</v>
      </c>
      <c r="D4" s="23" t="s">
        <v>729</v>
      </c>
      <c r="E4" s="23" t="s">
        <v>730</v>
      </c>
      <c r="F4" s="2">
        <v>2</v>
      </c>
      <c r="G4" s="21">
        <v>2000</v>
      </c>
      <c r="H4" s="4" t="s">
        <v>734</v>
      </c>
      <c r="I4" s="4" t="s">
        <v>732</v>
      </c>
      <c r="J4" s="4" t="s">
        <v>733</v>
      </c>
      <c r="K4" s="2" t="s">
        <v>725</v>
      </c>
    </row>
    <row r="5" spans="1:17" ht="18" customHeight="1" x14ac:dyDescent="0.2">
      <c r="A5" s="23" t="s">
        <v>460</v>
      </c>
      <c r="B5" s="23" t="s">
        <v>728</v>
      </c>
      <c r="C5" s="23" t="s">
        <v>598</v>
      </c>
      <c r="D5" s="23" t="s">
        <v>729</v>
      </c>
      <c r="E5" s="23" t="s">
        <v>730</v>
      </c>
      <c r="F5" s="2">
        <v>3</v>
      </c>
      <c r="G5" s="21">
        <v>2001</v>
      </c>
      <c r="H5" s="4" t="s">
        <v>735</v>
      </c>
      <c r="I5" s="4" t="s">
        <v>732</v>
      </c>
      <c r="J5" s="4" t="s">
        <v>733</v>
      </c>
      <c r="K5" s="2" t="s">
        <v>725</v>
      </c>
    </row>
    <row r="6" spans="1:17" ht="18" customHeight="1" x14ac:dyDescent="0.2">
      <c r="A6" s="23" t="s">
        <v>460</v>
      </c>
      <c r="B6" s="23" t="s">
        <v>728</v>
      </c>
      <c r="C6" s="23" t="s">
        <v>598</v>
      </c>
      <c r="D6" s="23" t="s">
        <v>729</v>
      </c>
      <c r="E6" s="23" t="s">
        <v>730</v>
      </c>
      <c r="F6" s="2">
        <v>4</v>
      </c>
      <c r="G6" s="21">
        <v>2002</v>
      </c>
      <c r="H6" s="4" t="s">
        <v>736</v>
      </c>
      <c r="I6" s="4" t="s">
        <v>732</v>
      </c>
      <c r="J6" s="4" t="s">
        <v>733</v>
      </c>
      <c r="K6" s="2" t="s">
        <v>725</v>
      </c>
    </row>
    <row r="7" spans="1:17" ht="18" customHeight="1" x14ac:dyDescent="0.2">
      <c r="A7" s="23" t="s">
        <v>460</v>
      </c>
      <c r="B7" s="23" t="s">
        <v>728</v>
      </c>
      <c r="C7" s="23" t="s">
        <v>598</v>
      </c>
      <c r="D7" s="23" t="s">
        <v>729</v>
      </c>
      <c r="E7" s="23" t="s">
        <v>730</v>
      </c>
      <c r="F7" s="2">
        <v>5</v>
      </c>
      <c r="G7" s="21">
        <v>2003</v>
      </c>
      <c r="H7" s="4" t="s">
        <v>737</v>
      </c>
      <c r="I7" s="4" t="s">
        <v>732</v>
      </c>
      <c r="J7" s="4" t="s">
        <v>733</v>
      </c>
      <c r="K7" s="2" t="s">
        <v>725</v>
      </c>
    </row>
    <row r="8" spans="1:17" ht="18" customHeight="1" x14ac:dyDescent="0.2">
      <c r="A8" s="23" t="s">
        <v>460</v>
      </c>
      <c r="B8" s="23" t="s">
        <v>728</v>
      </c>
      <c r="C8" s="23" t="s">
        <v>598</v>
      </c>
      <c r="D8" s="23" t="s">
        <v>729</v>
      </c>
      <c r="E8" s="23" t="s">
        <v>730</v>
      </c>
      <c r="F8" s="2">
        <v>6</v>
      </c>
      <c r="G8" s="21">
        <v>2004</v>
      </c>
      <c r="H8" s="4" t="s">
        <v>738</v>
      </c>
      <c r="I8" s="4" t="s">
        <v>732</v>
      </c>
      <c r="J8" s="4" t="s">
        <v>733</v>
      </c>
      <c r="K8" s="2" t="s">
        <v>725</v>
      </c>
    </row>
    <row r="9" spans="1:17" ht="18" customHeight="1" x14ac:dyDescent="0.2">
      <c r="A9" s="23" t="s">
        <v>460</v>
      </c>
      <c r="B9" s="23" t="s">
        <v>728</v>
      </c>
      <c r="C9" s="23" t="s">
        <v>598</v>
      </c>
      <c r="D9" s="23" t="s">
        <v>729</v>
      </c>
      <c r="E9" s="23" t="s">
        <v>730</v>
      </c>
      <c r="F9" s="2">
        <v>7</v>
      </c>
      <c r="G9" s="21">
        <v>2005</v>
      </c>
      <c r="H9" s="4" t="s">
        <v>739</v>
      </c>
      <c r="I9" s="4" t="s">
        <v>732</v>
      </c>
      <c r="J9" s="4" t="s">
        <v>733</v>
      </c>
      <c r="K9" s="2" t="s">
        <v>725</v>
      </c>
    </row>
    <row r="10" spans="1:17" ht="18" customHeight="1" x14ac:dyDescent="0.2">
      <c r="A10" s="23" t="s">
        <v>460</v>
      </c>
      <c r="B10" s="23" t="s">
        <v>728</v>
      </c>
      <c r="C10" s="23" t="s">
        <v>598</v>
      </c>
      <c r="D10" s="23" t="s">
        <v>729</v>
      </c>
      <c r="E10" s="23" t="s">
        <v>730</v>
      </c>
      <c r="F10" s="2">
        <v>8</v>
      </c>
      <c r="G10" s="21">
        <v>2006</v>
      </c>
      <c r="H10" s="4" t="s">
        <v>740</v>
      </c>
      <c r="I10" s="4" t="s">
        <v>732</v>
      </c>
      <c r="J10" s="4" t="s">
        <v>733</v>
      </c>
      <c r="K10" s="2" t="s">
        <v>725</v>
      </c>
    </row>
    <row r="11" spans="1:17" ht="18" customHeight="1" x14ac:dyDescent="0.2">
      <c r="A11" s="23" t="s">
        <v>460</v>
      </c>
      <c r="B11" s="23" t="s">
        <v>728</v>
      </c>
      <c r="C11" s="23" t="s">
        <v>598</v>
      </c>
      <c r="D11" s="23" t="s">
        <v>729</v>
      </c>
      <c r="E11" s="23" t="s">
        <v>730</v>
      </c>
      <c r="F11" s="2">
        <v>9</v>
      </c>
      <c r="G11" s="21">
        <v>2007</v>
      </c>
      <c r="H11" s="4" t="s">
        <v>741</v>
      </c>
      <c r="I11" s="4" t="s">
        <v>732</v>
      </c>
      <c r="J11" s="4" t="s">
        <v>733</v>
      </c>
      <c r="K11" s="2" t="s">
        <v>725</v>
      </c>
    </row>
    <row r="12" spans="1:17" ht="18" customHeight="1" x14ac:dyDescent="0.2">
      <c r="A12" s="23" t="s">
        <v>460</v>
      </c>
      <c r="B12" s="23" t="s">
        <v>728</v>
      </c>
      <c r="C12" s="23" t="s">
        <v>598</v>
      </c>
      <c r="D12" s="23" t="s">
        <v>729</v>
      </c>
      <c r="E12" s="23" t="s">
        <v>730</v>
      </c>
      <c r="F12" s="2">
        <v>10</v>
      </c>
      <c r="G12" s="21">
        <v>2008</v>
      </c>
      <c r="H12" s="4" t="s">
        <v>742</v>
      </c>
      <c r="I12" s="4" t="s">
        <v>732</v>
      </c>
      <c r="J12" s="4" t="s">
        <v>733</v>
      </c>
      <c r="K12" s="2" t="s">
        <v>725</v>
      </c>
    </row>
    <row r="13" spans="1:17" ht="18" customHeight="1" x14ac:dyDescent="0.2">
      <c r="A13" s="23" t="s">
        <v>460</v>
      </c>
      <c r="B13" s="23" t="s">
        <v>728</v>
      </c>
      <c r="C13" s="23" t="s">
        <v>598</v>
      </c>
      <c r="D13" s="23" t="s">
        <v>729</v>
      </c>
      <c r="E13" s="23" t="s">
        <v>730</v>
      </c>
      <c r="F13" s="2">
        <v>11</v>
      </c>
      <c r="G13" s="21">
        <v>2009</v>
      </c>
      <c r="H13" s="4" t="s">
        <v>743</v>
      </c>
      <c r="I13" s="4" t="s">
        <v>732</v>
      </c>
      <c r="J13" s="4" t="s">
        <v>733</v>
      </c>
      <c r="K13" s="2" t="s">
        <v>725</v>
      </c>
    </row>
    <row r="14" spans="1:17" ht="18" customHeight="1" x14ac:dyDescent="0.2">
      <c r="A14" s="23" t="s">
        <v>460</v>
      </c>
      <c r="B14" s="23" t="s">
        <v>728</v>
      </c>
      <c r="C14" s="23" t="s">
        <v>598</v>
      </c>
      <c r="D14" s="23" t="s">
        <v>729</v>
      </c>
      <c r="E14" s="23" t="s">
        <v>730</v>
      </c>
      <c r="F14" s="2">
        <v>12</v>
      </c>
      <c r="G14" s="21">
        <v>2010</v>
      </c>
      <c r="H14" s="4" t="s">
        <v>744</v>
      </c>
      <c r="I14" s="4" t="s">
        <v>732</v>
      </c>
      <c r="J14" s="4" t="s">
        <v>733</v>
      </c>
      <c r="K14" s="2" t="s">
        <v>725</v>
      </c>
    </row>
    <row r="15" spans="1:17" ht="18" customHeight="1" x14ac:dyDescent="0.2">
      <c r="A15" s="23" t="s">
        <v>460</v>
      </c>
      <c r="B15" s="23" t="s">
        <v>728</v>
      </c>
      <c r="C15" s="23" t="s">
        <v>598</v>
      </c>
      <c r="D15" s="23" t="s">
        <v>729</v>
      </c>
      <c r="E15" s="23" t="s">
        <v>730</v>
      </c>
      <c r="F15" s="2">
        <v>13</v>
      </c>
      <c r="G15" s="21">
        <v>2011</v>
      </c>
      <c r="H15" s="4" t="s">
        <v>745</v>
      </c>
      <c r="I15" s="4" t="s">
        <v>732</v>
      </c>
      <c r="J15" s="4" t="s">
        <v>733</v>
      </c>
      <c r="K15" s="2" t="s">
        <v>725</v>
      </c>
    </row>
    <row r="16" spans="1:17" ht="18" customHeight="1" x14ac:dyDescent="0.2">
      <c r="A16" s="23" t="s">
        <v>460</v>
      </c>
      <c r="B16" s="23" t="s">
        <v>728</v>
      </c>
      <c r="C16" s="23" t="s">
        <v>598</v>
      </c>
      <c r="D16" s="23" t="s">
        <v>729</v>
      </c>
      <c r="E16" s="23" t="s">
        <v>730</v>
      </c>
      <c r="F16" s="2">
        <v>14</v>
      </c>
      <c r="G16" s="21">
        <v>2012</v>
      </c>
      <c r="H16" s="4" t="s">
        <v>746</v>
      </c>
      <c r="I16" s="4" t="s">
        <v>732</v>
      </c>
      <c r="J16" s="4" t="s">
        <v>733</v>
      </c>
      <c r="K16" s="2" t="s">
        <v>725</v>
      </c>
    </row>
    <row r="17" spans="1:17" ht="18" customHeight="1" x14ac:dyDescent="0.2">
      <c r="A17" s="23" t="s">
        <v>460</v>
      </c>
      <c r="B17" s="23" t="s">
        <v>728</v>
      </c>
      <c r="C17" s="23" t="s">
        <v>598</v>
      </c>
      <c r="D17" s="23" t="s">
        <v>729</v>
      </c>
      <c r="E17" s="23" t="s">
        <v>730</v>
      </c>
      <c r="F17" s="2">
        <v>15</v>
      </c>
      <c r="G17" s="21">
        <v>2013</v>
      </c>
      <c r="H17" s="4" t="s">
        <v>747</v>
      </c>
      <c r="I17" s="4" t="s">
        <v>732</v>
      </c>
      <c r="J17" s="4" t="s">
        <v>733</v>
      </c>
      <c r="K17" s="2" t="s">
        <v>725</v>
      </c>
    </row>
    <row r="18" spans="1:17" ht="18" customHeight="1" x14ac:dyDescent="0.2">
      <c r="A18" s="23" t="s">
        <v>460</v>
      </c>
      <c r="B18" s="23" t="s">
        <v>728</v>
      </c>
      <c r="C18" s="23" t="s">
        <v>598</v>
      </c>
      <c r="D18" s="23" t="s">
        <v>729</v>
      </c>
      <c r="E18" s="23" t="s">
        <v>730</v>
      </c>
      <c r="F18" s="2">
        <v>16</v>
      </c>
      <c r="G18" s="21">
        <v>2014</v>
      </c>
      <c r="H18" s="4" t="s">
        <v>748</v>
      </c>
      <c r="I18" s="4" t="s">
        <v>732</v>
      </c>
      <c r="J18" s="4" t="s">
        <v>733</v>
      </c>
      <c r="K18" s="2" t="s">
        <v>725</v>
      </c>
    </row>
    <row r="19" spans="1:17" ht="18" customHeight="1" x14ac:dyDescent="0.2">
      <c r="A19" s="23" t="s">
        <v>460</v>
      </c>
      <c r="B19" s="23" t="s">
        <v>728</v>
      </c>
      <c r="C19" s="23" t="s">
        <v>598</v>
      </c>
      <c r="D19" s="23" t="s">
        <v>729</v>
      </c>
      <c r="E19" s="23" t="s">
        <v>730</v>
      </c>
      <c r="F19" s="2">
        <v>17</v>
      </c>
      <c r="G19" s="21">
        <v>2015</v>
      </c>
      <c r="H19" s="4" t="s">
        <v>749</v>
      </c>
      <c r="I19" s="4" t="s">
        <v>732</v>
      </c>
      <c r="J19" s="4" t="s">
        <v>733</v>
      </c>
      <c r="K19" s="2" t="s">
        <v>725</v>
      </c>
    </row>
    <row r="20" spans="1:17" ht="18" customHeight="1" x14ac:dyDescent="0.2">
      <c r="A20" s="23" t="s">
        <v>460</v>
      </c>
      <c r="B20" s="23" t="s">
        <v>728</v>
      </c>
      <c r="C20" s="23" t="s">
        <v>598</v>
      </c>
      <c r="D20" s="23" t="s">
        <v>729</v>
      </c>
      <c r="E20" s="23" t="s">
        <v>730</v>
      </c>
      <c r="F20" s="2">
        <v>18</v>
      </c>
      <c r="G20" s="21">
        <v>2016</v>
      </c>
      <c r="H20" s="4" t="s">
        <v>750</v>
      </c>
      <c r="I20" s="4" t="s">
        <v>732</v>
      </c>
      <c r="J20" s="4" t="s">
        <v>733</v>
      </c>
      <c r="K20" s="2" t="s">
        <v>725</v>
      </c>
    </row>
    <row r="21" spans="1:17" ht="18" customHeight="1" x14ac:dyDescent="0.2">
      <c r="A21" s="23" t="s">
        <v>460</v>
      </c>
      <c r="B21" s="23" t="s">
        <v>728</v>
      </c>
      <c r="C21" s="23" t="s">
        <v>598</v>
      </c>
      <c r="D21" s="23" t="s">
        <v>729</v>
      </c>
      <c r="E21" s="23" t="s">
        <v>730</v>
      </c>
      <c r="F21" s="2">
        <v>19</v>
      </c>
      <c r="G21" s="21">
        <v>2017</v>
      </c>
      <c r="H21" s="4" t="s">
        <v>751</v>
      </c>
      <c r="I21" s="4" t="s">
        <v>732</v>
      </c>
      <c r="J21" s="4" t="s">
        <v>733</v>
      </c>
      <c r="K21" s="2" t="s">
        <v>725</v>
      </c>
    </row>
    <row r="22" spans="1:17" ht="18" customHeight="1" x14ac:dyDescent="0.2">
      <c r="A22" s="23" t="s">
        <v>460</v>
      </c>
      <c r="B22" s="23" t="s">
        <v>728</v>
      </c>
      <c r="C22" s="23" t="s">
        <v>598</v>
      </c>
      <c r="D22" s="23" t="s">
        <v>729</v>
      </c>
      <c r="E22" s="23" t="s">
        <v>730</v>
      </c>
      <c r="F22" s="2">
        <v>20</v>
      </c>
      <c r="G22" s="21">
        <v>2018</v>
      </c>
      <c r="H22" s="4" t="s">
        <v>752</v>
      </c>
      <c r="I22" s="4" t="s">
        <v>732</v>
      </c>
      <c r="J22" s="4" t="s">
        <v>733</v>
      </c>
      <c r="K22" s="2" t="s">
        <v>725</v>
      </c>
    </row>
    <row r="23" spans="1:17" ht="18" customHeight="1" x14ac:dyDescent="0.2">
      <c r="A23" s="23" t="s">
        <v>460</v>
      </c>
      <c r="B23" s="23" t="s">
        <v>728</v>
      </c>
      <c r="C23" s="23" t="s">
        <v>598</v>
      </c>
      <c r="D23" s="23" t="s">
        <v>729</v>
      </c>
      <c r="E23" s="23" t="s">
        <v>730</v>
      </c>
      <c r="F23" s="2">
        <v>21</v>
      </c>
      <c r="G23" s="21">
        <v>2019</v>
      </c>
      <c r="H23" s="4" t="s">
        <v>753</v>
      </c>
      <c r="I23" s="4" t="s">
        <v>732</v>
      </c>
      <c r="J23" s="4" t="s">
        <v>733</v>
      </c>
      <c r="K23" s="2" t="s">
        <v>725</v>
      </c>
    </row>
    <row r="24" spans="1:17" ht="18" customHeight="1" x14ac:dyDescent="0.2">
      <c r="A24" s="23" t="s">
        <v>460</v>
      </c>
      <c r="B24" s="23" t="s">
        <v>722</v>
      </c>
      <c r="C24" s="23" t="s">
        <v>4182</v>
      </c>
      <c r="D24" s="23" t="s">
        <v>638</v>
      </c>
      <c r="E24" s="23" t="s">
        <v>723</v>
      </c>
      <c r="F24" s="2"/>
      <c r="G24" s="21">
        <v>0</v>
      </c>
      <c r="H24" s="4" t="s">
        <v>722</v>
      </c>
      <c r="I24" s="4"/>
      <c r="J24" s="4" t="s">
        <v>724</v>
      </c>
      <c r="K24" s="2" t="s">
        <v>725</v>
      </c>
      <c r="M24" s="2" t="s">
        <v>8</v>
      </c>
      <c r="P24" s="2" t="s">
        <v>4181</v>
      </c>
      <c r="Q24" s="2" t="s">
        <v>4181</v>
      </c>
    </row>
    <row r="25" spans="1:17" ht="18" customHeight="1" x14ac:dyDescent="0.2">
      <c r="A25" s="23" t="s">
        <v>460</v>
      </c>
      <c r="B25" s="23"/>
      <c r="C25" s="23" t="s">
        <v>4182</v>
      </c>
      <c r="D25" s="23" t="s">
        <v>602</v>
      </c>
      <c r="E25" s="23" t="s">
        <v>718</v>
      </c>
      <c r="F25" s="2">
        <v>1</v>
      </c>
      <c r="G25" s="2">
        <v>1999</v>
      </c>
      <c r="H25" s="2" t="str">
        <f t="shared" ref="H25:H45" si="0">CONCATENATE(I25,RIGHT(G25,2))</f>
        <v>SEX99</v>
      </c>
      <c r="I25" s="2" t="s">
        <v>719</v>
      </c>
      <c r="J25" s="2" t="s">
        <v>604</v>
      </c>
      <c r="K25" s="4" t="s">
        <v>720</v>
      </c>
      <c r="M25" s="2" t="s">
        <v>721</v>
      </c>
      <c r="P25" s="2" t="s">
        <v>4181</v>
      </c>
      <c r="Q25" s="2" t="s">
        <v>4181</v>
      </c>
    </row>
    <row r="26" spans="1:17" ht="18" customHeight="1" x14ac:dyDescent="0.2">
      <c r="A26" s="23" t="s">
        <v>460</v>
      </c>
      <c r="B26" s="23"/>
      <c r="C26" s="23" t="s">
        <v>4182</v>
      </c>
      <c r="D26" s="23" t="s">
        <v>602</v>
      </c>
      <c r="E26" s="23" t="s">
        <v>718</v>
      </c>
      <c r="F26" s="4">
        <v>2</v>
      </c>
      <c r="G26" s="21">
        <v>2000</v>
      </c>
      <c r="H26" s="2" t="str">
        <f t="shared" si="0"/>
        <v>SEX00</v>
      </c>
      <c r="I26" s="2" t="s">
        <v>719</v>
      </c>
      <c r="J26" s="2" t="s">
        <v>604</v>
      </c>
      <c r="K26" s="4" t="s">
        <v>720</v>
      </c>
      <c r="M26" s="2" t="s">
        <v>721</v>
      </c>
      <c r="P26" s="2" t="s">
        <v>4181</v>
      </c>
      <c r="Q26" s="2" t="s">
        <v>4181</v>
      </c>
    </row>
    <row r="27" spans="1:17" ht="18" customHeight="1" x14ac:dyDescent="0.2">
      <c r="A27" s="23" t="s">
        <v>460</v>
      </c>
      <c r="B27" s="23"/>
      <c r="C27" s="23" t="s">
        <v>4182</v>
      </c>
      <c r="D27" s="23" t="s">
        <v>602</v>
      </c>
      <c r="E27" s="23" t="s">
        <v>718</v>
      </c>
      <c r="F27" s="4">
        <v>3</v>
      </c>
      <c r="G27" s="21">
        <v>2001</v>
      </c>
      <c r="H27" s="2" t="str">
        <f t="shared" si="0"/>
        <v>SEX01</v>
      </c>
      <c r="I27" s="2" t="s">
        <v>719</v>
      </c>
      <c r="J27" s="2" t="s">
        <v>604</v>
      </c>
      <c r="K27" s="4" t="s">
        <v>720</v>
      </c>
      <c r="M27" s="2" t="s">
        <v>721</v>
      </c>
      <c r="P27" s="2" t="s">
        <v>4181</v>
      </c>
      <c r="Q27" s="2" t="s">
        <v>4181</v>
      </c>
    </row>
    <row r="28" spans="1:17" ht="18" customHeight="1" x14ac:dyDescent="0.2">
      <c r="A28" s="23" t="s">
        <v>460</v>
      </c>
      <c r="B28" s="23"/>
      <c r="C28" s="23" t="s">
        <v>4182</v>
      </c>
      <c r="D28" s="23" t="s">
        <v>602</v>
      </c>
      <c r="E28" s="23" t="s">
        <v>718</v>
      </c>
      <c r="F28" s="4">
        <v>4</v>
      </c>
      <c r="G28" s="21">
        <v>2002</v>
      </c>
      <c r="H28" s="2" t="str">
        <f t="shared" si="0"/>
        <v>SEX02</v>
      </c>
      <c r="I28" s="2" t="s">
        <v>719</v>
      </c>
      <c r="J28" s="2" t="s">
        <v>604</v>
      </c>
      <c r="K28" s="4" t="s">
        <v>720</v>
      </c>
      <c r="M28" s="2" t="s">
        <v>721</v>
      </c>
      <c r="P28" s="2" t="s">
        <v>4181</v>
      </c>
      <c r="Q28" s="2" t="s">
        <v>4181</v>
      </c>
    </row>
    <row r="29" spans="1:17" ht="18" customHeight="1" x14ac:dyDescent="0.2">
      <c r="A29" s="23" t="s">
        <v>460</v>
      </c>
      <c r="B29" s="23"/>
      <c r="C29" s="23" t="s">
        <v>4182</v>
      </c>
      <c r="D29" s="23" t="s">
        <v>602</v>
      </c>
      <c r="E29" s="23" t="s">
        <v>718</v>
      </c>
      <c r="F29" s="4">
        <v>5</v>
      </c>
      <c r="G29" s="21">
        <v>2003</v>
      </c>
      <c r="H29" s="2" t="str">
        <f t="shared" si="0"/>
        <v>SEX03</v>
      </c>
      <c r="I29" s="2" t="s">
        <v>719</v>
      </c>
      <c r="J29" s="2" t="s">
        <v>604</v>
      </c>
      <c r="K29" s="4" t="s">
        <v>720</v>
      </c>
      <c r="M29" s="2" t="s">
        <v>721</v>
      </c>
      <c r="P29" s="2" t="s">
        <v>4181</v>
      </c>
      <c r="Q29" s="2" t="s">
        <v>4181</v>
      </c>
    </row>
    <row r="30" spans="1:17" ht="18" customHeight="1" x14ac:dyDescent="0.2">
      <c r="A30" s="23" t="s">
        <v>460</v>
      </c>
      <c r="B30" s="23"/>
      <c r="C30" s="23" t="s">
        <v>4182</v>
      </c>
      <c r="D30" s="23" t="s">
        <v>602</v>
      </c>
      <c r="E30" s="23" t="s">
        <v>718</v>
      </c>
      <c r="F30" s="4">
        <v>6</v>
      </c>
      <c r="G30" s="21">
        <v>2004</v>
      </c>
      <c r="H30" s="2" t="str">
        <f t="shared" si="0"/>
        <v>SEX04</v>
      </c>
      <c r="I30" s="2" t="s">
        <v>719</v>
      </c>
      <c r="J30" s="2" t="s">
        <v>604</v>
      </c>
      <c r="K30" s="4" t="s">
        <v>720</v>
      </c>
      <c r="M30" s="2" t="s">
        <v>721</v>
      </c>
      <c r="P30" s="2" t="s">
        <v>4181</v>
      </c>
      <c r="Q30" s="2" t="s">
        <v>4181</v>
      </c>
    </row>
    <row r="31" spans="1:17" ht="18" customHeight="1" x14ac:dyDescent="0.2">
      <c r="A31" s="23" t="s">
        <v>460</v>
      </c>
      <c r="B31" s="23"/>
      <c r="C31" s="23" t="s">
        <v>4182</v>
      </c>
      <c r="D31" s="23" t="s">
        <v>602</v>
      </c>
      <c r="E31" s="23" t="s">
        <v>718</v>
      </c>
      <c r="F31" s="4">
        <v>7</v>
      </c>
      <c r="G31" s="21">
        <v>2005</v>
      </c>
      <c r="H31" s="2" t="str">
        <f t="shared" si="0"/>
        <v>SEX05</v>
      </c>
      <c r="I31" s="2" t="s">
        <v>719</v>
      </c>
      <c r="J31" s="2" t="s">
        <v>604</v>
      </c>
      <c r="K31" s="4" t="s">
        <v>720</v>
      </c>
      <c r="M31" s="2" t="s">
        <v>721</v>
      </c>
      <c r="P31" s="2" t="s">
        <v>4181</v>
      </c>
      <c r="Q31" s="2" t="s">
        <v>4181</v>
      </c>
    </row>
    <row r="32" spans="1:17" ht="18" customHeight="1" x14ac:dyDescent="0.2">
      <c r="A32" s="23" t="s">
        <v>460</v>
      </c>
      <c r="B32" s="23"/>
      <c r="C32" s="23" t="s">
        <v>4182</v>
      </c>
      <c r="D32" s="23" t="s">
        <v>602</v>
      </c>
      <c r="E32" s="23" t="s">
        <v>718</v>
      </c>
      <c r="F32" s="4">
        <v>8</v>
      </c>
      <c r="G32" s="21">
        <v>2006</v>
      </c>
      <c r="H32" s="2" t="str">
        <f t="shared" si="0"/>
        <v>SEX06</v>
      </c>
      <c r="I32" s="2" t="s">
        <v>719</v>
      </c>
      <c r="J32" s="2" t="s">
        <v>604</v>
      </c>
      <c r="K32" s="4" t="s">
        <v>720</v>
      </c>
      <c r="M32" s="2" t="s">
        <v>721</v>
      </c>
      <c r="P32" s="2" t="s">
        <v>4181</v>
      </c>
      <c r="Q32" s="2" t="s">
        <v>4181</v>
      </c>
    </row>
    <row r="33" spans="1:17" ht="18" customHeight="1" x14ac:dyDescent="0.2">
      <c r="A33" s="23" t="s">
        <v>460</v>
      </c>
      <c r="B33" s="23"/>
      <c r="C33" s="23" t="s">
        <v>4182</v>
      </c>
      <c r="D33" s="23" t="s">
        <v>602</v>
      </c>
      <c r="E33" s="23" t="s">
        <v>718</v>
      </c>
      <c r="F33" s="4">
        <v>9</v>
      </c>
      <c r="G33" s="21">
        <v>2007</v>
      </c>
      <c r="H33" s="2" t="str">
        <f t="shared" si="0"/>
        <v>SEX07</v>
      </c>
      <c r="I33" s="2" t="s">
        <v>719</v>
      </c>
      <c r="J33" s="2" t="s">
        <v>604</v>
      </c>
      <c r="K33" s="4" t="s">
        <v>720</v>
      </c>
      <c r="M33" s="2" t="s">
        <v>721</v>
      </c>
      <c r="P33" s="2" t="s">
        <v>4181</v>
      </c>
      <c r="Q33" s="2" t="s">
        <v>4181</v>
      </c>
    </row>
    <row r="34" spans="1:17" ht="18" customHeight="1" x14ac:dyDescent="0.2">
      <c r="A34" s="23" t="s">
        <v>460</v>
      </c>
      <c r="B34" s="23"/>
      <c r="C34" s="23" t="s">
        <v>4182</v>
      </c>
      <c r="D34" s="23" t="s">
        <v>602</v>
      </c>
      <c r="E34" s="23" t="s">
        <v>718</v>
      </c>
      <c r="F34" s="4">
        <v>10</v>
      </c>
      <c r="G34" s="21">
        <v>2008</v>
      </c>
      <c r="H34" s="2" t="str">
        <f t="shared" si="0"/>
        <v>SEX08</v>
      </c>
      <c r="I34" s="2" t="s">
        <v>719</v>
      </c>
      <c r="J34" s="2" t="s">
        <v>604</v>
      </c>
      <c r="K34" s="4" t="s">
        <v>720</v>
      </c>
      <c r="M34" s="2" t="s">
        <v>721</v>
      </c>
      <c r="P34" s="2" t="s">
        <v>4181</v>
      </c>
      <c r="Q34" s="2" t="s">
        <v>4181</v>
      </c>
    </row>
    <row r="35" spans="1:17" ht="18" customHeight="1" x14ac:dyDescent="0.2">
      <c r="A35" s="23" t="s">
        <v>460</v>
      </c>
      <c r="B35" s="23"/>
      <c r="C35" s="23" t="s">
        <v>4182</v>
      </c>
      <c r="D35" s="23" t="s">
        <v>602</v>
      </c>
      <c r="E35" s="23" t="s">
        <v>718</v>
      </c>
      <c r="F35" s="4">
        <v>11</v>
      </c>
      <c r="G35" s="21">
        <v>2009</v>
      </c>
      <c r="H35" s="2" t="str">
        <f t="shared" si="0"/>
        <v>SEX09</v>
      </c>
      <c r="I35" s="2" t="s">
        <v>719</v>
      </c>
      <c r="J35" s="2" t="s">
        <v>604</v>
      </c>
      <c r="K35" s="4" t="s">
        <v>720</v>
      </c>
      <c r="M35" s="2" t="s">
        <v>721</v>
      </c>
      <c r="P35" s="2" t="s">
        <v>4181</v>
      </c>
      <c r="Q35" s="2" t="s">
        <v>4181</v>
      </c>
    </row>
    <row r="36" spans="1:17" ht="18" customHeight="1" x14ac:dyDescent="0.2">
      <c r="A36" s="23" t="s">
        <v>460</v>
      </c>
      <c r="B36" s="23"/>
      <c r="C36" s="23" t="s">
        <v>4182</v>
      </c>
      <c r="D36" s="23" t="s">
        <v>602</v>
      </c>
      <c r="E36" s="23" t="s">
        <v>718</v>
      </c>
      <c r="F36" s="4">
        <v>12</v>
      </c>
      <c r="G36" s="21">
        <v>2010</v>
      </c>
      <c r="H36" s="2" t="str">
        <f t="shared" si="0"/>
        <v>SEX10</v>
      </c>
      <c r="I36" s="2" t="s">
        <v>719</v>
      </c>
      <c r="J36" s="2" t="s">
        <v>604</v>
      </c>
      <c r="K36" s="4" t="s">
        <v>720</v>
      </c>
      <c r="M36" s="2" t="s">
        <v>721</v>
      </c>
      <c r="P36" s="2" t="s">
        <v>4181</v>
      </c>
      <c r="Q36" s="2" t="s">
        <v>4181</v>
      </c>
    </row>
    <row r="37" spans="1:17" ht="18" customHeight="1" x14ac:dyDescent="0.2">
      <c r="A37" s="23" t="s">
        <v>460</v>
      </c>
      <c r="B37" s="23"/>
      <c r="C37" s="23" t="s">
        <v>4182</v>
      </c>
      <c r="D37" s="23" t="s">
        <v>602</v>
      </c>
      <c r="E37" s="23" t="s">
        <v>718</v>
      </c>
      <c r="F37" s="4">
        <v>13</v>
      </c>
      <c r="G37" s="21">
        <v>2011</v>
      </c>
      <c r="H37" s="2" t="str">
        <f t="shared" si="0"/>
        <v>SEX11</v>
      </c>
      <c r="I37" s="2" t="s">
        <v>719</v>
      </c>
      <c r="J37" s="2" t="s">
        <v>604</v>
      </c>
      <c r="K37" s="4" t="s">
        <v>720</v>
      </c>
      <c r="M37" s="2" t="s">
        <v>721</v>
      </c>
      <c r="P37" s="2" t="s">
        <v>4181</v>
      </c>
      <c r="Q37" s="2" t="s">
        <v>4181</v>
      </c>
    </row>
    <row r="38" spans="1:17" ht="18" customHeight="1" x14ac:dyDescent="0.2">
      <c r="A38" s="23" t="s">
        <v>460</v>
      </c>
      <c r="B38" s="23"/>
      <c r="C38" s="23" t="s">
        <v>4182</v>
      </c>
      <c r="D38" s="23" t="s">
        <v>602</v>
      </c>
      <c r="E38" s="23" t="s">
        <v>718</v>
      </c>
      <c r="F38" s="4">
        <v>14</v>
      </c>
      <c r="G38" s="21">
        <v>2012</v>
      </c>
      <c r="H38" s="2" t="str">
        <f t="shared" si="0"/>
        <v>SEX12</v>
      </c>
      <c r="I38" s="2" t="s">
        <v>719</v>
      </c>
      <c r="J38" s="2" t="s">
        <v>604</v>
      </c>
      <c r="K38" s="4" t="s">
        <v>720</v>
      </c>
      <c r="M38" s="2" t="s">
        <v>721</v>
      </c>
      <c r="P38" s="2" t="s">
        <v>4181</v>
      </c>
      <c r="Q38" s="2" t="s">
        <v>4181</v>
      </c>
    </row>
    <row r="39" spans="1:17" ht="18" customHeight="1" x14ac:dyDescent="0.2">
      <c r="A39" s="23" t="s">
        <v>460</v>
      </c>
      <c r="B39" s="23"/>
      <c r="C39" s="23" t="s">
        <v>4182</v>
      </c>
      <c r="D39" s="23" t="s">
        <v>602</v>
      </c>
      <c r="E39" s="23" t="s">
        <v>718</v>
      </c>
      <c r="F39" s="4">
        <v>15</v>
      </c>
      <c r="G39" s="21">
        <v>2013</v>
      </c>
      <c r="H39" s="2" t="str">
        <f t="shared" si="0"/>
        <v>SEX13</v>
      </c>
      <c r="I39" s="2" t="s">
        <v>719</v>
      </c>
      <c r="J39" s="2" t="s">
        <v>604</v>
      </c>
      <c r="K39" s="4" t="s">
        <v>720</v>
      </c>
      <c r="M39" s="2" t="s">
        <v>721</v>
      </c>
      <c r="P39" s="2" t="s">
        <v>4181</v>
      </c>
      <c r="Q39" s="2" t="s">
        <v>4181</v>
      </c>
    </row>
    <row r="40" spans="1:17" ht="18" customHeight="1" x14ac:dyDescent="0.2">
      <c r="A40" s="23" t="s">
        <v>460</v>
      </c>
      <c r="B40" s="23"/>
      <c r="C40" s="23" t="s">
        <v>4182</v>
      </c>
      <c r="D40" s="23" t="s">
        <v>602</v>
      </c>
      <c r="E40" s="23" t="s">
        <v>718</v>
      </c>
      <c r="F40" s="4">
        <v>16</v>
      </c>
      <c r="G40" s="21">
        <v>2014</v>
      </c>
      <c r="H40" s="2" t="str">
        <f t="shared" si="0"/>
        <v>SEX14</v>
      </c>
      <c r="I40" s="2" t="s">
        <v>719</v>
      </c>
      <c r="J40" s="2" t="s">
        <v>604</v>
      </c>
      <c r="K40" s="4" t="s">
        <v>720</v>
      </c>
      <c r="M40" s="2" t="s">
        <v>721</v>
      </c>
      <c r="P40" s="2" t="s">
        <v>4181</v>
      </c>
      <c r="Q40" s="2" t="s">
        <v>4181</v>
      </c>
    </row>
    <row r="41" spans="1:17" ht="18" customHeight="1" x14ac:dyDescent="0.2">
      <c r="A41" s="23" t="s">
        <v>460</v>
      </c>
      <c r="B41" s="23"/>
      <c r="C41" s="23" t="s">
        <v>4182</v>
      </c>
      <c r="D41" s="23" t="s">
        <v>602</v>
      </c>
      <c r="E41" s="23" t="s">
        <v>718</v>
      </c>
      <c r="F41" s="4">
        <v>17</v>
      </c>
      <c r="G41" s="21">
        <v>2015</v>
      </c>
      <c r="H41" s="2" t="str">
        <f t="shared" si="0"/>
        <v>SEX15</v>
      </c>
      <c r="I41" s="2" t="s">
        <v>719</v>
      </c>
      <c r="J41" s="2" t="s">
        <v>604</v>
      </c>
      <c r="K41" s="4" t="s">
        <v>720</v>
      </c>
      <c r="M41" s="2" t="s">
        <v>721</v>
      </c>
      <c r="P41" s="2" t="s">
        <v>4181</v>
      </c>
      <c r="Q41" s="2" t="s">
        <v>4181</v>
      </c>
    </row>
    <row r="42" spans="1:17" ht="18" customHeight="1" x14ac:dyDescent="0.2">
      <c r="A42" s="23" t="s">
        <v>460</v>
      </c>
      <c r="B42" s="23"/>
      <c r="C42" s="23" t="s">
        <v>4182</v>
      </c>
      <c r="D42" s="23" t="s">
        <v>602</v>
      </c>
      <c r="E42" s="23" t="s">
        <v>718</v>
      </c>
      <c r="F42" s="4">
        <v>18</v>
      </c>
      <c r="G42" s="21">
        <v>2016</v>
      </c>
      <c r="H42" s="2" t="str">
        <f t="shared" si="0"/>
        <v>SEX16</v>
      </c>
      <c r="I42" s="2" t="s">
        <v>719</v>
      </c>
      <c r="J42" s="2" t="s">
        <v>604</v>
      </c>
      <c r="K42" s="4" t="s">
        <v>720</v>
      </c>
      <c r="M42" s="2" t="s">
        <v>721</v>
      </c>
      <c r="P42" s="2" t="s">
        <v>4181</v>
      </c>
      <c r="Q42" s="2" t="s">
        <v>4181</v>
      </c>
    </row>
    <row r="43" spans="1:17" ht="18" customHeight="1" x14ac:dyDescent="0.2">
      <c r="A43" s="23" t="s">
        <v>460</v>
      </c>
      <c r="B43" s="23"/>
      <c r="C43" s="23" t="s">
        <v>4182</v>
      </c>
      <c r="D43" s="23" t="s">
        <v>602</v>
      </c>
      <c r="E43" s="23" t="s">
        <v>718</v>
      </c>
      <c r="F43" s="4">
        <v>19</v>
      </c>
      <c r="G43" s="21">
        <v>2017</v>
      </c>
      <c r="H43" s="2" t="str">
        <f t="shared" si="0"/>
        <v>SEX17</v>
      </c>
      <c r="I43" s="2" t="s">
        <v>719</v>
      </c>
      <c r="J43" s="2" t="s">
        <v>604</v>
      </c>
      <c r="K43" s="4" t="s">
        <v>720</v>
      </c>
      <c r="M43" s="2" t="s">
        <v>721</v>
      </c>
      <c r="P43" s="2" t="s">
        <v>4181</v>
      </c>
      <c r="Q43" s="2" t="s">
        <v>4181</v>
      </c>
    </row>
    <row r="44" spans="1:17" ht="18" customHeight="1" x14ac:dyDescent="0.2">
      <c r="A44" s="23" t="s">
        <v>460</v>
      </c>
      <c r="B44" s="23"/>
      <c r="C44" s="23" t="s">
        <v>4182</v>
      </c>
      <c r="D44" s="23" t="s">
        <v>602</v>
      </c>
      <c r="E44" s="23" t="s">
        <v>718</v>
      </c>
      <c r="F44" s="4">
        <v>20</v>
      </c>
      <c r="G44" s="21">
        <v>2018</v>
      </c>
      <c r="H44" s="2" t="str">
        <f t="shared" si="0"/>
        <v>SEX18</v>
      </c>
      <c r="I44" s="2" t="s">
        <v>719</v>
      </c>
      <c r="J44" s="2" t="s">
        <v>604</v>
      </c>
      <c r="K44" s="4" t="s">
        <v>720</v>
      </c>
      <c r="M44" s="2" t="s">
        <v>721</v>
      </c>
      <c r="P44" s="2" t="s">
        <v>4181</v>
      </c>
      <c r="Q44" s="2" t="s">
        <v>4181</v>
      </c>
    </row>
    <row r="45" spans="1:17" ht="18" customHeight="1" x14ac:dyDescent="0.2">
      <c r="A45" s="23" t="s">
        <v>460</v>
      </c>
      <c r="B45" s="23"/>
      <c r="C45" s="23" t="s">
        <v>4182</v>
      </c>
      <c r="D45" s="23" t="s">
        <v>602</v>
      </c>
      <c r="E45" s="23" t="s">
        <v>718</v>
      </c>
      <c r="F45" s="4">
        <v>21</v>
      </c>
      <c r="G45" s="21">
        <v>2019</v>
      </c>
      <c r="H45" s="2" t="str">
        <f t="shared" si="0"/>
        <v>SEX19</v>
      </c>
      <c r="I45" s="2" t="s">
        <v>719</v>
      </c>
      <c r="J45" s="2" t="s">
        <v>604</v>
      </c>
      <c r="K45" s="4" t="s">
        <v>720</v>
      </c>
      <c r="M45" s="2" t="s">
        <v>721</v>
      </c>
      <c r="P45" s="2" t="s">
        <v>4181</v>
      </c>
      <c r="Q45" s="2" t="s">
        <v>4181</v>
      </c>
    </row>
    <row r="46" spans="1:17" ht="18" customHeight="1" x14ac:dyDescent="0.2">
      <c r="A46" s="20" t="s">
        <v>460</v>
      </c>
      <c r="B46" s="20" t="s">
        <v>461</v>
      </c>
      <c r="C46" s="20" t="s">
        <v>3</v>
      </c>
      <c r="D46" s="20" t="s">
        <v>675</v>
      </c>
      <c r="E46" s="20" t="s">
        <v>462</v>
      </c>
      <c r="F46" s="4">
        <v>2</v>
      </c>
      <c r="G46" s="21">
        <v>2000</v>
      </c>
      <c r="H46" s="4" t="s">
        <v>463</v>
      </c>
      <c r="I46" s="4" t="s">
        <v>464</v>
      </c>
      <c r="J46" s="2" t="s">
        <v>465</v>
      </c>
      <c r="K46" s="22" t="s">
        <v>466</v>
      </c>
      <c r="M46" s="2" t="s">
        <v>8</v>
      </c>
      <c r="N46" s="2">
        <v>0</v>
      </c>
      <c r="O46" s="2">
        <v>10</v>
      </c>
    </row>
    <row r="47" spans="1:17" ht="18" customHeight="1" x14ac:dyDescent="0.2">
      <c r="A47" s="20" t="s">
        <v>460</v>
      </c>
      <c r="B47" s="20" t="s">
        <v>461</v>
      </c>
      <c r="C47" s="20" t="s">
        <v>3</v>
      </c>
      <c r="D47" s="20" t="s">
        <v>675</v>
      </c>
      <c r="E47" s="20" t="s">
        <v>462</v>
      </c>
      <c r="F47" s="4">
        <v>3</v>
      </c>
      <c r="G47" s="21">
        <v>2001</v>
      </c>
      <c r="H47" s="4" t="s">
        <v>467</v>
      </c>
      <c r="I47" s="4" t="s">
        <v>464</v>
      </c>
      <c r="J47" s="2" t="s">
        <v>465</v>
      </c>
      <c r="K47" s="22" t="s">
        <v>466</v>
      </c>
      <c r="M47" s="2" t="s">
        <v>8</v>
      </c>
      <c r="N47" s="2">
        <v>0</v>
      </c>
      <c r="O47" s="2">
        <v>10</v>
      </c>
    </row>
    <row r="48" spans="1:17" ht="18" customHeight="1" x14ac:dyDescent="0.2">
      <c r="A48" s="20" t="s">
        <v>460</v>
      </c>
      <c r="B48" s="20" t="s">
        <v>461</v>
      </c>
      <c r="C48" s="20" t="s">
        <v>3</v>
      </c>
      <c r="D48" s="20" t="s">
        <v>675</v>
      </c>
      <c r="E48" s="20" t="s">
        <v>462</v>
      </c>
      <c r="F48" s="4">
        <v>4</v>
      </c>
      <c r="G48" s="21">
        <v>2002</v>
      </c>
      <c r="H48" s="4" t="s">
        <v>468</v>
      </c>
      <c r="I48" s="4" t="s">
        <v>464</v>
      </c>
      <c r="J48" s="2" t="s">
        <v>465</v>
      </c>
      <c r="K48" s="22" t="s">
        <v>466</v>
      </c>
      <c r="M48" s="2" t="s">
        <v>8</v>
      </c>
      <c r="N48" s="2">
        <v>0</v>
      </c>
      <c r="O48" s="2">
        <v>10</v>
      </c>
    </row>
    <row r="49" spans="1:15" ht="18" customHeight="1" x14ac:dyDescent="0.2">
      <c r="A49" s="20" t="s">
        <v>460</v>
      </c>
      <c r="B49" s="20" t="s">
        <v>461</v>
      </c>
      <c r="C49" s="20" t="s">
        <v>3</v>
      </c>
      <c r="D49" s="20" t="s">
        <v>675</v>
      </c>
      <c r="E49" s="20" t="s">
        <v>462</v>
      </c>
      <c r="F49" s="4">
        <v>5</v>
      </c>
      <c r="G49" s="21">
        <v>2003</v>
      </c>
      <c r="H49" s="4" t="s">
        <v>469</v>
      </c>
      <c r="I49" s="4" t="s">
        <v>464</v>
      </c>
      <c r="J49" s="2" t="s">
        <v>465</v>
      </c>
      <c r="K49" s="22" t="s">
        <v>466</v>
      </c>
      <c r="M49" s="2" t="s">
        <v>8</v>
      </c>
      <c r="N49" s="2">
        <v>0</v>
      </c>
      <c r="O49" s="2">
        <v>10</v>
      </c>
    </row>
    <row r="50" spans="1:15" ht="18" customHeight="1" x14ac:dyDescent="0.2">
      <c r="A50" s="20" t="s">
        <v>460</v>
      </c>
      <c r="B50" s="20" t="s">
        <v>461</v>
      </c>
      <c r="C50" s="20" t="s">
        <v>3</v>
      </c>
      <c r="D50" s="20" t="s">
        <v>675</v>
      </c>
      <c r="E50" s="20" t="s">
        <v>462</v>
      </c>
      <c r="F50" s="4">
        <v>6</v>
      </c>
      <c r="G50" s="21">
        <v>2004</v>
      </c>
      <c r="H50" s="4" t="s">
        <v>470</v>
      </c>
      <c r="I50" s="4" t="s">
        <v>464</v>
      </c>
      <c r="J50" s="2" t="s">
        <v>465</v>
      </c>
      <c r="K50" s="22" t="s">
        <v>466</v>
      </c>
      <c r="M50" s="2" t="s">
        <v>8</v>
      </c>
      <c r="N50" s="2">
        <v>0</v>
      </c>
      <c r="O50" s="2">
        <v>10</v>
      </c>
    </row>
    <row r="51" spans="1:15" ht="18" customHeight="1" x14ac:dyDescent="0.2">
      <c r="A51" s="20" t="s">
        <v>460</v>
      </c>
      <c r="B51" s="20" t="s">
        <v>461</v>
      </c>
      <c r="C51" s="20" t="s">
        <v>3</v>
      </c>
      <c r="D51" s="20" t="s">
        <v>675</v>
      </c>
      <c r="E51" s="20" t="s">
        <v>462</v>
      </c>
      <c r="F51" s="4">
        <v>7</v>
      </c>
      <c r="G51" s="21">
        <v>2005</v>
      </c>
      <c r="H51" s="4" t="s">
        <v>471</v>
      </c>
      <c r="I51" s="4" t="s">
        <v>464</v>
      </c>
      <c r="J51" s="2" t="s">
        <v>465</v>
      </c>
      <c r="K51" s="33" t="s">
        <v>466</v>
      </c>
      <c r="M51" s="2" t="s">
        <v>8</v>
      </c>
      <c r="N51" s="2">
        <v>0</v>
      </c>
      <c r="O51" s="2">
        <v>10</v>
      </c>
    </row>
    <row r="52" spans="1:15" ht="18" customHeight="1" x14ac:dyDescent="0.2">
      <c r="A52" s="20" t="s">
        <v>460</v>
      </c>
      <c r="B52" s="20" t="s">
        <v>461</v>
      </c>
      <c r="C52" s="20" t="s">
        <v>3</v>
      </c>
      <c r="D52" s="20" t="s">
        <v>675</v>
      </c>
      <c r="E52" s="20" t="s">
        <v>462</v>
      </c>
      <c r="F52" s="4">
        <v>8</v>
      </c>
      <c r="G52" s="21">
        <v>2006</v>
      </c>
      <c r="H52" s="4" t="s">
        <v>472</v>
      </c>
      <c r="I52" s="4" t="s">
        <v>464</v>
      </c>
      <c r="J52" s="2" t="s">
        <v>465</v>
      </c>
      <c r="K52" s="22" t="s">
        <v>466</v>
      </c>
      <c r="M52" s="2" t="s">
        <v>8</v>
      </c>
      <c r="N52" s="2">
        <v>0</v>
      </c>
      <c r="O52" s="2">
        <v>10</v>
      </c>
    </row>
    <row r="53" spans="1:15" ht="18" customHeight="1" x14ac:dyDescent="0.2">
      <c r="A53" s="20" t="s">
        <v>460</v>
      </c>
      <c r="B53" s="20" t="s">
        <v>461</v>
      </c>
      <c r="C53" s="20" t="s">
        <v>3</v>
      </c>
      <c r="D53" s="20" t="s">
        <v>675</v>
      </c>
      <c r="E53" s="20" t="s">
        <v>462</v>
      </c>
      <c r="F53" s="4">
        <v>9</v>
      </c>
      <c r="G53" s="21">
        <v>2007</v>
      </c>
      <c r="H53" s="4" t="s">
        <v>473</v>
      </c>
      <c r="I53" s="4" t="s">
        <v>464</v>
      </c>
      <c r="J53" s="2" t="s">
        <v>465</v>
      </c>
      <c r="K53" s="22" t="s">
        <v>466</v>
      </c>
      <c r="M53" s="2" t="s">
        <v>8</v>
      </c>
      <c r="N53" s="2">
        <v>0</v>
      </c>
      <c r="O53" s="2">
        <v>10</v>
      </c>
    </row>
    <row r="54" spans="1:15" ht="18" customHeight="1" x14ac:dyDescent="0.2">
      <c r="A54" s="20" t="s">
        <v>460</v>
      </c>
      <c r="B54" s="20" t="s">
        <v>461</v>
      </c>
      <c r="C54" s="20" t="s">
        <v>3</v>
      </c>
      <c r="D54" s="20" t="s">
        <v>675</v>
      </c>
      <c r="E54" s="20" t="s">
        <v>462</v>
      </c>
      <c r="F54" s="4">
        <v>10</v>
      </c>
      <c r="G54" s="21">
        <v>2008</v>
      </c>
      <c r="H54" s="4" t="s">
        <v>474</v>
      </c>
      <c r="I54" s="4" t="s">
        <v>464</v>
      </c>
      <c r="J54" s="2" t="s">
        <v>465</v>
      </c>
      <c r="K54" s="22" t="s">
        <v>466</v>
      </c>
      <c r="M54" s="2" t="s">
        <v>8</v>
      </c>
      <c r="N54" s="2">
        <v>0</v>
      </c>
      <c r="O54" s="2">
        <v>10</v>
      </c>
    </row>
    <row r="55" spans="1:15" ht="18" customHeight="1" x14ac:dyDescent="0.2">
      <c r="A55" s="20" t="s">
        <v>460</v>
      </c>
      <c r="B55" s="20" t="s">
        <v>461</v>
      </c>
      <c r="C55" s="20" t="s">
        <v>3</v>
      </c>
      <c r="D55" s="20" t="s">
        <v>675</v>
      </c>
      <c r="E55" s="20" t="s">
        <v>462</v>
      </c>
      <c r="F55" s="4">
        <v>11</v>
      </c>
      <c r="G55" s="21">
        <v>2009</v>
      </c>
      <c r="H55" s="4" t="s">
        <v>475</v>
      </c>
      <c r="I55" s="4" t="s">
        <v>464</v>
      </c>
      <c r="J55" s="2" t="s">
        <v>465</v>
      </c>
      <c r="K55" s="22" t="s">
        <v>466</v>
      </c>
      <c r="M55" s="2" t="s">
        <v>8</v>
      </c>
      <c r="N55" s="2">
        <v>0</v>
      </c>
      <c r="O55" s="2">
        <v>10</v>
      </c>
    </row>
    <row r="56" spans="1:15" ht="18" customHeight="1" x14ac:dyDescent="0.2">
      <c r="A56" s="20" t="s">
        <v>460</v>
      </c>
      <c r="B56" s="20" t="s">
        <v>461</v>
      </c>
      <c r="C56" s="20" t="s">
        <v>3</v>
      </c>
      <c r="D56" s="20" t="s">
        <v>675</v>
      </c>
      <c r="E56" s="20" t="s">
        <v>462</v>
      </c>
      <c r="F56" s="4">
        <v>12</v>
      </c>
      <c r="G56" s="21">
        <v>2010</v>
      </c>
      <c r="H56" s="4" t="s">
        <v>476</v>
      </c>
      <c r="I56" s="4" t="s">
        <v>464</v>
      </c>
      <c r="J56" s="2" t="s">
        <v>465</v>
      </c>
      <c r="K56" s="22" t="s">
        <v>466</v>
      </c>
      <c r="M56" s="2" t="s">
        <v>8</v>
      </c>
      <c r="N56" s="2">
        <v>0</v>
      </c>
      <c r="O56" s="2">
        <v>10</v>
      </c>
    </row>
    <row r="57" spans="1:15" ht="18" customHeight="1" x14ac:dyDescent="0.2">
      <c r="A57" s="20" t="s">
        <v>460</v>
      </c>
      <c r="B57" s="20" t="s">
        <v>461</v>
      </c>
      <c r="C57" s="20" t="s">
        <v>3</v>
      </c>
      <c r="D57" s="20" t="s">
        <v>675</v>
      </c>
      <c r="E57" s="20" t="s">
        <v>462</v>
      </c>
      <c r="F57" s="4">
        <v>13</v>
      </c>
      <c r="G57" s="21">
        <v>2011</v>
      </c>
      <c r="H57" s="4" t="s">
        <v>477</v>
      </c>
      <c r="I57" s="4" t="s">
        <v>464</v>
      </c>
      <c r="J57" s="2" t="s">
        <v>465</v>
      </c>
      <c r="K57" s="22" t="s">
        <v>466</v>
      </c>
      <c r="M57" s="2" t="s">
        <v>8</v>
      </c>
      <c r="N57" s="2">
        <v>0</v>
      </c>
      <c r="O57" s="2">
        <v>10</v>
      </c>
    </row>
    <row r="58" spans="1:15" ht="18" customHeight="1" x14ac:dyDescent="0.2">
      <c r="A58" s="20" t="s">
        <v>460</v>
      </c>
      <c r="B58" s="20" t="s">
        <v>461</v>
      </c>
      <c r="C58" s="20" t="s">
        <v>3</v>
      </c>
      <c r="D58" s="20" t="s">
        <v>675</v>
      </c>
      <c r="E58" s="20" t="s">
        <v>462</v>
      </c>
      <c r="F58" s="4">
        <v>14</v>
      </c>
      <c r="G58" s="21">
        <v>2012</v>
      </c>
      <c r="H58" s="4" t="s">
        <v>478</v>
      </c>
      <c r="I58" s="4" t="s">
        <v>464</v>
      </c>
      <c r="J58" s="2" t="s">
        <v>465</v>
      </c>
      <c r="K58" s="22" t="s">
        <v>466</v>
      </c>
      <c r="M58" s="2" t="s">
        <v>8</v>
      </c>
      <c r="N58" s="2">
        <v>0</v>
      </c>
      <c r="O58" s="2">
        <v>10</v>
      </c>
    </row>
    <row r="59" spans="1:15" ht="18" customHeight="1" x14ac:dyDescent="0.2">
      <c r="A59" s="20" t="s">
        <v>460</v>
      </c>
      <c r="B59" s="20" t="s">
        <v>461</v>
      </c>
      <c r="C59" s="20" t="s">
        <v>3</v>
      </c>
      <c r="D59" s="20" t="s">
        <v>675</v>
      </c>
      <c r="E59" s="20" t="s">
        <v>462</v>
      </c>
      <c r="F59" s="4">
        <v>15</v>
      </c>
      <c r="G59" s="21">
        <v>2013</v>
      </c>
      <c r="H59" s="4" t="s">
        <v>479</v>
      </c>
      <c r="I59" s="4" t="s">
        <v>464</v>
      </c>
      <c r="J59" s="2" t="s">
        <v>465</v>
      </c>
      <c r="K59" s="22" t="s">
        <v>466</v>
      </c>
      <c r="M59" s="2" t="s">
        <v>8</v>
      </c>
      <c r="N59" s="2">
        <v>0</v>
      </c>
      <c r="O59" s="2">
        <v>10</v>
      </c>
    </row>
    <row r="60" spans="1:15" ht="18" customHeight="1" x14ac:dyDescent="0.2">
      <c r="A60" s="20" t="s">
        <v>460</v>
      </c>
      <c r="B60" s="20" t="s">
        <v>461</v>
      </c>
      <c r="C60" s="20" t="s">
        <v>3</v>
      </c>
      <c r="D60" s="20" t="s">
        <v>675</v>
      </c>
      <c r="E60" s="20" t="s">
        <v>462</v>
      </c>
      <c r="F60" s="4">
        <v>16</v>
      </c>
      <c r="G60" s="21">
        <v>2014</v>
      </c>
      <c r="H60" s="4" t="s">
        <v>480</v>
      </c>
      <c r="I60" s="4" t="s">
        <v>464</v>
      </c>
      <c r="J60" s="2" t="s">
        <v>465</v>
      </c>
      <c r="K60" s="22" t="s">
        <v>466</v>
      </c>
      <c r="M60" s="2" t="s">
        <v>8</v>
      </c>
      <c r="N60" s="2">
        <v>0</v>
      </c>
      <c r="O60" s="2">
        <v>10</v>
      </c>
    </row>
    <row r="61" spans="1:15" ht="18" customHeight="1" x14ac:dyDescent="0.2">
      <c r="A61" s="20" t="s">
        <v>460</v>
      </c>
      <c r="B61" s="20" t="s">
        <v>461</v>
      </c>
      <c r="C61" s="20" t="s">
        <v>3</v>
      </c>
      <c r="D61" s="20" t="s">
        <v>675</v>
      </c>
      <c r="E61" s="20" t="s">
        <v>462</v>
      </c>
      <c r="F61" s="4">
        <v>17</v>
      </c>
      <c r="G61" s="21">
        <v>2015</v>
      </c>
      <c r="H61" s="4" t="s">
        <v>481</v>
      </c>
      <c r="I61" s="4" t="s">
        <v>464</v>
      </c>
      <c r="J61" s="2" t="s">
        <v>465</v>
      </c>
      <c r="K61" s="22" t="s">
        <v>466</v>
      </c>
      <c r="M61" s="2" t="s">
        <v>8</v>
      </c>
      <c r="N61" s="2">
        <v>0</v>
      </c>
      <c r="O61" s="2">
        <v>10</v>
      </c>
    </row>
    <row r="62" spans="1:15" ht="18" customHeight="1" x14ac:dyDescent="0.2">
      <c r="A62" s="20" t="s">
        <v>460</v>
      </c>
      <c r="B62" s="20" t="s">
        <v>461</v>
      </c>
      <c r="C62" s="20" t="s">
        <v>3</v>
      </c>
      <c r="D62" s="20" t="s">
        <v>675</v>
      </c>
      <c r="E62" s="20" t="s">
        <v>462</v>
      </c>
      <c r="F62" s="4">
        <v>18</v>
      </c>
      <c r="G62" s="21">
        <v>2016</v>
      </c>
      <c r="H62" s="4" t="s">
        <v>482</v>
      </c>
      <c r="I62" s="4" t="s">
        <v>464</v>
      </c>
      <c r="J62" s="2" t="s">
        <v>465</v>
      </c>
      <c r="K62" s="22" t="s">
        <v>466</v>
      </c>
      <c r="M62" s="2" t="s">
        <v>8</v>
      </c>
      <c r="N62" s="2">
        <v>0</v>
      </c>
      <c r="O62" s="2">
        <v>10</v>
      </c>
    </row>
    <row r="63" spans="1:15" ht="18" customHeight="1" x14ac:dyDescent="0.2">
      <c r="A63" s="20" t="s">
        <v>460</v>
      </c>
      <c r="B63" s="20" t="s">
        <v>461</v>
      </c>
      <c r="C63" s="20" t="s">
        <v>3</v>
      </c>
      <c r="D63" s="20" t="s">
        <v>675</v>
      </c>
      <c r="E63" s="20" t="s">
        <v>462</v>
      </c>
      <c r="F63" s="4">
        <v>19</v>
      </c>
      <c r="G63" s="21">
        <v>2017</v>
      </c>
      <c r="H63" s="4" t="s">
        <v>483</v>
      </c>
      <c r="I63" s="4" t="s">
        <v>464</v>
      </c>
      <c r="J63" s="2" t="s">
        <v>465</v>
      </c>
      <c r="K63" s="22" t="s">
        <v>466</v>
      </c>
      <c r="M63" s="2" t="s">
        <v>8</v>
      </c>
      <c r="N63" s="2">
        <v>0</v>
      </c>
      <c r="O63" s="2">
        <v>10</v>
      </c>
    </row>
    <row r="64" spans="1:15" ht="18" customHeight="1" x14ac:dyDescent="0.2">
      <c r="A64" s="20" t="s">
        <v>460</v>
      </c>
      <c r="B64" s="20" t="s">
        <v>461</v>
      </c>
      <c r="C64" s="20" t="s">
        <v>3</v>
      </c>
      <c r="D64" s="20" t="s">
        <v>675</v>
      </c>
      <c r="E64" s="20" t="s">
        <v>462</v>
      </c>
      <c r="F64" s="4">
        <v>20</v>
      </c>
      <c r="G64" s="21">
        <v>2018</v>
      </c>
      <c r="H64" s="4" t="s">
        <v>484</v>
      </c>
      <c r="I64" s="4" t="s">
        <v>464</v>
      </c>
      <c r="J64" s="2" t="s">
        <v>465</v>
      </c>
      <c r="K64" s="22" t="s">
        <v>466</v>
      </c>
      <c r="M64" s="2" t="s">
        <v>8</v>
      </c>
      <c r="N64" s="2">
        <v>0</v>
      </c>
      <c r="O64" s="2">
        <v>10</v>
      </c>
    </row>
    <row r="65" spans="1:15" ht="18" customHeight="1" x14ac:dyDescent="0.2">
      <c r="A65" s="20" t="s">
        <v>460</v>
      </c>
      <c r="B65" s="20" t="s">
        <v>461</v>
      </c>
      <c r="C65" s="20" t="s">
        <v>3</v>
      </c>
      <c r="D65" s="20" t="s">
        <v>675</v>
      </c>
      <c r="E65" s="20" t="s">
        <v>462</v>
      </c>
      <c r="F65" s="4">
        <v>21</v>
      </c>
      <c r="G65" s="21">
        <v>2019</v>
      </c>
      <c r="H65" s="4" t="s">
        <v>485</v>
      </c>
      <c r="I65" s="4" t="s">
        <v>464</v>
      </c>
      <c r="J65" s="2" t="s">
        <v>465</v>
      </c>
      <c r="K65" s="22" t="s">
        <v>466</v>
      </c>
      <c r="M65" s="2" t="s">
        <v>8</v>
      </c>
      <c r="N65" s="2">
        <v>0</v>
      </c>
      <c r="O65" s="2">
        <v>10</v>
      </c>
    </row>
    <row r="66" spans="1:15" ht="18" customHeight="1" x14ac:dyDescent="0.2">
      <c r="A66" s="23" t="s">
        <v>460</v>
      </c>
      <c r="B66" s="23" t="s">
        <v>461</v>
      </c>
      <c r="C66" s="23" t="s">
        <v>274</v>
      </c>
      <c r="D66" s="23" t="s">
        <v>553</v>
      </c>
      <c r="E66" s="23" t="s">
        <v>487</v>
      </c>
      <c r="F66" s="2">
        <v>1</v>
      </c>
      <c r="G66" s="21">
        <v>1999</v>
      </c>
      <c r="H66" s="4" t="str">
        <f t="shared" ref="H66:H86" si="1">B66&amp;RIGHT(G66,2)&amp;I66</f>
        <v>P99I01</v>
      </c>
      <c r="I66" s="4" t="s">
        <v>488</v>
      </c>
      <c r="J66" s="2" t="s">
        <v>489</v>
      </c>
      <c r="K66" s="22" t="s">
        <v>490</v>
      </c>
      <c r="M66" s="2" t="s">
        <v>8</v>
      </c>
      <c r="N66" s="2">
        <v>0</v>
      </c>
      <c r="O66" s="2">
        <v>10</v>
      </c>
    </row>
    <row r="67" spans="1:15" ht="18" customHeight="1" x14ac:dyDescent="0.2">
      <c r="A67" s="23" t="s">
        <v>460</v>
      </c>
      <c r="B67" s="23" t="s">
        <v>461</v>
      </c>
      <c r="C67" s="23" t="s">
        <v>274</v>
      </c>
      <c r="D67" s="23" t="s">
        <v>553</v>
      </c>
      <c r="E67" s="23" t="s">
        <v>487</v>
      </c>
      <c r="F67" s="4">
        <v>2</v>
      </c>
      <c r="G67" s="21">
        <v>2000</v>
      </c>
      <c r="H67" s="4" t="str">
        <f t="shared" si="1"/>
        <v>P00I01</v>
      </c>
      <c r="I67" s="4" t="s">
        <v>488</v>
      </c>
      <c r="J67" s="2" t="s">
        <v>489</v>
      </c>
      <c r="K67" s="22" t="s">
        <v>490</v>
      </c>
      <c r="M67" s="2" t="s">
        <v>8</v>
      </c>
      <c r="N67" s="2">
        <v>0</v>
      </c>
      <c r="O67" s="2">
        <v>10</v>
      </c>
    </row>
    <row r="68" spans="1:15" ht="18" customHeight="1" x14ac:dyDescent="0.2">
      <c r="A68" s="23" t="s">
        <v>460</v>
      </c>
      <c r="B68" s="23" t="s">
        <v>461</v>
      </c>
      <c r="C68" s="23" t="s">
        <v>274</v>
      </c>
      <c r="D68" s="23" t="s">
        <v>553</v>
      </c>
      <c r="E68" s="23" t="s">
        <v>487</v>
      </c>
      <c r="F68" s="4">
        <v>3</v>
      </c>
      <c r="G68" s="21">
        <v>2001</v>
      </c>
      <c r="H68" s="4" t="str">
        <f t="shared" si="1"/>
        <v>P01I01</v>
      </c>
      <c r="I68" s="4" t="s">
        <v>488</v>
      </c>
      <c r="J68" s="2" t="s">
        <v>489</v>
      </c>
      <c r="K68" s="22" t="s">
        <v>490</v>
      </c>
      <c r="M68" s="2" t="s">
        <v>8</v>
      </c>
      <c r="N68" s="2">
        <v>0</v>
      </c>
      <c r="O68" s="2">
        <v>10</v>
      </c>
    </row>
    <row r="69" spans="1:15" ht="18" customHeight="1" x14ac:dyDescent="0.2">
      <c r="A69" s="23" t="s">
        <v>460</v>
      </c>
      <c r="B69" s="23" t="s">
        <v>461</v>
      </c>
      <c r="C69" s="23" t="s">
        <v>274</v>
      </c>
      <c r="D69" s="23" t="s">
        <v>553</v>
      </c>
      <c r="E69" s="23" t="s">
        <v>487</v>
      </c>
      <c r="F69" s="4">
        <v>4</v>
      </c>
      <c r="G69" s="21">
        <v>2002</v>
      </c>
      <c r="H69" s="4" t="str">
        <f t="shared" si="1"/>
        <v>P02I01</v>
      </c>
      <c r="I69" s="4" t="s">
        <v>488</v>
      </c>
      <c r="J69" s="2" t="s">
        <v>489</v>
      </c>
      <c r="K69" s="22" t="s">
        <v>490</v>
      </c>
      <c r="M69" s="2" t="s">
        <v>8</v>
      </c>
      <c r="N69" s="2">
        <v>0</v>
      </c>
      <c r="O69" s="2">
        <v>10</v>
      </c>
    </row>
    <row r="70" spans="1:15" ht="18" customHeight="1" x14ac:dyDescent="0.2">
      <c r="A70" s="23" t="s">
        <v>460</v>
      </c>
      <c r="B70" s="23" t="s">
        <v>461</v>
      </c>
      <c r="C70" s="23" t="s">
        <v>274</v>
      </c>
      <c r="D70" s="23" t="s">
        <v>553</v>
      </c>
      <c r="E70" s="23" t="s">
        <v>487</v>
      </c>
      <c r="F70" s="4">
        <v>5</v>
      </c>
      <c r="G70" s="21">
        <v>2003</v>
      </c>
      <c r="H70" s="4" t="str">
        <f t="shared" si="1"/>
        <v>P03I01</v>
      </c>
      <c r="I70" s="4" t="s">
        <v>488</v>
      </c>
      <c r="J70" s="2" t="s">
        <v>489</v>
      </c>
      <c r="K70" s="22" t="s">
        <v>490</v>
      </c>
      <c r="M70" s="2" t="s">
        <v>8</v>
      </c>
      <c r="N70" s="2">
        <v>0</v>
      </c>
      <c r="O70" s="2">
        <v>10</v>
      </c>
    </row>
    <row r="71" spans="1:15" ht="18" customHeight="1" x14ac:dyDescent="0.2">
      <c r="A71" s="23" t="s">
        <v>460</v>
      </c>
      <c r="B71" s="23" t="s">
        <v>461</v>
      </c>
      <c r="C71" s="23" t="s">
        <v>274</v>
      </c>
      <c r="D71" s="23" t="s">
        <v>553</v>
      </c>
      <c r="E71" s="23" t="s">
        <v>487</v>
      </c>
      <c r="F71" s="4">
        <v>6</v>
      </c>
      <c r="G71" s="21">
        <v>2004</v>
      </c>
      <c r="H71" s="4" t="str">
        <f t="shared" si="1"/>
        <v>P04I01</v>
      </c>
      <c r="I71" s="4" t="s">
        <v>488</v>
      </c>
      <c r="J71" s="2" t="s">
        <v>489</v>
      </c>
      <c r="K71" s="22" t="s">
        <v>490</v>
      </c>
      <c r="M71" s="2" t="s">
        <v>8</v>
      </c>
      <c r="N71" s="2">
        <v>0</v>
      </c>
      <c r="O71" s="2">
        <v>10</v>
      </c>
    </row>
    <row r="72" spans="1:15" ht="18" customHeight="1" x14ac:dyDescent="0.2">
      <c r="A72" s="23" t="s">
        <v>460</v>
      </c>
      <c r="B72" s="23" t="s">
        <v>461</v>
      </c>
      <c r="C72" s="23" t="s">
        <v>274</v>
      </c>
      <c r="D72" s="23" t="s">
        <v>553</v>
      </c>
      <c r="E72" s="23" t="s">
        <v>487</v>
      </c>
      <c r="F72" s="4">
        <v>7</v>
      </c>
      <c r="G72" s="21">
        <v>2005</v>
      </c>
      <c r="H72" s="4" t="str">
        <f t="shared" si="1"/>
        <v>P05I01</v>
      </c>
      <c r="I72" s="4" t="s">
        <v>488</v>
      </c>
      <c r="J72" s="2" t="s">
        <v>489</v>
      </c>
      <c r="K72" s="22" t="s">
        <v>490</v>
      </c>
      <c r="M72" s="2" t="s">
        <v>8</v>
      </c>
      <c r="N72" s="2">
        <v>0</v>
      </c>
      <c r="O72" s="2">
        <v>10</v>
      </c>
    </row>
    <row r="73" spans="1:15" ht="18" customHeight="1" x14ac:dyDescent="0.2">
      <c r="A73" s="23" t="s">
        <v>460</v>
      </c>
      <c r="B73" s="23" t="s">
        <v>461</v>
      </c>
      <c r="C73" s="23" t="s">
        <v>274</v>
      </c>
      <c r="D73" s="23" t="s">
        <v>553</v>
      </c>
      <c r="E73" s="23" t="s">
        <v>487</v>
      </c>
      <c r="F73" s="4">
        <v>8</v>
      </c>
      <c r="G73" s="21">
        <v>2006</v>
      </c>
      <c r="H73" s="4" t="str">
        <f t="shared" si="1"/>
        <v>P06I01</v>
      </c>
      <c r="I73" s="4" t="s">
        <v>488</v>
      </c>
      <c r="J73" s="2" t="s">
        <v>489</v>
      </c>
      <c r="K73" s="22" t="s">
        <v>490</v>
      </c>
      <c r="M73" s="2" t="s">
        <v>8</v>
      </c>
      <c r="N73" s="2">
        <v>0</v>
      </c>
      <c r="O73" s="2">
        <v>10</v>
      </c>
    </row>
    <row r="74" spans="1:15" ht="18" customHeight="1" x14ac:dyDescent="0.2">
      <c r="A74" s="23" t="s">
        <v>460</v>
      </c>
      <c r="B74" s="23" t="s">
        <v>461</v>
      </c>
      <c r="C74" s="23" t="s">
        <v>274</v>
      </c>
      <c r="D74" s="23" t="s">
        <v>553</v>
      </c>
      <c r="E74" s="23" t="s">
        <v>487</v>
      </c>
      <c r="F74" s="4">
        <v>9</v>
      </c>
      <c r="G74" s="21">
        <v>2007</v>
      </c>
      <c r="H74" s="4" t="str">
        <f t="shared" si="1"/>
        <v>P07I01</v>
      </c>
      <c r="I74" s="4" t="s">
        <v>488</v>
      </c>
      <c r="J74" s="2" t="s">
        <v>489</v>
      </c>
      <c r="K74" s="22" t="s">
        <v>490</v>
      </c>
      <c r="M74" s="2" t="s">
        <v>8</v>
      </c>
      <c r="N74" s="2">
        <v>0</v>
      </c>
      <c r="O74" s="2">
        <v>10</v>
      </c>
    </row>
    <row r="75" spans="1:15" ht="18" customHeight="1" x14ac:dyDescent="0.2">
      <c r="A75" s="23" t="s">
        <v>460</v>
      </c>
      <c r="B75" s="23" t="s">
        <v>461</v>
      </c>
      <c r="C75" s="23" t="s">
        <v>274</v>
      </c>
      <c r="D75" s="23" t="s">
        <v>553</v>
      </c>
      <c r="E75" s="23" t="s">
        <v>487</v>
      </c>
      <c r="F75" s="4">
        <v>10</v>
      </c>
      <c r="G75" s="21">
        <v>2008</v>
      </c>
      <c r="H75" s="4" t="str">
        <f t="shared" si="1"/>
        <v>P08I01</v>
      </c>
      <c r="I75" s="4" t="s">
        <v>488</v>
      </c>
      <c r="J75" s="2" t="s">
        <v>489</v>
      </c>
      <c r="K75" s="22" t="s">
        <v>490</v>
      </c>
      <c r="M75" s="2" t="s">
        <v>8</v>
      </c>
      <c r="N75" s="2">
        <v>0</v>
      </c>
      <c r="O75" s="2">
        <v>10</v>
      </c>
    </row>
    <row r="76" spans="1:15" ht="18" customHeight="1" x14ac:dyDescent="0.2">
      <c r="A76" s="23" t="s">
        <v>460</v>
      </c>
      <c r="B76" s="23" t="s">
        <v>461</v>
      </c>
      <c r="C76" s="23" t="s">
        <v>274</v>
      </c>
      <c r="D76" s="23" t="s">
        <v>553</v>
      </c>
      <c r="E76" s="23" t="s">
        <v>487</v>
      </c>
      <c r="F76" s="4">
        <v>11</v>
      </c>
      <c r="G76" s="21">
        <v>2009</v>
      </c>
      <c r="H76" s="4" t="str">
        <f t="shared" si="1"/>
        <v>P09I01</v>
      </c>
      <c r="I76" s="4" t="s">
        <v>488</v>
      </c>
      <c r="J76" s="2" t="s">
        <v>489</v>
      </c>
      <c r="K76" s="22" t="s">
        <v>490</v>
      </c>
      <c r="M76" s="2" t="s">
        <v>8</v>
      </c>
      <c r="N76" s="2">
        <v>0</v>
      </c>
      <c r="O76" s="2">
        <v>10</v>
      </c>
    </row>
    <row r="77" spans="1:15" ht="18" customHeight="1" x14ac:dyDescent="0.2">
      <c r="A77" s="23" t="s">
        <v>460</v>
      </c>
      <c r="B77" s="23" t="s">
        <v>461</v>
      </c>
      <c r="C77" s="23" t="s">
        <v>274</v>
      </c>
      <c r="D77" s="23" t="s">
        <v>553</v>
      </c>
      <c r="E77" s="23" t="s">
        <v>487</v>
      </c>
      <c r="F77" s="4">
        <v>12</v>
      </c>
      <c r="G77" s="21">
        <v>2010</v>
      </c>
      <c r="H77" s="4" t="str">
        <f t="shared" si="1"/>
        <v>P10I01</v>
      </c>
      <c r="I77" s="4" t="s">
        <v>488</v>
      </c>
      <c r="J77" s="2" t="s">
        <v>489</v>
      </c>
      <c r="K77" s="22" t="s">
        <v>490</v>
      </c>
      <c r="M77" s="2" t="s">
        <v>8</v>
      </c>
      <c r="N77" s="2">
        <v>0</v>
      </c>
      <c r="O77" s="2">
        <v>10</v>
      </c>
    </row>
    <row r="78" spans="1:15" ht="18" customHeight="1" x14ac:dyDescent="0.2">
      <c r="A78" s="23" t="s">
        <v>460</v>
      </c>
      <c r="B78" s="23" t="s">
        <v>461</v>
      </c>
      <c r="C78" s="23" t="s">
        <v>274</v>
      </c>
      <c r="D78" s="23" t="s">
        <v>553</v>
      </c>
      <c r="E78" s="23" t="s">
        <v>487</v>
      </c>
      <c r="F78" s="4">
        <v>13</v>
      </c>
      <c r="G78" s="21">
        <v>2011</v>
      </c>
      <c r="H78" s="4" t="str">
        <f t="shared" si="1"/>
        <v>P11I01</v>
      </c>
      <c r="I78" s="4" t="s">
        <v>488</v>
      </c>
      <c r="J78" s="2" t="s">
        <v>489</v>
      </c>
      <c r="K78" s="22" t="s">
        <v>490</v>
      </c>
      <c r="M78" s="2" t="s">
        <v>8</v>
      </c>
      <c r="N78" s="2">
        <v>0</v>
      </c>
      <c r="O78" s="2">
        <v>10</v>
      </c>
    </row>
    <row r="79" spans="1:15" ht="18" customHeight="1" x14ac:dyDescent="0.2">
      <c r="A79" s="23" t="s">
        <v>460</v>
      </c>
      <c r="B79" s="23" t="s">
        <v>461</v>
      </c>
      <c r="C79" s="23" t="s">
        <v>274</v>
      </c>
      <c r="D79" s="23" t="s">
        <v>553</v>
      </c>
      <c r="E79" s="23" t="s">
        <v>487</v>
      </c>
      <c r="F79" s="4">
        <v>14</v>
      </c>
      <c r="G79" s="21">
        <v>2012</v>
      </c>
      <c r="H79" s="4" t="str">
        <f t="shared" si="1"/>
        <v>P12I01</v>
      </c>
      <c r="I79" s="4" t="s">
        <v>488</v>
      </c>
      <c r="J79" s="2" t="s">
        <v>489</v>
      </c>
      <c r="K79" s="22" t="s">
        <v>490</v>
      </c>
      <c r="M79" s="2" t="s">
        <v>8</v>
      </c>
      <c r="N79" s="2">
        <v>0</v>
      </c>
      <c r="O79" s="2">
        <v>10</v>
      </c>
    </row>
    <row r="80" spans="1:15" ht="18" customHeight="1" x14ac:dyDescent="0.2">
      <c r="A80" s="23" t="s">
        <v>460</v>
      </c>
      <c r="B80" s="23" t="s">
        <v>461</v>
      </c>
      <c r="C80" s="23" t="s">
        <v>274</v>
      </c>
      <c r="D80" s="23" t="s">
        <v>553</v>
      </c>
      <c r="E80" s="23" t="s">
        <v>487</v>
      </c>
      <c r="F80" s="4">
        <v>15</v>
      </c>
      <c r="G80" s="21">
        <v>2013</v>
      </c>
      <c r="H80" s="4" t="str">
        <f t="shared" si="1"/>
        <v>P13I01</v>
      </c>
      <c r="I80" s="4" t="s">
        <v>488</v>
      </c>
      <c r="J80" s="2" t="s">
        <v>489</v>
      </c>
      <c r="K80" s="22" t="s">
        <v>490</v>
      </c>
      <c r="M80" s="2" t="s">
        <v>8</v>
      </c>
      <c r="N80" s="2">
        <v>0</v>
      </c>
      <c r="O80" s="2">
        <v>10</v>
      </c>
    </row>
    <row r="81" spans="1:15" ht="18" customHeight="1" x14ac:dyDescent="0.2">
      <c r="A81" s="23" t="s">
        <v>460</v>
      </c>
      <c r="B81" s="23" t="s">
        <v>461</v>
      </c>
      <c r="C81" s="23" t="s">
        <v>274</v>
      </c>
      <c r="D81" s="23" t="s">
        <v>553</v>
      </c>
      <c r="E81" s="23" t="s">
        <v>487</v>
      </c>
      <c r="F81" s="4">
        <v>16</v>
      </c>
      <c r="G81" s="21">
        <v>2014</v>
      </c>
      <c r="H81" s="4" t="str">
        <f t="shared" si="1"/>
        <v>P14I01</v>
      </c>
      <c r="I81" s="4" t="s">
        <v>488</v>
      </c>
      <c r="J81" s="2" t="s">
        <v>489</v>
      </c>
      <c r="K81" s="22" t="s">
        <v>490</v>
      </c>
      <c r="M81" s="2" t="s">
        <v>8</v>
      </c>
      <c r="N81" s="2">
        <v>0</v>
      </c>
      <c r="O81" s="2">
        <v>10</v>
      </c>
    </row>
    <row r="82" spans="1:15" ht="18" customHeight="1" x14ac:dyDescent="0.2">
      <c r="A82" s="23" t="s">
        <v>460</v>
      </c>
      <c r="B82" s="23" t="s">
        <v>461</v>
      </c>
      <c r="C82" s="23" t="s">
        <v>274</v>
      </c>
      <c r="D82" s="23" t="s">
        <v>553</v>
      </c>
      <c r="E82" s="23" t="s">
        <v>487</v>
      </c>
      <c r="F82" s="4">
        <v>17</v>
      </c>
      <c r="G82" s="21">
        <v>2015</v>
      </c>
      <c r="H82" s="4" t="str">
        <f t="shared" si="1"/>
        <v>P15I01</v>
      </c>
      <c r="I82" s="4" t="s">
        <v>488</v>
      </c>
      <c r="J82" s="2" t="s">
        <v>489</v>
      </c>
      <c r="K82" s="22" t="s">
        <v>490</v>
      </c>
      <c r="M82" s="2" t="s">
        <v>8</v>
      </c>
      <c r="N82" s="2">
        <v>0</v>
      </c>
      <c r="O82" s="2">
        <v>10</v>
      </c>
    </row>
    <row r="83" spans="1:15" ht="18" customHeight="1" x14ac:dyDescent="0.2">
      <c r="A83" s="23" t="s">
        <v>460</v>
      </c>
      <c r="B83" s="23" t="s">
        <v>461</v>
      </c>
      <c r="C83" s="23" t="s">
        <v>274</v>
      </c>
      <c r="D83" s="23" t="s">
        <v>553</v>
      </c>
      <c r="E83" s="23" t="s">
        <v>487</v>
      </c>
      <c r="F83" s="4">
        <v>18</v>
      </c>
      <c r="G83" s="21">
        <v>2016</v>
      </c>
      <c r="H83" s="4" t="str">
        <f t="shared" si="1"/>
        <v>P16I01</v>
      </c>
      <c r="I83" s="4" t="s">
        <v>488</v>
      </c>
      <c r="J83" s="2" t="s">
        <v>489</v>
      </c>
      <c r="K83" s="22" t="s">
        <v>490</v>
      </c>
      <c r="M83" s="2" t="s">
        <v>8</v>
      </c>
      <c r="N83" s="2">
        <v>0</v>
      </c>
      <c r="O83" s="2">
        <v>10</v>
      </c>
    </row>
    <row r="84" spans="1:15" ht="18" customHeight="1" x14ac:dyDescent="0.2">
      <c r="A84" s="23" t="s">
        <v>460</v>
      </c>
      <c r="B84" s="23" t="s">
        <v>461</v>
      </c>
      <c r="C84" s="23" t="s">
        <v>274</v>
      </c>
      <c r="D84" s="23" t="s">
        <v>553</v>
      </c>
      <c r="E84" s="23" t="s">
        <v>487</v>
      </c>
      <c r="F84" s="4">
        <v>19</v>
      </c>
      <c r="G84" s="21">
        <v>2017</v>
      </c>
      <c r="H84" s="4" t="str">
        <f t="shared" si="1"/>
        <v>P17I01</v>
      </c>
      <c r="I84" s="4" t="s">
        <v>488</v>
      </c>
      <c r="J84" s="2" t="s">
        <v>489</v>
      </c>
      <c r="K84" s="22" t="s">
        <v>490</v>
      </c>
      <c r="M84" s="2" t="s">
        <v>8</v>
      </c>
      <c r="N84" s="2">
        <v>0</v>
      </c>
      <c r="O84" s="2">
        <v>10</v>
      </c>
    </row>
    <row r="85" spans="1:15" ht="18" customHeight="1" x14ac:dyDescent="0.2">
      <c r="A85" s="23" t="s">
        <v>460</v>
      </c>
      <c r="B85" s="23" t="s">
        <v>461</v>
      </c>
      <c r="C85" s="23" t="s">
        <v>274</v>
      </c>
      <c r="D85" s="23" t="s">
        <v>553</v>
      </c>
      <c r="E85" s="23" t="s">
        <v>487</v>
      </c>
      <c r="F85" s="4">
        <v>20</v>
      </c>
      <c r="G85" s="21">
        <v>2018</v>
      </c>
      <c r="H85" s="4" t="str">
        <f t="shared" si="1"/>
        <v>P18I01</v>
      </c>
      <c r="I85" s="4" t="s">
        <v>488</v>
      </c>
      <c r="J85" s="2" t="s">
        <v>489</v>
      </c>
      <c r="K85" s="22" t="s">
        <v>490</v>
      </c>
      <c r="M85" s="2" t="s">
        <v>8</v>
      </c>
      <c r="N85" s="2">
        <v>0</v>
      </c>
      <c r="O85" s="2">
        <v>10</v>
      </c>
    </row>
    <row r="86" spans="1:15" ht="18" customHeight="1" x14ac:dyDescent="0.2">
      <c r="A86" s="23" t="s">
        <v>460</v>
      </c>
      <c r="B86" s="23" t="s">
        <v>461</v>
      </c>
      <c r="C86" s="23" t="s">
        <v>274</v>
      </c>
      <c r="D86" s="23" t="s">
        <v>553</v>
      </c>
      <c r="E86" s="23" t="s">
        <v>487</v>
      </c>
      <c r="F86" s="4">
        <v>21</v>
      </c>
      <c r="G86" s="21">
        <v>2019</v>
      </c>
      <c r="H86" s="4" t="str">
        <f t="shared" si="1"/>
        <v>P19I01</v>
      </c>
      <c r="I86" s="4" t="s">
        <v>488</v>
      </c>
      <c r="J86" s="2" t="s">
        <v>489</v>
      </c>
      <c r="K86" s="22" t="s">
        <v>490</v>
      </c>
      <c r="M86" s="2" t="s">
        <v>8</v>
      </c>
      <c r="N86" s="2">
        <v>0</v>
      </c>
      <c r="O86" s="2">
        <v>10</v>
      </c>
    </row>
    <row r="87" spans="1:15" ht="18" customHeight="1" x14ac:dyDescent="0.2">
      <c r="A87" s="24" t="s">
        <v>460</v>
      </c>
      <c r="B87" s="24" t="s">
        <v>461</v>
      </c>
      <c r="C87" s="24" t="s">
        <v>274</v>
      </c>
      <c r="D87" s="24" t="s">
        <v>240</v>
      </c>
      <c r="E87" s="24" t="s">
        <v>491</v>
      </c>
      <c r="F87" s="2">
        <v>1</v>
      </c>
      <c r="G87" s="21">
        <v>1999</v>
      </c>
      <c r="H87" s="4" t="s">
        <v>492</v>
      </c>
      <c r="I87" s="4" t="s">
        <v>493</v>
      </c>
      <c r="J87" s="2" t="s">
        <v>494</v>
      </c>
      <c r="K87" s="22" t="s">
        <v>495</v>
      </c>
      <c r="M87" s="2" t="s">
        <v>8</v>
      </c>
      <c r="N87" s="2">
        <v>0</v>
      </c>
      <c r="O87" s="2">
        <v>10</v>
      </c>
    </row>
    <row r="88" spans="1:15" ht="18" customHeight="1" x14ac:dyDescent="0.2">
      <c r="A88" s="24" t="s">
        <v>460</v>
      </c>
      <c r="B88" s="24" t="s">
        <v>461</v>
      </c>
      <c r="C88" s="24" t="s">
        <v>274</v>
      </c>
      <c r="D88" s="24" t="s">
        <v>240</v>
      </c>
      <c r="E88" s="24" t="s">
        <v>491</v>
      </c>
      <c r="F88" s="2">
        <v>2</v>
      </c>
      <c r="G88" s="21">
        <v>2000</v>
      </c>
      <c r="H88" s="4" t="s">
        <v>496</v>
      </c>
      <c r="I88" s="4" t="s">
        <v>493</v>
      </c>
      <c r="J88" s="2" t="s">
        <v>494</v>
      </c>
      <c r="K88" s="22" t="s">
        <v>495</v>
      </c>
      <c r="M88" s="2" t="s">
        <v>8</v>
      </c>
      <c r="N88" s="2">
        <v>0</v>
      </c>
      <c r="O88" s="2">
        <v>10</v>
      </c>
    </row>
    <row r="89" spans="1:15" ht="18" customHeight="1" x14ac:dyDescent="0.2">
      <c r="A89" s="24" t="s">
        <v>460</v>
      </c>
      <c r="B89" s="24" t="s">
        <v>461</v>
      </c>
      <c r="C89" s="24" t="s">
        <v>274</v>
      </c>
      <c r="D89" s="24" t="s">
        <v>240</v>
      </c>
      <c r="E89" s="24" t="s">
        <v>491</v>
      </c>
      <c r="F89" s="2">
        <v>3</v>
      </c>
      <c r="G89" s="21">
        <v>2001</v>
      </c>
      <c r="H89" s="4" t="s">
        <v>497</v>
      </c>
      <c r="I89" s="4" t="s">
        <v>493</v>
      </c>
      <c r="J89" s="2" t="s">
        <v>494</v>
      </c>
      <c r="K89" s="22" t="s">
        <v>495</v>
      </c>
      <c r="M89" s="2" t="s">
        <v>8</v>
      </c>
      <c r="N89" s="2">
        <v>0</v>
      </c>
      <c r="O89" s="2">
        <v>10</v>
      </c>
    </row>
    <row r="90" spans="1:15" ht="18" customHeight="1" x14ac:dyDescent="0.2">
      <c r="A90" s="24" t="s">
        <v>460</v>
      </c>
      <c r="B90" s="24" t="s">
        <v>461</v>
      </c>
      <c r="C90" s="24" t="s">
        <v>274</v>
      </c>
      <c r="D90" s="24" t="s">
        <v>240</v>
      </c>
      <c r="E90" s="24" t="s">
        <v>491</v>
      </c>
      <c r="F90" s="2">
        <v>4</v>
      </c>
      <c r="G90" s="21">
        <v>2002</v>
      </c>
      <c r="H90" s="4" t="s">
        <v>498</v>
      </c>
      <c r="I90" s="4" t="s">
        <v>493</v>
      </c>
      <c r="J90" s="2" t="s">
        <v>494</v>
      </c>
      <c r="K90" s="22" t="s">
        <v>495</v>
      </c>
      <c r="M90" s="2" t="s">
        <v>8</v>
      </c>
      <c r="N90" s="2">
        <v>0</v>
      </c>
      <c r="O90" s="2">
        <v>10</v>
      </c>
    </row>
    <row r="91" spans="1:15" ht="18" customHeight="1" x14ac:dyDescent="0.2">
      <c r="A91" s="24" t="s">
        <v>460</v>
      </c>
      <c r="B91" s="24" t="s">
        <v>461</v>
      </c>
      <c r="C91" s="24" t="s">
        <v>274</v>
      </c>
      <c r="D91" s="24" t="s">
        <v>240</v>
      </c>
      <c r="E91" s="24" t="s">
        <v>491</v>
      </c>
      <c r="F91" s="2">
        <v>5</v>
      </c>
      <c r="G91" s="21">
        <v>2003</v>
      </c>
      <c r="H91" s="4" t="s">
        <v>499</v>
      </c>
      <c r="I91" s="4" t="s">
        <v>493</v>
      </c>
      <c r="J91" s="2" t="s">
        <v>494</v>
      </c>
      <c r="K91" s="22" t="s">
        <v>495</v>
      </c>
      <c r="M91" s="2" t="s">
        <v>8</v>
      </c>
      <c r="N91" s="2">
        <v>0</v>
      </c>
      <c r="O91" s="2">
        <v>10</v>
      </c>
    </row>
    <row r="92" spans="1:15" ht="18" customHeight="1" x14ac:dyDescent="0.2">
      <c r="A92" s="24" t="s">
        <v>460</v>
      </c>
      <c r="B92" s="24" t="s">
        <v>461</v>
      </c>
      <c r="C92" s="24" t="s">
        <v>274</v>
      </c>
      <c r="D92" s="24" t="s">
        <v>240</v>
      </c>
      <c r="E92" s="24" t="s">
        <v>491</v>
      </c>
      <c r="F92" s="2">
        <v>6</v>
      </c>
      <c r="G92" s="21">
        <v>2004</v>
      </c>
      <c r="H92" s="4" t="s">
        <v>500</v>
      </c>
      <c r="I92" s="4" t="s">
        <v>493</v>
      </c>
      <c r="J92" s="2" t="s">
        <v>494</v>
      </c>
      <c r="K92" s="22" t="s">
        <v>495</v>
      </c>
      <c r="M92" s="2" t="s">
        <v>8</v>
      </c>
      <c r="N92" s="2">
        <v>0</v>
      </c>
      <c r="O92" s="2">
        <v>10</v>
      </c>
    </row>
    <row r="93" spans="1:15" ht="18" customHeight="1" x14ac:dyDescent="0.2">
      <c r="A93" s="24" t="s">
        <v>460</v>
      </c>
      <c r="B93" s="24" t="s">
        <v>461</v>
      </c>
      <c r="C93" s="24" t="s">
        <v>274</v>
      </c>
      <c r="D93" s="24" t="s">
        <v>240</v>
      </c>
      <c r="E93" s="24" t="s">
        <v>491</v>
      </c>
      <c r="F93" s="2">
        <v>7</v>
      </c>
      <c r="G93" s="21">
        <v>2005</v>
      </c>
      <c r="H93" s="4" t="s">
        <v>501</v>
      </c>
      <c r="I93" s="4" t="s">
        <v>493</v>
      </c>
      <c r="J93" s="2" t="s">
        <v>494</v>
      </c>
      <c r="K93" s="22" t="s">
        <v>495</v>
      </c>
      <c r="M93" s="2" t="s">
        <v>8</v>
      </c>
      <c r="N93" s="2">
        <v>0</v>
      </c>
      <c r="O93" s="2">
        <v>10</v>
      </c>
    </row>
    <row r="94" spans="1:15" ht="18" customHeight="1" x14ac:dyDescent="0.2">
      <c r="A94" s="24" t="s">
        <v>460</v>
      </c>
      <c r="B94" s="24" t="s">
        <v>461</v>
      </c>
      <c r="C94" s="24" t="s">
        <v>274</v>
      </c>
      <c r="D94" s="24" t="s">
        <v>240</v>
      </c>
      <c r="E94" s="24" t="s">
        <v>491</v>
      </c>
      <c r="F94" s="2">
        <v>8</v>
      </c>
      <c r="G94" s="21">
        <v>2006</v>
      </c>
      <c r="H94" s="4" t="s">
        <v>502</v>
      </c>
      <c r="I94" s="4" t="s">
        <v>493</v>
      </c>
      <c r="J94" s="2" t="s">
        <v>494</v>
      </c>
      <c r="K94" s="22" t="s">
        <v>495</v>
      </c>
      <c r="M94" s="2" t="s">
        <v>8</v>
      </c>
      <c r="N94" s="2">
        <v>0</v>
      </c>
      <c r="O94" s="2">
        <v>10</v>
      </c>
    </row>
    <row r="95" spans="1:15" ht="18" customHeight="1" x14ac:dyDescent="0.2">
      <c r="A95" s="24" t="s">
        <v>460</v>
      </c>
      <c r="B95" s="24" t="s">
        <v>461</v>
      </c>
      <c r="C95" s="24" t="s">
        <v>274</v>
      </c>
      <c r="D95" s="24" t="s">
        <v>240</v>
      </c>
      <c r="E95" s="24" t="s">
        <v>491</v>
      </c>
      <c r="F95" s="2">
        <v>9</v>
      </c>
      <c r="G95" s="21">
        <v>2007</v>
      </c>
      <c r="H95" s="4" t="s">
        <v>503</v>
      </c>
      <c r="I95" s="4" t="s">
        <v>493</v>
      </c>
      <c r="J95" s="2" t="s">
        <v>494</v>
      </c>
      <c r="K95" s="22" t="s">
        <v>495</v>
      </c>
      <c r="M95" s="2" t="s">
        <v>8</v>
      </c>
      <c r="N95" s="2">
        <v>0</v>
      </c>
      <c r="O95" s="2">
        <v>10</v>
      </c>
    </row>
    <row r="96" spans="1:15" ht="18" customHeight="1" x14ac:dyDescent="0.2">
      <c r="A96" s="24" t="s">
        <v>460</v>
      </c>
      <c r="B96" s="24" t="s">
        <v>461</v>
      </c>
      <c r="C96" s="24" t="s">
        <v>274</v>
      </c>
      <c r="D96" s="24" t="s">
        <v>240</v>
      </c>
      <c r="E96" s="24" t="s">
        <v>491</v>
      </c>
      <c r="F96" s="2">
        <v>10</v>
      </c>
      <c r="G96" s="21">
        <v>2008</v>
      </c>
      <c r="H96" s="4" t="s">
        <v>504</v>
      </c>
      <c r="I96" s="4" t="s">
        <v>493</v>
      </c>
      <c r="J96" s="2" t="s">
        <v>494</v>
      </c>
      <c r="K96" s="22" t="s">
        <v>495</v>
      </c>
      <c r="M96" s="2" t="s">
        <v>8</v>
      </c>
      <c r="N96" s="2">
        <v>0</v>
      </c>
      <c r="O96" s="2">
        <v>10</v>
      </c>
    </row>
    <row r="97" spans="1:15" ht="18" customHeight="1" x14ac:dyDescent="0.2">
      <c r="A97" s="24" t="s">
        <v>460</v>
      </c>
      <c r="B97" s="24" t="s">
        <v>461</v>
      </c>
      <c r="C97" s="24" t="s">
        <v>274</v>
      </c>
      <c r="D97" s="24" t="s">
        <v>240</v>
      </c>
      <c r="E97" s="24" t="s">
        <v>491</v>
      </c>
      <c r="F97" s="2">
        <v>11</v>
      </c>
      <c r="G97" s="21">
        <v>2009</v>
      </c>
      <c r="H97" s="4" t="s">
        <v>505</v>
      </c>
      <c r="I97" s="4" t="s">
        <v>493</v>
      </c>
      <c r="J97" s="2" t="s">
        <v>494</v>
      </c>
      <c r="K97" s="22" t="s">
        <v>495</v>
      </c>
      <c r="M97" s="2" t="s">
        <v>8</v>
      </c>
      <c r="N97" s="2">
        <v>0</v>
      </c>
      <c r="O97" s="2">
        <v>10</v>
      </c>
    </row>
    <row r="98" spans="1:15" ht="18" customHeight="1" x14ac:dyDescent="0.2">
      <c r="A98" s="24" t="s">
        <v>460</v>
      </c>
      <c r="B98" s="24" t="s">
        <v>461</v>
      </c>
      <c r="C98" s="24" t="s">
        <v>274</v>
      </c>
      <c r="D98" s="24" t="s">
        <v>240</v>
      </c>
      <c r="E98" s="24" t="s">
        <v>491</v>
      </c>
      <c r="F98" s="2">
        <v>12</v>
      </c>
      <c r="G98" s="21">
        <v>2010</v>
      </c>
      <c r="H98" s="4" t="s">
        <v>506</v>
      </c>
      <c r="I98" s="4" t="s">
        <v>493</v>
      </c>
      <c r="J98" s="2" t="s">
        <v>494</v>
      </c>
      <c r="K98" s="22" t="s">
        <v>495</v>
      </c>
      <c r="M98" s="2" t="s">
        <v>8</v>
      </c>
      <c r="N98" s="2">
        <v>0</v>
      </c>
      <c r="O98" s="2">
        <v>10</v>
      </c>
    </row>
    <row r="99" spans="1:15" ht="18" customHeight="1" x14ac:dyDescent="0.2">
      <c r="A99" s="24" t="s">
        <v>460</v>
      </c>
      <c r="B99" s="24" t="s">
        <v>461</v>
      </c>
      <c r="C99" s="24" t="s">
        <v>274</v>
      </c>
      <c r="D99" s="24" t="s">
        <v>240</v>
      </c>
      <c r="E99" s="24" t="s">
        <v>491</v>
      </c>
      <c r="F99" s="2">
        <v>13</v>
      </c>
      <c r="G99" s="21">
        <v>2011</v>
      </c>
      <c r="H99" s="4" t="s">
        <v>507</v>
      </c>
      <c r="I99" s="4" t="s">
        <v>493</v>
      </c>
      <c r="J99" s="2" t="s">
        <v>494</v>
      </c>
      <c r="K99" s="22" t="s">
        <v>495</v>
      </c>
      <c r="M99" s="2" t="s">
        <v>8</v>
      </c>
      <c r="N99" s="2">
        <v>0</v>
      </c>
      <c r="O99" s="2">
        <v>10</v>
      </c>
    </row>
    <row r="100" spans="1:15" ht="18" customHeight="1" x14ac:dyDescent="0.2">
      <c r="A100" s="24" t="s">
        <v>460</v>
      </c>
      <c r="B100" s="24" t="s">
        <v>461</v>
      </c>
      <c r="C100" s="24" t="s">
        <v>274</v>
      </c>
      <c r="D100" s="24" t="s">
        <v>240</v>
      </c>
      <c r="E100" s="24" t="s">
        <v>491</v>
      </c>
      <c r="F100" s="2">
        <v>14</v>
      </c>
      <c r="G100" s="21">
        <v>2012</v>
      </c>
      <c r="H100" s="4" t="s">
        <v>508</v>
      </c>
      <c r="I100" s="4" t="s">
        <v>493</v>
      </c>
      <c r="J100" s="2" t="s">
        <v>494</v>
      </c>
      <c r="K100" s="22" t="s">
        <v>495</v>
      </c>
      <c r="M100" s="2" t="s">
        <v>8</v>
      </c>
      <c r="N100" s="2">
        <v>0</v>
      </c>
      <c r="O100" s="2">
        <v>10</v>
      </c>
    </row>
    <row r="101" spans="1:15" ht="18" customHeight="1" x14ac:dyDescent="0.2">
      <c r="A101" s="24" t="s">
        <v>460</v>
      </c>
      <c r="B101" s="24" t="s">
        <v>461</v>
      </c>
      <c r="C101" s="24" t="s">
        <v>274</v>
      </c>
      <c r="D101" s="24" t="s">
        <v>240</v>
      </c>
      <c r="E101" s="24" t="s">
        <v>491</v>
      </c>
      <c r="F101" s="2">
        <v>15</v>
      </c>
      <c r="G101" s="21">
        <v>2013</v>
      </c>
      <c r="H101" s="4" t="s">
        <v>509</v>
      </c>
      <c r="I101" s="4" t="s">
        <v>493</v>
      </c>
      <c r="J101" s="2" t="s">
        <v>494</v>
      </c>
      <c r="K101" s="22" t="s">
        <v>495</v>
      </c>
      <c r="M101" s="2" t="s">
        <v>8</v>
      </c>
      <c r="N101" s="2">
        <v>0</v>
      </c>
      <c r="O101" s="2">
        <v>10</v>
      </c>
    </row>
    <row r="102" spans="1:15" ht="18" customHeight="1" x14ac:dyDescent="0.2">
      <c r="A102" s="24" t="s">
        <v>460</v>
      </c>
      <c r="B102" s="24" t="s">
        <v>461</v>
      </c>
      <c r="C102" s="24" t="s">
        <v>274</v>
      </c>
      <c r="D102" s="24" t="s">
        <v>240</v>
      </c>
      <c r="E102" s="24" t="s">
        <v>491</v>
      </c>
      <c r="F102" s="2">
        <v>16</v>
      </c>
      <c r="G102" s="21">
        <v>2014</v>
      </c>
      <c r="H102" s="4" t="s">
        <v>510</v>
      </c>
      <c r="I102" s="4" t="s">
        <v>493</v>
      </c>
      <c r="J102" s="2" t="s">
        <v>494</v>
      </c>
      <c r="K102" s="22" t="s">
        <v>495</v>
      </c>
      <c r="M102" s="2" t="s">
        <v>8</v>
      </c>
      <c r="N102" s="2">
        <v>0</v>
      </c>
      <c r="O102" s="2">
        <v>10</v>
      </c>
    </row>
    <row r="103" spans="1:15" ht="18" customHeight="1" x14ac:dyDescent="0.2">
      <c r="A103" s="24" t="s">
        <v>460</v>
      </c>
      <c r="B103" s="24" t="s">
        <v>461</v>
      </c>
      <c r="C103" s="24" t="s">
        <v>274</v>
      </c>
      <c r="D103" s="24" t="s">
        <v>240</v>
      </c>
      <c r="E103" s="24" t="s">
        <v>491</v>
      </c>
      <c r="F103" s="2">
        <v>17</v>
      </c>
      <c r="G103" s="21">
        <v>2015</v>
      </c>
      <c r="H103" s="4" t="s">
        <v>511</v>
      </c>
      <c r="I103" s="4" t="s">
        <v>493</v>
      </c>
      <c r="J103" s="2" t="s">
        <v>494</v>
      </c>
      <c r="K103" s="22" t="s">
        <v>495</v>
      </c>
      <c r="M103" s="2" t="s">
        <v>8</v>
      </c>
      <c r="N103" s="2">
        <v>0</v>
      </c>
      <c r="O103" s="2">
        <v>10</v>
      </c>
    </row>
    <row r="104" spans="1:15" ht="18" customHeight="1" x14ac:dyDescent="0.2">
      <c r="A104" s="24" t="s">
        <v>460</v>
      </c>
      <c r="B104" s="24" t="s">
        <v>461</v>
      </c>
      <c r="C104" s="24" t="s">
        <v>274</v>
      </c>
      <c r="D104" s="24" t="s">
        <v>240</v>
      </c>
      <c r="E104" s="24" t="s">
        <v>491</v>
      </c>
      <c r="F104" s="2">
        <v>18</v>
      </c>
      <c r="G104" s="21">
        <v>2016</v>
      </c>
      <c r="H104" s="4" t="s">
        <v>512</v>
      </c>
      <c r="I104" s="4" t="s">
        <v>493</v>
      </c>
      <c r="J104" s="2" t="s">
        <v>494</v>
      </c>
      <c r="K104" s="22" t="s">
        <v>495</v>
      </c>
      <c r="M104" s="2" t="s">
        <v>8</v>
      </c>
      <c r="N104" s="2">
        <v>0</v>
      </c>
      <c r="O104" s="2">
        <v>10</v>
      </c>
    </row>
    <row r="105" spans="1:15" ht="18" customHeight="1" x14ac:dyDescent="0.2">
      <c r="A105" s="24" t="s">
        <v>460</v>
      </c>
      <c r="B105" s="24" t="s">
        <v>461</v>
      </c>
      <c r="C105" s="24" t="s">
        <v>274</v>
      </c>
      <c r="D105" s="24" t="s">
        <v>240</v>
      </c>
      <c r="E105" s="24" t="s">
        <v>491</v>
      </c>
      <c r="F105" s="2">
        <v>19</v>
      </c>
      <c r="G105" s="21">
        <v>2017</v>
      </c>
      <c r="H105" s="4" t="s">
        <v>513</v>
      </c>
      <c r="I105" s="4" t="s">
        <v>493</v>
      </c>
      <c r="J105" s="2" t="s">
        <v>494</v>
      </c>
      <c r="K105" s="22" t="s">
        <v>495</v>
      </c>
      <c r="M105" s="2" t="s">
        <v>8</v>
      </c>
      <c r="N105" s="2">
        <v>0</v>
      </c>
      <c r="O105" s="2">
        <v>10</v>
      </c>
    </row>
    <row r="106" spans="1:15" ht="18" customHeight="1" x14ac:dyDescent="0.2">
      <c r="A106" s="24" t="s">
        <v>460</v>
      </c>
      <c r="B106" s="24" t="s">
        <v>461</v>
      </c>
      <c r="C106" s="24" t="s">
        <v>274</v>
      </c>
      <c r="D106" s="24" t="s">
        <v>240</v>
      </c>
      <c r="E106" s="24" t="s">
        <v>491</v>
      </c>
      <c r="F106" s="2">
        <v>20</v>
      </c>
      <c r="G106" s="21">
        <v>2018</v>
      </c>
      <c r="H106" s="4" t="s">
        <v>514</v>
      </c>
      <c r="I106" s="4" t="s">
        <v>493</v>
      </c>
      <c r="J106" s="2" t="s">
        <v>494</v>
      </c>
      <c r="K106" s="22" t="s">
        <v>495</v>
      </c>
      <c r="M106" s="2" t="s">
        <v>8</v>
      </c>
      <c r="N106" s="2">
        <v>0</v>
      </c>
      <c r="O106" s="2">
        <v>10</v>
      </c>
    </row>
    <row r="107" spans="1:15" ht="18" customHeight="1" x14ac:dyDescent="0.2">
      <c r="A107" s="24" t="s">
        <v>460</v>
      </c>
      <c r="B107" s="24" t="s">
        <v>461</v>
      </c>
      <c r="C107" s="24" t="s">
        <v>274</v>
      </c>
      <c r="D107" s="24" t="s">
        <v>240</v>
      </c>
      <c r="E107" s="24" t="s">
        <v>491</v>
      </c>
      <c r="F107" s="2">
        <v>21</v>
      </c>
      <c r="G107" s="21">
        <v>2019</v>
      </c>
      <c r="H107" s="4" t="s">
        <v>515</v>
      </c>
      <c r="I107" s="4" t="s">
        <v>493</v>
      </c>
      <c r="J107" s="2" t="s">
        <v>494</v>
      </c>
      <c r="K107" s="22" t="s">
        <v>495</v>
      </c>
      <c r="M107" s="2" t="s">
        <v>8</v>
      </c>
      <c r="N107" s="2">
        <v>0</v>
      </c>
      <c r="O107" s="2">
        <v>10</v>
      </c>
    </row>
    <row r="108" spans="1:15" ht="18" customHeight="1" x14ac:dyDescent="0.2">
      <c r="A108" s="23" t="s">
        <v>460</v>
      </c>
      <c r="B108" s="23" t="s">
        <v>461</v>
      </c>
      <c r="C108" s="23" t="s">
        <v>274</v>
      </c>
      <c r="D108" s="23" t="s">
        <v>554</v>
      </c>
      <c r="E108" s="23" t="s">
        <v>517</v>
      </c>
      <c r="F108" s="2">
        <v>3</v>
      </c>
      <c r="G108" s="21">
        <v>2001</v>
      </c>
      <c r="H108" s="4" t="s">
        <v>518</v>
      </c>
      <c r="I108" s="4" t="s">
        <v>519</v>
      </c>
      <c r="J108" s="4" t="s">
        <v>520</v>
      </c>
      <c r="K108" s="22" t="s">
        <v>490</v>
      </c>
      <c r="M108" s="2" t="s">
        <v>8</v>
      </c>
      <c r="N108" s="2">
        <v>0</v>
      </c>
      <c r="O108" s="2">
        <v>10</v>
      </c>
    </row>
    <row r="109" spans="1:15" ht="18" customHeight="1" x14ac:dyDescent="0.2">
      <c r="A109" s="23" t="s">
        <v>460</v>
      </c>
      <c r="B109" s="23" t="s">
        <v>461</v>
      </c>
      <c r="C109" s="23" t="s">
        <v>274</v>
      </c>
      <c r="D109" s="23" t="s">
        <v>554</v>
      </c>
      <c r="E109" s="23" t="s">
        <v>517</v>
      </c>
      <c r="F109" s="2">
        <v>4</v>
      </c>
      <c r="G109" s="21">
        <v>2002</v>
      </c>
      <c r="H109" s="4" t="s">
        <v>521</v>
      </c>
      <c r="I109" s="4" t="s">
        <v>519</v>
      </c>
      <c r="J109" s="4" t="s">
        <v>520</v>
      </c>
      <c r="K109" s="22" t="s">
        <v>490</v>
      </c>
      <c r="M109" s="2" t="s">
        <v>8</v>
      </c>
      <c r="N109" s="2">
        <v>0</v>
      </c>
      <c r="O109" s="2">
        <v>10</v>
      </c>
    </row>
    <row r="110" spans="1:15" ht="18" customHeight="1" x14ac:dyDescent="0.2">
      <c r="A110" s="23" t="s">
        <v>460</v>
      </c>
      <c r="B110" s="23" t="s">
        <v>461</v>
      </c>
      <c r="C110" s="23" t="s">
        <v>274</v>
      </c>
      <c r="D110" s="23" t="s">
        <v>554</v>
      </c>
      <c r="E110" s="23" t="s">
        <v>517</v>
      </c>
      <c r="F110" s="2">
        <v>5</v>
      </c>
      <c r="G110" s="21">
        <v>2003</v>
      </c>
      <c r="H110" s="4" t="s">
        <v>522</v>
      </c>
      <c r="I110" s="4" t="s">
        <v>519</v>
      </c>
      <c r="J110" s="4" t="s">
        <v>520</v>
      </c>
      <c r="K110" s="22" t="s">
        <v>490</v>
      </c>
      <c r="M110" s="2" t="s">
        <v>8</v>
      </c>
      <c r="N110" s="2">
        <v>0</v>
      </c>
      <c r="O110" s="2">
        <v>10</v>
      </c>
    </row>
    <row r="111" spans="1:15" ht="18" customHeight="1" x14ac:dyDescent="0.2">
      <c r="A111" s="23" t="s">
        <v>460</v>
      </c>
      <c r="B111" s="23" t="s">
        <v>461</v>
      </c>
      <c r="C111" s="23" t="s">
        <v>274</v>
      </c>
      <c r="D111" s="23" t="s">
        <v>554</v>
      </c>
      <c r="E111" s="23" t="s">
        <v>517</v>
      </c>
      <c r="F111" s="2">
        <v>6</v>
      </c>
      <c r="G111" s="21">
        <v>2004</v>
      </c>
      <c r="H111" s="4" t="s">
        <v>523</v>
      </c>
      <c r="I111" s="4" t="s">
        <v>519</v>
      </c>
      <c r="J111" s="4" t="s">
        <v>520</v>
      </c>
      <c r="K111" s="22" t="s">
        <v>490</v>
      </c>
      <c r="M111" s="2" t="s">
        <v>8</v>
      </c>
      <c r="N111" s="2">
        <v>0</v>
      </c>
      <c r="O111" s="2">
        <v>10</v>
      </c>
    </row>
    <row r="112" spans="1:15" ht="18" customHeight="1" x14ac:dyDescent="0.2">
      <c r="A112" s="23" t="s">
        <v>460</v>
      </c>
      <c r="B112" s="23" t="s">
        <v>461</v>
      </c>
      <c r="C112" s="23" t="s">
        <v>274</v>
      </c>
      <c r="D112" s="23" t="s">
        <v>554</v>
      </c>
      <c r="E112" s="23" t="s">
        <v>517</v>
      </c>
      <c r="F112" s="2">
        <v>7</v>
      </c>
      <c r="G112" s="21">
        <v>2005</v>
      </c>
      <c r="H112" s="4" t="s">
        <v>524</v>
      </c>
      <c r="I112" s="4" t="s">
        <v>519</v>
      </c>
      <c r="J112" s="4" t="s">
        <v>520</v>
      </c>
      <c r="K112" s="22" t="s">
        <v>490</v>
      </c>
      <c r="M112" s="2" t="s">
        <v>8</v>
      </c>
      <c r="N112" s="2">
        <v>0</v>
      </c>
      <c r="O112" s="2">
        <v>10</v>
      </c>
    </row>
    <row r="113" spans="1:15" ht="18" customHeight="1" x14ac:dyDescent="0.2">
      <c r="A113" s="23" t="s">
        <v>460</v>
      </c>
      <c r="B113" s="23" t="s">
        <v>461</v>
      </c>
      <c r="C113" s="23" t="s">
        <v>274</v>
      </c>
      <c r="D113" s="23" t="s">
        <v>554</v>
      </c>
      <c r="E113" s="23" t="s">
        <v>517</v>
      </c>
      <c r="F113" s="2">
        <v>8</v>
      </c>
      <c r="G113" s="21">
        <v>2006</v>
      </c>
      <c r="H113" s="4" t="s">
        <v>525</v>
      </c>
      <c r="I113" s="4" t="s">
        <v>519</v>
      </c>
      <c r="J113" s="4" t="s">
        <v>520</v>
      </c>
      <c r="K113" s="22" t="s">
        <v>490</v>
      </c>
      <c r="M113" s="2" t="s">
        <v>8</v>
      </c>
      <c r="N113" s="2">
        <v>0</v>
      </c>
      <c r="O113" s="2">
        <v>10</v>
      </c>
    </row>
    <row r="114" spans="1:15" ht="18" customHeight="1" x14ac:dyDescent="0.2">
      <c r="A114" s="23" t="s">
        <v>460</v>
      </c>
      <c r="B114" s="23" t="s">
        <v>461</v>
      </c>
      <c r="C114" s="23" t="s">
        <v>274</v>
      </c>
      <c r="D114" s="23" t="s">
        <v>554</v>
      </c>
      <c r="E114" s="23" t="s">
        <v>517</v>
      </c>
      <c r="F114" s="2">
        <v>9</v>
      </c>
      <c r="G114" s="21">
        <v>2007</v>
      </c>
      <c r="H114" s="4" t="s">
        <v>526</v>
      </c>
      <c r="I114" s="4" t="s">
        <v>519</v>
      </c>
      <c r="J114" s="4" t="s">
        <v>520</v>
      </c>
      <c r="K114" s="22" t="s">
        <v>490</v>
      </c>
      <c r="M114" s="2" t="s">
        <v>8</v>
      </c>
      <c r="N114" s="2">
        <v>0</v>
      </c>
      <c r="O114" s="2">
        <v>10</v>
      </c>
    </row>
    <row r="115" spans="1:15" ht="18" customHeight="1" x14ac:dyDescent="0.2">
      <c r="A115" s="23" t="s">
        <v>460</v>
      </c>
      <c r="B115" s="23" t="s">
        <v>461</v>
      </c>
      <c r="C115" s="23" t="s">
        <v>274</v>
      </c>
      <c r="D115" s="23" t="s">
        <v>554</v>
      </c>
      <c r="E115" s="23" t="s">
        <v>517</v>
      </c>
      <c r="F115" s="2">
        <v>10</v>
      </c>
      <c r="G115" s="21">
        <v>2008</v>
      </c>
      <c r="H115" s="4" t="s">
        <v>527</v>
      </c>
      <c r="I115" s="4" t="s">
        <v>519</v>
      </c>
      <c r="J115" s="4" t="s">
        <v>520</v>
      </c>
      <c r="K115" s="22" t="s">
        <v>490</v>
      </c>
      <c r="M115" s="2" t="s">
        <v>8</v>
      </c>
      <c r="N115" s="2">
        <v>0</v>
      </c>
      <c r="O115" s="2">
        <v>10</v>
      </c>
    </row>
    <row r="116" spans="1:15" ht="18" customHeight="1" x14ac:dyDescent="0.2">
      <c r="A116" s="23" t="s">
        <v>460</v>
      </c>
      <c r="B116" s="23" t="s">
        <v>461</v>
      </c>
      <c r="C116" s="23" t="s">
        <v>274</v>
      </c>
      <c r="D116" s="23" t="s">
        <v>554</v>
      </c>
      <c r="E116" s="23" t="s">
        <v>517</v>
      </c>
      <c r="F116" s="2">
        <v>11</v>
      </c>
      <c r="G116" s="21">
        <v>2009</v>
      </c>
      <c r="H116" s="4" t="s">
        <v>528</v>
      </c>
      <c r="I116" s="4" t="s">
        <v>519</v>
      </c>
      <c r="J116" s="4" t="s">
        <v>520</v>
      </c>
      <c r="K116" s="22" t="s">
        <v>490</v>
      </c>
      <c r="M116" s="2" t="s">
        <v>8</v>
      </c>
      <c r="N116" s="2">
        <v>0</v>
      </c>
      <c r="O116" s="2">
        <v>10</v>
      </c>
    </row>
    <row r="117" spans="1:15" ht="18" customHeight="1" x14ac:dyDescent="0.2">
      <c r="A117" s="23" t="s">
        <v>460</v>
      </c>
      <c r="B117" s="23" t="s">
        <v>461</v>
      </c>
      <c r="C117" s="23" t="s">
        <v>274</v>
      </c>
      <c r="D117" s="23" t="s">
        <v>554</v>
      </c>
      <c r="E117" s="23" t="s">
        <v>517</v>
      </c>
      <c r="F117" s="2">
        <v>12</v>
      </c>
      <c r="G117" s="21">
        <v>2010</v>
      </c>
      <c r="H117" s="4" t="s">
        <v>529</v>
      </c>
      <c r="I117" s="4" t="s">
        <v>519</v>
      </c>
      <c r="J117" s="4" t="s">
        <v>520</v>
      </c>
      <c r="K117" s="22" t="s">
        <v>490</v>
      </c>
      <c r="M117" s="2" t="s">
        <v>8</v>
      </c>
      <c r="N117" s="2">
        <v>0</v>
      </c>
      <c r="O117" s="2">
        <v>10</v>
      </c>
    </row>
    <row r="118" spans="1:15" ht="18" customHeight="1" x14ac:dyDescent="0.2">
      <c r="A118" s="23" t="s">
        <v>460</v>
      </c>
      <c r="B118" s="23" t="s">
        <v>461</v>
      </c>
      <c r="C118" s="23" t="s">
        <v>274</v>
      </c>
      <c r="D118" s="23" t="s">
        <v>554</v>
      </c>
      <c r="E118" s="23" t="s">
        <v>517</v>
      </c>
      <c r="F118" s="2">
        <v>13</v>
      </c>
      <c r="G118" s="21">
        <v>2011</v>
      </c>
      <c r="H118" s="4" t="s">
        <v>530</v>
      </c>
      <c r="I118" s="4" t="s">
        <v>519</v>
      </c>
      <c r="J118" s="4" t="s">
        <v>520</v>
      </c>
      <c r="K118" s="22" t="s">
        <v>490</v>
      </c>
      <c r="M118" s="2" t="s">
        <v>8</v>
      </c>
      <c r="N118" s="2">
        <v>0</v>
      </c>
      <c r="O118" s="2">
        <v>10</v>
      </c>
    </row>
    <row r="119" spans="1:15" ht="18" customHeight="1" x14ac:dyDescent="0.2">
      <c r="A119" s="23" t="s">
        <v>460</v>
      </c>
      <c r="B119" s="23" t="s">
        <v>461</v>
      </c>
      <c r="C119" s="23" t="s">
        <v>274</v>
      </c>
      <c r="D119" s="23" t="s">
        <v>554</v>
      </c>
      <c r="E119" s="23" t="s">
        <v>517</v>
      </c>
      <c r="F119" s="2">
        <v>14</v>
      </c>
      <c r="G119" s="21">
        <v>2012</v>
      </c>
      <c r="H119" s="4" t="s">
        <v>531</v>
      </c>
      <c r="I119" s="4" t="s">
        <v>519</v>
      </c>
      <c r="J119" s="4" t="s">
        <v>520</v>
      </c>
      <c r="K119" s="22" t="s">
        <v>490</v>
      </c>
      <c r="M119" s="2" t="s">
        <v>8</v>
      </c>
      <c r="N119" s="2">
        <v>0</v>
      </c>
      <c r="O119" s="2">
        <v>10</v>
      </c>
    </row>
    <row r="120" spans="1:15" ht="18" customHeight="1" x14ac:dyDescent="0.2">
      <c r="A120" s="23" t="s">
        <v>460</v>
      </c>
      <c r="B120" s="23" t="s">
        <v>461</v>
      </c>
      <c r="C120" s="23" t="s">
        <v>274</v>
      </c>
      <c r="D120" s="23" t="s">
        <v>554</v>
      </c>
      <c r="E120" s="23" t="s">
        <v>517</v>
      </c>
      <c r="F120" s="2">
        <v>15</v>
      </c>
      <c r="G120" s="21">
        <v>2013</v>
      </c>
      <c r="H120" s="4" t="s">
        <v>532</v>
      </c>
      <c r="I120" s="4" t="s">
        <v>519</v>
      </c>
      <c r="J120" s="4" t="s">
        <v>520</v>
      </c>
      <c r="K120" s="22" t="s">
        <v>490</v>
      </c>
      <c r="M120" s="2" t="s">
        <v>8</v>
      </c>
      <c r="N120" s="2">
        <v>0</v>
      </c>
      <c r="O120" s="2">
        <v>10</v>
      </c>
    </row>
    <row r="121" spans="1:15" ht="18" customHeight="1" x14ac:dyDescent="0.2">
      <c r="A121" s="23" t="s">
        <v>460</v>
      </c>
      <c r="B121" s="23" t="s">
        <v>461</v>
      </c>
      <c r="C121" s="23" t="s">
        <v>274</v>
      </c>
      <c r="D121" s="23" t="s">
        <v>554</v>
      </c>
      <c r="E121" s="23" t="s">
        <v>517</v>
      </c>
      <c r="F121" s="2">
        <v>16</v>
      </c>
      <c r="G121" s="21">
        <v>2014</v>
      </c>
      <c r="H121" s="4" t="s">
        <v>533</v>
      </c>
      <c r="I121" s="4" t="s">
        <v>519</v>
      </c>
      <c r="J121" s="4" t="s">
        <v>520</v>
      </c>
      <c r="K121" s="22" t="s">
        <v>490</v>
      </c>
      <c r="M121" s="2" t="s">
        <v>8</v>
      </c>
      <c r="N121" s="2">
        <v>0</v>
      </c>
      <c r="O121" s="2">
        <v>10</v>
      </c>
    </row>
    <row r="122" spans="1:15" ht="18" customHeight="1" x14ac:dyDescent="0.2">
      <c r="A122" s="23" t="s">
        <v>460</v>
      </c>
      <c r="B122" s="23" t="s">
        <v>461</v>
      </c>
      <c r="C122" s="23" t="s">
        <v>274</v>
      </c>
      <c r="D122" s="23" t="s">
        <v>554</v>
      </c>
      <c r="E122" s="23" t="s">
        <v>517</v>
      </c>
      <c r="F122" s="2">
        <v>17</v>
      </c>
      <c r="G122" s="21">
        <v>2015</v>
      </c>
      <c r="H122" s="4" t="s">
        <v>534</v>
      </c>
      <c r="I122" s="4" t="s">
        <v>519</v>
      </c>
      <c r="J122" s="4" t="s">
        <v>520</v>
      </c>
      <c r="K122" s="22" t="s">
        <v>490</v>
      </c>
      <c r="M122" s="2" t="s">
        <v>8</v>
      </c>
      <c r="N122" s="2">
        <v>0</v>
      </c>
      <c r="O122" s="2">
        <v>10</v>
      </c>
    </row>
    <row r="123" spans="1:15" ht="18" customHeight="1" x14ac:dyDescent="0.2">
      <c r="A123" s="23" t="s">
        <v>460</v>
      </c>
      <c r="B123" s="23" t="s">
        <v>461</v>
      </c>
      <c r="C123" s="23" t="s">
        <v>274</v>
      </c>
      <c r="D123" s="23" t="s">
        <v>554</v>
      </c>
      <c r="E123" s="23" t="s">
        <v>517</v>
      </c>
      <c r="F123" s="2">
        <v>18</v>
      </c>
      <c r="G123" s="21">
        <v>2016</v>
      </c>
      <c r="H123" s="4" t="s">
        <v>535</v>
      </c>
      <c r="I123" s="4" t="s">
        <v>519</v>
      </c>
      <c r="J123" s="4" t="s">
        <v>520</v>
      </c>
      <c r="K123" s="22" t="s">
        <v>490</v>
      </c>
      <c r="M123" s="2" t="s">
        <v>8</v>
      </c>
      <c r="N123" s="2">
        <v>0</v>
      </c>
      <c r="O123" s="2">
        <v>10</v>
      </c>
    </row>
    <row r="124" spans="1:15" ht="18" customHeight="1" x14ac:dyDescent="0.2">
      <c r="A124" s="23" t="s">
        <v>460</v>
      </c>
      <c r="B124" s="23" t="s">
        <v>461</v>
      </c>
      <c r="C124" s="23" t="s">
        <v>274</v>
      </c>
      <c r="D124" s="23" t="s">
        <v>554</v>
      </c>
      <c r="E124" s="23" t="s">
        <v>517</v>
      </c>
      <c r="F124" s="2">
        <v>19</v>
      </c>
      <c r="G124" s="21">
        <v>2017</v>
      </c>
      <c r="H124" s="4" t="s">
        <v>536</v>
      </c>
      <c r="I124" s="4" t="s">
        <v>519</v>
      </c>
      <c r="J124" s="4" t="s">
        <v>520</v>
      </c>
      <c r="K124" s="22" t="s">
        <v>490</v>
      </c>
      <c r="M124" s="2" t="s">
        <v>8</v>
      </c>
      <c r="N124" s="2">
        <v>0</v>
      </c>
      <c r="O124" s="2">
        <v>10</v>
      </c>
    </row>
    <row r="125" spans="1:15" ht="18" customHeight="1" x14ac:dyDescent="0.2">
      <c r="A125" s="23" t="s">
        <v>460</v>
      </c>
      <c r="B125" s="23" t="s">
        <v>461</v>
      </c>
      <c r="C125" s="23" t="s">
        <v>274</v>
      </c>
      <c r="D125" s="23" t="s">
        <v>554</v>
      </c>
      <c r="E125" s="23" t="s">
        <v>517</v>
      </c>
      <c r="F125" s="2">
        <v>20</v>
      </c>
      <c r="G125" s="21">
        <v>2018</v>
      </c>
      <c r="H125" s="4" t="s">
        <v>537</v>
      </c>
      <c r="I125" s="4" t="s">
        <v>519</v>
      </c>
      <c r="J125" s="4" t="s">
        <v>520</v>
      </c>
      <c r="K125" s="22" t="s">
        <v>490</v>
      </c>
      <c r="M125" s="2" t="s">
        <v>8</v>
      </c>
      <c r="N125" s="2">
        <v>0</v>
      </c>
      <c r="O125" s="2">
        <v>10</v>
      </c>
    </row>
    <row r="126" spans="1:15" ht="18" customHeight="1" x14ac:dyDescent="0.2">
      <c r="A126" s="23" t="s">
        <v>460</v>
      </c>
      <c r="B126" s="23" t="s">
        <v>461</v>
      </c>
      <c r="C126" s="23" t="s">
        <v>274</v>
      </c>
      <c r="D126" s="23" t="s">
        <v>554</v>
      </c>
      <c r="E126" s="23" t="s">
        <v>517</v>
      </c>
      <c r="F126" s="2">
        <v>21</v>
      </c>
      <c r="G126" s="21">
        <v>2019</v>
      </c>
      <c r="H126" s="4" t="s">
        <v>538</v>
      </c>
      <c r="I126" s="4" t="s">
        <v>519</v>
      </c>
      <c r="J126" s="4" t="s">
        <v>520</v>
      </c>
      <c r="K126" s="22" t="s">
        <v>490</v>
      </c>
      <c r="M126" s="2" t="s">
        <v>8</v>
      </c>
      <c r="N126" s="2">
        <v>0</v>
      </c>
      <c r="O126" s="2">
        <v>10</v>
      </c>
    </row>
    <row r="127" spans="1:15" x14ac:dyDescent="0.2">
      <c r="A127" s="24" t="s">
        <v>460</v>
      </c>
      <c r="B127" s="24" t="s">
        <v>461</v>
      </c>
      <c r="C127" s="24" t="s">
        <v>274</v>
      </c>
      <c r="D127" s="24" t="s">
        <v>541</v>
      </c>
      <c r="E127" s="24" t="s">
        <v>542</v>
      </c>
      <c r="F127" s="2">
        <v>3</v>
      </c>
      <c r="G127" s="21">
        <v>2001</v>
      </c>
      <c r="H127" t="str">
        <f t="shared" ref="H127:H190" si="2">"P"&amp;RIGHT(G127,2)&amp;I127</f>
        <v>P01YTH05</v>
      </c>
      <c r="I127" t="s">
        <v>539</v>
      </c>
      <c r="J127" s="4" t="s">
        <v>540</v>
      </c>
      <c r="K127" s="22" t="s">
        <v>490</v>
      </c>
      <c r="M127" s="2" t="s">
        <v>8</v>
      </c>
      <c r="N127" s="2">
        <v>0</v>
      </c>
      <c r="O127" s="2">
        <v>10</v>
      </c>
    </row>
    <row r="128" spans="1:15" x14ac:dyDescent="0.2">
      <c r="A128" s="24" t="s">
        <v>460</v>
      </c>
      <c r="B128" s="24" t="s">
        <v>461</v>
      </c>
      <c r="C128" s="24" t="s">
        <v>274</v>
      </c>
      <c r="D128" s="24" t="s">
        <v>541</v>
      </c>
      <c r="E128" s="24" t="s">
        <v>542</v>
      </c>
      <c r="F128" s="2">
        <v>4</v>
      </c>
      <c r="G128" s="21">
        <v>2002</v>
      </c>
      <c r="H128" t="str">
        <f t="shared" si="2"/>
        <v>P02YTH05</v>
      </c>
      <c r="I128" t="s">
        <v>539</v>
      </c>
      <c r="J128" s="4" t="s">
        <v>540</v>
      </c>
      <c r="K128" s="22" t="s">
        <v>490</v>
      </c>
      <c r="M128" s="2" t="s">
        <v>8</v>
      </c>
      <c r="N128" s="2">
        <v>0</v>
      </c>
      <c r="O128" s="2">
        <v>10</v>
      </c>
    </row>
    <row r="129" spans="1:15" x14ac:dyDescent="0.2">
      <c r="A129" s="24" t="s">
        <v>460</v>
      </c>
      <c r="B129" s="24" t="s">
        <v>461</v>
      </c>
      <c r="C129" s="24" t="s">
        <v>274</v>
      </c>
      <c r="D129" s="24" t="s">
        <v>541</v>
      </c>
      <c r="E129" s="24" t="s">
        <v>542</v>
      </c>
      <c r="F129" s="2">
        <v>5</v>
      </c>
      <c r="G129" s="21">
        <v>2003</v>
      </c>
      <c r="H129" t="str">
        <f t="shared" si="2"/>
        <v>P03YTH05</v>
      </c>
      <c r="I129" t="s">
        <v>539</v>
      </c>
      <c r="J129" s="4" t="s">
        <v>540</v>
      </c>
      <c r="K129" s="22" t="s">
        <v>490</v>
      </c>
      <c r="M129" s="2" t="s">
        <v>8</v>
      </c>
      <c r="N129" s="2">
        <v>0</v>
      </c>
      <c r="O129" s="2">
        <v>10</v>
      </c>
    </row>
    <row r="130" spans="1:15" x14ac:dyDescent="0.2">
      <c r="A130" s="24" t="s">
        <v>460</v>
      </c>
      <c r="B130" s="24" t="s">
        <v>461</v>
      </c>
      <c r="C130" s="24" t="s">
        <v>274</v>
      </c>
      <c r="D130" s="24" t="s">
        <v>541</v>
      </c>
      <c r="E130" s="24" t="s">
        <v>542</v>
      </c>
      <c r="F130" s="2">
        <v>6</v>
      </c>
      <c r="G130" s="21">
        <v>2004</v>
      </c>
      <c r="H130" t="str">
        <f t="shared" si="2"/>
        <v>P04YTH05</v>
      </c>
      <c r="I130" t="s">
        <v>539</v>
      </c>
      <c r="J130" s="4" t="s">
        <v>540</v>
      </c>
      <c r="K130" s="22" t="s">
        <v>490</v>
      </c>
      <c r="M130" s="2" t="s">
        <v>8</v>
      </c>
      <c r="N130" s="2">
        <v>0</v>
      </c>
      <c r="O130" s="2">
        <v>10</v>
      </c>
    </row>
    <row r="131" spans="1:15" x14ac:dyDescent="0.2">
      <c r="A131" s="24" t="s">
        <v>460</v>
      </c>
      <c r="B131" s="24" t="s">
        <v>461</v>
      </c>
      <c r="C131" s="24" t="s">
        <v>274</v>
      </c>
      <c r="D131" s="24" t="s">
        <v>541</v>
      </c>
      <c r="E131" s="24" t="s">
        <v>542</v>
      </c>
      <c r="F131" s="2">
        <v>7</v>
      </c>
      <c r="G131" s="21">
        <v>2005</v>
      </c>
      <c r="H131" t="str">
        <f t="shared" si="2"/>
        <v>P05YTH05</v>
      </c>
      <c r="I131" t="s">
        <v>539</v>
      </c>
      <c r="J131" s="4" t="s">
        <v>540</v>
      </c>
      <c r="K131" s="22" t="s">
        <v>490</v>
      </c>
      <c r="M131" s="2" t="s">
        <v>8</v>
      </c>
      <c r="N131" s="2">
        <v>0</v>
      </c>
      <c r="O131" s="2">
        <v>10</v>
      </c>
    </row>
    <row r="132" spans="1:15" x14ac:dyDescent="0.2">
      <c r="A132" s="24" t="s">
        <v>460</v>
      </c>
      <c r="B132" s="24" t="s">
        <v>461</v>
      </c>
      <c r="C132" s="24" t="s">
        <v>274</v>
      </c>
      <c r="D132" s="24" t="s">
        <v>541</v>
      </c>
      <c r="E132" s="24" t="s">
        <v>542</v>
      </c>
      <c r="F132" s="2">
        <v>8</v>
      </c>
      <c r="G132" s="21">
        <v>2006</v>
      </c>
      <c r="H132" t="str">
        <f t="shared" si="2"/>
        <v>P06YTH05</v>
      </c>
      <c r="I132" t="s">
        <v>539</v>
      </c>
      <c r="J132" s="4" t="s">
        <v>540</v>
      </c>
      <c r="K132" s="22" t="s">
        <v>490</v>
      </c>
      <c r="M132" s="2" t="s">
        <v>8</v>
      </c>
      <c r="N132" s="2">
        <v>0</v>
      </c>
      <c r="O132" s="2">
        <v>10</v>
      </c>
    </row>
    <row r="133" spans="1:15" x14ac:dyDescent="0.2">
      <c r="A133" s="24" t="s">
        <v>460</v>
      </c>
      <c r="B133" s="24" t="s">
        <v>461</v>
      </c>
      <c r="C133" s="24" t="s">
        <v>274</v>
      </c>
      <c r="D133" s="24" t="s">
        <v>541</v>
      </c>
      <c r="E133" s="24" t="s">
        <v>542</v>
      </c>
      <c r="F133" s="2">
        <v>9</v>
      </c>
      <c r="G133" s="21">
        <v>2007</v>
      </c>
      <c r="H133" t="str">
        <f t="shared" si="2"/>
        <v>P07YTH05</v>
      </c>
      <c r="I133" t="s">
        <v>539</v>
      </c>
      <c r="J133" s="4" t="s">
        <v>540</v>
      </c>
      <c r="K133" s="22" t="s">
        <v>490</v>
      </c>
      <c r="M133" s="2" t="s">
        <v>8</v>
      </c>
      <c r="N133" s="2">
        <v>0</v>
      </c>
      <c r="O133" s="2">
        <v>10</v>
      </c>
    </row>
    <row r="134" spans="1:15" x14ac:dyDescent="0.2">
      <c r="A134" s="24" t="s">
        <v>460</v>
      </c>
      <c r="B134" s="24" t="s">
        <v>461</v>
      </c>
      <c r="C134" s="24" t="s">
        <v>274</v>
      </c>
      <c r="D134" s="24" t="s">
        <v>541</v>
      </c>
      <c r="E134" s="24" t="s">
        <v>542</v>
      </c>
      <c r="F134" s="2">
        <v>10</v>
      </c>
      <c r="G134" s="21">
        <v>2008</v>
      </c>
      <c r="H134" t="str">
        <f t="shared" si="2"/>
        <v>P08YTH05</v>
      </c>
      <c r="I134" t="s">
        <v>539</v>
      </c>
      <c r="J134" s="4" t="s">
        <v>540</v>
      </c>
      <c r="K134" s="22" t="s">
        <v>490</v>
      </c>
      <c r="M134" s="2" t="s">
        <v>8</v>
      </c>
      <c r="N134" s="2">
        <v>0</v>
      </c>
      <c r="O134" s="2">
        <v>10</v>
      </c>
    </row>
    <row r="135" spans="1:15" x14ac:dyDescent="0.2">
      <c r="A135" s="24" t="s">
        <v>460</v>
      </c>
      <c r="B135" s="24" t="s">
        <v>461</v>
      </c>
      <c r="C135" s="24" t="s">
        <v>274</v>
      </c>
      <c r="D135" s="24" t="s">
        <v>541</v>
      </c>
      <c r="E135" s="24" t="s">
        <v>542</v>
      </c>
      <c r="F135" s="2">
        <v>11</v>
      </c>
      <c r="G135" s="21">
        <v>2009</v>
      </c>
      <c r="H135" t="str">
        <f t="shared" si="2"/>
        <v>P09YTH05</v>
      </c>
      <c r="I135" t="s">
        <v>539</v>
      </c>
      <c r="J135" s="4" t="s">
        <v>540</v>
      </c>
      <c r="K135" s="22" t="s">
        <v>490</v>
      </c>
      <c r="M135" s="2" t="s">
        <v>8</v>
      </c>
      <c r="N135" s="2">
        <v>0</v>
      </c>
      <c r="O135" s="2">
        <v>10</v>
      </c>
    </row>
    <row r="136" spans="1:15" x14ac:dyDescent="0.2">
      <c r="A136" s="24" t="s">
        <v>460</v>
      </c>
      <c r="B136" s="24" t="s">
        <v>461</v>
      </c>
      <c r="C136" s="24" t="s">
        <v>274</v>
      </c>
      <c r="D136" s="24" t="s">
        <v>541</v>
      </c>
      <c r="E136" s="24" t="s">
        <v>542</v>
      </c>
      <c r="F136" s="2">
        <v>12</v>
      </c>
      <c r="G136" s="21">
        <v>2010</v>
      </c>
      <c r="H136" t="str">
        <f t="shared" si="2"/>
        <v>P10YTH05</v>
      </c>
      <c r="I136" t="s">
        <v>539</v>
      </c>
      <c r="J136" s="4" t="s">
        <v>540</v>
      </c>
      <c r="K136" s="22" t="s">
        <v>490</v>
      </c>
      <c r="M136" s="2" t="s">
        <v>8</v>
      </c>
      <c r="N136" s="2">
        <v>0</v>
      </c>
      <c r="O136" s="2">
        <v>10</v>
      </c>
    </row>
    <row r="137" spans="1:15" x14ac:dyDescent="0.2">
      <c r="A137" s="24" t="s">
        <v>460</v>
      </c>
      <c r="B137" s="24" t="s">
        <v>461</v>
      </c>
      <c r="C137" s="24" t="s">
        <v>274</v>
      </c>
      <c r="D137" s="24" t="s">
        <v>541</v>
      </c>
      <c r="E137" s="24" t="s">
        <v>542</v>
      </c>
      <c r="F137" s="2">
        <v>13</v>
      </c>
      <c r="G137" s="21">
        <v>2011</v>
      </c>
      <c r="H137" t="str">
        <f t="shared" si="2"/>
        <v>P11YTH05</v>
      </c>
      <c r="I137" t="s">
        <v>539</v>
      </c>
      <c r="J137" s="4" t="s">
        <v>540</v>
      </c>
      <c r="K137" s="22" t="s">
        <v>490</v>
      </c>
      <c r="M137" s="2" t="s">
        <v>8</v>
      </c>
      <c r="N137" s="2">
        <v>0</v>
      </c>
      <c r="O137" s="2">
        <v>10</v>
      </c>
    </row>
    <row r="138" spans="1:15" x14ac:dyDescent="0.2">
      <c r="A138" s="24" t="s">
        <v>460</v>
      </c>
      <c r="B138" s="24" t="s">
        <v>461</v>
      </c>
      <c r="C138" s="24" t="s">
        <v>274</v>
      </c>
      <c r="D138" s="24" t="s">
        <v>541</v>
      </c>
      <c r="E138" s="24" t="s">
        <v>542</v>
      </c>
      <c r="F138" s="2">
        <v>14</v>
      </c>
      <c r="G138" s="21">
        <v>2012</v>
      </c>
      <c r="H138" t="str">
        <f t="shared" si="2"/>
        <v>P12YTH05</v>
      </c>
      <c r="I138" t="s">
        <v>539</v>
      </c>
      <c r="J138" s="4" t="s">
        <v>540</v>
      </c>
      <c r="K138" s="22" t="s">
        <v>490</v>
      </c>
      <c r="M138" s="2" t="s">
        <v>8</v>
      </c>
      <c r="N138" s="2">
        <v>0</v>
      </c>
      <c r="O138" s="2">
        <v>10</v>
      </c>
    </row>
    <row r="139" spans="1:15" x14ac:dyDescent="0.2">
      <c r="A139" s="24" t="s">
        <v>460</v>
      </c>
      <c r="B139" s="24" t="s">
        <v>461</v>
      </c>
      <c r="C139" s="24" t="s">
        <v>274</v>
      </c>
      <c r="D139" s="24" t="s">
        <v>541</v>
      </c>
      <c r="E139" s="24" t="s">
        <v>542</v>
      </c>
      <c r="F139" s="2">
        <v>15</v>
      </c>
      <c r="G139" s="21">
        <v>2013</v>
      </c>
      <c r="H139" t="str">
        <f t="shared" si="2"/>
        <v>P13YTH05</v>
      </c>
      <c r="I139" t="s">
        <v>539</v>
      </c>
      <c r="J139" s="4" t="s">
        <v>540</v>
      </c>
      <c r="K139" s="22" t="s">
        <v>490</v>
      </c>
      <c r="M139" s="2" t="s">
        <v>8</v>
      </c>
      <c r="N139" s="2">
        <v>0</v>
      </c>
      <c r="O139" s="2">
        <v>10</v>
      </c>
    </row>
    <row r="140" spans="1:15" x14ac:dyDescent="0.2">
      <c r="A140" s="24" t="s">
        <v>460</v>
      </c>
      <c r="B140" s="24" t="s">
        <v>461</v>
      </c>
      <c r="C140" s="24" t="s">
        <v>274</v>
      </c>
      <c r="D140" s="24" t="s">
        <v>541</v>
      </c>
      <c r="E140" s="24" t="s">
        <v>542</v>
      </c>
      <c r="F140" s="2">
        <v>16</v>
      </c>
      <c r="G140" s="21">
        <v>2014</v>
      </c>
      <c r="H140" t="str">
        <f t="shared" si="2"/>
        <v>P14YTH05</v>
      </c>
      <c r="I140" t="s">
        <v>539</v>
      </c>
      <c r="J140" s="4" t="s">
        <v>540</v>
      </c>
      <c r="K140" s="22" t="s">
        <v>490</v>
      </c>
      <c r="M140" s="2" t="s">
        <v>8</v>
      </c>
      <c r="N140" s="2">
        <v>0</v>
      </c>
      <c r="O140" s="2">
        <v>10</v>
      </c>
    </row>
    <row r="141" spans="1:15" x14ac:dyDescent="0.2">
      <c r="A141" s="24" t="s">
        <v>460</v>
      </c>
      <c r="B141" s="24" t="s">
        <v>461</v>
      </c>
      <c r="C141" s="24" t="s">
        <v>274</v>
      </c>
      <c r="D141" s="24" t="s">
        <v>541</v>
      </c>
      <c r="E141" s="24" t="s">
        <v>542</v>
      </c>
      <c r="F141" s="2">
        <v>17</v>
      </c>
      <c r="G141" s="21">
        <v>2015</v>
      </c>
      <c r="H141" t="str">
        <f t="shared" si="2"/>
        <v>P15YTH05</v>
      </c>
      <c r="I141" t="s">
        <v>539</v>
      </c>
      <c r="J141" s="4" t="s">
        <v>540</v>
      </c>
      <c r="K141" s="22" t="s">
        <v>490</v>
      </c>
      <c r="M141" s="2" t="s">
        <v>8</v>
      </c>
      <c r="N141" s="2">
        <v>0</v>
      </c>
      <c r="O141" s="2">
        <v>10</v>
      </c>
    </row>
    <row r="142" spans="1:15" x14ac:dyDescent="0.2">
      <c r="A142" s="24" t="s">
        <v>460</v>
      </c>
      <c r="B142" s="24" t="s">
        <v>461</v>
      </c>
      <c r="C142" s="24" t="s">
        <v>274</v>
      </c>
      <c r="D142" s="24" t="s">
        <v>541</v>
      </c>
      <c r="E142" s="24" t="s">
        <v>542</v>
      </c>
      <c r="F142" s="2">
        <v>18</v>
      </c>
      <c r="G142" s="21">
        <v>2016</v>
      </c>
      <c r="H142" t="str">
        <f t="shared" si="2"/>
        <v>P16YTH05</v>
      </c>
      <c r="I142" t="s">
        <v>539</v>
      </c>
      <c r="J142" s="4" t="s">
        <v>540</v>
      </c>
      <c r="K142" s="22" t="s">
        <v>490</v>
      </c>
      <c r="M142" s="2" t="s">
        <v>8</v>
      </c>
      <c r="N142" s="2">
        <v>0</v>
      </c>
      <c r="O142" s="2">
        <v>10</v>
      </c>
    </row>
    <row r="143" spans="1:15" x14ac:dyDescent="0.2">
      <c r="A143" s="24" t="s">
        <v>460</v>
      </c>
      <c r="B143" s="24" t="s">
        <v>461</v>
      </c>
      <c r="C143" s="24" t="s">
        <v>274</v>
      </c>
      <c r="D143" s="24" t="s">
        <v>541</v>
      </c>
      <c r="E143" s="24" t="s">
        <v>542</v>
      </c>
      <c r="F143" s="2">
        <v>19</v>
      </c>
      <c r="G143" s="21">
        <v>2017</v>
      </c>
      <c r="H143" t="str">
        <f t="shared" si="2"/>
        <v>P17YTH05</v>
      </c>
      <c r="I143" t="s">
        <v>539</v>
      </c>
      <c r="J143" s="4" t="s">
        <v>540</v>
      </c>
      <c r="K143" s="22" t="s">
        <v>490</v>
      </c>
      <c r="M143" s="2" t="s">
        <v>8</v>
      </c>
      <c r="N143" s="2">
        <v>0</v>
      </c>
      <c r="O143" s="2">
        <v>10</v>
      </c>
    </row>
    <row r="144" spans="1:15" x14ac:dyDescent="0.2">
      <c r="A144" s="24" t="s">
        <v>460</v>
      </c>
      <c r="B144" s="24" t="s">
        <v>461</v>
      </c>
      <c r="C144" s="24" t="s">
        <v>274</v>
      </c>
      <c r="D144" s="24" t="s">
        <v>541</v>
      </c>
      <c r="E144" s="24" t="s">
        <v>542</v>
      </c>
      <c r="F144" s="2">
        <v>20</v>
      </c>
      <c r="G144" s="21">
        <v>2018</v>
      </c>
      <c r="H144" t="str">
        <f t="shared" si="2"/>
        <v>P18YTH05</v>
      </c>
      <c r="I144" t="s">
        <v>539</v>
      </c>
      <c r="J144" s="4" t="s">
        <v>540</v>
      </c>
      <c r="K144" s="22" t="s">
        <v>490</v>
      </c>
      <c r="M144" s="2" t="s">
        <v>8</v>
      </c>
      <c r="N144" s="2">
        <v>0</v>
      </c>
      <c r="O144" s="2">
        <v>10</v>
      </c>
    </row>
    <row r="145" spans="1:15" x14ac:dyDescent="0.2">
      <c r="A145" s="24" t="s">
        <v>460</v>
      </c>
      <c r="B145" s="24" t="s">
        <v>461</v>
      </c>
      <c r="C145" s="24" t="s">
        <v>274</v>
      </c>
      <c r="D145" s="24" t="s">
        <v>541</v>
      </c>
      <c r="E145" s="24" t="s">
        <v>542</v>
      </c>
      <c r="F145" s="2">
        <v>21</v>
      </c>
      <c r="G145" s="21">
        <v>2019</v>
      </c>
      <c r="H145" t="str">
        <f t="shared" si="2"/>
        <v>P19YTH05</v>
      </c>
      <c r="I145" t="s">
        <v>539</v>
      </c>
      <c r="J145" s="4" t="s">
        <v>540</v>
      </c>
      <c r="K145" s="22" t="s">
        <v>490</v>
      </c>
      <c r="M145" s="2" t="s">
        <v>8</v>
      </c>
      <c r="N145" s="2">
        <v>0</v>
      </c>
      <c r="O145" s="2">
        <v>10</v>
      </c>
    </row>
    <row r="146" spans="1:15" x14ac:dyDescent="0.2">
      <c r="A146" s="23" t="s">
        <v>460</v>
      </c>
      <c r="B146" s="23" t="s">
        <v>461</v>
      </c>
      <c r="C146" s="23" t="s">
        <v>274</v>
      </c>
      <c r="D146" s="23" t="s">
        <v>544</v>
      </c>
      <c r="E146" s="23" t="s">
        <v>545</v>
      </c>
      <c r="F146" s="2">
        <v>3</v>
      </c>
      <c r="G146" s="21">
        <v>2001</v>
      </c>
      <c r="H146" t="str">
        <f t="shared" si="2"/>
        <v>P01YTH06</v>
      </c>
      <c r="I146" t="s">
        <v>543</v>
      </c>
      <c r="J146" s="4" t="s">
        <v>582</v>
      </c>
      <c r="K146" s="22" t="s">
        <v>490</v>
      </c>
      <c r="M146" s="2" t="s">
        <v>8</v>
      </c>
      <c r="N146" s="2">
        <v>0</v>
      </c>
      <c r="O146" s="2">
        <v>10</v>
      </c>
    </row>
    <row r="147" spans="1:15" x14ac:dyDescent="0.2">
      <c r="A147" s="23" t="s">
        <v>460</v>
      </c>
      <c r="B147" s="23" t="s">
        <v>461</v>
      </c>
      <c r="C147" s="23" t="s">
        <v>274</v>
      </c>
      <c r="D147" s="23" t="s">
        <v>544</v>
      </c>
      <c r="E147" s="23" t="s">
        <v>545</v>
      </c>
      <c r="F147" s="2">
        <v>4</v>
      </c>
      <c r="G147" s="21">
        <v>2002</v>
      </c>
      <c r="H147" t="str">
        <f t="shared" si="2"/>
        <v>P02YTH06</v>
      </c>
      <c r="I147" t="s">
        <v>543</v>
      </c>
      <c r="J147" s="4" t="s">
        <v>582</v>
      </c>
      <c r="K147" s="22" t="s">
        <v>490</v>
      </c>
      <c r="M147" s="2" t="s">
        <v>8</v>
      </c>
      <c r="N147" s="2">
        <v>0</v>
      </c>
      <c r="O147" s="2">
        <v>10</v>
      </c>
    </row>
    <row r="148" spans="1:15" x14ac:dyDescent="0.2">
      <c r="A148" s="23" t="s">
        <v>460</v>
      </c>
      <c r="B148" s="23" t="s">
        <v>461</v>
      </c>
      <c r="C148" s="23" t="s">
        <v>274</v>
      </c>
      <c r="D148" s="23" t="s">
        <v>544</v>
      </c>
      <c r="E148" s="23" t="s">
        <v>545</v>
      </c>
      <c r="F148" s="2">
        <v>5</v>
      </c>
      <c r="G148" s="21">
        <v>2003</v>
      </c>
      <c r="H148" t="str">
        <f t="shared" si="2"/>
        <v>P03YTH06</v>
      </c>
      <c r="I148" t="s">
        <v>543</v>
      </c>
      <c r="J148" s="4" t="s">
        <v>582</v>
      </c>
      <c r="K148" s="22" t="s">
        <v>490</v>
      </c>
      <c r="M148" s="2" t="s">
        <v>8</v>
      </c>
      <c r="N148" s="2">
        <v>0</v>
      </c>
      <c r="O148" s="2">
        <v>10</v>
      </c>
    </row>
    <row r="149" spans="1:15" x14ac:dyDescent="0.2">
      <c r="A149" s="23" t="s">
        <v>460</v>
      </c>
      <c r="B149" s="23" t="s">
        <v>461</v>
      </c>
      <c r="C149" s="23" t="s">
        <v>274</v>
      </c>
      <c r="D149" s="23" t="s">
        <v>544</v>
      </c>
      <c r="E149" s="23" t="s">
        <v>545</v>
      </c>
      <c r="F149" s="2">
        <v>6</v>
      </c>
      <c r="G149" s="21">
        <v>2004</v>
      </c>
      <c r="H149" t="str">
        <f t="shared" si="2"/>
        <v>P04YTH06</v>
      </c>
      <c r="I149" t="s">
        <v>543</v>
      </c>
      <c r="J149" s="4" t="s">
        <v>582</v>
      </c>
      <c r="K149" s="22" t="s">
        <v>490</v>
      </c>
      <c r="M149" s="2" t="s">
        <v>8</v>
      </c>
      <c r="N149" s="2">
        <v>0</v>
      </c>
      <c r="O149" s="2">
        <v>10</v>
      </c>
    </row>
    <row r="150" spans="1:15" x14ac:dyDescent="0.2">
      <c r="A150" s="23" t="s">
        <v>460</v>
      </c>
      <c r="B150" s="23" t="s">
        <v>461</v>
      </c>
      <c r="C150" s="23" t="s">
        <v>274</v>
      </c>
      <c r="D150" s="23" t="s">
        <v>544</v>
      </c>
      <c r="E150" s="23" t="s">
        <v>545</v>
      </c>
      <c r="F150" s="2">
        <v>7</v>
      </c>
      <c r="G150" s="21">
        <v>2005</v>
      </c>
      <c r="H150" t="str">
        <f t="shared" si="2"/>
        <v>P05YTH06</v>
      </c>
      <c r="I150" t="s">
        <v>543</v>
      </c>
      <c r="J150" s="4" t="s">
        <v>582</v>
      </c>
      <c r="K150" s="22" t="s">
        <v>490</v>
      </c>
      <c r="M150" s="2" t="s">
        <v>8</v>
      </c>
      <c r="N150" s="2">
        <v>0</v>
      </c>
      <c r="O150" s="2">
        <v>10</v>
      </c>
    </row>
    <row r="151" spans="1:15" x14ac:dyDescent="0.2">
      <c r="A151" s="23" t="s">
        <v>460</v>
      </c>
      <c r="B151" s="23" t="s">
        <v>461</v>
      </c>
      <c r="C151" s="23" t="s">
        <v>274</v>
      </c>
      <c r="D151" s="23" t="s">
        <v>544</v>
      </c>
      <c r="E151" s="23" t="s">
        <v>545</v>
      </c>
      <c r="F151" s="2">
        <v>8</v>
      </c>
      <c r="G151" s="21">
        <v>2006</v>
      </c>
      <c r="H151" t="str">
        <f t="shared" si="2"/>
        <v>P06YTH06</v>
      </c>
      <c r="I151" t="s">
        <v>543</v>
      </c>
      <c r="J151" s="4" t="s">
        <v>582</v>
      </c>
      <c r="K151" s="22" t="s">
        <v>490</v>
      </c>
      <c r="M151" s="2" t="s">
        <v>8</v>
      </c>
      <c r="N151" s="2">
        <v>0</v>
      </c>
      <c r="O151" s="2">
        <v>10</v>
      </c>
    </row>
    <row r="152" spans="1:15" x14ac:dyDescent="0.2">
      <c r="A152" s="23" t="s">
        <v>460</v>
      </c>
      <c r="B152" s="23" t="s">
        <v>461</v>
      </c>
      <c r="C152" s="23" t="s">
        <v>274</v>
      </c>
      <c r="D152" s="23" t="s">
        <v>544</v>
      </c>
      <c r="E152" s="23" t="s">
        <v>545</v>
      </c>
      <c r="F152" s="2">
        <v>9</v>
      </c>
      <c r="G152" s="21">
        <v>2007</v>
      </c>
      <c r="H152" t="str">
        <f t="shared" si="2"/>
        <v>P07YTH06</v>
      </c>
      <c r="I152" t="s">
        <v>543</v>
      </c>
      <c r="J152" s="4" t="s">
        <v>582</v>
      </c>
      <c r="K152" s="22" t="s">
        <v>490</v>
      </c>
      <c r="M152" s="2" t="s">
        <v>8</v>
      </c>
      <c r="N152" s="2">
        <v>0</v>
      </c>
      <c r="O152" s="2">
        <v>10</v>
      </c>
    </row>
    <row r="153" spans="1:15" x14ac:dyDescent="0.2">
      <c r="A153" s="23" t="s">
        <v>460</v>
      </c>
      <c r="B153" s="23" t="s">
        <v>461</v>
      </c>
      <c r="C153" s="23" t="s">
        <v>274</v>
      </c>
      <c r="D153" s="23" t="s">
        <v>544</v>
      </c>
      <c r="E153" s="23" t="s">
        <v>545</v>
      </c>
      <c r="F153" s="2">
        <v>10</v>
      </c>
      <c r="G153" s="21">
        <v>2008</v>
      </c>
      <c r="H153" t="str">
        <f t="shared" si="2"/>
        <v>P08YTH06</v>
      </c>
      <c r="I153" t="s">
        <v>543</v>
      </c>
      <c r="J153" s="4" t="s">
        <v>582</v>
      </c>
      <c r="K153" s="22" t="s">
        <v>490</v>
      </c>
      <c r="M153" s="2" t="s">
        <v>8</v>
      </c>
      <c r="N153" s="2">
        <v>0</v>
      </c>
      <c r="O153" s="2">
        <v>10</v>
      </c>
    </row>
    <row r="154" spans="1:15" x14ac:dyDescent="0.2">
      <c r="A154" s="23" t="s">
        <v>460</v>
      </c>
      <c r="B154" s="23" t="s">
        <v>461</v>
      </c>
      <c r="C154" s="23" t="s">
        <v>274</v>
      </c>
      <c r="D154" s="23" t="s">
        <v>544</v>
      </c>
      <c r="E154" s="23" t="s">
        <v>545</v>
      </c>
      <c r="F154" s="2">
        <v>11</v>
      </c>
      <c r="G154" s="21">
        <v>2009</v>
      </c>
      <c r="H154" t="str">
        <f t="shared" si="2"/>
        <v>P09YTH06</v>
      </c>
      <c r="I154" t="s">
        <v>543</v>
      </c>
      <c r="J154" s="4" t="s">
        <v>582</v>
      </c>
      <c r="K154" s="22" t="s">
        <v>490</v>
      </c>
      <c r="M154" s="2" t="s">
        <v>8</v>
      </c>
      <c r="N154" s="2">
        <v>0</v>
      </c>
      <c r="O154" s="2">
        <v>10</v>
      </c>
    </row>
    <row r="155" spans="1:15" x14ac:dyDescent="0.2">
      <c r="A155" s="23" t="s">
        <v>460</v>
      </c>
      <c r="B155" s="23" t="s">
        <v>461</v>
      </c>
      <c r="C155" s="23" t="s">
        <v>274</v>
      </c>
      <c r="D155" s="23" t="s">
        <v>544</v>
      </c>
      <c r="E155" s="23" t="s">
        <v>545</v>
      </c>
      <c r="F155" s="2">
        <v>12</v>
      </c>
      <c r="G155" s="21">
        <v>2010</v>
      </c>
      <c r="H155" t="str">
        <f t="shared" si="2"/>
        <v>P10YTH06</v>
      </c>
      <c r="I155" t="s">
        <v>543</v>
      </c>
      <c r="J155" s="4" t="s">
        <v>582</v>
      </c>
      <c r="K155" s="22" t="s">
        <v>490</v>
      </c>
      <c r="M155" s="2" t="s">
        <v>8</v>
      </c>
      <c r="N155" s="2">
        <v>0</v>
      </c>
      <c r="O155" s="2">
        <v>10</v>
      </c>
    </row>
    <row r="156" spans="1:15" x14ac:dyDescent="0.2">
      <c r="A156" s="23" t="s">
        <v>460</v>
      </c>
      <c r="B156" s="23" t="s">
        <v>461</v>
      </c>
      <c r="C156" s="23" t="s">
        <v>274</v>
      </c>
      <c r="D156" s="23" t="s">
        <v>544</v>
      </c>
      <c r="E156" s="23" t="s">
        <v>545</v>
      </c>
      <c r="F156" s="2">
        <v>13</v>
      </c>
      <c r="G156" s="21">
        <v>2011</v>
      </c>
      <c r="H156" t="str">
        <f t="shared" si="2"/>
        <v>P11YTH06</v>
      </c>
      <c r="I156" t="s">
        <v>543</v>
      </c>
      <c r="J156" s="4" t="s">
        <v>582</v>
      </c>
      <c r="K156" s="22" t="s">
        <v>490</v>
      </c>
      <c r="M156" s="2" t="s">
        <v>8</v>
      </c>
      <c r="N156" s="2">
        <v>0</v>
      </c>
      <c r="O156" s="2">
        <v>10</v>
      </c>
    </row>
    <row r="157" spans="1:15" x14ac:dyDescent="0.2">
      <c r="A157" s="23" t="s">
        <v>460</v>
      </c>
      <c r="B157" s="23" t="s">
        <v>461</v>
      </c>
      <c r="C157" s="23" t="s">
        <v>274</v>
      </c>
      <c r="D157" s="23" t="s">
        <v>544</v>
      </c>
      <c r="E157" s="23" t="s">
        <v>545</v>
      </c>
      <c r="F157" s="2">
        <v>14</v>
      </c>
      <c r="G157" s="21">
        <v>2012</v>
      </c>
      <c r="H157" t="str">
        <f t="shared" si="2"/>
        <v>P12YTH06</v>
      </c>
      <c r="I157" t="s">
        <v>543</v>
      </c>
      <c r="J157" s="4" t="s">
        <v>582</v>
      </c>
      <c r="K157" s="22" t="s">
        <v>490</v>
      </c>
      <c r="M157" s="2" t="s">
        <v>8</v>
      </c>
      <c r="N157" s="2">
        <v>0</v>
      </c>
      <c r="O157" s="2">
        <v>10</v>
      </c>
    </row>
    <row r="158" spans="1:15" x14ac:dyDescent="0.2">
      <c r="A158" s="23" t="s">
        <v>460</v>
      </c>
      <c r="B158" s="23" t="s">
        <v>461</v>
      </c>
      <c r="C158" s="23" t="s">
        <v>274</v>
      </c>
      <c r="D158" s="23" t="s">
        <v>544</v>
      </c>
      <c r="E158" s="23" t="s">
        <v>545</v>
      </c>
      <c r="F158" s="2">
        <v>15</v>
      </c>
      <c r="G158" s="21">
        <v>2013</v>
      </c>
      <c r="H158" t="str">
        <f t="shared" si="2"/>
        <v>P13YTH06</v>
      </c>
      <c r="I158" t="s">
        <v>543</v>
      </c>
      <c r="J158" s="4" t="s">
        <v>582</v>
      </c>
      <c r="K158" s="22" t="s">
        <v>490</v>
      </c>
      <c r="M158" s="2" t="s">
        <v>8</v>
      </c>
      <c r="N158" s="2">
        <v>0</v>
      </c>
      <c r="O158" s="2">
        <v>10</v>
      </c>
    </row>
    <row r="159" spans="1:15" x14ac:dyDescent="0.2">
      <c r="A159" s="23" t="s">
        <v>460</v>
      </c>
      <c r="B159" s="23" t="s">
        <v>461</v>
      </c>
      <c r="C159" s="23" t="s">
        <v>274</v>
      </c>
      <c r="D159" s="23" t="s">
        <v>544</v>
      </c>
      <c r="E159" s="23" t="s">
        <v>545</v>
      </c>
      <c r="F159" s="2">
        <v>16</v>
      </c>
      <c r="G159" s="21">
        <v>2014</v>
      </c>
      <c r="H159" t="str">
        <f t="shared" si="2"/>
        <v>P14YTH06</v>
      </c>
      <c r="I159" t="s">
        <v>543</v>
      </c>
      <c r="J159" s="4" t="s">
        <v>582</v>
      </c>
      <c r="K159" s="22" t="s">
        <v>490</v>
      </c>
      <c r="M159" s="2" t="s">
        <v>8</v>
      </c>
      <c r="N159" s="2">
        <v>0</v>
      </c>
      <c r="O159" s="2">
        <v>10</v>
      </c>
    </row>
    <row r="160" spans="1:15" x14ac:dyDescent="0.2">
      <c r="A160" s="23" t="s">
        <v>460</v>
      </c>
      <c r="B160" s="23" t="s">
        <v>461</v>
      </c>
      <c r="C160" s="23" t="s">
        <v>274</v>
      </c>
      <c r="D160" s="23" t="s">
        <v>544</v>
      </c>
      <c r="E160" s="23" t="s">
        <v>545</v>
      </c>
      <c r="F160" s="2">
        <v>17</v>
      </c>
      <c r="G160" s="21">
        <v>2015</v>
      </c>
      <c r="H160" t="str">
        <f t="shared" si="2"/>
        <v>P15YTH06</v>
      </c>
      <c r="I160" t="s">
        <v>543</v>
      </c>
      <c r="J160" s="4" t="s">
        <v>582</v>
      </c>
      <c r="K160" s="22" t="s">
        <v>490</v>
      </c>
      <c r="M160" s="2" t="s">
        <v>8</v>
      </c>
      <c r="N160" s="2">
        <v>0</v>
      </c>
      <c r="O160" s="2">
        <v>10</v>
      </c>
    </row>
    <row r="161" spans="1:15" x14ac:dyDescent="0.2">
      <c r="A161" s="23" t="s">
        <v>460</v>
      </c>
      <c r="B161" s="23" t="s">
        <v>461</v>
      </c>
      <c r="C161" s="23" t="s">
        <v>274</v>
      </c>
      <c r="D161" s="23" t="s">
        <v>544</v>
      </c>
      <c r="E161" s="23" t="s">
        <v>545</v>
      </c>
      <c r="F161" s="2">
        <v>18</v>
      </c>
      <c r="G161" s="21">
        <v>2016</v>
      </c>
      <c r="H161" t="str">
        <f t="shared" si="2"/>
        <v>P16YTH06</v>
      </c>
      <c r="I161" t="s">
        <v>543</v>
      </c>
      <c r="J161" s="4" t="s">
        <v>582</v>
      </c>
      <c r="K161" s="22" t="s">
        <v>490</v>
      </c>
      <c r="M161" s="2" t="s">
        <v>8</v>
      </c>
      <c r="N161" s="2">
        <v>0</v>
      </c>
      <c r="O161" s="2">
        <v>10</v>
      </c>
    </row>
    <row r="162" spans="1:15" x14ac:dyDescent="0.2">
      <c r="A162" s="23" t="s">
        <v>460</v>
      </c>
      <c r="B162" s="23" t="s">
        <v>461</v>
      </c>
      <c r="C162" s="23" t="s">
        <v>274</v>
      </c>
      <c r="D162" s="23" t="s">
        <v>544</v>
      </c>
      <c r="E162" s="23" t="s">
        <v>545</v>
      </c>
      <c r="F162" s="2">
        <v>19</v>
      </c>
      <c r="G162" s="21">
        <v>2017</v>
      </c>
      <c r="H162" t="str">
        <f t="shared" si="2"/>
        <v>P17YTH06</v>
      </c>
      <c r="I162" t="s">
        <v>543</v>
      </c>
      <c r="J162" s="4" t="s">
        <v>582</v>
      </c>
      <c r="K162" s="22" t="s">
        <v>490</v>
      </c>
      <c r="M162" s="2" t="s">
        <v>8</v>
      </c>
      <c r="N162" s="2">
        <v>0</v>
      </c>
      <c r="O162" s="2">
        <v>10</v>
      </c>
    </row>
    <row r="163" spans="1:15" x14ac:dyDescent="0.2">
      <c r="A163" s="23" t="s">
        <v>460</v>
      </c>
      <c r="B163" s="23" t="s">
        <v>461</v>
      </c>
      <c r="C163" s="23" t="s">
        <v>274</v>
      </c>
      <c r="D163" s="23" t="s">
        <v>544</v>
      </c>
      <c r="E163" s="23" t="s">
        <v>545</v>
      </c>
      <c r="F163" s="2">
        <v>20</v>
      </c>
      <c r="G163" s="21">
        <v>2018</v>
      </c>
      <c r="H163" t="str">
        <f t="shared" si="2"/>
        <v>P18YTH06</v>
      </c>
      <c r="I163" t="s">
        <v>543</v>
      </c>
      <c r="J163" s="4" t="s">
        <v>582</v>
      </c>
      <c r="K163" s="22" t="s">
        <v>490</v>
      </c>
      <c r="M163" s="2" t="s">
        <v>8</v>
      </c>
      <c r="N163" s="2">
        <v>0</v>
      </c>
      <c r="O163" s="2">
        <v>10</v>
      </c>
    </row>
    <row r="164" spans="1:15" x14ac:dyDescent="0.2">
      <c r="A164" s="23" t="s">
        <v>460</v>
      </c>
      <c r="B164" s="23" t="s">
        <v>461</v>
      </c>
      <c r="C164" s="23" t="s">
        <v>274</v>
      </c>
      <c r="D164" s="23" t="s">
        <v>544</v>
      </c>
      <c r="E164" s="23" t="s">
        <v>545</v>
      </c>
      <c r="F164" s="2">
        <v>21</v>
      </c>
      <c r="G164" s="21">
        <v>2019</v>
      </c>
      <c r="H164" t="str">
        <f t="shared" si="2"/>
        <v>P19YTH06</v>
      </c>
      <c r="I164" t="s">
        <v>543</v>
      </c>
      <c r="J164" s="4" t="s">
        <v>582</v>
      </c>
      <c r="K164" s="22" t="s">
        <v>490</v>
      </c>
      <c r="M164" s="2" t="s">
        <v>8</v>
      </c>
      <c r="N164" s="2">
        <v>0</v>
      </c>
      <c r="O164" s="2">
        <v>10</v>
      </c>
    </row>
    <row r="165" spans="1:15" x14ac:dyDescent="0.2">
      <c r="A165" s="24" t="s">
        <v>460</v>
      </c>
      <c r="B165" s="24" t="s">
        <v>461</v>
      </c>
      <c r="C165" s="24" t="s">
        <v>274</v>
      </c>
      <c r="D165" s="24" t="s">
        <v>547</v>
      </c>
      <c r="E165" s="24" t="s">
        <v>548</v>
      </c>
      <c r="F165" s="2">
        <v>3</v>
      </c>
      <c r="G165" s="21">
        <v>2001</v>
      </c>
      <c r="H165" t="str">
        <f t="shared" si="2"/>
        <v>P01YTH07</v>
      </c>
      <c r="I165" t="s">
        <v>546</v>
      </c>
      <c r="J165" s="4" t="s">
        <v>583</v>
      </c>
      <c r="K165" s="22" t="s">
        <v>490</v>
      </c>
      <c r="M165" s="2" t="s">
        <v>8</v>
      </c>
      <c r="N165" s="2">
        <v>0</v>
      </c>
      <c r="O165" s="2">
        <v>10</v>
      </c>
    </row>
    <row r="166" spans="1:15" x14ac:dyDescent="0.2">
      <c r="A166" s="24" t="s">
        <v>460</v>
      </c>
      <c r="B166" s="24" t="s">
        <v>461</v>
      </c>
      <c r="C166" s="24" t="s">
        <v>274</v>
      </c>
      <c r="D166" s="24" t="s">
        <v>547</v>
      </c>
      <c r="E166" s="24" t="s">
        <v>548</v>
      </c>
      <c r="F166" s="2">
        <v>4</v>
      </c>
      <c r="G166" s="21">
        <v>2002</v>
      </c>
      <c r="H166" t="str">
        <f t="shared" si="2"/>
        <v>P02YTH07</v>
      </c>
      <c r="I166" t="s">
        <v>546</v>
      </c>
      <c r="J166" s="4" t="s">
        <v>583</v>
      </c>
      <c r="K166" s="22" t="s">
        <v>490</v>
      </c>
      <c r="M166" s="2" t="s">
        <v>8</v>
      </c>
      <c r="N166" s="2">
        <v>0</v>
      </c>
      <c r="O166" s="2">
        <v>10</v>
      </c>
    </row>
    <row r="167" spans="1:15" x14ac:dyDescent="0.2">
      <c r="A167" s="24" t="s">
        <v>460</v>
      </c>
      <c r="B167" s="24" t="s">
        <v>461</v>
      </c>
      <c r="C167" s="24" t="s">
        <v>274</v>
      </c>
      <c r="D167" s="24" t="s">
        <v>547</v>
      </c>
      <c r="E167" s="24" t="s">
        <v>548</v>
      </c>
      <c r="F167" s="2">
        <v>5</v>
      </c>
      <c r="G167" s="21">
        <v>2003</v>
      </c>
      <c r="H167" t="str">
        <f t="shared" si="2"/>
        <v>P03YTH07</v>
      </c>
      <c r="I167" t="s">
        <v>546</v>
      </c>
      <c r="J167" s="4" t="s">
        <v>583</v>
      </c>
      <c r="K167" s="22" t="s">
        <v>490</v>
      </c>
      <c r="M167" s="2" t="s">
        <v>8</v>
      </c>
      <c r="N167" s="2">
        <v>0</v>
      </c>
      <c r="O167" s="2">
        <v>10</v>
      </c>
    </row>
    <row r="168" spans="1:15" x14ac:dyDescent="0.2">
      <c r="A168" s="24" t="s">
        <v>460</v>
      </c>
      <c r="B168" s="24" t="s">
        <v>461</v>
      </c>
      <c r="C168" s="24" t="s">
        <v>274</v>
      </c>
      <c r="D168" s="24" t="s">
        <v>547</v>
      </c>
      <c r="E168" s="24" t="s">
        <v>548</v>
      </c>
      <c r="F168" s="2">
        <v>6</v>
      </c>
      <c r="G168" s="21">
        <v>2004</v>
      </c>
      <c r="H168" t="str">
        <f t="shared" si="2"/>
        <v>P04YTH07</v>
      </c>
      <c r="I168" t="s">
        <v>546</v>
      </c>
      <c r="J168" s="4" t="s">
        <v>583</v>
      </c>
      <c r="K168" s="22" t="s">
        <v>490</v>
      </c>
      <c r="M168" s="2" t="s">
        <v>8</v>
      </c>
      <c r="N168" s="2">
        <v>0</v>
      </c>
      <c r="O168" s="2">
        <v>10</v>
      </c>
    </row>
    <row r="169" spans="1:15" x14ac:dyDescent="0.2">
      <c r="A169" s="24" t="s">
        <v>460</v>
      </c>
      <c r="B169" s="24" t="s">
        <v>461</v>
      </c>
      <c r="C169" s="24" t="s">
        <v>274</v>
      </c>
      <c r="D169" s="24" t="s">
        <v>547</v>
      </c>
      <c r="E169" s="24" t="s">
        <v>548</v>
      </c>
      <c r="F169" s="2">
        <v>7</v>
      </c>
      <c r="G169" s="21">
        <v>2005</v>
      </c>
      <c r="H169" t="str">
        <f t="shared" si="2"/>
        <v>P05YTH07</v>
      </c>
      <c r="I169" t="s">
        <v>546</v>
      </c>
      <c r="J169" s="4" t="s">
        <v>583</v>
      </c>
      <c r="K169" s="22" t="s">
        <v>490</v>
      </c>
      <c r="M169" s="2" t="s">
        <v>8</v>
      </c>
      <c r="N169" s="2">
        <v>0</v>
      </c>
      <c r="O169" s="2">
        <v>10</v>
      </c>
    </row>
    <row r="170" spans="1:15" x14ac:dyDescent="0.2">
      <c r="A170" s="24" t="s">
        <v>460</v>
      </c>
      <c r="B170" s="24" t="s">
        <v>461</v>
      </c>
      <c r="C170" s="24" t="s">
        <v>274</v>
      </c>
      <c r="D170" s="24" t="s">
        <v>547</v>
      </c>
      <c r="E170" s="24" t="s">
        <v>548</v>
      </c>
      <c r="F170" s="2">
        <v>8</v>
      </c>
      <c r="G170" s="21">
        <v>2006</v>
      </c>
      <c r="H170" t="str">
        <f t="shared" si="2"/>
        <v>P06YTH07</v>
      </c>
      <c r="I170" t="s">
        <v>546</v>
      </c>
      <c r="J170" s="4" t="s">
        <v>583</v>
      </c>
      <c r="K170" s="22" t="s">
        <v>490</v>
      </c>
      <c r="M170" s="2" t="s">
        <v>8</v>
      </c>
      <c r="N170" s="2">
        <v>0</v>
      </c>
      <c r="O170" s="2">
        <v>10</v>
      </c>
    </row>
    <row r="171" spans="1:15" x14ac:dyDescent="0.2">
      <c r="A171" s="24" t="s">
        <v>460</v>
      </c>
      <c r="B171" s="24" t="s">
        <v>461</v>
      </c>
      <c r="C171" s="24" t="s">
        <v>274</v>
      </c>
      <c r="D171" s="24" t="s">
        <v>547</v>
      </c>
      <c r="E171" s="24" t="s">
        <v>548</v>
      </c>
      <c r="F171" s="2">
        <v>9</v>
      </c>
      <c r="G171" s="21">
        <v>2007</v>
      </c>
      <c r="H171" t="str">
        <f t="shared" si="2"/>
        <v>P07YTH07</v>
      </c>
      <c r="I171" t="s">
        <v>546</v>
      </c>
      <c r="J171" s="4" t="s">
        <v>583</v>
      </c>
      <c r="K171" s="22" t="s">
        <v>490</v>
      </c>
      <c r="M171" s="2" t="s">
        <v>8</v>
      </c>
      <c r="N171" s="2">
        <v>0</v>
      </c>
      <c r="O171" s="2">
        <v>10</v>
      </c>
    </row>
    <row r="172" spans="1:15" x14ac:dyDescent="0.2">
      <c r="A172" s="24" t="s">
        <v>460</v>
      </c>
      <c r="B172" s="24" t="s">
        <v>461</v>
      </c>
      <c r="C172" s="24" t="s">
        <v>274</v>
      </c>
      <c r="D172" s="24" t="s">
        <v>547</v>
      </c>
      <c r="E172" s="24" t="s">
        <v>548</v>
      </c>
      <c r="F172" s="2">
        <v>10</v>
      </c>
      <c r="G172" s="21">
        <v>2008</v>
      </c>
      <c r="H172" t="str">
        <f t="shared" si="2"/>
        <v>P08YTH07</v>
      </c>
      <c r="I172" t="s">
        <v>546</v>
      </c>
      <c r="J172" s="4" t="s">
        <v>583</v>
      </c>
      <c r="K172" s="22" t="s">
        <v>490</v>
      </c>
      <c r="M172" s="2" t="s">
        <v>8</v>
      </c>
      <c r="N172" s="2">
        <v>0</v>
      </c>
      <c r="O172" s="2">
        <v>10</v>
      </c>
    </row>
    <row r="173" spans="1:15" x14ac:dyDescent="0.2">
      <c r="A173" s="24" t="s">
        <v>460</v>
      </c>
      <c r="B173" s="24" t="s">
        <v>461</v>
      </c>
      <c r="C173" s="24" t="s">
        <v>274</v>
      </c>
      <c r="D173" s="24" t="s">
        <v>547</v>
      </c>
      <c r="E173" s="24" t="s">
        <v>548</v>
      </c>
      <c r="F173" s="2">
        <v>11</v>
      </c>
      <c r="G173" s="21">
        <v>2009</v>
      </c>
      <c r="H173" t="str">
        <f t="shared" si="2"/>
        <v>P09YTH07</v>
      </c>
      <c r="I173" t="s">
        <v>546</v>
      </c>
      <c r="J173" s="4" t="s">
        <v>583</v>
      </c>
      <c r="K173" s="22" t="s">
        <v>490</v>
      </c>
      <c r="M173" s="2" t="s">
        <v>8</v>
      </c>
      <c r="N173" s="2">
        <v>0</v>
      </c>
      <c r="O173" s="2">
        <v>10</v>
      </c>
    </row>
    <row r="174" spans="1:15" x14ac:dyDescent="0.2">
      <c r="A174" s="24" t="s">
        <v>460</v>
      </c>
      <c r="B174" s="24" t="s">
        <v>461</v>
      </c>
      <c r="C174" s="24" t="s">
        <v>274</v>
      </c>
      <c r="D174" s="24" t="s">
        <v>547</v>
      </c>
      <c r="E174" s="24" t="s">
        <v>548</v>
      </c>
      <c r="F174" s="2">
        <v>12</v>
      </c>
      <c r="G174" s="21">
        <v>2010</v>
      </c>
      <c r="H174" t="str">
        <f t="shared" si="2"/>
        <v>P10YTH07</v>
      </c>
      <c r="I174" t="s">
        <v>546</v>
      </c>
      <c r="J174" s="4" t="s">
        <v>583</v>
      </c>
      <c r="K174" s="22" t="s">
        <v>490</v>
      </c>
      <c r="M174" s="2" t="s">
        <v>8</v>
      </c>
      <c r="N174" s="2">
        <v>0</v>
      </c>
      <c r="O174" s="2">
        <v>10</v>
      </c>
    </row>
    <row r="175" spans="1:15" x14ac:dyDescent="0.2">
      <c r="A175" s="24" t="s">
        <v>460</v>
      </c>
      <c r="B175" s="24" t="s">
        <v>461</v>
      </c>
      <c r="C175" s="24" t="s">
        <v>274</v>
      </c>
      <c r="D175" s="24" t="s">
        <v>547</v>
      </c>
      <c r="E175" s="24" t="s">
        <v>548</v>
      </c>
      <c r="F175" s="2">
        <v>13</v>
      </c>
      <c r="G175" s="21">
        <v>2011</v>
      </c>
      <c r="H175" t="str">
        <f t="shared" si="2"/>
        <v>P11YTH07</v>
      </c>
      <c r="I175" t="s">
        <v>546</v>
      </c>
      <c r="J175" s="4" t="s">
        <v>583</v>
      </c>
      <c r="K175" s="22" t="s">
        <v>490</v>
      </c>
      <c r="M175" s="2" t="s">
        <v>8</v>
      </c>
      <c r="N175" s="2">
        <v>0</v>
      </c>
      <c r="O175" s="2">
        <v>10</v>
      </c>
    </row>
    <row r="176" spans="1:15" x14ac:dyDescent="0.2">
      <c r="A176" s="24" t="s">
        <v>460</v>
      </c>
      <c r="B176" s="24" t="s">
        <v>461</v>
      </c>
      <c r="C176" s="24" t="s">
        <v>274</v>
      </c>
      <c r="D176" s="24" t="s">
        <v>547</v>
      </c>
      <c r="E176" s="24" t="s">
        <v>548</v>
      </c>
      <c r="F176" s="2">
        <v>14</v>
      </c>
      <c r="G176" s="21">
        <v>2012</v>
      </c>
      <c r="H176" t="str">
        <f t="shared" si="2"/>
        <v>P12YTH07</v>
      </c>
      <c r="I176" t="s">
        <v>546</v>
      </c>
      <c r="J176" s="4" t="s">
        <v>583</v>
      </c>
      <c r="K176" s="22" t="s">
        <v>490</v>
      </c>
      <c r="M176" s="2" t="s">
        <v>8</v>
      </c>
      <c r="N176" s="2">
        <v>0</v>
      </c>
      <c r="O176" s="2">
        <v>10</v>
      </c>
    </row>
    <row r="177" spans="1:15" x14ac:dyDescent="0.2">
      <c r="A177" s="24" t="s">
        <v>460</v>
      </c>
      <c r="B177" s="24" t="s">
        <v>461</v>
      </c>
      <c r="C177" s="24" t="s">
        <v>274</v>
      </c>
      <c r="D177" s="24" t="s">
        <v>547</v>
      </c>
      <c r="E177" s="24" t="s">
        <v>548</v>
      </c>
      <c r="F177" s="2">
        <v>15</v>
      </c>
      <c r="G177" s="21">
        <v>2013</v>
      </c>
      <c r="H177" t="str">
        <f t="shared" si="2"/>
        <v>P13YTH07</v>
      </c>
      <c r="I177" t="s">
        <v>546</v>
      </c>
      <c r="J177" s="4" t="s">
        <v>583</v>
      </c>
      <c r="K177" s="22" t="s">
        <v>490</v>
      </c>
      <c r="M177" s="2" t="s">
        <v>8</v>
      </c>
      <c r="N177" s="2">
        <v>0</v>
      </c>
      <c r="O177" s="2">
        <v>10</v>
      </c>
    </row>
    <row r="178" spans="1:15" x14ac:dyDescent="0.2">
      <c r="A178" s="24" t="s">
        <v>460</v>
      </c>
      <c r="B178" s="24" t="s">
        <v>461</v>
      </c>
      <c r="C178" s="24" t="s">
        <v>274</v>
      </c>
      <c r="D178" s="24" t="s">
        <v>547</v>
      </c>
      <c r="E178" s="24" t="s">
        <v>548</v>
      </c>
      <c r="F178" s="2">
        <v>16</v>
      </c>
      <c r="G178" s="21">
        <v>2014</v>
      </c>
      <c r="H178" t="str">
        <f t="shared" si="2"/>
        <v>P14YTH07</v>
      </c>
      <c r="I178" t="s">
        <v>546</v>
      </c>
      <c r="J178" s="4" t="s">
        <v>583</v>
      </c>
      <c r="K178" s="22" t="s">
        <v>490</v>
      </c>
      <c r="M178" s="2" t="s">
        <v>8</v>
      </c>
      <c r="N178" s="2">
        <v>0</v>
      </c>
      <c r="O178" s="2">
        <v>10</v>
      </c>
    </row>
    <row r="179" spans="1:15" x14ac:dyDescent="0.2">
      <c r="A179" s="24" t="s">
        <v>460</v>
      </c>
      <c r="B179" s="24" t="s">
        <v>461</v>
      </c>
      <c r="C179" s="24" t="s">
        <v>274</v>
      </c>
      <c r="D179" s="24" t="s">
        <v>547</v>
      </c>
      <c r="E179" s="24" t="s">
        <v>548</v>
      </c>
      <c r="F179" s="2">
        <v>17</v>
      </c>
      <c r="G179" s="21">
        <v>2015</v>
      </c>
      <c r="H179" t="str">
        <f t="shared" si="2"/>
        <v>P15YTH07</v>
      </c>
      <c r="I179" t="s">
        <v>546</v>
      </c>
      <c r="J179" s="4" t="s">
        <v>583</v>
      </c>
      <c r="K179" s="22" t="s">
        <v>490</v>
      </c>
      <c r="M179" s="2" t="s">
        <v>8</v>
      </c>
      <c r="N179" s="2">
        <v>0</v>
      </c>
      <c r="O179" s="2">
        <v>10</v>
      </c>
    </row>
    <row r="180" spans="1:15" x14ac:dyDescent="0.2">
      <c r="A180" s="24" t="s">
        <v>460</v>
      </c>
      <c r="B180" s="24" t="s">
        <v>461</v>
      </c>
      <c r="C180" s="24" t="s">
        <v>274</v>
      </c>
      <c r="D180" s="24" t="s">
        <v>547</v>
      </c>
      <c r="E180" s="24" t="s">
        <v>548</v>
      </c>
      <c r="F180" s="2">
        <v>18</v>
      </c>
      <c r="G180" s="21">
        <v>2016</v>
      </c>
      <c r="H180" t="str">
        <f t="shared" si="2"/>
        <v>P16YTH07</v>
      </c>
      <c r="I180" t="s">
        <v>546</v>
      </c>
      <c r="J180" s="4" t="s">
        <v>583</v>
      </c>
      <c r="K180" s="22" t="s">
        <v>490</v>
      </c>
      <c r="M180" s="2" t="s">
        <v>8</v>
      </c>
      <c r="N180" s="2">
        <v>0</v>
      </c>
      <c r="O180" s="2">
        <v>10</v>
      </c>
    </row>
    <row r="181" spans="1:15" x14ac:dyDescent="0.2">
      <c r="A181" s="24" t="s">
        <v>460</v>
      </c>
      <c r="B181" s="24" t="s">
        <v>461</v>
      </c>
      <c r="C181" s="24" t="s">
        <v>274</v>
      </c>
      <c r="D181" s="24" t="s">
        <v>547</v>
      </c>
      <c r="E181" s="24" t="s">
        <v>548</v>
      </c>
      <c r="F181" s="2">
        <v>19</v>
      </c>
      <c r="G181" s="21">
        <v>2017</v>
      </c>
      <c r="H181" t="str">
        <f t="shared" si="2"/>
        <v>P17YTH07</v>
      </c>
      <c r="I181" t="s">
        <v>546</v>
      </c>
      <c r="J181" s="4" t="s">
        <v>583</v>
      </c>
      <c r="K181" s="22" t="s">
        <v>490</v>
      </c>
      <c r="M181" s="2" t="s">
        <v>8</v>
      </c>
      <c r="N181" s="2">
        <v>0</v>
      </c>
      <c r="O181" s="2">
        <v>10</v>
      </c>
    </row>
    <row r="182" spans="1:15" x14ac:dyDescent="0.2">
      <c r="A182" s="24" t="s">
        <v>460</v>
      </c>
      <c r="B182" s="24" t="s">
        <v>461</v>
      </c>
      <c r="C182" s="24" t="s">
        <v>274</v>
      </c>
      <c r="D182" s="24" t="s">
        <v>547</v>
      </c>
      <c r="E182" s="24" t="s">
        <v>548</v>
      </c>
      <c r="F182" s="2">
        <v>20</v>
      </c>
      <c r="G182" s="21">
        <v>2018</v>
      </c>
      <c r="H182" t="str">
        <f t="shared" si="2"/>
        <v>P18YTH07</v>
      </c>
      <c r="I182" t="s">
        <v>546</v>
      </c>
      <c r="J182" s="4" t="s">
        <v>583</v>
      </c>
      <c r="K182" s="22" t="s">
        <v>490</v>
      </c>
      <c r="M182" s="2" t="s">
        <v>8</v>
      </c>
      <c r="N182" s="2">
        <v>0</v>
      </c>
      <c r="O182" s="2">
        <v>10</v>
      </c>
    </row>
    <row r="183" spans="1:15" x14ac:dyDescent="0.2">
      <c r="A183" s="24" t="s">
        <v>460</v>
      </c>
      <c r="B183" s="24" t="s">
        <v>461</v>
      </c>
      <c r="C183" s="24" t="s">
        <v>274</v>
      </c>
      <c r="D183" s="24" t="s">
        <v>547</v>
      </c>
      <c r="E183" s="24" t="s">
        <v>548</v>
      </c>
      <c r="F183" s="2">
        <v>21</v>
      </c>
      <c r="G183" s="21">
        <v>2019</v>
      </c>
      <c r="H183" t="str">
        <f t="shared" si="2"/>
        <v>P19YTH07</v>
      </c>
      <c r="I183" t="s">
        <v>546</v>
      </c>
      <c r="J183" s="4" t="s">
        <v>583</v>
      </c>
      <c r="K183" s="22" t="s">
        <v>490</v>
      </c>
      <c r="M183" s="2" t="s">
        <v>8</v>
      </c>
      <c r="N183" s="2">
        <v>0</v>
      </c>
      <c r="O183" s="2">
        <v>10</v>
      </c>
    </row>
    <row r="184" spans="1:15" x14ac:dyDescent="0.2">
      <c r="A184" s="23" t="s">
        <v>460</v>
      </c>
      <c r="B184" s="23" t="s">
        <v>461</v>
      </c>
      <c r="C184" s="23" t="s">
        <v>274</v>
      </c>
      <c r="D184" s="23" t="s">
        <v>550</v>
      </c>
      <c r="E184" s="23" t="s">
        <v>551</v>
      </c>
      <c r="F184" s="2">
        <v>3</v>
      </c>
      <c r="G184" s="21">
        <v>2001</v>
      </c>
      <c r="H184" t="str">
        <f t="shared" si="2"/>
        <v>P01YTH08</v>
      </c>
      <c r="I184" t="s">
        <v>549</v>
      </c>
      <c r="J184" s="4" t="s">
        <v>584</v>
      </c>
      <c r="K184" s="22" t="s">
        <v>490</v>
      </c>
      <c r="M184" s="2" t="s">
        <v>8</v>
      </c>
      <c r="N184" s="2">
        <v>0</v>
      </c>
      <c r="O184" s="2">
        <v>10</v>
      </c>
    </row>
    <row r="185" spans="1:15" x14ac:dyDescent="0.2">
      <c r="A185" s="23" t="s">
        <v>460</v>
      </c>
      <c r="B185" s="23" t="s">
        <v>461</v>
      </c>
      <c r="C185" s="23" t="s">
        <v>274</v>
      </c>
      <c r="D185" s="23" t="s">
        <v>550</v>
      </c>
      <c r="E185" s="23" t="s">
        <v>551</v>
      </c>
      <c r="F185" s="2">
        <v>4</v>
      </c>
      <c r="G185" s="21">
        <v>2002</v>
      </c>
      <c r="H185" t="str">
        <f t="shared" si="2"/>
        <v>P02YTH08</v>
      </c>
      <c r="I185" t="s">
        <v>549</v>
      </c>
      <c r="J185" s="4" t="s">
        <v>584</v>
      </c>
      <c r="K185" s="22" t="s">
        <v>490</v>
      </c>
      <c r="M185" s="2" t="s">
        <v>8</v>
      </c>
      <c r="N185" s="2">
        <v>0</v>
      </c>
      <c r="O185" s="2">
        <v>10</v>
      </c>
    </row>
    <row r="186" spans="1:15" x14ac:dyDescent="0.2">
      <c r="A186" s="23" t="s">
        <v>460</v>
      </c>
      <c r="B186" s="23" t="s">
        <v>461</v>
      </c>
      <c r="C186" s="23" t="s">
        <v>274</v>
      </c>
      <c r="D186" s="23" t="s">
        <v>550</v>
      </c>
      <c r="E186" s="23" t="s">
        <v>551</v>
      </c>
      <c r="F186" s="2">
        <v>5</v>
      </c>
      <c r="G186" s="21">
        <v>2003</v>
      </c>
      <c r="H186" t="str">
        <f t="shared" si="2"/>
        <v>P03YTH08</v>
      </c>
      <c r="I186" t="s">
        <v>549</v>
      </c>
      <c r="J186" s="4" t="s">
        <v>584</v>
      </c>
      <c r="K186" s="22" t="s">
        <v>490</v>
      </c>
      <c r="M186" s="2" t="s">
        <v>8</v>
      </c>
      <c r="N186" s="2">
        <v>0</v>
      </c>
      <c r="O186" s="2">
        <v>10</v>
      </c>
    </row>
    <row r="187" spans="1:15" x14ac:dyDescent="0.2">
      <c r="A187" s="23" t="s">
        <v>460</v>
      </c>
      <c r="B187" s="23" t="s">
        <v>461</v>
      </c>
      <c r="C187" s="23" t="s">
        <v>274</v>
      </c>
      <c r="D187" s="23" t="s">
        <v>550</v>
      </c>
      <c r="E187" s="23" t="s">
        <v>551</v>
      </c>
      <c r="F187" s="2">
        <v>6</v>
      </c>
      <c r="G187" s="21">
        <v>2004</v>
      </c>
      <c r="H187" t="str">
        <f t="shared" si="2"/>
        <v>P04YTH08</v>
      </c>
      <c r="I187" t="s">
        <v>549</v>
      </c>
      <c r="J187" s="4" t="s">
        <v>584</v>
      </c>
      <c r="K187" s="22" t="s">
        <v>490</v>
      </c>
      <c r="M187" s="2" t="s">
        <v>8</v>
      </c>
      <c r="N187" s="2">
        <v>0</v>
      </c>
      <c r="O187" s="2">
        <v>10</v>
      </c>
    </row>
    <row r="188" spans="1:15" x14ac:dyDescent="0.2">
      <c r="A188" s="23" t="s">
        <v>460</v>
      </c>
      <c r="B188" s="23" t="s">
        <v>461</v>
      </c>
      <c r="C188" s="23" t="s">
        <v>274</v>
      </c>
      <c r="D188" s="23" t="s">
        <v>550</v>
      </c>
      <c r="E188" s="23" t="s">
        <v>551</v>
      </c>
      <c r="F188" s="2">
        <v>7</v>
      </c>
      <c r="G188" s="21">
        <v>2005</v>
      </c>
      <c r="H188" t="str">
        <f t="shared" si="2"/>
        <v>P05YTH08</v>
      </c>
      <c r="I188" t="s">
        <v>549</v>
      </c>
      <c r="J188" s="4" t="s">
        <v>584</v>
      </c>
      <c r="K188" s="22" t="s">
        <v>490</v>
      </c>
      <c r="M188" s="2" t="s">
        <v>8</v>
      </c>
      <c r="N188" s="2">
        <v>0</v>
      </c>
      <c r="O188" s="2">
        <v>10</v>
      </c>
    </row>
    <row r="189" spans="1:15" x14ac:dyDescent="0.2">
      <c r="A189" s="23" t="s">
        <v>460</v>
      </c>
      <c r="B189" s="23" t="s">
        <v>461</v>
      </c>
      <c r="C189" s="23" t="s">
        <v>274</v>
      </c>
      <c r="D189" s="23" t="s">
        <v>550</v>
      </c>
      <c r="E189" s="23" t="s">
        <v>551</v>
      </c>
      <c r="F189" s="2">
        <v>8</v>
      </c>
      <c r="G189" s="21">
        <v>2006</v>
      </c>
      <c r="H189" t="str">
        <f t="shared" si="2"/>
        <v>P06YTH08</v>
      </c>
      <c r="I189" t="s">
        <v>549</v>
      </c>
      <c r="J189" s="4" t="s">
        <v>584</v>
      </c>
      <c r="K189" s="22" t="s">
        <v>490</v>
      </c>
      <c r="M189" s="2" t="s">
        <v>8</v>
      </c>
      <c r="N189" s="2">
        <v>0</v>
      </c>
      <c r="O189" s="2">
        <v>10</v>
      </c>
    </row>
    <row r="190" spans="1:15" x14ac:dyDescent="0.2">
      <c r="A190" s="23" t="s">
        <v>460</v>
      </c>
      <c r="B190" s="23" t="s">
        <v>461</v>
      </c>
      <c r="C190" s="23" t="s">
        <v>274</v>
      </c>
      <c r="D190" s="23" t="s">
        <v>550</v>
      </c>
      <c r="E190" s="23" t="s">
        <v>551</v>
      </c>
      <c r="F190" s="2">
        <v>9</v>
      </c>
      <c r="G190" s="21">
        <v>2007</v>
      </c>
      <c r="H190" t="str">
        <f t="shared" si="2"/>
        <v>P07YTH08</v>
      </c>
      <c r="I190" t="s">
        <v>549</v>
      </c>
      <c r="J190" s="4" t="s">
        <v>584</v>
      </c>
      <c r="K190" s="22" t="s">
        <v>490</v>
      </c>
      <c r="M190" s="2" t="s">
        <v>8</v>
      </c>
      <c r="N190" s="2">
        <v>0</v>
      </c>
      <c r="O190" s="2">
        <v>10</v>
      </c>
    </row>
    <row r="191" spans="1:15" x14ac:dyDescent="0.2">
      <c r="A191" s="23" t="s">
        <v>460</v>
      </c>
      <c r="B191" s="23" t="s">
        <v>461</v>
      </c>
      <c r="C191" s="23" t="s">
        <v>274</v>
      </c>
      <c r="D191" s="23" t="s">
        <v>550</v>
      </c>
      <c r="E191" s="23" t="s">
        <v>551</v>
      </c>
      <c r="F191" s="2">
        <v>10</v>
      </c>
      <c r="G191" s="21">
        <v>2008</v>
      </c>
      <c r="H191" t="str">
        <f t="shared" ref="H191:H254" si="3">"P"&amp;RIGHT(G191,2)&amp;I191</f>
        <v>P08YTH08</v>
      </c>
      <c r="I191" t="s">
        <v>549</v>
      </c>
      <c r="J191" s="4" t="s">
        <v>584</v>
      </c>
      <c r="K191" s="22" t="s">
        <v>490</v>
      </c>
      <c r="M191" s="2" t="s">
        <v>8</v>
      </c>
      <c r="N191" s="2">
        <v>0</v>
      </c>
      <c r="O191" s="2">
        <v>10</v>
      </c>
    </row>
    <row r="192" spans="1:15" x14ac:dyDescent="0.2">
      <c r="A192" s="23" t="s">
        <v>460</v>
      </c>
      <c r="B192" s="23" t="s">
        <v>461</v>
      </c>
      <c r="C192" s="23" t="s">
        <v>274</v>
      </c>
      <c r="D192" s="23" t="s">
        <v>550</v>
      </c>
      <c r="E192" s="23" t="s">
        <v>551</v>
      </c>
      <c r="F192" s="2">
        <v>11</v>
      </c>
      <c r="G192" s="21">
        <v>2009</v>
      </c>
      <c r="H192" t="str">
        <f t="shared" si="3"/>
        <v>P09YTH08</v>
      </c>
      <c r="I192" t="s">
        <v>549</v>
      </c>
      <c r="J192" s="4" t="s">
        <v>584</v>
      </c>
      <c r="K192" s="22" t="s">
        <v>490</v>
      </c>
      <c r="M192" s="2" t="s">
        <v>8</v>
      </c>
      <c r="N192" s="2">
        <v>0</v>
      </c>
      <c r="O192" s="2">
        <v>10</v>
      </c>
    </row>
    <row r="193" spans="1:15" x14ac:dyDescent="0.2">
      <c r="A193" s="23" t="s">
        <v>460</v>
      </c>
      <c r="B193" s="23" t="s">
        <v>461</v>
      </c>
      <c r="C193" s="23" t="s">
        <v>274</v>
      </c>
      <c r="D193" s="23" t="s">
        <v>550</v>
      </c>
      <c r="E193" s="23" t="s">
        <v>551</v>
      </c>
      <c r="F193" s="2">
        <v>12</v>
      </c>
      <c r="G193" s="21">
        <v>2010</v>
      </c>
      <c r="H193" t="str">
        <f t="shared" si="3"/>
        <v>P10YTH08</v>
      </c>
      <c r="I193" t="s">
        <v>549</v>
      </c>
      <c r="J193" s="4" t="s">
        <v>584</v>
      </c>
      <c r="K193" s="22" t="s">
        <v>490</v>
      </c>
      <c r="M193" s="2" t="s">
        <v>8</v>
      </c>
      <c r="N193" s="2">
        <v>0</v>
      </c>
      <c r="O193" s="2">
        <v>10</v>
      </c>
    </row>
    <row r="194" spans="1:15" x14ac:dyDescent="0.2">
      <c r="A194" s="23" t="s">
        <v>460</v>
      </c>
      <c r="B194" s="23" t="s">
        <v>461</v>
      </c>
      <c r="C194" s="23" t="s">
        <v>274</v>
      </c>
      <c r="D194" s="23" t="s">
        <v>550</v>
      </c>
      <c r="E194" s="23" t="s">
        <v>551</v>
      </c>
      <c r="F194" s="2">
        <v>13</v>
      </c>
      <c r="G194" s="21">
        <v>2011</v>
      </c>
      <c r="H194" t="str">
        <f t="shared" si="3"/>
        <v>P11YTH08</v>
      </c>
      <c r="I194" t="s">
        <v>549</v>
      </c>
      <c r="J194" s="4" t="s">
        <v>584</v>
      </c>
      <c r="K194" s="22" t="s">
        <v>490</v>
      </c>
      <c r="M194" s="2" t="s">
        <v>8</v>
      </c>
      <c r="N194" s="2">
        <v>0</v>
      </c>
      <c r="O194" s="2">
        <v>10</v>
      </c>
    </row>
    <row r="195" spans="1:15" x14ac:dyDescent="0.2">
      <c r="A195" s="23" t="s">
        <v>460</v>
      </c>
      <c r="B195" s="23" t="s">
        <v>461</v>
      </c>
      <c r="C195" s="23" t="s">
        <v>274</v>
      </c>
      <c r="D195" s="23" t="s">
        <v>550</v>
      </c>
      <c r="E195" s="23" t="s">
        <v>551</v>
      </c>
      <c r="F195" s="2">
        <v>14</v>
      </c>
      <c r="G195" s="21">
        <v>2012</v>
      </c>
      <c r="H195" t="str">
        <f t="shared" si="3"/>
        <v>P12YTH08</v>
      </c>
      <c r="I195" t="s">
        <v>549</v>
      </c>
      <c r="J195" s="4" t="s">
        <v>584</v>
      </c>
      <c r="K195" s="22" t="s">
        <v>490</v>
      </c>
      <c r="M195" s="2" t="s">
        <v>8</v>
      </c>
      <c r="N195" s="2">
        <v>0</v>
      </c>
      <c r="O195" s="2">
        <v>10</v>
      </c>
    </row>
    <row r="196" spans="1:15" x14ac:dyDescent="0.2">
      <c r="A196" s="23" t="s">
        <v>460</v>
      </c>
      <c r="B196" s="23" t="s">
        <v>461</v>
      </c>
      <c r="C196" s="23" t="s">
        <v>274</v>
      </c>
      <c r="D196" s="23" t="s">
        <v>550</v>
      </c>
      <c r="E196" s="23" t="s">
        <v>551</v>
      </c>
      <c r="F196" s="2">
        <v>15</v>
      </c>
      <c r="G196" s="21">
        <v>2013</v>
      </c>
      <c r="H196" t="str">
        <f t="shared" si="3"/>
        <v>P13YTH08</v>
      </c>
      <c r="I196" t="s">
        <v>549</v>
      </c>
      <c r="J196" s="4" t="s">
        <v>584</v>
      </c>
      <c r="K196" s="22" t="s">
        <v>490</v>
      </c>
      <c r="M196" s="2" t="s">
        <v>8</v>
      </c>
      <c r="N196" s="2">
        <v>0</v>
      </c>
      <c r="O196" s="2">
        <v>10</v>
      </c>
    </row>
    <row r="197" spans="1:15" x14ac:dyDescent="0.2">
      <c r="A197" s="23" t="s">
        <v>460</v>
      </c>
      <c r="B197" s="23" t="s">
        <v>461</v>
      </c>
      <c r="C197" s="23" t="s">
        <v>274</v>
      </c>
      <c r="D197" s="23" t="s">
        <v>550</v>
      </c>
      <c r="E197" s="23" t="s">
        <v>551</v>
      </c>
      <c r="F197" s="2">
        <v>16</v>
      </c>
      <c r="G197" s="21">
        <v>2014</v>
      </c>
      <c r="H197" t="str">
        <f t="shared" si="3"/>
        <v>P14YTH08</v>
      </c>
      <c r="I197" t="s">
        <v>549</v>
      </c>
      <c r="J197" s="4" t="s">
        <v>584</v>
      </c>
      <c r="K197" s="22" t="s">
        <v>490</v>
      </c>
      <c r="M197" s="2" t="s">
        <v>8</v>
      </c>
      <c r="N197" s="2">
        <v>0</v>
      </c>
      <c r="O197" s="2">
        <v>10</v>
      </c>
    </row>
    <row r="198" spans="1:15" x14ac:dyDescent="0.2">
      <c r="A198" s="23" t="s">
        <v>460</v>
      </c>
      <c r="B198" s="23" t="s">
        <v>461</v>
      </c>
      <c r="C198" s="23" t="s">
        <v>274</v>
      </c>
      <c r="D198" s="23" t="s">
        <v>550</v>
      </c>
      <c r="E198" s="23" t="s">
        <v>551</v>
      </c>
      <c r="F198" s="2">
        <v>17</v>
      </c>
      <c r="G198" s="21">
        <v>2015</v>
      </c>
      <c r="H198" t="str">
        <f t="shared" si="3"/>
        <v>P15YTH08</v>
      </c>
      <c r="I198" t="s">
        <v>549</v>
      </c>
      <c r="J198" s="4" t="s">
        <v>584</v>
      </c>
      <c r="K198" s="22" t="s">
        <v>490</v>
      </c>
      <c r="M198" s="2" t="s">
        <v>8</v>
      </c>
      <c r="N198" s="2">
        <v>0</v>
      </c>
      <c r="O198" s="2">
        <v>10</v>
      </c>
    </row>
    <row r="199" spans="1:15" x14ac:dyDescent="0.2">
      <c r="A199" s="23" t="s">
        <v>460</v>
      </c>
      <c r="B199" s="23" t="s">
        <v>461</v>
      </c>
      <c r="C199" s="23" t="s">
        <v>274</v>
      </c>
      <c r="D199" s="23" t="s">
        <v>550</v>
      </c>
      <c r="E199" s="23" t="s">
        <v>551</v>
      </c>
      <c r="F199" s="2">
        <v>18</v>
      </c>
      <c r="G199" s="21">
        <v>2016</v>
      </c>
      <c r="H199" t="str">
        <f t="shared" si="3"/>
        <v>P16YTH08</v>
      </c>
      <c r="I199" t="s">
        <v>549</v>
      </c>
      <c r="J199" s="4" t="s">
        <v>584</v>
      </c>
      <c r="K199" s="22" t="s">
        <v>490</v>
      </c>
      <c r="M199" s="2" t="s">
        <v>8</v>
      </c>
      <c r="N199" s="2">
        <v>0</v>
      </c>
      <c r="O199" s="2">
        <v>10</v>
      </c>
    </row>
    <row r="200" spans="1:15" x14ac:dyDescent="0.2">
      <c r="A200" s="23" t="s">
        <v>460</v>
      </c>
      <c r="B200" s="23" t="s">
        <v>461</v>
      </c>
      <c r="C200" s="23" t="s">
        <v>274</v>
      </c>
      <c r="D200" s="23" t="s">
        <v>550</v>
      </c>
      <c r="E200" s="23" t="s">
        <v>551</v>
      </c>
      <c r="F200" s="2">
        <v>19</v>
      </c>
      <c r="G200" s="21">
        <v>2017</v>
      </c>
      <c r="H200" t="str">
        <f t="shared" si="3"/>
        <v>P17YTH08</v>
      </c>
      <c r="I200" t="s">
        <v>549</v>
      </c>
      <c r="J200" s="4" t="s">
        <v>584</v>
      </c>
      <c r="K200" s="22" t="s">
        <v>490</v>
      </c>
      <c r="M200" s="2" t="s">
        <v>8</v>
      </c>
      <c r="N200" s="2">
        <v>0</v>
      </c>
      <c r="O200" s="2">
        <v>10</v>
      </c>
    </row>
    <row r="201" spans="1:15" x14ac:dyDescent="0.2">
      <c r="A201" s="23" t="s">
        <v>460</v>
      </c>
      <c r="B201" s="23" t="s">
        <v>461</v>
      </c>
      <c r="C201" s="23" t="s">
        <v>274</v>
      </c>
      <c r="D201" s="23" t="s">
        <v>550</v>
      </c>
      <c r="E201" s="23" t="s">
        <v>551</v>
      </c>
      <c r="F201" s="2">
        <v>20</v>
      </c>
      <c r="G201" s="21">
        <v>2018</v>
      </c>
      <c r="H201" t="str">
        <f t="shared" si="3"/>
        <v>P18YTH08</v>
      </c>
      <c r="I201" t="s">
        <v>549</v>
      </c>
      <c r="J201" s="4" t="s">
        <v>584</v>
      </c>
      <c r="K201" s="22" t="s">
        <v>490</v>
      </c>
      <c r="M201" s="2" t="s">
        <v>8</v>
      </c>
      <c r="N201" s="2">
        <v>0</v>
      </c>
      <c r="O201" s="2">
        <v>10</v>
      </c>
    </row>
    <row r="202" spans="1:15" x14ac:dyDescent="0.2">
      <c r="A202" s="23" t="s">
        <v>460</v>
      </c>
      <c r="B202" s="23" t="s">
        <v>461</v>
      </c>
      <c r="C202" s="23" t="s">
        <v>274</v>
      </c>
      <c r="D202" s="23" t="s">
        <v>550</v>
      </c>
      <c r="E202" s="23" t="s">
        <v>551</v>
      </c>
      <c r="F202" s="2">
        <v>21</v>
      </c>
      <c r="G202" s="21">
        <v>2019</v>
      </c>
      <c r="H202" t="str">
        <f t="shared" si="3"/>
        <v>P19YTH08</v>
      </c>
      <c r="I202" t="s">
        <v>549</v>
      </c>
      <c r="J202" s="4" t="s">
        <v>584</v>
      </c>
      <c r="K202" s="22" t="s">
        <v>490</v>
      </c>
      <c r="M202" s="2" t="s">
        <v>8</v>
      </c>
      <c r="N202" s="2">
        <v>0</v>
      </c>
      <c r="O202" s="2">
        <v>10</v>
      </c>
    </row>
    <row r="203" spans="1:15" x14ac:dyDescent="0.2">
      <c r="A203" s="24" t="s">
        <v>460</v>
      </c>
      <c r="B203" s="24" t="s">
        <v>461</v>
      </c>
      <c r="C203" s="24" t="s">
        <v>274</v>
      </c>
      <c r="D203" s="24" t="s">
        <v>238</v>
      </c>
      <c r="E203" s="24" t="s">
        <v>125</v>
      </c>
      <c r="F203" s="2">
        <v>3</v>
      </c>
      <c r="G203" s="21">
        <v>2001</v>
      </c>
      <c r="H203" t="str">
        <f t="shared" si="3"/>
        <v>P01W92</v>
      </c>
      <c r="I203" t="s">
        <v>552</v>
      </c>
      <c r="J203" s="4" t="s">
        <v>585</v>
      </c>
      <c r="K203" s="22" t="s">
        <v>490</v>
      </c>
      <c r="M203" s="2" t="s">
        <v>8</v>
      </c>
      <c r="N203" s="2">
        <v>0</v>
      </c>
      <c r="O203" s="2">
        <v>10</v>
      </c>
    </row>
    <row r="204" spans="1:15" x14ac:dyDescent="0.2">
      <c r="A204" s="24" t="s">
        <v>460</v>
      </c>
      <c r="B204" s="24" t="s">
        <v>461</v>
      </c>
      <c r="C204" s="24" t="s">
        <v>274</v>
      </c>
      <c r="D204" s="24" t="s">
        <v>238</v>
      </c>
      <c r="E204" s="24" t="s">
        <v>125</v>
      </c>
      <c r="F204" s="2">
        <v>4</v>
      </c>
      <c r="G204" s="21">
        <v>2002</v>
      </c>
      <c r="H204" t="str">
        <f t="shared" si="3"/>
        <v>P02W92</v>
      </c>
      <c r="I204" t="s">
        <v>552</v>
      </c>
      <c r="J204" s="4" t="s">
        <v>585</v>
      </c>
      <c r="K204" s="22" t="s">
        <v>490</v>
      </c>
      <c r="M204" s="2" t="s">
        <v>8</v>
      </c>
      <c r="N204" s="2">
        <v>0</v>
      </c>
      <c r="O204" s="2">
        <v>10</v>
      </c>
    </row>
    <row r="205" spans="1:15" x14ac:dyDescent="0.2">
      <c r="A205" s="24" t="s">
        <v>460</v>
      </c>
      <c r="B205" s="24" t="s">
        <v>461</v>
      </c>
      <c r="C205" s="24" t="s">
        <v>274</v>
      </c>
      <c r="D205" s="24" t="s">
        <v>238</v>
      </c>
      <c r="E205" s="24" t="s">
        <v>125</v>
      </c>
      <c r="F205" s="2">
        <v>5</v>
      </c>
      <c r="G205" s="21">
        <v>2003</v>
      </c>
      <c r="H205" t="str">
        <f t="shared" si="3"/>
        <v>P03W92</v>
      </c>
      <c r="I205" t="s">
        <v>552</v>
      </c>
      <c r="J205" s="4" t="s">
        <v>585</v>
      </c>
      <c r="K205" s="22" t="s">
        <v>490</v>
      </c>
      <c r="M205" s="2" t="s">
        <v>8</v>
      </c>
      <c r="N205" s="2">
        <v>0</v>
      </c>
      <c r="O205" s="2">
        <v>10</v>
      </c>
    </row>
    <row r="206" spans="1:15" x14ac:dyDescent="0.2">
      <c r="A206" s="24" t="s">
        <v>460</v>
      </c>
      <c r="B206" s="24" t="s">
        <v>461</v>
      </c>
      <c r="C206" s="24" t="s">
        <v>274</v>
      </c>
      <c r="D206" s="24" t="s">
        <v>238</v>
      </c>
      <c r="E206" s="24" t="s">
        <v>125</v>
      </c>
      <c r="F206" s="2">
        <v>6</v>
      </c>
      <c r="G206" s="21">
        <v>2004</v>
      </c>
      <c r="H206" t="str">
        <f t="shared" si="3"/>
        <v>P04W92</v>
      </c>
      <c r="I206" t="s">
        <v>552</v>
      </c>
      <c r="J206" s="4" t="s">
        <v>585</v>
      </c>
      <c r="K206" s="22" t="s">
        <v>490</v>
      </c>
      <c r="M206" s="2" t="s">
        <v>8</v>
      </c>
      <c r="N206" s="2">
        <v>0</v>
      </c>
      <c r="O206" s="2">
        <v>10</v>
      </c>
    </row>
    <row r="207" spans="1:15" x14ac:dyDescent="0.2">
      <c r="A207" s="24" t="s">
        <v>460</v>
      </c>
      <c r="B207" s="24" t="s">
        <v>461</v>
      </c>
      <c r="C207" s="24" t="s">
        <v>274</v>
      </c>
      <c r="D207" s="24" t="s">
        <v>238</v>
      </c>
      <c r="E207" s="24" t="s">
        <v>125</v>
      </c>
      <c r="F207" s="2">
        <v>7</v>
      </c>
      <c r="G207" s="21">
        <v>2005</v>
      </c>
      <c r="H207" t="str">
        <f t="shared" si="3"/>
        <v>P05W92</v>
      </c>
      <c r="I207" t="s">
        <v>552</v>
      </c>
      <c r="J207" s="4" t="s">
        <v>585</v>
      </c>
      <c r="K207" s="22" t="s">
        <v>490</v>
      </c>
      <c r="M207" s="2" t="s">
        <v>8</v>
      </c>
      <c r="N207" s="2">
        <v>0</v>
      </c>
      <c r="O207" s="2">
        <v>10</v>
      </c>
    </row>
    <row r="208" spans="1:15" x14ac:dyDescent="0.2">
      <c r="A208" s="24" t="s">
        <v>460</v>
      </c>
      <c r="B208" s="24" t="s">
        <v>461</v>
      </c>
      <c r="C208" s="24" t="s">
        <v>274</v>
      </c>
      <c r="D208" s="24" t="s">
        <v>238</v>
      </c>
      <c r="E208" s="24" t="s">
        <v>125</v>
      </c>
      <c r="F208" s="2">
        <v>8</v>
      </c>
      <c r="G208" s="21">
        <v>2006</v>
      </c>
      <c r="H208" t="str">
        <f t="shared" si="3"/>
        <v>P06W92</v>
      </c>
      <c r="I208" t="s">
        <v>552</v>
      </c>
      <c r="J208" s="4" t="s">
        <v>585</v>
      </c>
      <c r="K208" s="22" t="s">
        <v>490</v>
      </c>
      <c r="M208" s="2" t="s">
        <v>8</v>
      </c>
      <c r="N208" s="2">
        <v>0</v>
      </c>
      <c r="O208" s="2">
        <v>10</v>
      </c>
    </row>
    <row r="209" spans="1:15" x14ac:dyDescent="0.2">
      <c r="A209" s="24" t="s">
        <v>460</v>
      </c>
      <c r="B209" s="24" t="s">
        <v>461</v>
      </c>
      <c r="C209" s="24" t="s">
        <v>274</v>
      </c>
      <c r="D209" s="24" t="s">
        <v>238</v>
      </c>
      <c r="E209" s="24" t="s">
        <v>125</v>
      </c>
      <c r="F209" s="2">
        <v>9</v>
      </c>
      <c r="G209" s="21">
        <v>2007</v>
      </c>
      <c r="H209" t="str">
        <f t="shared" si="3"/>
        <v>P07W92</v>
      </c>
      <c r="I209" t="s">
        <v>552</v>
      </c>
      <c r="J209" s="4" t="s">
        <v>585</v>
      </c>
      <c r="K209" s="22" t="s">
        <v>490</v>
      </c>
      <c r="M209" s="2" t="s">
        <v>8</v>
      </c>
      <c r="N209" s="2">
        <v>0</v>
      </c>
      <c r="O209" s="2">
        <v>10</v>
      </c>
    </row>
    <row r="210" spans="1:15" x14ac:dyDescent="0.2">
      <c r="A210" s="24" t="s">
        <v>460</v>
      </c>
      <c r="B210" s="24" t="s">
        <v>461</v>
      </c>
      <c r="C210" s="24" t="s">
        <v>274</v>
      </c>
      <c r="D210" s="24" t="s">
        <v>238</v>
      </c>
      <c r="E210" s="24" t="s">
        <v>125</v>
      </c>
      <c r="F210" s="2">
        <v>10</v>
      </c>
      <c r="G210" s="21">
        <v>2008</v>
      </c>
      <c r="H210" t="str">
        <f t="shared" si="3"/>
        <v>P08W92</v>
      </c>
      <c r="I210" t="s">
        <v>552</v>
      </c>
      <c r="J210" s="4" t="s">
        <v>585</v>
      </c>
      <c r="K210" s="22" t="s">
        <v>490</v>
      </c>
      <c r="M210" s="2" t="s">
        <v>8</v>
      </c>
      <c r="N210" s="2">
        <v>0</v>
      </c>
      <c r="O210" s="2">
        <v>10</v>
      </c>
    </row>
    <row r="211" spans="1:15" x14ac:dyDescent="0.2">
      <c r="A211" s="24" t="s">
        <v>460</v>
      </c>
      <c r="B211" s="24" t="s">
        <v>461</v>
      </c>
      <c r="C211" s="24" t="s">
        <v>274</v>
      </c>
      <c r="D211" s="24" t="s">
        <v>238</v>
      </c>
      <c r="E211" s="24" t="s">
        <v>125</v>
      </c>
      <c r="F211" s="2">
        <v>11</v>
      </c>
      <c r="G211" s="21">
        <v>2009</v>
      </c>
      <c r="H211" t="str">
        <f t="shared" si="3"/>
        <v>P09W92</v>
      </c>
      <c r="I211" t="s">
        <v>552</v>
      </c>
      <c r="J211" s="4" t="s">
        <v>585</v>
      </c>
      <c r="K211" s="22" t="s">
        <v>490</v>
      </c>
      <c r="M211" s="2" t="s">
        <v>8</v>
      </c>
      <c r="N211" s="2">
        <v>0</v>
      </c>
      <c r="O211" s="2">
        <v>10</v>
      </c>
    </row>
    <row r="212" spans="1:15" x14ac:dyDescent="0.2">
      <c r="A212" s="24" t="s">
        <v>460</v>
      </c>
      <c r="B212" s="24" t="s">
        <v>461</v>
      </c>
      <c r="C212" s="24" t="s">
        <v>274</v>
      </c>
      <c r="D212" s="24" t="s">
        <v>238</v>
      </c>
      <c r="E212" s="24" t="s">
        <v>125</v>
      </c>
      <c r="F212" s="2">
        <v>12</v>
      </c>
      <c r="G212" s="21">
        <v>2010</v>
      </c>
      <c r="H212" t="str">
        <f t="shared" si="3"/>
        <v>P10W92</v>
      </c>
      <c r="I212" t="s">
        <v>552</v>
      </c>
      <c r="J212" s="4" t="s">
        <v>585</v>
      </c>
      <c r="K212" s="22" t="s">
        <v>490</v>
      </c>
      <c r="M212" s="2" t="s">
        <v>8</v>
      </c>
      <c r="N212" s="2">
        <v>0</v>
      </c>
      <c r="O212" s="2">
        <v>10</v>
      </c>
    </row>
    <row r="213" spans="1:15" x14ac:dyDescent="0.2">
      <c r="A213" s="24" t="s">
        <v>460</v>
      </c>
      <c r="B213" s="24" t="s">
        <v>461</v>
      </c>
      <c r="C213" s="24" t="s">
        <v>274</v>
      </c>
      <c r="D213" s="24" t="s">
        <v>238</v>
      </c>
      <c r="E213" s="24" t="s">
        <v>125</v>
      </c>
      <c r="F213" s="2">
        <v>13</v>
      </c>
      <c r="G213" s="21">
        <v>2011</v>
      </c>
      <c r="H213" t="str">
        <f t="shared" si="3"/>
        <v>P11W92</v>
      </c>
      <c r="I213" t="s">
        <v>552</v>
      </c>
      <c r="J213" s="4" t="s">
        <v>585</v>
      </c>
      <c r="K213" s="22" t="s">
        <v>490</v>
      </c>
      <c r="M213" s="2" t="s">
        <v>8</v>
      </c>
      <c r="N213" s="2">
        <v>0</v>
      </c>
      <c r="O213" s="2">
        <v>10</v>
      </c>
    </row>
    <row r="214" spans="1:15" x14ac:dyDescent="0.2">
      <c r="A214" s="24" t="s">
        <v>460</v>
      </c>
      <c r="B214" s="24" t="s">
        <v>461</v>
      </c>
      <c r="C214" s="24" t="s">
        <v>274</v>
      </c>
      <c r="D214" s="24" t="s">
        <v>238</v>
      </c>
      <c r="E214" s="24" t="s">
        <v>125</v>
      </c>
      <c r="F214" s="2">
        <v>14</v>
      </c>
      <c r="G214" s="21">
        <v>2012</v>
      </c>
      <c r="H214" t="str">
        <f t="shared" si="3"/>
        <v>P12W92</v>
      </c>
      <c r="I214" t="s">
        <v>552</v>
      </c>
      <c r="J214" s="4" t="s">
        <v>585</v>
      </c>
      <c r="K214" s="22" t="s">
        <v>490</v>
      </c>
      <c r="M214" s="2" t="s">
        <v>8</v>
      </c>
      <c r="N214" s="2">
        <v>0</v>
      </c>
      <c r="O214" s="2">
        <v>10</v>
      </c>
    </row>
    <row r="215" spans="1:15" x14ac:dyDescent="0.2">
      <c r="A215" s="24" t="s">
        <v>460</v>
      </c>
      <c r="B215" s="24" t="s">
        <v>461</v>
      </c>
      <c r="C215" s="24" t="s">
        <v>274</v>
      </c>
      <c r="D215" s="24" t="s">
        <v>238</v>
      </c>
      <c r="E215" s="24" t="s">
        <v>125</v>
      </c>
      <c r="F215" s="2">
        <v>15</v>
      </c>
      <c r="G215" s="21">
        <v>2013</v>
      </c>
      <c r="H215" t="str">
        <f t="shared" si="3"/>
        <v>P13W92</v>
      </c>
      <c r="I215" t="s">
        <v>552</v>
      </c>
      <c r="J215" s="4" t="s">
        <v>585</v>
      </c>
      <c r="K215" s="22" t="s">
        <v>490</v>
      </c>
      <c r="M215" s="2" t="s">
        <v>8</v>
      </c>
      <c r="N215" s="2">
        <v>0</v>
      </c>
      <c r="O215" s="2">
        <v>10</v>
      </c>
    </row>
    <row r="216" spans="1:15" x14ac:dyDescent="0.2">
      <c r="A216" s="24" t="s">
        <v>460</v>
      </c>
      <c r="B216" s="24" t="s">
        <v>461</v>
      </c>
      <c r="C216" s="24" t="s">
        <v>274</v>
      </c>
      <c r="D216" s="24" t="s">
        <v>238</v>
      </c>
      <c r="E216" s="24" t="s">
        <v>125</v>
      </c>
      <c r="F216" s="2">
        <v>16</v>
      </c>
      <c r="G216" s="21">
        <v>2014</v>
      </c>
      <c r="H216" t="str">
        <f t="shared" si="3"/>
        <v>P14W92</v>
      </c>
      <c r="I216" t="s">
        <v>552</v>
      </c>
      <c r="J216" s="4" t="s">
        <v>585</v>
      </c>
      <c r="K216" s="22" t="s">
        <v>490</v>
      </c>
      <c r="M216" s="2" t="s">
        <v>8</v>
      </c>
      <c r="N216" s="2">
        <v>0</v>
      </c>
      <c r="O216" s="2">
        <v>10</v>
      </c>
    </row>
    <row r="217" spans="1:15" x14ac:dyDescent="0.2">
      <c r="A217" s="24" t="s">
        <v>460</v>
      </c>
      <c r="B217" s="24" t="s">
        <v>461</v>
      </c>
      <c r="C217" s="24" t="s">
        <v>274</v>
      </c>
      <c r="D217" s="24" t="s">
        <v>238</v>
      </c>
      <c r="E217" s="24" t="s">
        <v>125</v>
      </c>
      <c r="F217" s="2">
        <v>17</v>
      </c>
      <c r="G217" s="21">
        <v>2015</v>
      </c>
      <c r="H217" t="str">
        <f t="shared" si="3"/>
        <v>P15W92</v>
      </c>
      <c r="I217" t="s">
        <v>552</v>
      </c>
      <c r="J217" s="4" t="s">
        <v>585</v>
      </c>
      <c r="K217" s="22" t="s">
        <v>490</v>
      </c>
      <c r="M217" s="2" t="s">
        <v>8</v>
      </c>
      <c r="N217" s="2">
        <v>0</v>
      </c>
      <c r="O217" s="2">
        <v>10</v>
      </c>
    </row>
    <row r="218" spans="1:15" x14ac:dyDescent="0.2">
      <c r="A218" s="24" t="s">
        <v>460</v>
      </c>
      <c r="B218" s="24" t="s">
        <v>461</v>
      </c>
      <c r="C218" s="24" t="s">
        <v>274</v>
      </c>
      <c r="D218" s="24" t="s">
        <v>238</v>
      </c>
      <c r="E218" s="24" t="s">
        <v>125</v>
      </c>
      <c r="F218" s="2">
        <v>18</v>
      </c>
      <c r="G218" s="21">
        <v>2016</v>
      </c>
      <c r="H218" t="str">
        <f t="shared" si="3"/>
        <v>P16W92</v>
      </c>
      <c r="I218" t="s">
        <v>552</v>
      </c>
      <c r="J218" s="4" t="s">
        <v>585</v>
      </c>
      <c r="K218" s="22" t="s">
        <v>490</v>
      </c>
      <c r="M218" s="2" t="s">
        <v>8</v>
      </c>
      <c r="N218" s="2">
        <v>0</v>
      </c>
      <c r="O218" s="2">
        <v>10</v>
      </c>
    </row>
    <row r="219" spans="1:15" x14ac:dyDescent="0.2">
      <c r="A219" s="24" t="s">
        <v>460</v>
      </c>
      <c r="B219" s="24" t="s">
        <v>461</v>
      </c>
      <c r="C219" s="24" t="s">
        <v>274</v>
      </c>
      <c r="D219" s="24" t="s">
        <v>238</v>
      </c>
      <c r="E219" s="24" t="s">
        <v>125</v>
      </c>
      <c r="F219" s="2">
        <v>19</v>
      </c>
      <c r="G219" s="21">
        <v>2017</v>
      </c>
      <c r="H219" t="str">
        <f t="shared" si="3"/>
        <v>P17W92</v>
      </c>
      <c r="I219" t="s">
        <v>552</v>
      </c>
      <c r="J219" s="4" t="s">
        <v>585</v>
      </c>
      <c r="K219" s="22" t="s">
        <v>490</v>
      </c>
      <c r="M219" s="2" t="s">
        <v>8</v>
      </c>
      <c r="N219" s="2">
        <v>0</v>
      </c>
      <c r="O219" s="2">
        <v>10</v>
      </c>
    </row>
    <row r="220" spans="1:15" x14ac:dyDescent="0.2">
      <c r="A220" s="24" t="s">
        <v>460</v>
      </c>
      <c r="B220" s="24" t="s">
        <v>461</v>
      </c>
      <c r="C220" s="24" t="s">
        <v>274</v>
      </c>
      <c r="D220" s="24" t="s">
        <v>238</v>
      </c>
      <c r="E220" s="24" t="s">
        <v>125</v>
      </c>
      <c r="F220" s="2">
        <v>20</v>
      </c>
      <c r="G220" s="21">
        <v>2018</v>
      </c>
      <c r="H220" t="str">
        <f t="shared" si="3"/>
        <v>P18W92</v>
      </c>
      <c r="I220" t="s">
        <v>552</v>
      </c>
      <c r="J220" s="4" t="s">
        <v>585</v>
      </c>
      <c r="K220" s="22" t="s">
        <v>490</v>
      </c>
      <c r="M220" s="2" t="s">
        <v>8</v>
      </c>
      <c r="N220" s="2">
        <v>0</v>
      </c>
      <c r="O220" s="2">
        <v>10</v>
      </c>
    </row>
    <row r="221" spans="1:15" x14ac:dyDescent="0.2">
      <c r="A221" s="24" t="s">
        <v>460</v>
      </c>
      <c r="B221" s="24" t="s">
        <v>461</v>
      </c>
      <c r="C221" s="24" t="s">
        <v>274</v>
      </c>
      <c r="D221" s="24" t="s">
        <v>238</v>
      </c>
      <c r="E221" s="24" t="s">
        <v>125</v>
      </c>
      <c r="F221" s="2">
        <v>21</v>
      </c>
      <c r="G221" s="21">
        <v>2019</v>
      </c>
      <c r="H221" t="str">
        <f t="shared" si="3"/>
        <v>P19W92</v>
      </c>
      <c r="I221" t="s">
        <v>552</v>
      </c>
      <c r="J221" s="4" t="s">
        <v>585</v>
      </c>
      <c r="K221" s="22" t="s">
        <v>490</v>
      </c>
      <c r="M221" s="2" t="s">
        <v>8</v>
      </c>
      <c r="N221" s="2">
        <v>0</v>
      </c>
      <c r="O221" s="2">
        <v>10</v>
      </c>
    </row>
    <row r="222" spans="1:15" x14ac:dyDescent="0.2">
      <c r="A222" s="23" t="s">
        <v>460</v>
      </c>
      <c r="B222" s="23" t="s">
        <v>461</v>
      </c>
      <c r="C222" s="23" t="s">
        <v>274</v>
      </c>
      <c r="D222" s="23" t="s">
        <v>556</v>
      </c>
      <c r="E222" s="23" t="s">
        <v>557</v>
      </c>
      <c r="F222" s="2">
        <v>3</v>
      </c>
      <c r="G222" s="21">
        <v>2001</v>
      </c>
      <c r="H222" t="str">
        <f t="shared" si="3"/>
        <v>P01W93</v>
      </c>
      <c r="I222" t="s">
        <v>555</v>
      </c>
      <c r="J222" s="4" t="s">
        <v>586</v>
      </c>
      <c r="K222" s="22" t="s">
        <v>490</v>
      </c>
      <c r="M222" s="2" t="s">
        <v>8</v>
      </c>
      <c r="N222" s="2">
        <v>0</v>
      </c>
      <c r="O222" s="2">
        <v>10</v>
      </c>
    </row>
    <row r="223" spans="1:15" x14ac:dyDescent="0.2">
      <c r="A223" s="23" t="s">
        <v>460</v>
      </c>
      <c r="B223" s="23" t="s">
        <v>461</v>
      </c>
      <c r="C223" s="23" t="s">
        <v>274</v>
      </c>
      <c r="D223" s="23" t="s">
        <v>556</v>
      </c>
      <c r="E223" s="23" t="s">
        <v>557</v>
      </c>
      <c r="F223" s="2">
        <v>4</v>
      </c>
      <c r="G223" s="21">
        <v>2002</v>
      </c>
      <c r="H223" t="str">
        <f t="shared" si="3"/>
        <v>P02W93</v>
      </c>
      <c r="I223" t="s">
        <v>555</v>
      </c>
      <c r="J223" s="4" t="s">
        <v>586</v>
      </c>
      <c r="K223" s="22" t="s">
        <v>490</v>
      </c>
      <c r="M223" s="2" t="s">
        <v>8</v>
      </c>
      <c r="N223" s="2">
        <v>0</v>
      </c>
      <c r="O223" s="2">
        <v>10</v>
      </c>
    </row>
    <row r="224" spans="1:15" x14ac:dyDescent="0.2">
      <c r="A224" s="23" t="s">
        <v>460</v>
      </c>
      <c r="B224" s="23" t="s">
        <v>461</v>
      </c>
      <c r="C224" s="23" t="s">
        <v>274</v>
      </c>
      <c r="D224" s="23" t="s">
        <v>556</v>
      </c>
      <c r="E224" s="23" t="s">
        <v>557</v>
      </c>
      <c r="F224" s="2">
        <v>5</v>
      </c>
      <c r="G224" s="21">
        <v>2003</v>
      </c>
      <c r="H224" t="str">
        <f t="shared" si="3"/>
        <v>P03W93</v>
      </c>
      <c r="I224" t="s">
        <v>555</v>
      </c>
      <c r="J224" s="4" t="s">
        <v>586</v>
      </c>
      <c r="K224" s="22" t="s">
        <v>490</v>
      </c>
      <c r="M224" s="2" t="s">
        <v>8</v>
      </c>
      <c r="N224" s="2">
        <v>0</v>
      </c>
      <c r="O224" s="2">
        <v>10</v>
      </c>
    </row>
    <row r="225" spans="1:15" x14ac:dyDescent="0.2">
      <c r="A225" s="23" t="s">
        <v>460</v>
      </c>
      <c r="B225" s="23" t="s">
        <v>461</v>
      </c>
      <c r="C225" s="23" t="s">
        <v>274</v>
      </c>
      <c r="D225" s="23" t="s">
        <v>556</v>
      </c>
      <c r="E225" s="23" t="s">
        <v>557</v>
      </c>
      <c r="F225" s="2">
        <v>6</v>
      </c>
      <c r="G225" s="21">
        <v>2004</v>
      </c>
      <c r="H225" t="str">
        <f t="shared" si="3"/>
        <v>P04W93</v>
      </c>
      <c r="I225" t="s">
        <v>555</v>
      </c>
      <c r="J225" s="4" t="s">
        <v>586</v>
      </c>
      <c r="K225" s="22" t="s">
        <v>490</v>
      </c>
      <c r="M225" s="2" t="s">
        <v>8</v>
      </c>
      <c r="N225" s="2">
        <v>0</v>
      </c>
      <c r="O225" s="2">
        <v>10</v>
      </c>
    </row>
    <row r="226" spans="1:15" x14ac:dyDescent="0.2">
      <c r="A226" s="23" t="s">
        <v>460</v>
      </c>
      <c r="B226" s="23" t="s">
        <v>461</v>
      </c>
      <c r="C226" s="23" t="s">
        <v>274</v>
      </c>
      <c r="D226" s="23" t="s">
        <v>556</v>
      </c>
      <c r="E226" s="23" t="s">
        <v>557</v>
      </c>
      <c r="F226" s="2">
        <v>7</v>
      </c>
      <c r="G226" s="21">
        <v>2005</v>
      </c>
      <c r="H226" t="str">
        <f t="shared" si="3"/>
        <v>P05W93</v>
      </c>
      <c r="I226" t="s">
        <v>555</v>
      </c>
      <c r="J226" s="4" t="s">
        <v>586</v>
      </c>
      <c r="K226" s="22" t="s">
        <v>490</v>
      </c>
      <c r="M226" s="2" t="s">
        <v>8</v>
      </c>
      <c r="N226" s="2">
        <v>0</v>
      </c>
      <c r="O226" s="2">
        <v>10</v>
      </c>
    </row>
    <row r="227" spans="1:15" x14ac:dyDescent="0.2">
      <c r="A227" s="23" t="s">
        <v>460</v>
      </c>
      <c r="B227" s="23" t="s">
        <v>461</v>
      </c>
      <c r="C227" s="23" t="s">
        <v>274</v>
      </c>
      <c r="D227" s="23" t="s">
        <v>556</v>
      </c>
      <c r="E227" s="23" t="s">
        <v>557</v>
      </c>
      <c r="F227" s="2">
        <v>8</v>
      </c>
      <c r="G227" s="21">
        <v>2006</v>
      </c>
      <c r="H227" t="str">
        <f t="shared" si="3"/>
        <v>P06W93</v>
      </c>
      <c r="I227" t="s">
        <v>555</v>
      </c>
      <c r="J227" s="4" t="s">
        <v>586</v>
      </c>
      <c r="K227" s="22" t="s">
        <v>490</v>
      </c>
      <c r="M227" s="2" t="s">
        <v>8</v>
      </c>
      <c r="N227" s="2">
        <v>0</v>
      </c>
      <c r="O227" s="2">
        <v>10</v>
      </c>
    </row>
    <row r="228" spans="1:15" x14ac:dyDescent="0.2">
      <c r="A228" s="23" t="s">
        <v>460</v>
      </c>
      <c r="B228" s="23" t="s">
        <v>461</v>
      </c>
      <c r="C228" s="23" t="s">
        <v>274</v>
      </c>
      <c r="D228" s="23" t="s">
        <v>556</v>
      </c>
      <c r="E228" s="23" t="s">
        <v>557</v>
      </c>
      <c r="F228" s="2">
        <v>9</v>
      </c>
      <c r="G228" s="21">
        <v>2007</v>
      </c>
      <c r="H228" t="str">
        <f t="shared" si="3"/>
        <v>P07W93</v>
      </c>
      <c r="I228" t="s">
        <v>555</v>
      </c>
      <c r="J228" s="4" t="s">
        <v>586</v>
      </c>
      <c r="K228" s="22" t="s">
        <v>490</v>
      </c>
      <c r="M228" s="2" t="s">
        <v>8</v>
      </c>
      <c r="N228" s="2">
        <v>0</v>
      </c>
      <c r="O228" s="2">
        <v>10</v>
      </c>
    </row>
    <row r="229" spans="1:15" x14ac:dyDescent="0.2">
      <c r="A229" s="23" t="s">
        <v>460</v>
      </c>
      <c r="B229" s="23" t="s">
        <v>461</v>
      </c>
      <c r="C229" s="23" t="s">
        <v>274</v>
      </c>
      <c r="D229" s="23" t="s">
        <v>556</v>
      </c>
      <c r="E229" s="23" t="s">
        <v>557</v>
      </c>
      <c r="F229" s="2">
        <v>10</v>
      </c>
      <c r="G229" s="21">
        <v>2008</v>
      </c>
      <c r="H229" t="str">
        <f t="shared" si="3"/>
        <v>P08W93</v>
      </c>
      <c r="I229" t="s">
        <v>555</v>
      </c>
      <c r="J229" s="4" t="s">
        <v>586</v>
      </c>
      <c r="K229" s="22" t="s">
        <v>490</v>
      </c>
      <c r="M229" s="2" t="s">
        <v>8</v>
      </c>
      <c r="N229" s="2">
        <v>0</v>
      </c>
      <c r="O229" s="2">
        <v>10</v>
      </c>
    </row>
    <row r="230" spans="1:15" x14ac:dyDescent="0.2">
      <c r="A230" s="23" t="s">
        <v>460</v>
      </c>
      <c r="B230" s="23" t="s">
        <v>461</v>
      </c>
      <c r="C230" s="23" t="s">
        <v>274</v>
      </c>
      <c r="D230" s="23" t="s">
        <v>556</v>
      </c>
      <c r="E230" s="23" t="s">
        <v>557</v>
      </c>
      <c r="F230" s="2">
        <v>11</v>
      </c>
      <c r="G230" s="21">
        <v>2009</v>
      </c>
      <c r="H230" t="str">
        <f t="shared" si="3"/>
        <v>P09W93</v>
      </c>
      <c r="I230" t="s">
        <v>555</v>
      </c>
      <c r="J230" s="4" t="s">
        <v>586</v>
      </c>
      <c r="K230" s="22" t="s">
        <v>490</v>
      </c>
      <c r="M230" s="2" t="s">
        <v>8</v>
      </c>
      <c r="N230" s="2">
        <v>0</v>
      </c>
      <c r="O230" s="2">
        <v>10</v>
      </c>
    </row>
    <row r="231" spans="1:15" x14ac:dyDescent="0.2">
      <c r="A231" s="23" t="s">
        <v>460</v>
      </c>
      <c r="B231" s="23" t="s">
        <v>461</v>
      </c>
      <c r="C231" s="23" t="s">
        <v>274</v>
      </c>
      <c r="D231" s="23" t="s">
        <v>556</v>
      </c>
      <c r="E231" s="23" t="s">
        <v>557</v>
      </c>
      <c r="F231" s="2">
        <v>12</v>
      </c>
      <c r="G231" s="21">
        <v>2010</v>
      </c>
      <c r="H231" t="str">
        <f t="shared" si="3"/>
        <v>P10W93</v>
      </c>
      <c r="I231" t="s">
        <v>555</v>
      </c>
      <c r="J231" s="4" t="s">
        <v>586</v>
      </c>
      <c r="K231" s="22" t="s">
        <v>490</v>
      </c>
      <c r="M231" s="2" t="s">
        <v>8</v>
      </c>
      <c r="N231" s="2">
        <v>0</v>
      </c>
      <c r="O231" s="2">
        <v>10</v>
      </c>
    </row>
    <row r="232" spans="1:15" x14ac:dyDescent="0.2">
      <c r="A232" s="23" t="s">
        <v>460</v>
      </c>
      <c r="B232" s="23" t="s">
        <v>461</v>
      </c>
      <c r="C232" s="23" t="s">
        <v>274</v>
      </c>
      <c r="D232" s="23" t="s">
        <v>556</v>
      </c>
      <c r="E232" s="23" t="s">
        <v>557</v>
      </c>
      <c r="F232" s="2">
        <v>13</v>
      </c>
      <c r="G232" s="21">
        <v>2011</v>
      </c>
      <c r="H232" t="str">
        <f t="shared" si="3"/>
        <v>P11W93</v>
      </c>
      <c r="I232" t="s">
        <v>555</v>
      </c>
      <c r="J232" s="4" t="s">
        <v>586</v>
      </c>
      <c r="K232" s="22" t="s">
        <v>490</v>
      </c>
      <c r="M232" s="2" t="s">
        <v>8</v>
      </c>
      <c r="N232" s="2">
        <v>0</v>
      </c>
      <c r="O232" s="2">
        <v>10</v>
      </c>
    </row>
    <row r="233" spans="1:15" x14ac:dyDescent="0.2">
      <c r="A233" s="23" t="s">
        <v>460</v>
      </c>
      <c r="B233" s="23" t="s">
        <v>461</v>
      </c>
      <c r="C233" s="23" t="s">
        <v>274</v>
      </c>
      <c r="D233" s="23" t="s">
        <v>556</v>
      </c>
      <c r="E233" s="23" t="s">
        <v>557</v>
      </c>
      <c r="F233" s="2">
        <v>14</v>
      </c>
      <c r="G233" s="21">
        <v>2012</v>
      </c>
      <c r="H233" t="str">
        <f t="shared" si="3"/>
        <v>P12W93</v>
      </c>
      <c r="I233" t="s">
        <v>555</v>
      </c>
      <c r="J233" s="4" t="s">
        <v>586</v>
      </c>
      <c r="K233" s="22" t="s">
        <v>490</v>
      </c>
      <c r="M233" s="2" t="s">
        <v>8</v>
      </c>
      <c r="N233" s="2">
        <v>0</v>
      </c>
      <c r="O233" s="2">
        <v>10</v>
      </c>
    </row>
    <row r="234" spans="1:15" x14ac:dyDescent="0.2">
      <c r="A234" s="23" t="s">
        <v>460</v>
      </c>
      <c r="B234" s="23" t="s">
        <v>461</v>
      </c>
      <c r="C234" s="23" t="s">
        <v>274</v>
      </c>
      <c r="D234" s="23" t="s">
        <v>556</v>
      </c>
      <c r="E234" s="23" t="s">
        <v>557</v>
      </c>
      <c r="F234" s="2">
        <v>15</v>
      </c>
      <c r="G234" s="21">
        <v>2013</v>
      </c>
      <c r="H234" t="str">
        <f t="shared" si="3"/>
        <v>P13W93</v>
      </c>
      <c r="I234" t="s">
        <v>555</v>
      </c>
      <c r="J234" s="4" t="s">
        <v>586</v>
      </c>
      <c r="K234" s="22" t="s">
        <v>490</v>
      </c>
      <c r="M234" s="2" t="s">
        <v>8</v>
      </c>
      <c r="N234" s="2">
        <v>0</v>
      </c>
      <c r="O234" s="2">
        <v>10</v>
      </c>
    </row>
    <row r="235" spans="1:15" x14ac:dyDescent="0.2">
      <c r="A235" s="23" t="s">
        <v>460</v>
      </c>
      <c r="B235" s="23" t="s">
        <v>461</v>
      </c>
      <c r="C235" s="23" t="s">
        <v>274</v>
      </c>
      <c r="D235" s="23" t="s">
        <v>556</v>
      </c>
      <c r="E235" s="23" t="s">
        <v>557</v>
      </c>
      <c r="F235" s="2">
        <v>16</v>
      </c>
      <c r="G235" s="21">
        <v>2014</v>
      </c>
      <c r="H235" t="str">
        <f t="shared" si="3"/>
        <v>P14W93</v>
      </c>
      <c r="I235" t="s">
        <v>555</v>
      </c>
      <c r="J235" s="4" t="s">
        <v>586</v>
      </c>
      <c r="K235" s="22" t="s">
        <v>490</v>
      </c>
      <c r="M235" s="2" t="s">
        <v>8</v>
      </c>
      <c r="N235" s="2">
        <v>0</v>
      </c>
      <c r="O235" s="2">
        <v>10</v>
      </c>
    </row>
    <row r="236" spans="1:15" x14ac:dyDescent="0.2">
      <c r="A236" s="23" t="s">
        <v>460</v>
      </c>
      <c r="B236" s="23" t="s">
        <v>461</v>
      </c>
      <c r="C236" s="23" t="s">
        <v>274</v>
      </c>
      <c r="D236" s="23" t="s">
        <v>556</v>
      </c>
      <c r="E236" s="23" t="s">
        <v>557</v>
      </c>
      <c r="F236" s="2">
        <v>17</v>
      </c>
      <c r="G236" s="21">
        <v>2015</v>
      </c>
      <c r="H236" t="str">
        <f t="shared" si="3"/>
        <v>P15W93</v>
      </c>
      <c r="I236" t="s">
        <v>555</v>
      </c>
      <c r="J236" s="4" t="s">
        <v>586</v>
      </c>
      <c r="K236" s="22" t="s">
        <v>490</v>
      </c>
      <c r="M236" s="2" t="s">
        <v>8</v>
      </c>
      <c r="N236" s="2">
        <v>0</v>
      </c>
      <c r="O236" s="2">
        <v>10</v>
      </c>
    </row>
    <row r="237" spans="1:15" x14ac:dyDescent="0.2">
      <c r="A237" s="23" t="s">
        <v>460</v>
      </c>
      <c r="B237" s="23" t="s">
        <v>461</v>
      </c>
      <c r="C237" s="23" t="s">
        <v>274</v>
      </c>
      <c r="D237" s="23" t="s">
        <v>556</v>
      </c>
      <c r="E237" s="23" t="s">
        <v>557</v>
      </c>
      <c r="F237" s="2">
        <v>18</v>
      </c>
      <c r="G237" s="21">
        <v>2016</v>
      </c>
      <c r="H237" t="str">
        <f t="shared" si="3"/>
        <v>P16W93</v>
      </c>
      <c r="I237" t="s">
        <v>555</v>
      </c>
      <c r="J237" s="4" t="s">
        <v>586</v>
      </c>
      <c r="K237" s="22" t="s">
        <v>490</v>
      </c>
      <c r="M237" s="2" t="s">
        <v>8</v>
      </c>
      <c r="N237" s="2">
        <v>0</v>
      </c>
      <c r="O237" s="2">
        <v>10</v>
      </c>
    </row>
    <row r="238" spans="1:15" x14ac:dyDescent="0.2">
      <c r="A238" s="23" t="s">
        <v>460</v>
      </c>
      <c r="B238" s="23" t="s">
        <v>461</v>
      </c>
      <c r="C238" s="23" t="s">
        <v>274</v>
      </c>
      <c r="D238" s="23" t="s">
        <v>556</v>
      </c>
      <c r="E238" s="23" t="s">
        <v>557</v>
      </c>
      <c r="F238" s="2">
        <v>19</v>
      </c>
      <c r="G238" s="21">
        <v>2017</v>
      </c>
      <c r="H238" t="str">
        <f t="shared" si="3"/>
        <v>P17W93</v>
      </c>
      <c r="I238" t="s">
        <v>555</v>
      </c>
      <c r="J238" s="4" t="s">
        <v>586</v>
      </c>
      <c r="K238" s="22" t="s">
        <v>490</v>
      </c>
      <c r="M238" s="2" t="s">
        <v>8</v>
      </c>
      <c r="N238" s="2">
        <v>0</v>
      </c>
      <c r="O238" s="2">
        <v>10</v>
      </c>
    </row>
    <row r="239" spans="1:15" x14ac:dyDescent="0.2">
      <c r="A239" s="23" t="s">
        <v>460</v>
      </c>
      <c r="B239" s="23" t="s">
        <v>461</v>
      </c>
      <c r="C239" s="23" t="s">
        <v>274</v>
      </c>
      <c r="D239" s="23" t="s">
        <v>556</v>
      </c>
      <c r="E239" s="23" t="s">
        <v>557</v>
      </c>
      <c r="F239" s="2">
        <v>20</v>
      </c>
      <c r="G239" s="21">
        <v>2018</v>
      </c>
      <c r="H239" t="str">
        <f t="shared" si="3"/>
        <v>P18W93</v>
      </c>
      <c r="I239" t="s">
        <v>555</v>
      </c>
      <c r="J239" s="4" t="s">
        <v>586</v>
      </c>
      <c r="K239" s="22" t="s">
        <v>490</v>
      </c>
      <c r="M239" s="2" t="s">
        <v>8</v>
      </c>
      <c r="N239" s="2">
        <v>0</v>
      </c>
      <c r="O239" s="2">
        <v>10</v>
      </c>
    </row>
    <row r="240" spans="1:15" x14ac:dyDescent="0.2">
      <c r="A240" s="23" t="s">
        <v>460</v>
      </c>
      <c r="B240" s="23" t="s">
        <v>461</v>
      </c>
      <c r="C240" s="23" t="s">
        <v>274</v>
      </c>
      <c r="D240" s="23" t="s">
        <v>556</v>
      </c>
      <c r="E240" s="23" t="s">
        <v>557</v>
      </c>
      <c r="F240" s="2">
        <v>21</v>
      </c>
      <c r="G240" s="21">
        <v>2019</v>
      </c>
      <c r="H240" t="str">
        <f t="shared" si="3"/>
        <v>P19W93</v>
      </c>
      <c r="I240" t="s">
        <v>555</v>
      </c>
      <c r="J240" s="4" t="s">
        <v>586</v>
      </c>
      <c r="K240" s="22" t="s">
        <v>490</v>
      </c>
      <c r="M240" s="2" t="s">
        <v>8</v>
      </c>
      <c r="N240" s="2">
        <v>0</v>
      </c>
      <c r="O240" s="2">
        <v>10</v>
      </c>
    </row>
    <row r="241" spans="1:15" x14ac:dyDescent="0.2">
      <c r="A241" s="24" t="s">
        <v>460</v>
      </c>
      <c r="B241" s="24" t="s">
        <v>461</v>
      </c>
      <c r="C241" s="24" t="s">
        <v>274</v>
      </c>
      <c r="D241" s="24" t="s">
        <v>559</v>
      </c>
      <c r="E241" s="24" t="s">
        <v>560</v>
      </c>
      <c r="F241" s="2">
        <v>3</v>
      </c>
      <c r="G241" s="21">
        <v>2001</v>
      </c>
      <c r="H241" t="str">
        <f t="shared" si="3"/>
        <v>P01W94</v>
      </c>
      <c r="I241" t="s">
        <v>558</v>
      </c>
      <c r="J241" s="4" t="s">
        <v>587</v>
      </c>
      <c r="K241" s="22" t="s">
        <v>490</v>
      </c>
      <c r="M241" s="2" t="s">
        <v>8</v>
      </c>
      <c r="N241" s="2">
        <v>0</v>
      </c>
      <c r="O241" s="2">
        <v>10</v>
      </c>
    </row>
    <row r="242" spans="1:15" x14ac:dyDescent="0.2">
      <c r="A242" s="24" t="s">
        <v>460</v>
      </c>
      <c r="B242" s="24" t="s">
        <v>461</v>
      </c>
      <c r="C242" s="24" t="s">
        <v>274</v>
      </c>
      <c r="D242" s="24" t="s">
        <v>559</v>
      </c>
      <c r="E242" s="24" t="s">
        <v>560</v>
      </c>
      <c r="F242" s="2">
        <v>4</v>
      </c>
      <c r="G242" s="21">
        <v>2002</v>
      </c>
      <c r="H242" t="str">
        <f t="shared" si="3"/>
        <v>P02W94</v>
      </c>
      <c r="I242" t="s">
        <v>558</v>
      </c>
      <c r="J242" s="4" t="s">
        <v>587</v>
      </c>
      <c r="K242" s="22" t="s">
        <v>490</v>
      </c>
      <c r="M242" s="2" t="s">
        <v>8</v>
      </c>
      <c r="N242" s="2">
        <v>0</v>
      </c>
      <c r="O242" s="2">
        <v>10</v>
      </c>
    </row>
    <row r="243" spans="1:15" x14ac:dyDescent="0.2">
      <c r="A243" s="24" t="s">
        <v>460</v>
      </c>
      <c r="B243" s="24" t="s">
        <v>461</v>
      </c>
      <c r="C243" s="24" t="s">
        <v>274</v>
      </c>
      <c r="D243" s="24" t="s">
        <v>559</v>
      </c>
      <c r="E243" s="24" t="s">
        <v>560</v>
      </c>
      <c r="F243" s="2">
        <v>5</v>
      </c>
      <c r="G243" s="21">
        <v>2003</v>
      </c>
      <c r="H243" t="str">
        <f t="shared" si="3"/>
        <v>P03W94</v>
      </c>
      <c r="I243" t="s">
        <v>558</v>
      </c>
      <c r="J243" s="4" t="s">
        <v>587</v>
      </c>
      <c r="K243" s="22" t="s">
        <v>490</v>
      </c>
      <c r="M243" s="2" t="s">
        <v>8</v>
      </c>
      <c r="N243" s="2">
        <v>0</v>
      </c>
      <c r="O243" s="2">
        <v>10</v>
      </c>
    </row>
    <row r="244" spans="1:15" x14ac:dyDescent="0.2">
      <c r="A244" s="24" t="s">
        <v>460</v>
      </c>
      <c r="B244" s="24" t="s">
        <v>461</v>
      </c>
      <c r="C244" s="24" t="s">
        <v>274</v>
      </c>
      <c r="D244" s="24" t="s">
        <v>559</v>
      </c>
      <c r="E244" s="24" t="s">
        <v>560</v>
      </c>
      <c r="F244" s="2">
        <v>6</v>
      </c>
      <c r="G244" s="21">
        <v>2004</v>
      </c>
      <c r="H244" t="str">
        <f t="shared" si="3"/>
        <v>P04W94</v>
      </c>
      <c r="I244" t="s">
        <v>558</v>
      </c>
      <c r="J244" s="4" t="s">
        <v>587</v>
      </c>
      <c r="K244" s="22" t="s">
        <v>490</v>
      </c>
      <c r="M244" s="2" t="s">
        <v>8</v>
      </c>
      <c r="N244" s="2">
        <v>0</v>
      </c>
      <c r="O244" s="2">
        <v>10</v>
      </c>
    </row>
    <row r="245" spans="1:15" x14ac:dyDescent="0.2">
      <c r="A245" s="24" t="s">
        <v>460</v>
      </c>
      <c r="B245" s="24" t="s">
        <v>461</v>
      </c>
      <c r="C245" s="24" t="s">
        <v>274</v>
      </c>
      <c r="D245" s="24" t="s">
        <v>559</v>
      </c>
      <c r="E245" s="24" t="s">
        <v>560</v>
      </c>
      <c r="F245" s="2">
        <v>7</v>
      </c>
      <c r="G245" s="21">
        <v>2005</v>
      </c>
      <c r="H245" t="str">
        <f t="shared" si="3"/>
        <v>P05W94</v>
      </c>
      <c r="I245" t="s">
        <v>558</v>
      </c>
      <c r="J245" s="4" t="s">
        <v>587</v>
      </c>
      <c r="K245" s="22" t="s">
        <v>490</v>
      </c>
      <c r="M245" s="2" t="s">
        <v>8</v>
      </c>
      <c r="N245" s="2">
        <v>0</v>
      </c>
      <c r="O245" s="2">
        <v>10</v>
      </c>
    </row>
    <row r="246" spans="1:15" x14ac:dyDescent="0.2">
      <c r="A246" s="24" t="s">
        <v>460</v>
      </c>
      <c r="B246" s="24" t="s">
        <v>461</v>
      </c>
      <c r="C246" s="24" t="s">
        <v>274</v>
      </c>
      <c r="D246" s="24" t="s">
        <v>559</v>
      </c>
      <c r="E246" s="24" t="s">
        <v>560</v>
      </c>
      <c r="F246" s="2">
        <v>8</v>
      </c>
      <c r="G246" s="21">
        <v>2006</v>
      </c>
      <c r="H246" t="str">
        <f t="shared" si="3"/>
        <v>P06W94</v>
      </c>
      <c r="I246" t="s">
        <v>558</v>
      </c>
      <c r="J246" s="4" t="s">
        <v>587</v>
      </c>
      <c r="K246" s="22" t="s">
        <v>490</v>
      </c>
      <c r="M246" s="2" t="s">
        <v>8</v>
      </c>
      <c r="N246" s="2">
        <v>0</v>
      </c>
      <c r="O246" s="2">
        <v>10</v>
      </c>
    </row>
    <row r="247" spans="1:15" x14ac:dyDescent="0.2">
      <c r="A247" s="24" t="s">
        <v>460</v>
      </c>
      <c r="B247" s="24" t="s">
        <v>461</v>
      </c>
      <c r="C247" s="24" t="s">
        <v>274</v>
      </c>
      <c r="D247" s="24" t="s">
        <v>559</v>
      </c>
      <c r="E247" s="24" t="s">
        <v>560</v>
      </c>
      <c r="F247" s="2">
        <v>9</v>
      </c>
      <c r="G247" s="21">
        <v>2007</v>
      </c>
      <c r="H247" t="str">
        <f t="shared" si="3"/>
        <v>P07W94</v>
      </c>
      <c r="I247" t="s">
        <v>558</v>
      </c>
      <c r="J247" s="4" t="s">
        <v>587</v>
      </c>
      <c r="K247" s="22" t="s">
        <v>490</v>
      </c>
      <c r="M247" s="2" t="s">
        <v>8</v>
      </c>
      <c r="N247" s="2">
        <v>0</v>
      </c>
      <c r="O247" s="2">
        <v>10</v>
      </c>
    </row>
    <row r="248" spans="1:15" x14ac:dyDescent="0.2">
      <c r="A248" s="24" t="s">
        <v>460</v>
      </c>
      <c r="B248" s="24" t="s">
        <v>461</v>
      </c>
      <c r="C248" s="24" t="s">
        <v>274</v>
      </c>
      <c r="D248" s="24" t="s">
        <v>559</v>
      </c>
      <c r="E248" s="24" t="s">
        <v>560</v>
      </c>
      <c r="F248" s="2">
        <v>10</v>
      </c>
      <c r="G248" s="21">
        <v>2008</v>
      </c>
      <c r="H248" t="str">
        <f t="shared" si="3"/>
        <v>P08W94</v>
      </c>
      <c r="I248" t="s">
        <v>558</v>
      </c>
      <c r="J248" s="4" t="s">
        <v>587</v>
      </c>
      <c r="K248" s="22" t="s">
        <v>490</v>
      </c>
      <c r="M248" s="2" t="s">
        <v>8</v>
      </c>
      <c r="N248" s="2">
        <v>0</v>
      </c>
      <c r="O248" s="2">
        <v>10</v>
      </c>
    </row>
    <row r="249" spans="1:15" x14ac:dyDescent="0.2">
      <c r="A249" s="24" t="s">
        <v>460</v>
      </c>
      <c r="B249" s="24" t="s">
        <v>461</v>
      </c>
      <c r="C249" s="24" t="s">
        <v>274</v>
      </c>
      <c r="D249" s="24" t="s">
        <v>559</v>
      </c>
      <c r="E249" s="24" t="s">
        <v>560</v>
      </c>
      <c r="F249" s="2">
        <v>11</v>
      </c>
      <c r="G249" s="21">
        <v>2009</v>
      </c>
      <c r="H249" t="str">
        <f t="shared" si="3"/>
        <v>P09W94</v>
      </c>
      <c r="I249" t="s">
        <v>558</v>
      </c>
      <c r="J249" s="4" t="s">
        <v>587</v>
      </c>
      <c r="K249" s="22" t="s">
        <v>490</v>
      </c>
      <c r="M249" s="2" t="s">
        <v>8</v>
      </c>
      <c r="N249" s="2">
        <v>0</v>
      </c>
      <c r="O249" s="2">
        <v>10</v>
      </c>
    </row>
    <row r="250" spans="1:15" x14ac:dyDescent="0.2">
      <c r="A250" s="24" t="s">
        <v>460</v>
      </c>
      <c r="B250" s="24" t="s">
        <v>461</v>
      </c>
      <c r="C250" s="24" t="s">
        <v>274</v>
      </c>
      <c r="D250" s="24" t="s">
        <v>559</v>
      </c>
      <c r="E250" s="24" t="s">
        <v>560</v>
      </c>
      <c r="F250" s="2">
        <v>12</v>
      </c>
      <c r="G250" s="21">
        <v>2010</v>
      </c>
      <c r="H250" t="str">
        <f t="shared" si="3"/>
        <v>P10W94</v>
      </c>
      <c r="I250" t="s">
        <v>558</v>
      </c>
      <c r="J250" s="4" t="s">
        <v>587</v>
      </c>
      <c r="K250" s="22" t="s">
        <v>490</v>
      </c>
      <c r="M250" s="2" t="s">
        <v>8</v>
      </c>
      <c r="N250" s="2">
        <v>0</v>
      </c>
      <c r="O250" s="2">
        <v>10</v>
      </c>
    </row>
    <row r="251" spans="1:15" x14ac:dyDescent="0.2">
      <c r="A251" s="24" t="s">
        <v>460</v>
      </c>
      <c r="B251" s="24" t="s">
        <v>461</v>
      </c>
      <c r="C251" s="24" t="s">
        <v>274</v>
      </c>
      <c r="D251" s="24" t="s">
        <v>559</v>
      </c>
      <c r="E251" s="24" t="s">
        <v>560</v>
      </c>
      <c r="F251" s="2">
        <v>13</v>
      </c>
      <c r="G251" s="21">
        <v>2011</v>
      </c>
      <c r="H251" t="str">
        <f t="shared" si="3"/>
        <v>P11W94</v>
      </c>
      <c r="I251" t="s">
        <v>558</v>
      </c>
      <c r="J251" s="4" t="s">
        <v>587</v>
      </c>
      <c r="K251" s="22" t="s">
        <v>490</v>
      </c>
      <c r="M251" s="2" t="s">
        <v>8</v>
      </c>
      <c r="N251" s="2">
        <v>0</v>
      </c>
      <c r="O251" s="2">
        <v>10</v>
      </c>
    </row>
    <row r="252" spans="1:15" x14ac:dyDescent="0.2">
      <c r="A252" s="24" t="s">
        <v>460</v>
      </c>
      <c r="B252" s="24" t="s">
        <v>461</v>
      </c>
      <c r="C252" s="24" t="s">
        <v>274</v>
      </c>
      <c r="D252" s="24" t="s">
        <v>559</v>
      </c>
      <c r="E252" s="24" t="s">
        <v>560</v>
      </c>
      <c r="F252" s="2">
        <v>14</v>
      </c>
      <c r="G252" s="21">
        <v>2012</v>
      </c>
      <c r="H252" t="str">
        <f t="shared" si="3"/>
        <v>P12W94</v>
      </c>
      <c r="I252" t="s">
        <v>558</v>
      </c>
      <c r="J252" s="4" t="s">
        <v>587</v>
      </c>
      <c r="K252" s="22" t="s">
        <v>490</v>
      </c>
      <c r="M252" s="2" t="s">
        <v>8</v>
      </c>
      <c r="N252" s="2">
        <v>0</v>
      </c>
      <c r="O252" s="2">
        <v>10</v>
      </c>
    </row>
    <row r="253" spans="1:15" x14ac:dyDescent="0.2">
      <c r="A253" s="24" t="s">
        <v>460</v>
      </c>
      <c r="B253" s="24" t="s">
        <v>461</v>
      </c>
      <c r="C253" s="24" t="s">
        <v>274</v>
      </c>
      <c r="D253" s="24" t="s">
        <v>559</v>
      </c>
      <c r="E253" s="24" t="s">
        <v>560</v>
      </c>
      <c r="F253" s="2">
        <v>15</v>
      </c>
      <c r="G253" s="21">
        <v>2013</v>
      </c>
      <c r="H253" t="str">
        <f t="shared" si="3"/>
        <v>P13W94</v>
      </c>
      <c r="I253" t="s">
        <v>558</v>
      </c>
      <c r="J253" s="4" t="s">
        <v>587</v>
      </c>
      <c r="K253" s="22" t="s">
        <v>490</v>
      </c>
      <c r="M253" s="2" t="s">
        <v>8</v>
      </c>
      <c r="N253" s="2">
        <v>0</v>
      </c>
      <c r="O253" s="2">
        <v>10</v>
      </c>
    </row>
    <row r="254" spans="1:15" x14ac:dyDescent="0.2">
      <c r="A254" s="24" t="s">
        <v>460</v>
      </c>
      <c r="B254" s="24" t="s">
        <v>461</v>
      </c>
      <c r="C254" s="24" t="s">
        <v>274</v>
      </c>
      <c r="D254" s="24" t="s">
        <v>559</v>
      </c>
      <c r="E254" s="24" t="s">
        <v>560</v>
      </c>
      <c r="F254" s="2">
        <v>16</v>
      </c>
      <c r="G254" s="21">
        <v>2014</v>
      </c>
      <c r="H254" t="str">
        <f t="shared" si="3"/>
        <v>P14W94</v>
      </c>
      <c r="I254" t="s">
        <v>558</v>
      </c>
      <c r="J254" s="4" t="s">
        <v>587</v>
      </c>
      <c r="K254" s="22" t="s">
        <v>490</v>
      </c>
      <c r="M254" s="2" t="s">
        <v>8</v>
      </c>
      <c r="N254" s="2">
        <v>0</v>
      </c>
      <c r="O254" s="2">
        <v>10</v>
      </c>
    </row>
    <row r="255" spans="1:15" x14ac:dyDescent="0.2">
      <c r="A255" s="24" t="s">
        <v>460</v>
      </c>
      <c r="B255" s="24" t="s">
        <v>461</v>
      </c>
      <c r="C255" s="24" t="s">
        <v>274</v>
      </c>
      <c r="D255" s="24" t="s">
        <v>559</v>
      </c>
      <c r="E255" s="24" t="s">
        <v>560</v>
      </c>
      <c r="F255" s="2">
        <v>17</v>
      </c>
      <c r="G255" s="21">
        <v>2015</v>
      </c>
      <c r="H255" t="str">
        <f t="shared" ref="H255:H318" si="4">"P"&amp;RIGHT(G255,2)&amp;I255</f>
        <v>P15W94</v>
      </c>
      <c r="I255" t="s">
        <v>558</v>
      </c>
      <c r="J255" s="4" t="s">
        <v>587</v>
      </c>
      <c r="K255" s="22" t="s">
        <v>490</v>
      </c>
      <c r="M255" s="2" t="s">
        <v>8</v>
      </c>
      <c r="N255" s="2">
        <v>0</v>
      </c>
      <c r="O255" s="2">
        <v>10</v>
      </c>
    </row>
    <row r="256" spans="1:15" x14ac:dyDescent="0.2">
      <c r="A256" s="24" t="s">
        <v>460</v>
      </c>
      <c r="B256" s="24" t="s">
        <v>461</v>
      </c>
      <c r="C256" s="24" t="s">
        <v>274</v>
      </c>
      <c r="D256" s="24" t="s">
        <v>559</v>
      </c>
      <c r="E256" s="24" t="s">
        <v>560</v>
      </c>
      <c r="F256" s="2">
        <v>18</v>
      </c>
      <c r="G256" s="21">
        <v>2016</v>
      </c>
      <c r="H256" t="str">
        <f t="shared" si="4"/>
        <v>P16W94</v>
      </c>
      <c r="I256" t="s">
        <v>558</v>
      </c>
      <c r="J256" s="4" t="s">
        <v>587</v>
      </c>
      <c r="K256" s="22" t="s">
        <v>490</v>
      </c>
      <c r="M256" s="2" t="s">
        <v>8</v>
      </c>
      <c r="N256" s="2">
        <v>0</v>
      </c>
      <c r="O256" s="2">
        <v>10</v>
      </c>
    </row>
    <row r="257" spans="1:15" x14ac:dyDescent="0.2">
      <c r="A257" s="24" t="s">
        <v>460</v>
      </c>
      <c r="B257" s="24" t="s">
        <v>461</v>
      </c>
      <c r="C257" s="24" t="s">
        <v>274</v>
      </c>
      <c r="D257" s="24" t="s">
        <v>559</v>
      </c>
      <c r="E257" s="24" t="s">
        <v>560</v>
      </c>
      <c r="F257" s="2">
        <v>19</v>
      </c>
      <c r="G257" s="21">
        <v>2017</v>
      </c>
      <c r="H257" t="str">
        <f t="shared" si="4"/>
        <v>P17W94</v>
      </c>
      <c r="I257" t="s">
        <v>558</v>
      </c>
      <c r="J257" s="4" t="s">
        <v>587</v>
      </c>
      <c r="K257" s="22" t="s">
        <v>490</v>
      </c>
      <c r="M257" s="2" t="s">
        <v>8</v>
      </c>
      <c r="N257" s="2">
        <v>0</v>
      </c>
      <c r="O257" s="2">
        <v>10</v>
      </c>
    </row>
    <row r="258" spans="1:15" x14ac:dyDescent="0.2">
      <c r="A258" s="24" t="s">
        <v>460</v>
      </c>
      <c r="B258" s="24" t="s">
        <v>461</v>
      </c>
      <c r="C258" s="24" t="s">
        <v>274</v>
      </c>
      <c r="D258" s="24" t="s">
        <v>559</v>
      </c>
      <c r="E258" s="24" t="s">
        <v>560</v>
      </c>
      <c r="F258" s="2">
        <v>20</v>
      </c>
      <c r="G258" s="21">
        <v>2018</v>
      </c>
      <c r="H258" t="str">
        <f t="shared" si="4"/>
        <v>P18W94</v>
      </c>
      <c r="I258" t="s">
        <v>558</v>
      </c>
      <c r="J258" s="4" t="s">
        <v>587</v>
      </c>
      <c r="K258" s="22" t="s">
        <v>490</v>
      </c>
      <c r="M258" s="2" t="s">
        <v>8</v>
      </c>
      <c r="N258" s="2">
        <v>0</v>
      </c>
      <c r="O258" s="2">
        <v>10</v>
      </c>
    </row>
    <row r="259" spans="1:15" x14ac:dyDescent="0.2">
      <c r="A259" s="24" t="s">
        <v>460</v>
      </c>
      <c r="B259" s="24" t="s">
        <v>461</v>
      </c>
      <c r="C259" s="24" t="s">
        <v>274</v>
      </c>
      <c r="D259" s="24" t="s">
        <v>559</v>
      </c>
      <c r="E259" s="24" t="s">
        <v>560</v>
      </c>
      <c r="F259" s="2">
        <v>21</v>
      </c>
      <c r="G259" s="21">
        <v>2019</v>
      </c>
      <c r="H259" t="str">
        <f t="shared" si="4"/>
        <v>P19W94</v>
      </c>
      <c r="I259" t="s">
        <v>558</v>
      </c>
      <c r="J259" s="4" t="s">
        <v>587</v>
      </c>
      <c r="K259" s="22" t="s">
        <v>490</v>
      </c>
      <c r="M259" s="2" t="s">
        <v>8</v>
      </c>
      <c r="N259" s="2">
        <v>0</v>
      </c>
      <c r="O259" s="2">
        <v>10</v>
      </c>
    </row>
    <row r="260" spans="1:15" x14ac:dyDescent="0.2">
      <c r="A260" s="23" t="s">
        <v>460</v>
      </c>
      <c r="B260" s="23" t="s">
        <v>461</v>
      </c>
      <c r="C260" s="23" t="s">
        <v>274</v>
      </c>
      <c r="D260" s="23" t="s">
        <v>562</v>
      </c>
      <c r="E260" s="23" t="s">
        <v>573</v>
      </c>
      <c r="F260" s="2">
        <v>3</v>
      </c>
      <c r="G260" s="21">
        <v>2001</v>
      </c>
      <c r="H260" t="str">
        <f t="shared" si="4"/>
        <v>P01W229</v>
      </c>
      <c r="I260" t="s">
        <v>561</v>
      </c>
      <c r="J260" s="4" t="s">
        <v>588</v>
      </c>
      <c r="K260" s="22" t="s">
        <v>490</v>
      </c>
      <c r="M260" s="2" t="s">
        <v>8</v>
      </c>
      <c r="N260" s="2">
        <v>0</v>
      </c>
      <c r="O260" s="2">
        <v>10</v>
      </c>
    </row>
    <row r="261" spans="1:15" x14ac:dyDescent="0.2">
      <c r="A261" s="23" t="s">
        <v>460</v>
      </c>
      <c r="B261" s="23" t="s">
        <v>461</v>
      </c>
      <c r="C261" s="23" t="s">
        <v>274</v>
      </c>
      <c r="D261" s="23" t="s">
        <v>562</v>
      </c>
      <c r="E261" s="23" t="s">
        <v>573</v>
      </c>
      <c r="F261" s="2">
        <v>4</v>
      </c>
      <c r="G261" s="21">
        <v>2002</v>
      </c>
      <c r="H261" t="str">
        <f t="shared" si="4"/>
        <v>P02W229</v>
      </c>
      <c r="I261" t="s">
        <v>561</v>
      </c>
      <c r="J261" s="4" t="s">
        <v>588</v>
      </c>
      <c r="K261" s="22" t="s">
        <v>490</v>
      </c>
      <c r="M261" s="2" t="s">
        <v>8</v>
      </c>
      <c r="N261" s="2">
        <v>0</v>
      </c>
      <c r="O261" s="2">
        <v>10</v>
      </c>
    </row>
    <row r="262" spans="1:15" x14ac:dyDescent="0.2">
      <c r="A262" s="23" t="s">
        <v>460</v>
      </c>
      <c r="B262" s="23" t="s">
        <v>461</v>
      </c>
      <c r="C262" s="23" t="s">
        <v>274</v>
      </c>
      <c r="D262" s="23" t="s">
        <v>562</v>
      </c>
      <c r="E262" s="23" t="s">
        <v>573</v>
      </c>
      <c r="F262" s="2">
        <v>5</v>
      </c>
      <c r="G262" s="21">
        <v>2003</v>
      </c>
      <c r="H262" t="str">
        <f t="shared" si="4"/>
        <v>P03W229</v>
      </c>
      <c r="I262" t="s">
        <v>561</v>
      </c>
      <c r="J262" s="4" t="s">
        <v>588</v>
      </c>
      <c r="K262" s="22" t="s">
        <v>490</v>
      </c>
      <c r="M262" s="2" t="s">
        <v>8</v>
      </c>
      <c r="N262" s="2">
        <v>0</v>
      </c>
      <c r="O262" s="2">
        <v>10</v>
      </c>
    </row>
    <row r="263" spans="1:15" x14ac:dyDescent="0.2">
      <c r="A263" s="23" t="s">
        <v>460</v>
      </c>
      <c r="B263" s="23" t="s">
        <v>461</v>
      </c>
      <c r="C263" s="23" t="s">
        <v>274</v>
      </c>
      <c r="D263" s="23" t="s">
        <v>562</v>
      </c>
      <c r="E263" s="23" t="s">
        <v>573</v>
      </c>
      <c r="F263" s="2">
        <v>6</v>
      </c>
      <c r="G263" s="21">
        <v>2004</v>
      </c>
      <c r="H263" t="str">
        <f t="shared" si="4"/>
        <v>P04W229</v>
      </c>
      <c r="I263" t="s">
        <v>561</v>
      </c>
      <c r="J263" s="4" t="s">
        <v>588</v>
      </c>
      <c r="K263" s="22" t="s">
        <v>490</v>
      </c>
      <c r="M263" s="2" t="s">
        <v>8</v>
      </c>
      <c r="N263" s="2">
        <v>0</v>
      </c>
      <c r="O263" s="2">
        <v>10</v>
      </c>
    </row>
    <row r="264" spans="1:15" x14ac:dyDescent="0.2">
      <c r="A264" s="23" t="s">
        <v>460</v>
      </c>
      <c r="B264" s="23" t="s">
        <v>461</v>
      </c>
      <c r="C264" s="23" t="s">
        <v>274</v>
      </c>
      <c r="D264" s="23" t="s">
        <v>562</v>
      </c>
      <c r="E264" s="23" t="s">
        <v>573</v>
      </c>
      <c r="F264" s="2">
        <v>7</v>
      </c>
      <c r="G264" s="21">
        <v>2005</v>
      </c>
      <c r="H264" t="str">
        <f t="shared" si="4"/>
        <v>P05W229</v>
      </c>
      <c r="I264" t="s">
        <v>561</v>
      </c>
      <c r="J264" s="4" t="s">
        <v>588</v>
      </c>
      <c r="K264" s="22" t="s">
        <v>490</v>
      </c>
      <c r="M264" s="2" t="s">
        <v>8</v>
      </c>
      <c r="N264" s="2">
        <v>0</v>
      </c>
      <c r="O264" s="2">
        <v>10</v>
      </c>
    </row>
    <row r="265" spans="1:15" x14ac:dyDescent="0.2">
      <c r="A265" s="23" t="s">
        <v>460</v>
      </c>
      <c r="B265" s="23" t="s">
        <v>461</v>
      </c>
      <c r="C265" s="23" t="s">
        <v>274</v>
      </c>
      <c r="D265" s="23" t="s">
        <v>562</v>
      </c>
      <c r="E265" s="23" t="s">
        <v>573</v>
      </c>
      <c r="F265" s="2">
        <v>8</v>
      </c>
      <c r="G265" s="21">
        <v>2006</v>
      </c>
      <c r="H265" t="str">
        <f t="shared" si="4"/>
        <v>P06W229</v>
      </c>
      <c r="I265" t="s">
        <v>561</v>
      </c>
      <c r="J265" s="4" t="s">
        <v>588</v>
      </c>
      <c r="K265" s="22" t="s">
        <v>490</v>
      </c>
      <c r="M265" s="2" t="s">
        <v>8</v>
      </c>
      <c r="N265" s="2">
        <v>0</v>
      </c>
      <c r="O265" s="2">
        <v>10</v>
      </c>
    </row>
    <row r="266" spans="1:15" x14ac:dyDescent="0.2">
      <c r="A266" s="23" t="s">
        <v>460</v>
      </c>
      <c r="B266" s="23" t="s">
        <v>461</v>
      </c>
      <c r="C266" s="23" t="s">
        <v>274</v>
      </c>
      <c r="D266" s="23" t="s">
        <v>562</v>
      </c>
      <c r="E266" s="23" t="s">
        <v>573</v>
      </c>
      <c r="F266" s="2">
        <v>9</v>
      </c>
      <c r="G266" s="21">
        <v>2007</v>
      </c>
      <c r="H266" t="str">
        <f t="shared" si="4"/>
        <v>P07W229</v>
      </c>
      <c r="I266" t="s">
        <v>561</v>
      </c>
      <c r="J266" s="4" t="s">
        <v>588</v>
      </c>
      <c r="K266" s="22" t="s">
        <v>490</v>
      </c>
      <c r="M266" s="2" t="s">
        <v>8</v>
      </c>
      <c r="N266" s="2">
        <v>0</v>
      </c>
      <c r="O266" s="2">
        <v>10</v>
      </c>
    </row>
    <row r="267" spans="1:15" x14ac:dyDescent="0.2">
      <c r="A267" s="23" t="s">
        <v>460</v>
      </c>
      <c r="B267" s="23" t="s">
        <v>461</v>
      </c>
      <c r="C267" s="23" t="s">
        <v>274</v>
      </c>
      <c r="D267" s="23" t="s">
        <v>562</v>
      </c>
      <c r="E267" s="23" t="s">
        <v>573</v>
      </c>
      <c r="F267" s="2">
        <v>10</v>
      </c>
      <c r="G267" s="21">
        <v>2008</v>
      </c>
      <c r="H267" t="str">
        <f t="shared" si="4"/>
        <v>P08W229</v>
      </c>
      <c r="I267" t="s">
        <v>561</v>
      </c>
      <c r="J267" s="4" t="s">
        <v>588</v>
      </c>
      <c r="K267" s="22" t="s">
        <v>490</v>
      </c>
      <c r="M267" s="2" t="s">
        <v>8</v>
      </c>
      <c r="N267" s="2">
        <v>0</v>
      </c>
      <c r="O267" s="2">
        <v>10</v>
      </c>
    </row>
    <row r="268" spans="1:15" x14ac:dyDescent="0.2">
      <c r="A268" s="23" t="s">
        <v>460</v>
      </c>
      <c r="B268" s="23" t="s">
        <v>461</v>
      </c>
      <c r="C268" s="23" t="s">
        <v>274</v>
      </c>
      <c r="D268" s="23" t="s">
        <v>562</v>
      </c>
      <c r="E268" s="23" t="s">
        <v>573</v>
      </c>
      <c r="F268" s="2">
        <v>11</v>
      </c>
      <c r="G268" s="21">
        <v>2009</v>
      </c>
      <c r="H268" t="str">
        <f t="shared" si="4"/>
        <v>P09W229</v>
      </c>
      <c r="I268" t="s">
        <v>561</v>
      </c>
      <c r="J268" s="4" t="s">
        <v>588</v>
      </c>
      <c r="K268" s="22" t="s">
        <v>490</v>
      </c>
      <c r="M268" s="2" t="s">
        <v>8</v>
      </c>
      <c r="N268" s="2">
        <v>0</v>
      </c>
      <c r="O268" s="2">
        <v>10</v>
      </c>
    </row>
    <row r="269" spans="1:15" x14ac:dyDescent="0.2">
      <c r="A269" s="23" t="s">
        <v>460</v>
      </c>
      <c r="B269" s="23" t="s">
        <v>461</v>
      </c>
      <c r="C269" s="23" t="s">
        <v>274</v>
      </c>
      <c r="D269" s="23" t="s">
        <v>562</v>
      </c>
      <c r="E269" s="23" t="s">
        <v>573</v>
      </c>
      <c r="F269" s="2">
        <v>12</v>
      </c>
      <c r="G269" s="21">
        <v>2010</v>
      </c>
      <c r="H269" t="str">
        <f t="shared" si="4"/>
        <v>P10W229</v>
      </c>
      <c r="I269" t="s">
        <v>561</v>
      </c>
      <c r="J269" s="4" t="s">
        <v>588</v>
      </c>
      <c r="K269" s="22" t="s">
        <v>490</v>
      </c>
      <c r="M269" s="2" t="s">
        <v>8</v>
      </c>
      <c r="N269" s="2">
        <v>0</v>
      </c>
      <c r="O269" s="2">
        <v>10</v>
      </c>
    </row>
    <row r="270" spans="1:15" x14ac:dyDescent="0.2">
      <c r="A270" s="23" t="s">
        <v>460</v>
      </c>
      <c r="B270" s="23" t="s">
        <v>461</v>
      </c>
      <c r="C270" s="23" t="s">
        <v>274</v>
      </c>
      <c r="D270" s="23" t="s">
        <v>562</v>
      </c>
      <c r="E270" s="23" t="s">
        <v>573</v>
      </c>
      <c r="F270" s="2">
        <v>13</v>
      </c>
      <c r="G270" s="21">
        <v>2011</v>
      </c>
      <c r="H270" t="str">
        <f t="shared" si="4"/>
        <v>P11W229</v>
      </c>
      <c r="I270" t="s">
        <v>561</v>
      </c>
      <c r="J270" s="4" t="s">
        <v>588</v>
      </c>
      <c r="K270" s="22" t="s">
        <v>490</v>
      </c>
      <c r="M270" s="2" t="s">
        <v>8</v>
      </c>
      <c r="N270" s="2">
        <v>0</v>
      </c>
      <c r="O270" s="2">
        <v>10</v>
      </c>
    </row>
    <row r="271" spans="1:15" x14ac:dyDescent="0.2">
      <c r="A271" s="23" t="s">
        <v>460</v>
      </c>
      <c r="B271" s="23" t="s">
        <v>461</v>
      </c>
      <c r="C271" s="23" t="s">
        <v>274</v>
      </c>
      <c r="D271" s="23" t="s">
        <v>562</v>
      </c>
      <c r="E271" s="23" t="s">
        <v>573</v>
      </c>
      <c r="F271" s="2">
        <v>14</v>
      </c>
      <c r="G271" s="21">
        <v>2012</v>
      </c>
      <c r="H271" t="str">
        <f t="shared" si="4"/>
        <v>P12W229</v>
      </c>
      <c r="I271" t="s">
        <v>561</v>
      </c>
      <c r="J271" s="4" t="s">
        <v>588</v>
      </c>
      <c r="K271" s="22" t="s">
        <v>490</v>
      </c>
      <c r="M271" s="2" t="s">
        <v>8</v>
      </c>
      <c r="N271" s="2">
        <v>0</v>
      </c>
      <c r="O271" s="2">
        <v>10</v>
      </c>
    </row>
    <row r="272" spans="1:15" x14ac:dyDescent="0.2">
      <c r="A272" s="23" t="s">
        <v>460</v>
      </c>
      <c r="B272" s="23" t="s">
        <v>461</v>
      </c>
      <c r="C272" s="23" t="s">
        <v>274</v>
      </c>
      <c r="D272" s="23" t="s">
        <v>562</v>
      </c>
      <c r="E272" s="23" t="s">
        <v>573</v>
      </c>
      <c r="F272" s="2">
        <v>15</v>
      </c>
      <c r="G272" s="21">
        <v>2013</v>
      </c>
      <c r="H272" t="str">
        <f t="shared" si="4"/>
        <v>P13W229</v>
      </c>
      <c r="I272" t="s">
        <v>561</v>
      </c>
      <c r="J272" s="4" t="s">
        <v>588</v>
      </c>
      <c r="K272" s="22" t="s">
        <v>490</v>
      </c>
      <c r="M272" s="2" t="s">
        <v>8</v>
      </c>
      <c r="N272" s="2">
        <v>0</v>
      </c>
      <c r="O272" s="2">
        <v>10</v>
      </c>
    </row>
    <row r="273" spans="1:15" x14ac:dyDescent="0.2">
      <c r="A273" s="23" t="s">
        <v>460</v>
      </c>
      <c r="B273" s="23" t="s">
        <v>461</v>
      </c>
      <c r="C273" s="23" t="s">
        <v>274</v>
      </c>
      <c r="D273" s="23" t="s">
        <v>562</v>
      </c>
      <c r="E273" s="23" t="s">
        <v>573</v>
      </c>
      <c r="F273" s="2">
        <v>16</v>
      </c>
      <c r="G273" s="21">
        <v>2014</v>
      </c>
      <c r="H273" t="str">
        <f t="shared" si="4"/>
        <v>P14W229</v>
      </c>
      <c r="I273" t="s">
        <v>561</v>
      </c>
      <c r="J273" s="4" t="s">
        <v>588</v>
      </c>
      <c r="K273" s="22" t="s">
        <v>490</v>
      </c>
      <c r="M273" s="2" t="s">
        <v>8</v>
      </c>
      <c r="N273" s="2">
        <v>0</v>
      </c>
      <c r="O273" s="2">
        <v>10</v>
      </c>
    </row>
    <row r="274" spans="1:15" x14ac:dyDescent="0.2">
      <c r="A274" s="23" t="s">
        <v>460</v>
      </c>
      <c r="B274" s="23" t="s">
        <v>461</v>
      </c>
      <c r="C274" s="23" t="s">
        <v>274</v>
      </c>
      <c r="D274" s="23" t="s">
        <v>562</v>
      </c>
      <c r="E274" s="23" t="s">
        <v>573</v>
      </c>
      <c r="F274" s="2">
        <v>17</v>
      </c>
      <c r="G274" s="21">
        <v>2015</v>
      </c>
      <c r="H274" t="str">
        <f t="shared" si="4"/>
        <v>P15W229</v>
      </c>
      <c r="I274" t="s">
        <v>561</v>
      </c>
      <c r="J274" s="4" t="s">
        <v>588</v>
      </c>
      <c r="K274" s="22" t="s">
        <v>490</v>
      </c>
      <c r="M274" s="2" t="s">
        <v>8</v>
      </c>
      <c r="N274" s="2">
        <v>0</v>
      </c>
      <c r="O274" s="2">
        <v>10</v>
      </c>
    </row>
    <row r="275" spans="1:15" x14ac:dyDescent="0.2">
      <c r="A275" s="23" t="s">
        <v>460</v>
      </c>
      <c r="B275" s="23" t="s">
        <v>461</v>
      </c>
      <c r="C275" s="23" t="s">
        <v>274</v>
      </c>
      <c r="D275" s="23" t="s">
        <v>562</v>
      </c>
      <c r="E275" s="23" t="s">
        <v>573</v>
      </c>
      <c r="F275" s="2">
        <v>18</v>
      </c>
      <c r="G275" s="21">
        <v>2016</v>
      </c>
      <c r="H275" t="str">
        <f t="shared" si="4"/>
        <v>P16W229</v>
      </c>
      <c r="I275" t="s">
        <v>561</v>
      </c>
      <c r="J275" s="4" t="s">
        <v>588</v>
      </c>
      <c r="K275" s="22" t="s">
        <v>490</v>
      </c>
      <c r="M275" s="2" t="s">
        <v>8</v>
      </c>
      <c r="N275" s="2">
        <v>0</v>
      </c>
      <c r="O275" s="2">
        <v>10</v>
      </c>
    </row>
    <row r="276" spans="1:15" x14ac:dyDescent="0.2">
      <c r="A276" s="23" t="s">
        <v>460</v>
      </c>
      <c r="B276" s="23" t="s">
        <v>461</v>
      </c>
      <c r="C276" s="23" t="s">
        <v>274</v>
      </c>
      <c r="D276" s="23" t="s">
        <v>562</v>
      </c>
      <c r="E276" s="23" t="s">
        <v>573</v>
      </c>
      <c r="F276" s="2">
        <v>19</v>
      </c>
      <c r="G276" s="21">
        <v>2017</v>
      </c>
      <c r="H276" t="str">
        <f t="shared" si="4"/>
        <v>P17W229</v>
      </c>
      <c r="I276" t="s">
        <v>561</v>
      </c>
      <c r="J276" s="4" t="s">
        <v>588</v>
      </c>
      <c r="K276" s="22" t="s">
        <v>490</v>
      </c>
      <c r="M276" s="2" t="s">
        <v>8</v>
      </c>
      <c r="N276" s="2">
        <v>0</v>
      </c>
      <c r="O276" s="2">
        <v>10</v>
      </c>
    </row>
    <row r="277" spans="1:15" x14ac:dyDescent="0.2">
      <c r="A277" s="23" t="s">
        <v>460</v>
      </c>
      <c r="B277" s="23" t="s">
        <v>461</v>
      </c>
      <c r="C277" s="23" t="s">
        <v>274</v>
      </c>
      <c r="D277" s="23" t="s">
        <v>562</v>
      </c>
      <c r="E277" s="23" t="s">
        <v>573</v>
      </c>
      <c r="F277" s="2">
        <v>20</v>
      </c>
      <c r="G277" s="21">
        <v>2018</v>
      </c>
      <c r="H277" t="str">
        <f t="shared" si="4"/>
        <v>P18W229</v>
      </c>
      <c r="I277" t="s">
        <v>561</v>
      </c>
      <c r="J277" s="4" t="s">
        <v>588</v>
      </c>
      <c r="K277" s="22" t="s">
        <v>490</v>
      </c>
      <c r="M277" s="2" t="s">
        <v>8</v>
      </c>
      <c r="N277" s="2">
        <v>0</v>
      </c>
      <c r="O277" s="2">
        <v>10</v>
      </c>
    </row>
    <row r="278" spans="1:15" x14ac:dyDescent="0.2">
      <c r="A278" s="23" t="s">
        <v>460</v>
      </c>
      <c r="B278" s="23" t="s">
        <v>461</v>
      </c>
      <c r="C278" s="23" t="s">
        <v>274</v>
      </c>
      <c r="D278" s="23" t="s">
        <v>562</v>
      </c>
      <c r="E278" s="23" t="s">
        <v>573</v>
      </c>
      <c r="F278" s="2">
        <v>21</v>
      </c>
      <c r="G278" s="21">
        <v>2019</v>
      </c>
      <c r="H278" t="str">
        <f t="shared" si="4"/>
        <v>P19W229</v>
      </c>
      <c r="I278" t="s">
        <v>561</v>
      </c>
      <c r="J278" s="4" t="s">
        <v>588</v>
      </c>
      <c r="K278" s="22" t="s">
        <v>490</v>
      </c>
      <c r="M278" s="2" t="s">
        <v>8</v>
      </c>
      <c r="N278" s="2">
        <v>0</v>
      </c>
      <c r="O278" s="2">
        <v>10</v>
      </c>
    </row>
    <row r="279" spans="1:15" x14ac:dyDescent="0.2">
      <c r="A279" s="24" t="s">
        <v>460</v>
      </c>
      <c r="B279" s="24" t="s">
        <v>461</v>
      </c>
      <c r="C279" s="24" t="s">
        <v>274</v>
      </c>
      <c r="D279" s="24" t="s">
        <v>563</v>
      </c>
      <c r="E279" s="24" t="s">
        <v>574</v>
      </c>
      <c r="F279" s="2">
        <v>3</v>
      </c>
      <c r="G279" s="21">
        <v>2001</v>
      </c>
      <c r="H279" t="str">
        <f t="shared" si="4"/>
        <v>P01W230</v>
      </c>
      <c r="I279" t="s">
        <v>564</v>
      </c>
      <c r="J279" s="4" t="s">
        <v>589</v>
      </c>
      <c r="K279" s="22" t="s">
        <v>490</v>
      </c>
      <c r="M279" s="2" t="s">
        <v>8</v>
      </c>
      <c r="N279" s="2">
        <v>0</v>
      </c>
      <c r="O279" s="2">
        <v>10</v>
      </c>
    </row>
    <row r="280" spans="1:15" x14ac:dyDescent="0.2">
      <c r="A280" s="24" t="s">
        <v>460</v>
      </c>
      <c r="B280" s="24" t="s">
        <v>461</v>
      </c>
      <c r="C280" s="24" t="s">
        <v>274</v>
      </c>
      <c r="D280" s="24" t="s">
        <v>563</v>
      </c>
      <c r="E280" s="24" t="s">
        <v>574</v>
      </c>
      <c r="F280" s="2">
        <v>4</v>
      </c>
      <c r="G280" s="21">
        <v>2002</v>
      </c>
      <c r="H280" t="str">
        <f t="shared" si="4"/>
        <v>P02W230</v>
      </c>
      <c r="I280" t="s">
        <v>564</v>
      </c>
      <c r="J280" s="4" t="s">
        <v>589</v>
      </c>
      <c r="K280" s="22" t="s">
        <v>490</v>
      </c>
      <c r="M280" s="2" t="s">
        <v>8</v>
      </c>
      <c r="N280" s="2">
        <v>0</v>
      </c>
      <c r="O280" s="2">
        <v>10</v>
      </c>
    </row>
    <row r="281" spans="1:15" x14ac:dyDescent="0.2">
      <c r="A281" s="24" t="s">
        <v>460</v>
      </c>
      <c r="B281" s="24" t="s">
        <v>461</v>
      </c>
      <c r="C281" s="24" t="s">
        <v>274</v>
      </c>
      <c r="D281" s="24" t="s">
        <v>563</v>
      </c>
      <c r="E281" s="24" t="s">
        <v>574</v>
      </c>
      <c r="F281" s="2">
        <v>5</v>
      </c>
      <c r="G281" s="21">
        <v>2003</v>
      </c>
      <c r="H281" t="str">
        <f t="shared" si="4"/>
        <v>P03W230</v>
      </c>
      <c r="I281" t="s">
        <v>564</v>
      </c>
      <c r="J281" s="4" t="s">
        <v>589</v>
      </c>
      <c r="K281" s="22" t="s">
        <v>490</v>
      </c>
      <c r="M281" s="2" t="s">
        <v>8</v>
      </c>
      <c r="N281" s="2">
        <v>0</v>
      </c>
      <c r="O281" s="2">
        <v>10</v>
      </c>
    </row>
    <row r="282" spans="1:15" x14ac:dyDescent="0.2">
      <c r="A282" s="24" t="s">
        <v>460</v>
      </c>
      <c r="B282" s="24" t="s">
        <v>461</v>
      </c>
      <c r="C282" s="24" t="s">
        <v>274</v>
      </c>
      <c r="D282" s="24" t="s">
        <v>563</v>
      </c>
      <c r="E282" s="24" t="s">
        <v>574</v>
      </c>
      <c r="F282" s="2">
        <v>6</v>
      </c>
      <c r="G282" s="21">
        <v>2004</v>
      </c>
      <c r="H282" t="str">
        <f t="shared" si="4"/>
        <v>P04W230</v>
      </c>
      <c r="I282" t="s">
        <v>564</v>
      </c>
      <c r="J282" s="4" t="s">
        <v>589</v>
      </c>
      <c r="K282" s="22" t="s">
        <v>490</v>
      </c>
      <c r="M282" s="2" t="s">
        <v>8</v>
      </c>
      <c r="N282" s="2">
        <v>0</v>
      </c>
      <c r="O282" s="2">
        <v>10</v>
      </c>
    </row>
    <row r="283" spans="1:15" x14ac:dyDescent="0.2">
      <c r="A283" s="24" t="s">
        <v>460</v>
      </c>
      <c r="B283" s="24" t="s">
        <v>461</v>
      </c>
      <c r="C283" s="24" t="s">
        <v>274</v>
      </c>
      <c r="D283" s="24" t="s">
        <v>563</v>
      </c>
      <c r="E283" s="24" t="s">
        <v>574</v>
      </c>
      <c r="F283" s="2">
        <v>7</v>
      </c>
      <c r="G283" s="21">
        <v>2005</v>
      </c>
      <c r="H283" t="str">
        <f t="shared" si="4"/>
        <v>P05W230</v>
      </c>
      <c r="I283" t="s">
        <v>564</v>
      </c>
      <c r="J283" s="4" t="s">
        <v>589</v>
      </c>
      <c r="K283" s="22" t="s">
        <v>490</v>
      </c>
      <c r="M283" s="2" t="s">
        <v>8</v>
      </c>
      <c r="N283" s="2">
        <v>0</v>
      </c>
      <c r="O283" s="2">
        <v>10</v>
      </c>
    </row>
    <row r="284" spans="1:15" x14ac:dyDescent="0.2">
      <c r="A284" s="24" t="s">
        <v>460</v>
      </c>
      <c r="B284" s="24" t="s">
        <v>461</v>
      </c>
      <c r="C284" s="24" t="s">
        <v>274</v>
      </c>
      <c r="D284" s="24" t="s">
        <v>563</v>
      </c>
      <c r="E284" s="24" t="s">
        <v>574</v>
      </c>
      <c r="F284" s="2">
        <v>8</v>
      </c>
      <c r="G284" s="21">
        <v>2006</v>
      </c>
      <c r="H284" t="str">
        <f t="shared" si="4"/>
        <v>P06W230</v>
      </c>
      <c r="I284" t="s">
        <v>564</v>
      </c>
      <c r="J284" s="4" t="s">
        <v>589</v>
      </c>
      <c r="K284" s="22" t="s">
        <v>490</v>
      </c>
      <c r="M284" s="2" t="s">
        <v>8</v>
      </c>
      <c r="N284" s="2">
        <v>0</v>
      </c>
      <c r="O284" s="2">
        <v>10</v>
      </c>
    </row>
    <row r="285" spans="1:15" x14ac:dyDescent="0.2">
      <c r="A285" s="24" t="s">
        <v>460</v>
      </c>
      <c r="B285" s="24" t="s">
        <v>461</v>
      </c>
      <c r="C285" s="24" t="s">
        <v>274</v>
      </c>
      <c r="D285" s="24" t="s">
        <v>563</v>
      </c>
      <c r="E285" s="24" t="s">
        <v>574</v>
      </c>
      <c r="F285" s="2">
        <v>9</v>
      </c>
      <c r="G285" s="21">
        <v>2007</v>
      </c>
      <c r="H285" t="str">
        <f t="shared" si="4"/>
        <v>P07W230</v>
      </c>
      <c r="I285" t="s">
        <v>564</v>
      </c>
      <c r="J285" s="4" t="s">
        <v>589</v>
      </c>
      <c r="K285" s="22" t="s">
        <v>490</v>
      </c>
      <c r="M285" s="2" t="s">
        <v>8</v>
      </c>
      <c r="N285" s="2">
        <v>0</v>
      </c>
      <c r="O285" s="2">
        <v>10</v>
      </c>
    </row>
    <row r="286" spans="1:15" x14ac:dyDescent="0.2">
      <c r="A286" s="24" t="s">
        <v>460</v>
      </c>
      <c r="B286" s="24" t="s">
        <v>461</v>
      </c>
      <c r="C286" s="24" t="s">
        <v>274</v>
      </c>
      <c r="D286" s="24" t="s">
        <v>563</v>
      </c>
      <c r="E286" s="24" t="s">
        <v>574</v>
      </c>
      <c r="F286" s="2">
        <v>10</v>
      </c>
      <c r="G286" s="21">
        <v>2008</v>
      </c>
      <c r="H286" t="str">
        <f t="shared" si="4"/>
        <v>P08W230</v>
      </c>
      <c r="I286" t="s">
        <v>564</v>
      </c>
      <c r="J286" s="4" t="s">
        <v>589</v>
      </c>
      <c r="K286" s="22" t="s">
        <v>490</v>
      </c>
      <c r="M286" s="2" t="s">
        <v>8</v>
      </c>
      <c r="N286" s="2">
        <v>0</v>
      </c>
      <c r="O286" s="2">
        <v>10</v>
      </c>
    </row>
    <row r="287" spans="1:15" x14ac:dyDescent="0.2">
      <c r="A287" s="24" t="s">
        <v>460</v>
      </c>
      <c r="B287" s="24" t="s">
        <v>461</v>
      </c>
      <c r="C287" s="24" t="s">
        <v>274</v>
      </c>
      <c r="D287" s="24" t="s">
        <v>563</v>
      </c>
      <c r="E287" s="24" t="s">
        <v>574</v>
      </c>
      <c r="F287" s="2">
        <v>11</v>
      </c>
      <c r="G287" s="21">
        <v>2009</v>
      </c>
      <c r="H287" t="str">
        <f t="shared" si="4"/>
        <v>P09W230</v>
      </c>
      <c r="I287" t="s">
        <v>564</v>
      </c>
      <c r="J287" s="4" t="s">
        <v>589</v>
      </c>
      <c r="K287" s="22" t="s">
        <v>490</v>
      </c>
      <c r="M287" s="2" t="s">
        <v>8</v>
      </c>
      <c r="N287" s="2">
        <v>0</v>
      </c>
      <c r="O287" s="2">
        <v>10</v>
      </c>
    </row>
    <row r="288" spans="1:15" x14ac:dyDescent="0.2">
      <c r="A288" s="24" t="s">
        <v>460</v>
      </c>
      <c r="B288" s="24" t="s">
        <v>461</v>
      </c>
      <c r="C288" s="24" t="s">
        <v>274</v>
      </c>
      <c r="D288" s="24" t="s">
        <v>563</v>
      </c>
      <c r="E288" s="24" t="s">
        <v>574</v>
      </c>
      <c r="F288" s="2">
        <v>12</v>
      </c>
      <c r="G288" s="21">
        <v>2010</v>
      </c>
      <c r="H288" t="str">
        <f t="shared" si="4"/>
        <v>P10W230</v>
      </c>
      <c r="I288" t="s">
        <v>564</v>
      </c>
      <c r="J288" s="4" t="s">
        <v>589</v>
      </c>
      <c r="K288" s="22" t="s">
        <v>490</v>
      </c>
      <c r="M288" s="2" t="s">
        <v>8</v>
      </c>
      <c r="N288" s="2">
        <v>0</v>
      </c>
      <c r="O288" s="2">
        <v>10</v>
      </c>
    </row>
    <row r="289" spans="1:15" x14ac:dyDescent="0.2">
      <c r="A289" s="24" t="s">
        <v>460</v>
      </c>
      <c r="B289" s="24" t="s">
        <v>461</v>
      </c>
      <c r="C289" s="24" t="s">
        <v>274</v>
      </c>
      <c r="D289" s="24" t="s">
        <v>563</v>
      </c>
      <c r="E289" s="24" t="s">
        <v>574</v>
      </c>
      <c r="F289" s="2">
        <v>13</v>
      </c>
      <c r="G289" s="21">
        <v>2011</v>
      </c>
      <c r="H289" t="str">
        <f t="shared" si="4"/>
        <v>P11W230</v>
      </c>
      <c r="I289" t="s">
        <v>564</v>
      </c>
      <c r="J289" s="4" t="s">
        <v>589</v>
      </c>
      <c r="K289" s="22" t="s">
        <v>490</v>
      </c>
      <c r="M289" s="2" t="s">
        <v>8</v>
      </c>
      <c r="N289" s="2">
        <v>0</v>
      </c>
      <c r="O289" s="2">
        <v>10</v>
      </c>
    </row>
    <row r="290" spans="1:15" x14ac:dyDescent="0.2">
      <c r="A290" s="24" t="s">
        <v>460</v>
      </c>
      <c r="B290" s="24" t="s">
        <v>461</v>
      </c>
      <c r="C290" s="24" t="s">
        <v>274</v>
      </c>
      <c r="D290" s="24" t="s">
        <v>563</v>
      </c>
      <c r="E290" s="24" t="s">
        <v>574</v>
      </c>
      <c r="F290" s="2">
        <v>14</v>
      </c>
      <c r="G290" s="21">
        <v>2012</v>
      </c>
      <c r="H290" t="str">
        <f t="shared" si="4"/>
        <v>P12W230</v>
      </c>
      <c r="I290" t="s">
        <v>564</v>
      </c>
      <c r="J290" s="4" t="s">
        <v>589</v>
      </c>
      <c r="K290" s="22" t="s">
        <v>490</v>
      </c>
      <c r="M290" s="2" t="s">
        <v>8</v>
      </c>
      <c r="N290" s="2">
        <v>0</v>
      </c>
      <c r="O290" s="2">
        <v>10</v>
      </c>
    </row>
    <row r="291" spans="1:15" x14ac:dyDescent="0.2">
      <c r="A291" s="24" t="s">
        <v>460</v>
      </c>
      <c r="B291" s="24" t="s">
        <v>461</v>
      </c>
      <c r="C291" s="24" t="s">
        <v>274</v>
      </c>
      <c r="D291" s="24" t="s">
        <v>563</v>
      </c>
      <c r="E291" s="24" t="s">
        <v>574</v>
      </c>
      <c r="F291" s="2">
        <v>15</v>
      </c>
      <c r="G291" s="21">
        <v>2013</v>
      </c>
      <c r="H291" t="str">
        <f t="shared" si="4"/>
        <v>P13W230</v>
      </c>
      <c r="I291" t="s">
        <v>564</v>
      </c>
      <c r="J291" s="4" t="s">
        <v>589</v>
      </c>
      <c r="K291" s="22" t="s">
        <v>490</v>
      </c>
      <c r="M291" s="2" t="s">
        <v>8</v>
      </c>
      <c r="N291" s="2">
        <v>0</v>
      </c>
      <c r="O291" s="2">
        <v>10</v>
      </c>
    </row>
    <row r="292" spans="1:15" x14ac:dyDescent="0.2">
      <c r="A292" s="24" t="s">
        <v>460</v>
      </c>
      <c r="B292" s="24" t="s">
        <v>461</v>
      </c>
      <c r="C292" s="24" t="s">
        <v>274</v>
      </c>
      <c r="D292" s="24" t="s">
        <v>563</v>
      </c>
      <c r="E292" s="24" t="s">
        <v>574</v>
      </c>
      <c r="F292" s="2">
        <v>16</v>
      </c>
      <c r="G292" s="21">
        <v>2014</v>
      </c>
      <c r="H292" t="str">
        <f t="shared" si="4"/>
        <v>P14W230</v>
      </c>
      <c r="I292" t="s">
        <v>564</v>
      </c>
      <c r="J292" s="4" t="s">
        <v>589</v>
      </c>
      <c r="K292" s="22" t="s">
        <v>490</v>
      </c>
      <c r="M292" s="2" t="s">
        <v>8</v>
      </c>
      <c r="N292" s="2">
        <v>0</v>
      </c>
      <c r="O292" s="2">
        <v>10</v>
      </c>
    </row>
    <row r="293" spans="1:15" x14ac:dyDescent="0.2">
      <c r="A293" s="24" t="s">
        <v>460</v>
      </c>
      <c r="B293" s="24" t="s">
        <v>461</v>
      </c>
      <c r="C293" s="24" t="s">
        <v>274</v>
      </c>
      <c r="D293" s="24" t="s">
        <v>563</v>
      </c>
      <c r="E293" s="24" t="s">
        <v>574</v>
      </c>
      <c r="F293" s="2">
        <v>17</v>
      </c>
      <c r="G293" s="21">
        <v>2015</v>
      </c>
      <c r="H293" t="str">
        <f t="shared" si="4"/>
        <v>P15W230</v>
      </c>
      <c r="I293" t="s">
        <v>564</v>
      </c>
      <c r="J293" s="4" t="s">
        <v>589</v>
      </c>
      <c r="K293" s="22" t="s">
        <v>490</v>
      </c>
      <c r="M293" s="2" t="s">
        <v>8</v>
      </c>
      <c r="N293" s="2">
        <v>0</v>
      </c>
      <c r="O293" s="2">
        <v>10</v>
      </c>
    </row>
    <row r="294" spans="1:15" x14ac:dyDescent="0.2">
      <c r="A294" s="24" t="s">
        <v>460</v>
      </c>
      <c r="B294" s="24" t="s">
        <v>461</v>
      </c>
      <c r="C294" s="24" t="s">
        <v>274</v>
      </c>
      <c r="D294" s="24" t="s">
        <v>563</v>
      </c>
      <c r="E294" s="24" t="s">
        <v>574</v>
      </c>
      <c r="F294" s="2">
        <v>18</v>
      </c>
      <c r="G294" s="21">
        <v>2016</v>
      </c>
      <c r="H294" t="str">
        <f t="shared" si="4"/>
        <v>P16W230</v>
      </c>
      <c r="I294" t="s">
        <v>564</v>
      </c>
      <c r="J294" s="4" t="s">
        <v>589</v>
      </c>
      <c r="K294" s="22" t="s">
        <v>490</v>
      </c>
      <c r="M294" s="2" t="s">
        <v>8</v>
      </c>
      <c r="N294" s="2">
        <v>0</v>
      </c>
      <c r="O294" s="2">
        <v>10</v>
      </c>
    </row>
    <row r="295" spans="1:15" x14ac:dyDescent="0.2">
      <c r="A295" s="24" t="s">
        <v>460</v>
      </c>
      <c r="B295" s="24" t="s">
        <v>461</v>
      </c>
      <c r="C295" s="24" t="s">
        <v>274</v>
      </c>
      <c r="D295" s="24" t="s">
        <v>563</v>
      </c>
      <c r="E295" s="24" t="s">
        <v>574</v>
      </c>
      <c r="F295" s="2">
        <v>19</v>
      </c>
      <c r="G295" s="21">
        <v>2017</v>
      </c>
      <c r="H295" t="str">
        <f t="shared" si="4"/>
        <v>P17W230</v>
      </c>
      <c r="I295" t="s">
        <v>564</v>
      </c>
      <c r="J295" s="4" t="s">
        <v>589</v>
      </c>
      <c r="K295" s="22" t="s">
        <v>490</v>
      </c>
      <c r="M295" s="2" t="s">
        <v>8</v>
      </c>
      <c r="N295" s="2">
        <v>0</v>
      </c>
      <c r="O295" s="2">
        <v>10</v>
      </c>
    </row>
    <row r="296" spans="1:15" x14ac:dyDescent="0.2">
      <c r="A296" s="24" t="s">
        <v>460</v>
      </c>
      <c r="B296" s="24" t="s">
        <v>461</v>
      </c>
      <c r="C296" s="24" t="s">
        <v>274</v>
      </c>
      <c r="D296" s="24" t="s">
        <v>563</v>
      </c>
      <c r="E296" s="24" t="s">
        <v>574</v>
      </c>
      <c r="F296" s="2">
        <v>20</v>
      </c>
      <c r="G296" s="21">
        <v>2018</v>
      </c>
      <c r="H296" t="str">
        <f t="shared" si="4"/>
        <v>P18W230</v>
      </c>
      <c r="I296" t="s">
        <v>564</v>
      </c>
      <c r="J296" s="4" t="s">
        <v>589</v>
      </c>
      <c r="K296" s="22" t="s">
        <v>490</v>
      </c>
      <c r="M296" s="2" t="s">
        <v>8</v>
      </c>
      <c r="N296" s="2">
        <v>0</v>
      </c>
      <c r="O296" s="2">
        <v>10</v>
      </c>
    </row>
    <row r="297" spans="1:15" x14ac:dyDescent="0.2">
      <c r="A297" s="24" t="s">
        <v>460</v>
      </c>
      <c r="B297" s="24" t="s">
        <v>461</v>
      </c>
      <c r="C297" s="24" t="s">
        <v>274</v>
      </c>
      <c r="D297" s="24" t="s">
        <v>563</v>
      </c>
      <c r="E297" s="24" t="s">
        <v>574</v>
      </c>
      <c r="F297" s="2">
        <v>21</v>
      </c>
      <c r="G297" s="21">
        <v>2019</v>
      </c>
      <c r="H297" t="str">
        <f t="shared" si="4"/>
        <v>P19W230</v>
      </c>
      <c r="I297" t="s">
        <v>564</v>
      </c>
      <c r="J297" s="4" t="s">
        <v>589</v>
      </c>
      <c r="K297" s="22" t="s">
        <v>490</v>
      </c>
      <c r="M297" s="2" t="s">
        <v>8</v>
      </c>
      <c r="N297" s="2">
        <v>0</v>
      </c>
      <c r="O297" s="2">
        <v>10</v>
      </c>
    </row>
    <row r="298" spans="1:15" x14ac:dyDescent="0.2">
      <c r="A298" s="23" t="s">
        <v>460</v>
      </c>
      <c r="B298" s="23" t="s">
        <v>461</v>
      </c>
      <c r="C298" s="23" t="s">
        <v>274</v>
      </c>
      <c r="D298" s="23" t="s">
        <v>362</v>
      </c>
      <c r="E298" s="23" t="s">
        <v>575</v>
      </c>
      <c r="F298" s="2">
        <v>3</v>
      </c>
      <c r="G298" s="21">
        <v>2001</v>
      </c>
      <c r="H298" t="str">
        <f t="shared" si="4"/>
        <v>P01W228</v>
      </c>
      <c r="I298" t="s">
        <v>565</v>
      </c>
      <c r="J298" s="4" t="s">
        <v>590</v>
      </c>
      <c r="K298" s="22" t="s">
        <v>490</v>
      </c>
      <c r="M298" s="2" t="s">
        <v>8</v>
      </c>
      <c r="N298" s="2">
        <v>0</v>
      </c>
      <c r="O298" s="2">
        <v>10</v>
      </c>
    </row>
    <row r="299" spans="1:15" x14ac:dyDescent="0.2">
      <c r="A299" s="23" t="s">
        <v>460</v>
      </c>
      <c r="B299" s="23" t="s">
        <v>461</v>
      </c>
      <c r="C299" s="23" t="s">
        <v>274</v>
      </c>
      <c r="D299" s="23" t="s">
        <v>362</v>
      </c>
      <c r="E299" s="23" t="s">
        <v>575</v>
      </c>
      <c r="F299" s="2">
        <v>4</v>
      </c>
      <c r="G299" s="21">
        <v>2002</v>
      </c>
      <c r="H299" t="str">
        <f t="shared" si="4"/>
        <v>P02W228</v>
      </c>
      <c r="I299" t="s">
        <v>565</v>
      </c>
      <c r="J299" s="4" t="s">
        <v>590</v>
      </c>
      <c r="K299" s="22" t="s">
        <v>490</v>
      </c>
      <c r="M299" s="2" t="s">
        <v>8</v>
      </c>
      <c r="N299" s="2">
        <v>0</v>
      </c>
      <c r="O299" s="2">
        <v>10</v>
      </c>
    </row>
    <row r="300" spans="1:15" x14ac:dyDescent="0.2">
      <c r="A300" s="23" t="s">
        <v>460</v>
      </c>
      <c r="B300" s="23" t="s">
        <v>461</v>
      </c>
      <c r="C300" s="23" t="s">
        <v>274</v>
      </c>
      <c r="D300" s="23" t="s">
        <v>362</v>
      </c>
      <c r="E300" s="23" t="s">
        <v>575</v>
      </c>
      <c r="F300" s="2">
        <v>5</v>
      </c>
      <c r="G300" s="21">
        <v>2003</v>
      </c>
      <c r="H300" t="str">
        <f t="shared" si="4"/>
        <v>P03W228</v>
      </c>
      <c r="I300" t="s">
        <v>565</v>
      </c>
      <c r="J300" s="4" t="s">
        <v>590</v>
      </c>
      <c r="K300" s="22" t="s">
        <v>490</v>
      </c>
      <c r="M300" s="2" t="s">
        <v>8</v>
      </c>
      <c r="N300" s="2">
        <v>0</v>
      </c>
      <c r="O300" s="2">
        <v>10</v>
      </c>
    </row>
    <row r="301" spans="1:15" x14ac:dyDescent="0.2">
      <c r="A301" s="23" t="s">
        <v>460</v>
      </c>
      <c r="B301" s="23" t="s">
        <v>461</v>
      </c>
      <c r="C301" s="23" t="s">
        <v>274</v>
      </c>
      <c r="D301" s="23" t="s">
        <v>362</v>
      </c>
      <c r="E301" s="23" t="s">
        <v>575</v>
      </c>
      <c r="F301" s="2">
        <v>6</v>
      </c>
      <c r="G301" s="21">
        <v>2004</v>
      </c>
      <c r="H301" t="str">
        <f t="shared" si="4"/>
        <v>P04W228</v>
      </c>
      <c r="I301" t="s">
        <v>565</v>
      </c>
      <c r="J301" s="4" t="s">
        <v>590</v>
      </c>
      <c r="K301" s="22" t="s">
        <v>490</v>
      </c>
      <c r="M301" s="2" t="s">
        <v>8</v>
      </c>
      <c r="N301" s="2">
        <v>0</v>
      </c>
      <c r="O301" s="2">
        <v>10</v>
      </c>
    </row>
    <row r="302" spans="1:15" x14ac:dyDescent="0.2">
      <c r="A302" s="23" t="s">
        <v>460</v>
      </c>
      <c r="B302" s="23" t="s">
        <v>461</v>
      </c>
      <c r="C302" s="23" t="s">
        <v>274</v>
      </c>
      <c r="D302" s="23" t="s">
        <v>362</v>
      </c>
      <c r="E302" s="23" t="s">
        <v>575</v>
      </c>
      <c r="F302" s="2">
        <v>7</v>
      </c>
      <c r="G302" s="21">
        <v>2005</v>
      </c>
      <c r="H302" t="str">
        <f t="shared" si="4"/>
        <v>P05W228</v>
      </c>
      <c r="I302" t="s">
        <v>565</v>
      </c>
      <c r="J302" s="4" t="s">
        <v>590</v>
      </c>
      <c r="K302" s="22" t="s">
        <v>490</v>
      </c>
      <c r="M302" s="2" t="s">
        <v>8</v>
      </c>
      <c r="N302" s="2">
        <v>0</v>
      </c>
      <c r="O302" s="2">
        <v>10</v>
      </c>
    </row>
    <row r="303" spans="1:15" x14ac:dyDescent="0.2">
      <c r="A303" s="23" t="s">
        <v>460</v>
      </c>
      <c r="B303" s="23" t="s">
        <v>461</v>
      </c>
      <c r="C303" s="23" t="s">
        <v>274</v>
      </c>
      <c r="D303" s="23" t="s">
        <v>362</v>
      </c>
      <c r="E303" s="23" t="s">
        <v>575</v>
      </c>
      <c r="F303" s="2">
        <v>8</v>
      </c>
      <c r="G303" s="21">
        <v>2006</v>
      </c>
      <c r="H303" t="str">
        <f t="shared" si="4"/>
        <v>P06W228</v>
      </c>
      <c r="I303" t="s">
        <v>565</v>
      </c>
      <c r="J303" s="4" t="s">
        <v>590</v>
      </c>
      <c r="K303" s="22" t="s">
        <v>490</v>
      </c>
      <c r="M303" s="2" t="s">
        <v>8</v>
      </c>
      <c r="N303" s="2">
        <v>0</v>
      </c>
      <c r="O303" s="2">
        <v>10</v>
      </c>
    </row>
    <row r="304" spans="1:15" x14ac:dyDescent="0.2">
      <c r="A304" s="23" t="s">
        <v>460</v>
      </c>
      <c r="B304" s="23" t="s">
        <v>461</v>
      </c>
      <c r="C304" s="23" t="s">
        <v>274</v>
      </c>
      <c r="D304" s="23" t="s">
        <v>362</v>
      </c>
      <c r="E304" s="23" t="s">
        <v>575</v>
      </c>
      <c r="F304" s="2">
        <v>9</v>
      </c>
      <c r="G304" s="21">
        <v>2007</v>
      </c>
      <c r="H304" t="str">
        <f t="shared" si="4"/>
        <v>P07W228</v>
      </c>
      <c r="I304" t="s">
        <v>565</v>
      </c>
      <c r="J304" s="4" t="s">
        <v>590</v>
      </c>
      <c r="K304" s="22" t="s">
        <v>490</v>
      </c>
      <c r="M304" s="2" t="s">
        <v>8</v>
      </c>
      <c r="N304" s="2">
        <v>0</v>
      </c>
      <c r="O304" s="2">
        <v>10</v>
      </c>
    </row>
    <row r="305" spans="1:15" x14ac:dyDescent="0.2">
      <c r="A305" s="23" t="s">
        <v>460</v>
      </c>
      <c r="B305" s="23" t="s">
        <v>461</v>
      </c>
      <c r="C305" s="23" t="s">
        <v>274</v>
      </c>
      <c r="D305" s="23" t="s">
        <v>362</v>
      </c>
      <c r="E305" s="23" t="s">
        <v>575</v>
      </c>
      <c r="F305" s="2">
        <v>10</v>
      </c>
      <c r="G305" s="21">
        <v>2008</v>
      </c>
      <c r="H305" t="str">
        <f t="shared" si="4"/>
        <v>P08W228</v>
      </c>
      <c r="I305" t="s">
        <v>565</v>
      </c>
      <c r="J305" s="4" t="s">
        <v>590</v>
      </c>
      <c r="K305" s="22" t="s">
        <v>490</v>
      </c>
      <c r="M305" s="2" t="s">
        <v>8</v>
      </c>
      <c r="N305" s="2">
        <v>0</v>
      </c>
      <c r="O305" s="2">
        <v>10</v>
      </c>
    </row>
    <row r="306" spans="1:15" x14ac:dyDescent="0.2">
      <c r="A306" s="23" t="s">
        <v>460</v>
      </c>
      <c r="B306" s="23" t="s">
        <v>461</v>
      </c>
      <c r="C306" s="23" t="s">
        <v>274</v>
      </c>
      <c r="D306" s="23" t="s">
        <v>362</v>
      </c>
      <c r="E306" s="23" t="s">
        <v>575</v>
      </c>
      <c r="F306" s="2">
        <v>11</v>
      </c>
      <c r="G306" s="21">
        <v>2009</v>
      </c>
      <c r="H306" t="str">
        <f t="shared" si="4"/>
        <v>P09W228</v>
      </c>
      <c r="I306" t="s">
        <v>565</v>
      </c>
      <c r="J306" s="4" t="s">
        <v>590</v>
      </c>
      <c r="K306" s="22" t="s">
        <v>490</v>
      </c>
      <c r="M306" s="2" t="s">
        <v>8</v>
      </c>
      <c r="N306" s="2">
        <v>0</v>
      </c>
      <c r="O306" s="2">
        <v>10</v>
      </c>
    </row>
    <row r="307" spans="1:15" x14ac:dyDescent="0.2">
      <c r="A307" s="23" t="s">
        <v>460</v>
      </c>
      <c r="B307" s="23" t="s">
        <v>461</v>
      </c>
      <c r="C307" s="23" t="s">
        <v>274</v>
      </c>
      <c r="D307" s="23" t="s">
        <v>362</v>
      </c>
      <c r="E307" s="23" t="s">
        <v>575</v>
      </c>
      <c r="F307" s="2">
        <v>12</v>
      </c>
      <c r="G307" s="21">
        <v>2010</v>
      </c>
      <c r="H307" t="str">
        <f t="shared" si="4"/>
        <v>P10W228</v>
      </c>
      <c r="I307" t="s">
        <v>565</v>
      </c>
      <c r="J307" s="4" t="s">
        <v>590</v>
      </c>
      <c r="K307" s="22" t="s">
        <v>490</v>
      </c>
      <c r="M307" s="2" t="s">
        <v>8</v>
      </c>
      <c r="N307" s="2">
        <v>0</v>
      </c>
      <c r="O307" s="2">
        <v>10</v>
      </c>
    </row>
    <row r="308" spans="1:15" x14ac:dyDescent="0.2">
      <c r="A308" s="23" t="s">
        <v>460</v>
      </c>
      <c r="B308" s="23" t="s">
        <v>461</v>
      </c>
      <c r="C308" s="23" t="s">
        <v>274</v>
      </c>
      <c r="D308" s="23" t="s">
        <v>362</v>
      </c>
      <c r="E308" s="23" t="s">
        <v>575</v>
      </c>
      <c r="F308" s="2">
        <v>13</v>
      </c>
      <c r="G308" s="21">
        <v>2011</v>
      </c>
      <c r="H308" t="str">
        <f t="shared" si="4"/>
        <v>P11W228</v>
      </c>
      <c r="I308" t="s">
        <v>565</v>
      </c>
      <c r="J308" s="4" t="s">
        <v>590</v>
      </c>
      <c r="K308" s="22" t="s">
        <v>490</v>
      </c>
      <c r="M308" s="2" t="s">
        <v>8</v>
      </c>
      <c r="N308" s="2">
        <v>0</v>
      </c>
      <c r="O308" s="2">
        <v>10</v>
      </c>
    </row>
    <row r="309" spans="1:15" x14ac:dyDescent="0.2">
      <c r="A309" s="23" t="s">
        <v>460</v>
      </c>
      <c r="B309" s="23" t="s">
        <v>461</v>
      </c>
      <c r="C309" s="23" t="s">
        <v>274</v>
      </c>
      <c r="D309" s="23" t="s">
        <v>362</v>
      </c>
      <c r="E309" s="23" t="s">
        <v>575</v>
      </c>
      <c r="F309" s="2">
        <v>14</v>
      </c>
      <c r="G309" s="21">
        <v>2012</v>
      </c>
      <c r="H309" t="str">
        <f t="shared" si="4"/>
        <v>P12W228</v>
      </c>
      <c r="I309" t="s">
        <v>565</v>
      </c>
      <c r="J309" s="4" t="s">
        <v>590</v>
      </c>
      <c r="K309" s="22" t="s">
        <v>490</v>
      </c>
      <c r="M309" s="2" t="s">
        <v>8</v>
      </c>
      <c r="N309" s="2">
        <v>0</v>
      </c>
      <c r="O309" s="2">
        <v>10</v>
      </c>
    </row>
    <row r="310" spans="1:15" x14ac:dyDescent="0.2">
      <c r="A310" s="23" t="s">
        <v>460</v>
      </c>
      <c r="B310" s="23" t="s">
        <v>461</v>
      </c>
      <c r="C310" s="23" t="s">
        <v>274</v>
      </c>
      <c r="D310" s="23" t="s">
        <v>362</v>
      </c>
      <c r="E310" s="23" t="s">
        <v>575</v>
      </c>
      <c r="F310" s="2">
        <v>15</v>
      </c>
      <c r="G310" s="21">
        <v>2013</v>
      </c>
      <c r="H310" t="str">
        <f t="shared" si="4"/>
        <v>P13W228</v>
      </c>
      <c r="I310" t="s">
        <v>565</v>
      </c>
      <c r="J310" s="4" t="s">
        <v>590</v>
      </c>
      <c r="K310" s="22" t="s">
        <v>490</v>
      </c>
      <c r="M310" s="2" t="s">
        <v>8</v>
      </c>
      <c r="N310" s="2">
        <v>0</v>
      </c>
      <c r="O310" s="2">
        <v>10</v>
      </c>
    </row>
    <row r="311" spans="1:15" x14ac:dyDescent="0.2">
      <c r="A311" s="23" t="s">
        <v>460</v>
      </c>
      <c r="B311" s="23" t="s">
        <v>461</v>
      </c>
      <c r="C311" s="23" t="s">
        <v>274</v>
      </c>
      <c r="D311" s="23" t="s">
        <v>362</v>
      </c>
      <c r="E311" s="23" t="s">
        <v>575</v>
      </c>
      <c r="F311" s="2">
        <v>16</v>
      </c>
      <c r="G311" s="21">
        <v>2014</v>
      </c>
      <c r="H311" t="str">
        <f t="shared" si="4"/>
        <v>P14W228</v>
      </c>
      <c r="I311" t="s">
        <v>565</v>
      </c>
      <c r="J311" s="4" t="s">
        <v>590</v>
      </c>
      <c r="K311" s="22" t="s">
        <v>490</v>
      </c>
      <c r="M311" s="2" t="s">
        <v>8</v>
      </c>
      <c r="N311" s="2">
        <v>0</v>
      </c>
      <c r="O311" s="2">
        <v>10</v>
      </c>
    </row>
    <row r="312" spans="1:15" x14ac:dyDescent="0.2">
      <c r="A312" s="23" t="s">
        <v>460</v>
      </c>
      <c r="B312" s="23" t="s">
        <v>461</v>
      </c>
      <c r="C312" s="23" t="s">
        <v>274</v>
      </c>
      <c r="D312" s="23" t="s">
        <v>362</v>
      </c>
      <c r="E312" s="23" t="s">
        <v>575</v>
      </c>
      <c r="F312" s="2">
        <v>17</v>
      </c>
      <c r="G312" s="21">
        <v>2015</v>
      </c>
      <c r="H312" t="str">
        <f t="shared" si="4"/>
        <v>P15W228</v>
      </c>
      <c r="I312" t="s">
        <v>565</v>
      </c>
      <c r="J312" s="4" t="s">
        <v>590</v>
      </c>
      <c r="K312" s="22" t="s">
        <v>490</v>
      </c>
      <c r="M312" s="2" t="s">
        <v>8</v>
      </c>
      <c r="N312" s="2">
        <v>0</v>
      </c>
      <c r="O312" s="2">
        <v>10</v>
      </c>
    </row>
    <row r="313" spans="1:15" x14ac:dyDescent="0.2">
      <c r="A313" s="23" t="s">
        <v>460</v>
      </c>
      <c r="B313" s="23" t="s">
        <v>461</v>
      </c>
      <c r="C313" s="23" t="s">
        <v>274</v>
      </c>
      <c r="D313" s="23" t="s">
        <v>362</v>
      </c>
      <c r="E313" s="23" t="s">
        <v>575</v>
      </c>
      <c r="F313" s="2">
        <v>18</v>
      </c>
      <c r="G313" s="21">
        <v>2016</v>
      </c>
      <c r="H313" t="str">
        <f t="shared" si="4"/>
        <v>P16W228</v>
      </c>
      <c r="I313" t="s">
        <v>565</v>
      </c>
      <c r="J313" s="4" t="s">
        <v>590</v>
      </c>
      <c r="K313" s="22" t="s">
        <v>490</v>
      </c>
      <c r="M313" s="2" t="s">
        <v>8</v>
      </c>
      <c r="N313" s="2">
        <v>0</v>
      </c>
      <c r="O313" s="2">
        <v>10</v>
      </c>
    </row>
    <row r="314" spans="1:15" x14ac:dyDescent="0.2">
      <c r="A314" s="23" t="s">
        <v>460</v>
      </c>
      <c r="B314" s="23" t="s">
        <v>461</v>
      </c>
      <c r="C314" s="23" t="s">
        <v>274</v>
      </c>
      <c r="D314" s="23" t="s">
        <v>362</v>
      </c>
      <c r="E314" s="23" t="s">
        <v>575</v>
      </c>
      <c r="F314" s="2">
        <v>19</v>
      </c>
      <c r="G314" s="21">
        <v>2017</v>
      </c>
      <c r="H314" t="str">
        <f t="shared" si="4"/>
        <v>P17W228</v>
      </c>
      <c r="I314" t="s">
        <v>565</v>
      </c>
      <c r="J314" s="4" t="s">
        <v>590</v>
      </c>
      <c r="K314" s="22" t="s">
        <v>490</v>
      </c>
      <c r="M314" s="2" t="s">
        <v>8</v>
      </c>
      <c r="N314" s="2">
        <v>0</v>
      </c>
      <c r="O314" s="2">
        <v>10</v>
      </c>
    </row>
    <row r="315" spans="1:15" x14ac:dyDescent="0.2">
      <c r="A315" s="23" t="s">
        <v>460</v>
      </c>
      <c r="B315" s="23" t="s">
        <v>461</v>
      </c>
      <c r="C315" s="23" t="s">
        <v>274</v>
      </c>
      <c r="D315" s="23" t="s">
        <v>362</v>
      </c>
      <c r="E315" s="23" t="s">
        <v>575</v>
      </c>
      <c r="F315" s="2">
        <v>20</v>
      </c>
      <c r="G315" s="21">
        <v>2018</v>
      </c>
      <c r="H315" t="str">
        <f t="shared" si="4"/>
        <v>P18W228</v>
      </c>
      <c r="I315" t="s">
        <v>565</v>
      </c>
      <c r="J315" s="4" t="s">
        <v>590</v>
      </c>
      <c r="K315" s="22" t="s">
        <v>490</v>
      </c>
      <c r="M315" s="2" t="s">
        <v>8</v>
      </c>
      <c r="N315" s="2">
        <v>0</v>
      </c>
      <c r="O315" s="2">
        <v>10</v>
      </c>
    </row>
    <row r="316" spans="1:15" x14ac:dyDescent="0.2">
      <c r="A316" s="23" t="s">
        <v>460</v>
      </c>
      <c r="B316" s="23" t="s">
        <v>461</v>
      </c>
      <c r="C316" s="23" t="s">
        <v>274</v>
      </c>
      <c r="D316" s="23" t="s">
        <v>362</v>
      </c>
      <c r="E316" s="23" t="s">
        <v>575</v>
      </c>
      <c r="F316" s="2">
        <v>21</v>
      </c>
      <c r="G316" s="21">
        <v>2019</v>
      </c>
      <c r="H316" t="str">
        <f t="shared" si="4"/>
        <v>P19W228</v>
      </c>
      <c r="I316" t="s">
        <v>565</v>
      </c>
      <c r="J316" s="4" t="s">
        <v>590</v>
      </c>
      <c r="K316" s="22" t="s">
        <v>490</v>
      </c>
      <c r="M316" s="2" t="s">
        <v>8</v>
      </c>
      <c r="N316" s="2">
        <v>0</v>
      </c>
      <c r="O316" s="2">
        <v>10</v>
      </c>
    </row>
    <row r="317" spans="1:15" x14ac:dyDescent="0.2">
      <c r="A317" s="24" t="s">
        <v>460</v>
      </c>
      <c r="B317" s="24" t="s">
        <v>461</v>
      </c>
      <c r="C317" s="24" t="s">
        <v>274</v>
      </c>
      <c r="D317" s="24" t="s">
        <v>592</v>
      </c>
      <c r="E317" s="24" t="s">
        <v>576</v>
      </c>
      <c r="F317" s="2">
        <v>3</v>
      </c>
      <c r="G317" s="21">
        <v>2001</v>
      </c>
      <c r="H317" t="str">
        <f t="shared" si="4"/>
        <v>P01F01</v>
      </c>
      <c r="I317" t="s">
        <v>566</v>
      </c>
      <c r="J317" s="4" t="s">
        <v>591</v>
      </c>
      <c r="K317" s="22" t="s">
        <v>490</v>
      </c>
      <c r="M317" s="2" t="s">
        <v>8</v>
      </c>
      <c r="N317" s="2">
        <v>0</v>
      </c>
      <c r="O317" s="2">
        <v>10</v>
      </c>
    </row>
    <row r="318" spans="1:15" x14ac:dyDescent="0.2">
      <c r="A318" s="24" t="s">
        <v>460</v>
      </c>
      <c r="B318" s="24" t="s">
        <v>461</v>
      </c>
      <c r="C318" s="24" t="s">
        <v>274</v>
      </c>
      <c r="D318" s="24" t="s">
        <v>592</v>
      </c>
      <c r="E318" s="24" t="s">
        <v>576</v>
      </c>
      <c r="F318" s="2">
        <v>4</v>
      </c>
      <c r="G318" s="21">
        <v>2002</v>
      </c>
      <c r="H318" t="str">
        <f t="shared" si="4"/>
        <v>P02F01</v>
      </c>
      <c r="I318" t="s">
        <v>566</v>
      </c>
      <c r="J318" s="4" t="s">
        <v>591</v>
      </c>
      <c r="K318" s="22" t="s">
        <v>490</v>
      </c>
      <c r="M318" s="2" t="s">
        <v>8</v>
      </c>
      <c r="N318" s="2">
        <v>0</v>
      </c>
      <c r="O318" s="2">
        <v>10</v>
      </c>
    </row>
    <row r="319" spans="1:15" x14ac:dyDescent="0.2">
      <c r="A319" s="24" t="s">
        <v>460</v>
      </c>
      <c r="B319" s="24" t="s">
        <v>461</v>
      </c>
      <c r="C319" s="24" t="s">
        <v>274</v>
      </c>
      <c r="D319" s="24" t="s">
        <v>592</v>
      </c>
      <c r="E319" s="24" t="s">
        <v>576</v>
      </c>
      <c r="F319" s="2">
        <v>5</v>
      </c>
      <c r="G319" s="21">
        <v>2003</v>
      </c>
      <c r="H319" t="str">
        <f t="shared" ref="H319:H382" si="5">"P"&amp;RIGHT(G319,2)&amp;I319</f>
        <v>P03F01</v>
      </c>
      <c r="I319" t="s">
        <v>566</v>
      </c>
      <c r="J319" s="4" t="s">
        <v>591</v>
      </c>
      <c r="K319" s="22" t="s">
        <v>490</v>
      </c>
      <c r="M319" s="2" t="s">
        <v>8</v>
      </c>
      <c r="N319" s="2">
        <v>0</v>
      </c>
      <c r="O319" s="2">
        <v>10</v>
      </c>
    </row>
    <row r="320" spans="1:15" x14ac:dyDescent="0.2">
      <c r="A320" s="24" t="s">
        <v>460</v>
      </c>
      <c r="B320" s="24" t="s">
        <v>461</v>
      </c>
      <c r="C320" s="24" t="s">
        <v>274</v>
      </c>
      <c r="D320" s="24" t="s">
        <v>592</v>
      </c>
      <c r="E320" s="24" t="s">
        <v>576</v>
      </c>
      <c r="F320" s="2">
        <v>6</v>
      </c>
      <c r="G320" s="21">
        <v>2004</v>
      </c>
      <c r="H320" t="str">
        <f t="shared" si="5"/>
        <v>P04F01</v>
      </c>
      <c r="I320" t="s">
        <v>566</v>
      </c>
      <c r="J320" s="4" t="s">
        <v>591</v>
      </c>
      <c r="K320" s="22" t="s">
        <v>490</v>
      </c>
      <c r="M320" s="2" t="s">
        <v>8</v>
      </c>
      <c r="N320" s="2">
        <v>0</v>
      </c>
      <c r="O320" s="2">
        <v>10</v>
      </c>
    </row>
    <row r="321" spans="1:15" x14ac:dyDescent="0.2">
      <c r="A321" s="24" t="s">
        <v>460</v>
      </c>
      <c r="B321" s="24" t="s">
        <v>461</v>
      </c>
      <c r="C321" s="24" t="s">
        <v>274</v>
      </c>
      <c r="D321" s="24" t="s">
        <v>592</v>
      </c>
      <c r="E321" s="24" t="s">
        <v>576</v>
      </c>
      <c r="F321" s="2">
        <v>7</v>
      </c>
      <c r="G321" s="21">
        <v>2005</v>
      </c>
      <c r="H321" t="str">
        <f t="shared" si="5"/>
        <v>P05F01</v>
      </c>
      <c r="I321" t="s">
        <v>566</v>
      </c>
      <c r="J321" s="4" t="s">
        <v>591</v>
      </c>
      <c r="K321" s="22" t="s">
        <v>490</v>
      </c>
      <c r="M321" s="2" t="s">
        <v>8</v>
      </c>
      <c r="N321" s="2">
        <v>0</v>
      </c>
      <c r="O321" s="2">
        <v>10</v>
      </c>
    </row>
    <row r="322" spans="1:15" x14ac:dyDescent="0.2">
      <c r="A322" s="24" t="s">
        <v>460</v>
      </c>
      <c r="B322" s="24" t="s">
        <v>461</v>
      </c>
      <c r="C322" s="24" t="s">
        <v>274</v>
      </c>
      <c r="D322" s="24" t="s">
        <v>592</v>
      </c>
      <c r="E322" s="24" t="s">
        <v>576</v>
      </c>
      <c r="F322" s="2">
        <v>8</v>
      </c>
      <c r="G322" s="21">
        <v>2006</v>
      </c>
      <c r="H322" t="str">
        <f t="shared" si="5"/>
        <v>P06F01</v>
      </c>
      <c r="I322" t="s">
        <v>566</v>
      </c>
      <c r="J322" s="4" t="s">
        <v>591</v>
      </c>
      <c r="K322" s="22" t="s">
        <v>490</v>
      </c>
      <c r="M322" s="2" t="s">
        <v>8</v>
      </c>
      <c r="N322" s="2">
        <v>0</v>
      </c>
      <c r="O322" s="2">
        <v>10</v>
      </c>
    </row>
    <row r="323" spans="1:15" x14ac:dyDescent="0.2">
      <c r="A323" s="24" t="s">
        <v>460</v>
      </c>
      <c r="B323" s="24" t="s">
        <v>461</v>
      </c>
      <c r="C323" s="24" t="s">
        <v>274</v>
      </c>
      <c r="D323" s="24" t="s">
        <v>592</v>
      </c>
      <c r="E323" s="24" t="s">
        <v>576</v>
      </c>
      <c r="F323" s="2">
        <v>9</v>
      </c>
      <c r="G323" s="21">
        <v>2007</v>
      </c>
      <c r="H323" t="str">
        <f t="shared" si="5"/>
        <v>P07F01</v>
      </c>
      <c r="I323" t="s">
        <v>566</v>
      </c>
      <c r="J323" s="4" t="s">
        <v>591</v>
      </c>
      <c r="K323" s="22" t="s">
        <v>490</v>
      </c>
      <c r="M323" s="2" t="s">
        <v>8</v>
      </c>
      <c r="N323" s="2">
        <v>0</v>
      </c>
      <c r="O323" s="2">
        <v>10</v>
      </c>
    </row>
    <row r="324" spans="1:15" x14ac:dyDescent="0.2">
      <c r="A324" s="24" t="s">
        <v>460</v>
      </c>
      <c r="B324" s="24" t="s">
        <v>461</v>
      </c>
      <c r="C324" s="24" t="s">
        <v>274</v>
      </c>
      <c r="D324" s="24" t="s">
        <v>592</v>
      </c>
      <c r="E324" s="24" t="s">
        <v>576</v>
      </c>
      <c r="F324" s="2">
        <v>10</v>
      </c>
      <c r="G324" s="21">
        <v>2008</v>
      </c>
      <c r="H324" t="str">
        <f t="shared" si="5"/>
        <v>P08F01</v>
      </c>
      <c r="I324" t="s">
        <v>566</v>
      </c>
      <c r="J324" s="4" t="s">
        <v>591</v>
      </c>
      <c r="K324" s="22" t="s">
        <v>490</v>
      </c>
      <c r="M324" s="2" t="s">
        <v>8</v>
      </c>
      <c r="N324" s="2">
        <v>0</v>
      </c>
      <c r="O324" s="2">
        <v>10</v>
      </c>
    </row>
    <row r="325" spans="1:15" x14ac:dyDescent="0.2">
      <c r="A325" s="24" t="s">
        <v>460</v>
      </c>
      <c r="B325" s="24" t="s">
        <v>461</v>
      </c>
      <c r="C325" s="24" t="s">
        <v>274</v>
      </c>
      <c r="D325" s="24" t="s">
        <v>592</v>
      </c>
      <c r="E325" s="24" t="s">
        <v>576</v>
      </c>
      <c r="F325" s="2">
        <v>11</v>
      </c>
      <c r="G325" s="21">
        <v>2009</v>
      </c>
      <c r="H325" t="str">
        <f t="shared" si="5"/>
        <v>P09F01</v>
      </c>
      <c r="I325" t="s">
        <v>566</v>
      </c>
      <c r="J325" s="4" t="s">
        <v>591</v>
      </c>
      <c r="K325" s="22" t="s">
        <v>490</v>
      </c>
      <c r="M325" s="2" t="s">
        <v>8</v>
      </c>
      <c r="N325" s="2">
        <v>0</v>
      </c>
      <c r="O325" s="2">
        <v>10</v>
      </c>
    </row>
    <row r="326" spans="1:15" x14ac:dyDescent="0.2">
      <c r="A326" s="24" t="s">
        <v>460</v>
      </c>
      <c r="B326" s="24" t="s">
        <v>461</v>
      </c>
      <c r="C326" s="24" t="s">
        <v>274</v>
      </c>
      <c r="D326" s="24" t="s">
        <v>592</v>
      </c>
      <c r="E326" s="24" t="s">
        <v>576</v>
      </c>
      <c r="F326" s="2">
        <v>12</v>
      </c>
      <c r="G326" s="21">
        <v>2010</v>
      </c>
      <c r="H326" t="str">
        <f t="shared" si="5"/>
        <v>P10F01</v>
      </c>
      <c r="I326" t="s">
        <v>566</v>
      </c>
      <c r="J326" s="4" t="s">
        <v>591</v>
      </c>
      <c r="K326" s="22" t="s">
        <v>490</v>
      </c>
      <c r="M326" s="2" t="s">
        <v>8</v>
      </c>
      <c r="N326" s="2">
        <v>0</v>
      </c>
      <c r="O326" s="2">
        <v>10</v>
      </c>
    </row>
    <row r="327" spans="1:15" x14ac:dyDescent="0.2">
      <c r="A327" s="24" t="s">
        <v>460</v>
      </c>
      <c r="B327" s="24" t="s">
        <v>461</v>
      </c>
      <c r="C327" s="24" t="s">
        <v>274</v>
      </c>
      <c r="D327" s="24" t="s">
        <v>592</v>
      </c>
      <c r="E327" s="24" t="s">
        <v>576</v>
      </c>
      <c r="F327" s="2">
        <v>13</v>
      </c>
      <c r="G327" s="21">
        <v>2011</v>
      </c>
      <c r="H327" t="str">
        <f t="shared" si="5"/>
        <v>P11F01</v>
      </c>
      <c r="I327" t="s">
        <v>566</v>
      </c>
      <c r="J327" s="4" t="s">
        <v>591</v>
      </c>
      <c r="K327" s="22" t="s">
        <v>490</v>
      </c>
      <c r="M327" s="2" t="s">
        <v>8</v>
      </c>
      <c r="N327" s="2">
        <v>0</v>
      </c>
      <c r="O327" s="2">
        <v>10</v>
      </c>
    </row>
    <row r="328" spans="1:15" x14ac:dyDescent="0.2">
      <c r="A328" s="24" t="s">
        <v>460</v>
      </c>
      <c r="B328" s="24" t="s">
        <v>461</v>
      </c>
      <c r="C328" s="24" t="s">
        <v>274</v>
      </c>
      <c r="D328" s="24" t="s">
        <v>592</v>
      </c>
      <c r="E328" s="24" t="s">
        <v>576</v>
      </c>
      <c r="F328" s="2">
        <v>14</v>
      </c>
      <c r="G328" s="21">
        <v>2012</v>
      </c>
      <c r="H328" t="str">
        <f t="shared" si="5"/>
        <v>P12F01</v>
      </c>
      <c r="I328" t="s">
        <v>566</v>
      </c>
      <c r="J328" s="4" t="s">
        <v>591</v>
      </c>
      <c r="K328" s="22" t="s">
        <v>490</v>
      </c>
      <c r="M328" s="2" t="s">
        <v>8</v>
      </c>
      <c r="N328" s="2">
        <v>0</v>
      </c>
      <c r="O328" s="2">
        <v>10</v>
      </c>
    </row>
    <row r="329" spans="1:15" x14ac:dyDescent="0.2">
      <c r="A329" s="24" t="s">
        <v>460</v>
      </c>
      <c r="B329" s="24" t="s">
        <v>461</v>
      </c>
      <c r="C329" s="24" t="s">
        <v>274</v>
      </c>
      <c r="D329" s="24" t="s">
        <v>592</v>
      </c>
      <c r="E329" s="24" t="s">
        <v>576</v>
      </c>
      <c r="F329" s="2">
        <v>15</v>
      </c>
      <c r="G329" s="21">
        <v>2013</v>
      </c>
      <c r="H329" t="str">
        <f t="shared" si="5"/>
        <v>P13F01</v>
      </c>
      <c r="I329" t="s">
        <v>566</v>
      </c>
      <c r="J329" s="4" t="s">
        <v>591</v>
      </c>
      <c r="K329" s="22" t="s">
        <v>490</v>
      </c>
      <c r="M329" s="2" t="s">
        <v>8</v>
      </c>
      <c r="N329" s="2">
        <v>0</v>
      </c>
      <c r="O329" s="2">
        <v>10</v>
      </c>
    </row>
    <row r="330" spans="1:15" x14ac:dyDescent="0.2">
      <c r="A330" s="24" t="s">
        <v>460</v>
      </c>
      <c r="B330" s="24" t="s">
        <v>461</v>
      </c>
      <c r="C330" s="24" t="s">
        <v>274</v>
      </c>
      <c r="D330" s="24" t="s">
        <v>592</v>
      </c>
      <c r="E330" s="24" t="s">
        <v>576</v>
      </c>
      <c r="F330" s="2">
        <v>16</v>
      </c>
      <c r="G330" s="21">
        <v>2014</v>
      </c>
      <c r="H330" t="str">
        <f t="shared" si="5"/>
        <v>P14F01</v>
      </c>
      <c r="I330" t="s">
        <v>566</v>
      </c>
      <c r="J330" s="4" t="s">
        <v>591</v>
      </c>
      <c r="K330" s="22" t="s">
        <v>490</v>
      </c>
      <c r="M330" s="2" t="s">
        <v>8</v>
      </c>
      <c r="N330" s="2">
        <v>0</v>
      </c>
      <c r="O330" s="2">
        <v>10</v>
      </c>
    </row>
    <row r="331" spans="1:15" x14ac:dyDescent="0.2">
      <c r="A331" s="24" t="s">
        <v>460</v>
      </c>
      <c r="B331" s="24" t="s">
        <v>461</v>
      </c>
      <c r="C331" s="24" t="s">
        <v>274</v>
      </c>
      <c r="D331" s="24" t="s">
        <v>592</v>
      </c>
      <c r="E331" s="24" t="s">
        <v>576</v>
      </c>
      <c r="F331" s="2">
        <v>17</v>
      </c>
      <c r="G331" s="21">
        <v>2015</v>
      </c>
      <c r="H331" t="str">
        <f t="shared" si="5"/>
        <v>P15F01</v>
      </c>
      <c r="I331" t="s">
        <v>566</v>
      </c>
      <c r="J331" s="4" t="s">
        <v>591</v>
      </c>
      <c r="K331" s="22" t="s">
        <v>490</v>
      </c>
      <c r="M331" s="2" t="s">
        <v>8</v>
      </c>
      <c r="N331" s="2">
        <v>0</v>
      </c>
      <c r="O331" s="2">
        <v>10</v>
      </c>
    </row>
    <row r="332" spans="1:15" x14ac:dyDescent="0.2">
      <c r="A332" s="24" t="s">
        <v>460</v>
      </c>
      <c r="B332" s="24" t="s">
        <v>461</v>
      </c>
      <c r="C332" s="24" t="s">
        <v>274</v>
      </c>
      <c r="D332" s="24" t="s">
        <v>592</v>
      </c>
      <c r="E332" s="24" t="s">
        <v>576</v>
      </c>
      <c r="F332" s="2">
        <v>18</v>
      </c>
      <c r="G332" s="21">
        <v>2016</v>
      </c>
      <c r="H332" t="str">
        <f t="shared" si="5"/>
        <v>P16F01</v>
      </c>
      <c r="I332" t="s">
        <v>566</v>
      </c>
      <c r="J332" s="4" t="s">
        <v>591</v>
      </c>
      <c r="K332" s="22" t="s">
        <v>490</v>
      </c>
      <c r="M332" s="2" t="s">
        <v>8</v>
      </c>
      <c r="N332" s="2">
        <v>0</v>
      </c>
      <c r="O332" s="2">
        <v>10</v>
      </c>
    </row>
    <row r="333" spans="1:15" x14ac:dyDescent="0.2">
      <c r="A333" s="24" t="s">
        <v>460</v>
      </c>
      <c r="B333" s="24" t="s">
        <v>461</v>
      </c>
      <c r="C333" s="24" t="s">
        <v>274</v>
      </c>
      <c r="D333" s="24" t="s">
        <v>592</v>
      </c>
      <c r="E333" s="24" t="s">
        <v>576</v>
      </c>
      <c r="F333" s="2">
        <v>19</v>
      </c>
      <c r="G333" s="21">
        <v>2017</v>
      </c>
      <c r="H333" t="str">
        <f t="shared" si="5"/>
        <v>P17F01</v>
      </c>
      <c r="I333" t="s">
        <v>566</v>
      </c>
      <c r="J333" s="4" t="s">
        <v>591</v>
      </c>
      <c r="K333" s="22" t="s">
        <v>490</v>
      </c>
      <c r="M333" s="2" t="s">
        <v>8</v>
      </c>
      <c r="N333" s="2">
        <v>0</v>
      </c>
      <c r="O333" s="2">
        <v>10</v>
      </c>
    </row>
    <row r="334" spans="1:15" x14ac:dyDescent="0.2">
      <c r="A334" s="24" t="s">
        <v>460</v>
      </c>
      <c r="B334" s="24" t="s">
        <v>461</v>
      </c>
      <c r="C334" s="24" t="s">
        <v>274</v>
      </c>
      <c r="D334" s="24" t="s">
        <v>592</v>
      </c>
      <c r="E334" s="24" t="s">
        <v>576</v>
      </c>
      <c r="F334" s="2">
        <v>20</v>
      </c>
      <c r="G334" s="21">
        <v>2018</v>
      </c>
      <c r="H334" t="str">
        <f t="shared" si="5"/>
        <v>P18F01</v>
      </c>
      <c r="I334" t="s">
        <v>566</v>
      </c>
      <c r="J334" s="4" t="s">
        <v>591</v>
      </c>
      <c r="K334" s="22" t="s">
        <v>490</v>
      </c>
      <c r="M334" s="2" t="s">
        <v>8</v>
      </c>
      <c r="N334" s="2">
        <v>0</v>
      </c>
      <c r="O334" s="2">
        <v>10</v>
      </c>
    </row>
    <row r="335" spans="1:15" x14ac:dyDescent="0.2">
      <c r="A335" s="24" t="s">
        <v>460</v>
      </c>
      <c r="B335" s="24" t="s">
        <v>461</v>
      </c>
      <c r="C335" s="24" t="s">
        <v>274</v>
      </c>
      <c r="D335" s="24" t="s">
        <v>592</v>
      </c>
      <c r="E335" s="24" t="s">
        <v>576</v>
      </c>
      <c r="F335" s="2">
        <v>21</v>
      </c>
      <c r="G335" s="21">
        <v>2019</v>
      </c>
      <c r="H335" t="str">
        <f t="shared" si="5"/>
        <v>P19F01</v>
      </c>
      <c r="I335" t="s">
        <v>566</v>
      </c>
      <c r="J335" s="4" t="s">
        <v>591</v>
      </c>
      <c r="K335" s="22" t="s">
        <v>490</v>
      </c>
      <c r="M335" s="2" t="s">
        <v>8</v>
      </c>
      <c r="N335" s="2">
        <v>0</v>
      </c>
      <c r="O335" s="2">
        <v>10</v>
      </c>
    </row>
    <row r="336" spans="1:15" x14ac:dyDescent="0.2">
      <c r="A336" s="23" t="s">
        <v>460</v>
      </c>
      <c r="B336" s="23" t="s">
        <v>461</v>
      </c>
      <c r="C336" s="23" t="s">
        <v>274</v>
      </c>
      <c r="D336" s="23" t="s">
        <v>572</v>
      </c>
      <c r="E336" s="23" t="s">
        <v>577</v>
      </c>
      <c r="F336" s="2">
        <v>3</v>
      </c>
      <c r="G336" s="21">
        <v>2001</v>
      </c>
      <c r="H336" t="str">
        <f t="shared" si="5"/>
        <v>P01F02</v>
      </c>
      <c r="I336" t="s">
        <v>567</v>
      </c>
      <c r="J336" s="4" t="s">
        <v>593</v>
      </c>
      <c r="K336" s="22" t="s">
        <v>490</v>
      </c>
      <c r="M336" s="2" t="s">
        <v>8</v>
      </c>
      <c r="N336" s="2">
        <v>0</v>
      </c>
      <c r="O336" s="2">
        <v>10</v>
      </c>
    </row>
    <row r="337" spans="1:15" x14ac:dyDescent="0.2">
      <c r="A337" s="23" t="s">
        <v>460</v>
      </c>
      <c r="B337" s="23" t="s">
        <v>461</v>
      </c>
      <c r="C337" s="23" t="s">
        <v>274</v>
      </c>
      <c r="D337" s="23" t="s">
        <v>572</v>
      </c>
      <c r="E337" s="23" t="s">
        <v>577</v>
      </c>
      <c r="F337" s="2">
        <v>4</v>
      </c>
      <c r="G337" s="21">
        <v>2002</v>
      </c>
      <c r="H337" t="str">
        <f t="shared" si="5"/>
        <v>P02F02</v>
      </c>
      <c r="I337" t="s">
        <v>567</v>
      </c>
      <c r="J337" s="4" t="s">
        <v>593</v>
      </c>
      <c r="K337" s="22" t="s">
        <v>490</v>
      </c>
      <c r="M337" s="2" t="s">
        <v>8</v>
      </c>
      <c r="N337" s="2">
        <v>0</v>
      </c>
      <c r="O337" s="2">
        <v>10</v>
      </c>
    </row>
    <row r="338" spans="1:15" x14ac:dyDescent="0.2">
      <c r="A338" s="23" t="s">
        <v>460</v>
      </c>
      <c r="B338" s="23" t="s">
        <v>461</v>
      </c>
      <c r="C338" s="23" t="s">
        <v>274</v>
      </c>
      <c r="D338" s="23" t="s">
        <v>572</v>
      </c>
      <c r="E338" s="23" t="s">
        <v>577</v>
      </c>
      <c r="F338" s="2">
        <v>5</v>
      </c>
      <c r="G338" s="21">
        <v>2003</v>
      </c>
      <c r="H338" t="str">
        <f t="shared" si="5"/>
        <v>P03F02</v>
      </c>
      <c r="I338" t="s">
        <v>567</v>
      </c>
      <c r="J338" s="4" t="s">
        <v>593</v>
      </c>
      <c r="K338" s="22" t="s">
        <v>490</v>
      </c>
      <c r="M338" s="2" t="s">
        <v>8</v>
      </c>
      <c r="N338" s="2">
        <v>0</v>
      </c>
      <c r="O338" s="2">
        <v>10</v>
      </c>
    </row>
    <row r="339" spans="1:15" x14ac:dyDescent="0.2">
      <c r="A339" s="23" t="s">
        <v>460</v>
      </c>
      <c r="B339" s="23" t="s">
        <v>461</v>
      </c>
      <c r="C339" s="23" t="s">
        <v>274</v>
      </c>
      <c r="D339" s="23" t="s">
        <v>572</v>
      </c>
      <c r="E339" s="23" t="s">
        <v>577</v>
      </c>
      <c r="F339" s="2">
        <v>6</v>
      </c>
      <c r="G339" s="21">
        <v>2004</v>
      </c>
      <c r="H339" t="str">
        <f t="shared" si="5"/>
        <v>P04F02</v>
      </c>
      <c r="I339" t="s">
        <v>567</v>
      </c>
      <c r="J339" s="4" t="s">
        <v>593</v>
      </c>
      <c r="K339" s="22" t="s">
        <v>490</v>
      </c>
      <c r="M339" s="2" t="s">
        <v>8</v>
      </c>
      <c r="N339" s="2">
        <v>0</v>
      </c>
      <c r="O339" s="2">
        <v>10</v>
      </c>
    </row>
    <row r="340" spans="1:15" x14ac:dyDescent="0.2">
      <c r="A340" s="23" t="s">
        <v>460</v>
      </c>
      <c r="B340" s="23" t="s">
        <v>461</v>
      </c>
      <c r="C340" s="23" t="s">
        <v>274</v>
      </c>
      <c r="D340" s="23" t="s">
        <v>572</v>
      </c>
      <c r="E340" s="23" t="s">
        <v>577</v>
      </c>
      <c r="F340" s="2">
        <v>7</v>
      </c>
      <c r="G340" s="21">
        <v>2005</v>
      </c>
      <c r="H340" t="str">
        <f t="shared" si="5"/>
        <v>P05F02</v>
      </c>
      <c r="I340" t="s">
        <v>567</v>
      </c>
      <c r="J340" s="4" t="s">
        <v>593</v>
      </c>
      <c r="K340" s="22" t="s">
        <v>490</v>
      </c>
      <c r="M340" s="2" t="s">
        <v>8</v>
      </c>
      <c r="N340" s="2">
        <v>0</v>
      </c>
      <c r="O340" s="2">
        <v>10</v>
      </c>
    </row>
    <row r="341" spans="1:15" x14ac:dyDescent="0.2">
      <c r="A341" s="23" t="s">
        <v>460</v>
      </c>
      <c r="B341" s="23" t="s">
        <v>461</v>
      </c>
      <c r="C341" s="23" t="s">
        <v>274</v>
      </c>
      <c r="D341" s="23" t="s">
        <v>572</v>
      </c>
      <c r="E341" s="23" t="s">
        <v>577</v>
      </c>
      <c r="F341" s="2">
        <v>8</v>
      </c>
      <c r="G341" s="21">
        <v>2006</v>
      </c>
      <c r="H341" t="str">
        <f t="shared" si="5"/>
        <v>P06F02</v>
      </c>
      <c r="I341" t="s">
        <v>567</v>
      </c>
      <c r="J341" s="4" t="s">
        <v>593</v>
      </c>
      <c r="K341" s="22" t="s">
        <v>490</v>
      </c>
      <c r="M341" s="2" t="s">
        <v>8</v>
      </c>
      <c r="N341" s="2">
        <v>0</v>
      </c>
      <c r="O341" s="2">
        <v>10</v>
      </c>
    </row>
    <row r="342" spans="1:15" x14ac:dyDescent="0.2">
      <c r="A342" s="23" t="s">
        <v>460</v>
      </c>
      <c r="B342" s="23" t="s">
        <v>461</v>
      </c>
      <c r="C342" s="23" t="s">
        <v>274</v>
      </c>
      <c r="D342" s="23" t="s">
        <v>572</v>
      </c>
      <c r="E342" s="23" t="s">
        <v>577</v>
      </c>
      <c r="F342" s="2">
        <v>9</v>
      </c>
      <c r="G342" s="21">
        <v>2007</v>
      </c>
      <c r="H342" t="str">
        <f t="shared" si="5"/>
        <v>P07F02</v>
      </c>
      <c r="I342" t="s">
        <v>567</v>
      </c>
      <c r="J342" s="4" t="s">
        <v>593</v>
      </c>
      <c r="K342" s="22" t="s">
        <v>490</v>
      </c>
      <c r="M342" s="2" t="s">
        <v>8</v>
      </c>
      <c r="N342" s="2">
        <v>0</v>
      </c>
      <c r="O342" s="2">
        <v>10</v>
      </c>
    </row>
    <row r="343" spans="1:15" x14ac:dyDescent="0.2">
      <c r="A343" s="23" t="s">
        <v>460</v>
      </c>
      <c r="B343" s="23" t="s">
        <v>461</v>
      </c>
      <c r="C343" s="23" t="s">
        <v>274</v>
      </c>
      <c r="D343" s="23" t="s">
        <v>572</v>
      </c>
      <c r="E343" s="23" t="s">
        <v>577</v>
      </c>
      <c r="F343" s="2">
        <v>10</v>
      </c>
      <c r="G343" s="21">
        <v>2008</v>
      </c>
      <c r="H343" t="str">
        <f t="shared" si="5"/>
        <v>P08F02</v>
      </c>
      <c r="I343" t="s">
        <v>567</v>
      </c>
      <c r="J343" s="4" t="s">
        <v>593</v>
      </c>
      <c r="K343" s="22" t="s">
        <v>490</v>
      </c>
      <c r="M343" s="2" t="s">
        <v>8</v>
      </c>
      <c r="N343" s="2">
        <v>0</v>
      </c>
      <c r="O343" s="2">
        <v>10</v>
      </c>
    </row>
    <row r="344" spans="1:15" x14ac:dyDescent="0.2">
      <c r="A344" s="23" t="s">
        <v>460</v>
      </c>
      <c r="B344" s="23" t="s">
        <v>461</v>
      </c>
      <c r="C344" s="23" t="s">
        <v>274</v>
      </c>
      <c r="D344" s="23" t="s">
        <v>572</v>
      </c>
      <c r="E344" s="23" t="s">
        <v>577</v>
      </c>
      <c r="F344" s="2">
        <v>11</v>
      </c>
      <c r="G344" s="21">
        <v>2009</v>
      </c>
      <c r="H344" t="str">
        <f t="shared" si="5"/>
        <v>P09F02</v>
      </c>
      <c r="I344" t="s">
        <v>567</v>
      </c>
      <c r="J344" s="4" t="s">
        <v>593</v>
      </c>
      <c r="K344" s="22" t="s">
        <v>490</v>
      </c>
      <c r="M344" s="2" t="s">
        <v>8</v>
      </c>
      <c r="N344" s="2">
        <v>0</v>
      </c>
      <c r="O344" s="2">
        <v>10</v>
      </c>
    </row>
    <row r="345" spans="1:15" x14ac:dyDescent="0.2">
      <c r="A345" s="23" t="s">
        <v>460</v>
      </c>
      <c r="B345" s="23" t="s">
        <v>461</v>
      </c>
      <c r="C345" s="23" t="s">
        <v>274</v>
      </c>
      <c r="D345" s="23" t="s">
        <v>572</v>
      </c>
      <c r="E345" s="23" t="s">
        <v>577</v>
      </c>
      <c r="F345" s="2">
        <v>12</v>
      </c>
      <c r="G345" s="21">
        <v>2010</v>
      </c>
      <c r="H345" t="str">
        <f t="shared" si="5"/>
        <v>P10F02</v>
      </c>
      <c r="I345" t="s">
        <v>567</v>
      </c>
      <c r="J345" s="4" t="s">
        <v>593</v>
      </c>
      <c r="K345" s="22" t="s">
        <v>490</v>
      </c>
      <c r="M345" s="2" t="s">
        <v>8</v>
      </c>
      <c r="N345" s="2">
        <v>0</v>
      </c>
      <c r="O345" s="2">
        <v>10</v>
      </c>
    </row>
    <row r="346" spans="1:15" x14ac:dyDescent="0.2">
      <c r="A346" s="23" t="s">
        <v>460</v>
      </c>
      <c r="B346" s="23" t="s">
        <v>461</v>
      </c>
      <c r="C346" s="23" t="s">
        <v>274</v>
      </c>
      <c r="D346" s="23" t="s">
        <v>572</v>
      </c>
      <c r="E346" s="23" t="s">
        <v>577</v>
      </c>
      <c r="F346" s="2">
        <v>13</v>
      </c>
      <c r="G346" s="21">
        <v>2011</v>
      </c>
      <c r="H346" t="str">
        <f t="shared" si="5"/>
        <v>P11F02</v>
      </c>
      <c r="I346" t="s">
        <v>567</v>
      </c>
      <c r="J346" s="4" t="s">
        <v>593</v>
      </c>
      <c r="K346" s="22" t="s">
        <v>490</v>
      </c>
      <c r="M346" s="2" t="s">
        <v>8</v>
      </c>
      <c r="N346" s="2">
        <v>0</v>
      </c>
      <c r="O346" s="2">
        <v>10</v>
      </c>
    </row>
    <row r="347" spans="1:15" x14ac:dyDescent="0.2">
      <c r="A347" s="23" t="s">
        <v>460</v>
      </c>
      <c r="B347" s="23" t="s">
        <v>461</v>
      </c>
      <c r="C347" s="23" t="s">
        <v>274</v>
      </c>
      <c r="D347" s="23" t="s">
        <v>572</v>
      </c>
      <c r="E347" s="23" t="s">
        <v>577</v>
      </c>
      <c r="F347" s="2">
        <v>14</v>
      </c>
      <c r="G347" s="21">
        <v>2012</v>
      </c>
      <c r="H347" t="str">
        <f t="shared" si="5"/>
        <v>P12F02</v>
      </c>
      <c r="I347" t="s">
        <v>567</v>
      </c>
      <c r="J347" s="4" t="s">
        <v>593</v>
      </c>
      <c r="K347" s="22" t="s">
        <v>490</v>
      </c>
      <c r="M347" s="2" t="s">
        <v>8</v>
      </c>
      <c r="N347" s="2">
        <v>0</v>
      </c>
      <c r="O347" s="2">
        <v>10</v>
      </c>
    </row>
    <row r="348" spans="1:15" x14ac:dyDescent="0.2">
      <c r="A348" s="23" t="s">
        <v>460</v>
      </c>
      <c r="B348" s="23" t="s">
        <v>461</v>
      </c>
      <c r="C348" s="23" t="s">
        <v>274</v>
      </c>
      <c r="D348" s="23" t="s">
        <v>572</v>
      </c>
      <c r="E348" s="23" t="s">
        <v>577</v>
      </c>
      <c r="F348" s="2">
        <v>15</v>
      </c>
      <c r="G348" s="21">
        <v>2013</v>
      </c>
      <c r="H348" t="str">
        <f t="shared" si="5"/>
        <v>P13F02</v>
      </c>
      <c r="I348" t="s">
        <v>567</v>
      </c>
      <c r="J348" s="4" t="s">
        <v>593</v>
      </c>
      <c r="K348" s="22" t="s">
        <v>490</v>
      </c>
      <c r="M348" s="2" t="s">
        <v>8</v>
      </c>
      <c r="N348" s="2">
        <v>0</v>
      </c>
      <c r="O348" s="2">
        <v>10</v>
      </c>
    </row>
    <row r="349" spans="1:15" x14ac:dyDescent="0.2">
      <c r="A349" s="23" t="s">
        <v>460</v>
      </c>
      <c r="B349" s="23" t="s">
        <v>461</v>
      </c>
      <c r="C349" s="23" t="s">
        <v>274</v>
      </c>
      <c r="D349" s="23" t="s">
        <v>572</v>
      </c>
      <c r="E349" s="23" t="s">
        <v>577</v>
      </c>
      <c r="F349" s="2">
        <v>16</v>
      </c>
      <c r="G349" s="21">
        <v>2014</v>
      </c>
      <c r="H349" t="str">
        <f t="shared" si="5"/>
        <v>P14F02</v>
      </c>
      <c r="I349" t="s">
        <v>567</v>
      </c>
      <c r="J349" s="4" t="s">
        <v>593</v>
      </c>
      <c r="K349" s="22" t="s">
        <v>490</v>
      </c>
      <c r="M349" s="2" t="s">
        <v>8</v>
      </c>
      <c r="N349" s="2">
        <v>0</v>
      </c>
      <c r="O349" s="2">
        <v>10</v>
      </c>
    </row>
    <row r="350" spans="1:15" x14ac:dyDescent="0.2">
      <c r="A350" s="23" t="s">
        <v>460</v>
      </c>
      <c r="B350" s="23" t="s">
        <v>461</v>
      </c>
      <c r="C350" s="23" t="s">
        <v>274</v>
      </c>
      <c r="D350" s="23" t="s">
        <v>572</v>
      </c>
      <c r="E350" s="23" t="s">
        <v>577</v>
      </c>
      <c r="F350" s="2">
        <v>17</v>
      </c>
      <c r="G350" s="21">
        <v>2015</v>
      </c>
      <c r="H350" t="str">
        <f t="shared" si="5"/>
        <v>P15F02</v>
      </c>
      <c r="I350" t="s">
        <v>567</v>
      </c>
      <c r="J350" s="4" t="s">
        <v>593</v>
      </c>
      <c r="K350" s="22" t="s">
        <v>490</v>
      </c>
      <c r="M350" s="2" t="s">
        <v>8</v>
      </c>
      <c r="N350" s="2">
        <v>0</v>
      </c>
      <c r="O350" s="2">
        <v>10</v>
      </c>
    </row>
    <row r="351" spans="1:15" x14ac:dyDescent="0.2">
      <c r="A351" s="23" t="s">
        <v>460</v>
      </c>
      <c r="B351" s="23" t="s">
        <v>461</v>
      </c>
      <c r="C351" s="23" t="s">
        <v>274</v>
      </c>
      <c r="D351" s="23" t="s">
        <v>572</v>
      </c>
      <c r="E351" s="23" t="s">
        <v>577</v>
      </c>
      <c r="F351" s="2">
        <v>18</v>
      </c>
      <c r="G351" s="21">
        <v>2016</v>
      </c>
      <c r="H351" t="str">
        <f t="shared" si="5"/>
        <v>P16F02</v>
      </c>
      <c r="I351" t="s">
        <v>567</v>
      </c>
      <c r="J351" s="4" t="s">
        <v>593</v>
      </c>
      <c r="K351" s="22" t="s">
        <v>490</v>
      </c>
      <c r="M351" s="2" t="s">
        <v>8</v>
      </c>
      <c r="N351" s="2">
        <v>0</v>
      </c>
      <c r="O351" s="2">
        <v>10</v>
      </c>
    </row>
    <row r="352" spans="1:15" x14ac:dyDescent="0.2">
      <c r="A352" s="23" t="s">
        <v>460</v>
      </c>
      <c r="B352" s="23" t="s">
        <v>461</v>
      </c>
      <c r="C352" s="23" t="s">
        <v>274</v>
      </c>
      <c r="D352" s="23" t="s">
        <v>572</v>
      </c>
      <c r="E352" s="23" t="s">
        <v>577</v>
      </c>
      <c r="F352" s="2">
        <v>19</v>
      </c>
      <c r="G352" s="21">
        <v>2017</v>
      </c>
      <c r="H352" t="str">
        <f t="shared" si="5"/>
        <v>P17F02</v>
      </c>
      <c r="I352" t="s">
        <v>567</v>
      </c>
      <c r="J352" s="4" t="s">
        <v>593</v>
      </c>
      <c r="K352" s="22" t="s">
        <v>490</v>
      </c>
      <c r="M352" s="2" t="s">
        <v>8</v>
      </c>
      <c r="N352" s="2">
        <v>0</v>
      </c>
      <c r="O352" s="2">
        <v>10</v>
      </c>
    </row>
    <row r="353" spans="1:15" x14ac:dyDescent="0.2">
      <c r="A353" s="23" t="s">
        <v>460</v>
      </c>
      <c r="B353" s="23" t="s">
        <v>461</v>
      </c>
      <c r="C353" s="23" t="s">
        <v>274</v>
      </c>
      <c r="D353" s="23" t="s">
        <v>572</v>
      </c>
      <c r="E353" s="23" t="s">
        <v>577</v>
      </c>
      <c r="F353" s="2">
        <v>20</v>
      </c>
      <c r="G353" s="21">
        <v>2018</v>
      </c>
      <c r="H353" t="str">
        <f t="shared" si="5"/>
        <v>P18F02</v>
      </c>
      <c r="I353" t="s">
        <v>567</v>
      </c>
      <c r="J353" s="4" t="s">
        <v>593</v>
      </c>
      <c r="K353" s="22" t="s">
        <v>490</v>
      </c>
      <c r="M353" s="2" t="s">
        <v>8</v>
      </c>
      <c r="N353" s="2">
        <v>0</v>
      </c>
      <c r="O353" s="2">
        <v>10</v>
      </c>
    </row>
    <row r="354" spans="1:15" x14ac:dyDescent="0.2">
      <c r="A354" s="23" t="s">
        <v>460</v>
      </c>
      <c r="B354" s="23" t="s">
        <v>461</v>
      </c>
      <c r="C354" s="23" t="s">
        <v>274</v>
      </c>
      <c r="D354" s="23" t="s">
        <v>572</v>
      </c>
      <c r="E354" s="23" t="s">
        <v>577</v>
      </c>
      <c r="F354" s="2">
        <v>21</v>
      </c>
      <c r="G354" s="21">
        <v>2019</v>
      </c>
      <c r="H354" t="str">
        <f t="shared" si="5"/>
        <v>P19F02</v>
      </c>
      <c r="I354" t="s">
        <v>567</v>
      </c>
      <c r="J354" s="4" t="s">
        <v>593</v>
      </c>
      <c r="K354" s="22" t="s">
        <v>490</v>
      </c>
      <c r="M354" s="2" t="s">
        <v>8</v>
      </c>
      <c r="N354" s="2">
        <v>0</v>
      </c>
      <c r="O354" s="2">
        <v>10</v>
      </c>
    </row>
    <row r="355" spans="1:15" x14ac:dyDescent="0.2">
      <c r="A355" s="24" t="s">
        <v>460</v>
      </c>
      <c r="B355" s="24" t="s">
        <v>461</v>
      </c>
      <c r="C355" s="24" t="s">
        <v>274</v>
      </c>
      <c r="D355" s="24" t="s">
        <v>326</v>
      </c>
      <c r="E355" s="24" t="s">
        <v>578</v>
      </c>
      <c r="F355" s="2">
        <v>3</v>
      </c>
      <c r="G355" s="21">
        <v>2001</v>
      </c>
      <c r="H355" t="str">
        <f t="shared" si="5"/>
        <v>P01F04</v>
      </c>
      <c r="I355" t="s">
        <v>568</v>
      </c>
      <c r="J355" t="s">
        <v>579</v>
      </c>
      <c r="K355" s="22" t="s">
        <v>490</v>
      </c>
      <c r="M355" s="2" t="s">
        <v>8</v>
      </c>
      <c r="N355" s="2">
        <v>0</v>
      </c>
      <c r="O355" s="2">
        <v>10</v>
      </c>
    </row>
    <row r="356" spans="1:15" x14ac:dyDescent="0.2">
      <c r="A356" s="24" t="s">
        <v>460</v>
      </c>
      <c r="B356" s="24" t="s">
        <v>461</v>
      </c>
      <c r="C356" s="24" t="s">
        <v>274</v>
      </c>
      <c r="D356" s="24" t="s">
        <v>326</v>
      </c>
      <c r="E356" s="24" t="s">
        <v>578</v>
      </c>
      <c r="F356" s="2">
        <v>4</v>
      </c>
      <c r="G356" s="21">
        <v>2002</v>
      </c>
      <c r="H356" t="str">
        <f t="shared" si="5"/>
        <v>P02F04</v>
      </c>
      <c r="I356" t="s">
        <v>568</v>
      </c>
      <c r="J356" t="s">
        <v>579</v>
      </c>
      <c r="K356" s="22" t="s">
        <v>490</v>
      </c>
      <c r="M356" s="2" t="s">
        <v>8</v>
      </c>
      <c r="N356" s="2">
        <v>0</v>
      </c>
      <c r="O356" s="2">
        <v>10</v>
      </c>
    </row>
    <row r="357" spans="1:15" x14ac:dyDescent="0.2">
      <c r="A357" s="24" t="s">
        <v>460</v>
      </c>
      <c r="B357" s="24" t="s">
        <v>461</v>
      </c>
      <c r="C357" s="24" t="s">
        <v>274</v>
      </c>
      <c r="D357" s="24" t="s">
        <v>326</v>
      </c>
      <c r="E357" s="24" t="s">
        <v>578</v>
      </c>
      <c r="F357" s="2">
        <v>5</v>
      </c>
      <c r="G357" s="21">
        <v>2003</v>
      </c>
      <c r="H357" t="str">
        <f t="shared" si="5"/>
        <v>P03F04</v>
      </c>
      <c r="I357" t="s">
        <v>568</v>
      </c>
      <c r="J357" t="s">
        <v>579</v>
      </c>
      <c r="K357" s="22" t="s">
        <v>490</v>
      </c>
      <c r="M357" s="2" t="s">
        <v>8</v>
      </c>
      <c r="N357" s="2">
        <v>0</v>
      </c>
      <c r="O357" s="2">
        <v>10</v>
      </c>
    </row>
    <row r="358" spans="1:15" x14ac:dyDescent="0.2">
      <c r="A358" s="24" t="s">
        <v>460</v>
      </c>
      <c r="B358" s="24" t="s">
        <v>461</v>
      </c>
      <c r="C358" s="24" t="s">
        <v>274</v>
      </c>
      <c r="D358" s="24" t="s">
        <v>326</v>
      </c>
      <c r="E358" s="24" t="s">
        <v>578</v>
      </c>
      <c r="F358" s="2">
        <v>6</v>
      </c>
      <c r="G358" s="21">
        <v>2004</v>
      </c>
      <c r="H358" t="str">
        <f t="shared" si="5"/>
        <v>P04F04</v>
      </c>
      <c r="I358" t="s">
        <v>568</v>
      </c>
      <c r="J358" t="s">
        <v>579</v>
      </c>
      <c r="K358" s="22" t="s">
        <v>490</v>
      </c>
      <c r="M358" s="2" t="s">
        <v>8</v>
      </c>
      <c r="N358" s="2">
        <v>0</v>
      </c>
      <c r="O358" s="2">
        <v>10</v>
      </c>
    </row>
    <row r="359" spans="1:15" x14ac:dyDescent="0.2">
      <c r="A359" s="24" t="s">
        <v>460</v>
      </c>
      <c r="B359" s="24" t="s">
        <v>461</v>
      </c>
      <c r="C359" s="24" t="s">
        <v>274</v>
      </c>
      <c r="D359" s="24" t="s">
        <v>326</v>
      </c>
      <c r="E359" s="24" t="s">
        <v>578</v>
      </c>
      <c r="F359" s="2">
        <v>7</v>
      </c>
      <c r="G359" s="21">
        <v>2005</v>
      </c>
      <c r="H359" t="str">
        <f t="shared" si="5"/>
        <v>P05F04</v>
      </c>
      <c r="I359" t="s">
        <v>568</v>
      </c>
      <c r="J359" t="s">
        <v>579</v>
      </c>
      <c r="K359" s="22" t="s">
        <v>490</v>
      </c>
      <c r="M359" s="2" t="s">
        <v>8</v>
      </c>
      <c r="N359" s="2">
        <v>0</v>
      </c>
      <c r="O359" s="2">
        <v>10</v>
      </c>
    </row>
    <row r="360" spans="1:15" x14ac:dyDescent="0.2">
      <c r="A360" s="24" t="s">
        <v>460</v>
      </c>
      <c r="B360" s="24" t="s">
        <v>461</v>
      </c>
      <c r="C360" s="24" t="s">
        <v>274</v>
      </c>
      <c r="D360" s="24" t="s">
        <v>326</v>
      </c>
      <c r="E360" s="24" t="s">
        <v>578</v>
      </c>
      <c r="F360" s="2">
        <v>8</v>
      </c>
      <c r="G360" s="21">
        <v>2006</v>
      </c>
      <c r="H360" t="str">
        <f t="shared" si="5"/>
        <v>P06F04</v>
      </c>
      <c r="I360" t="s">
        <v>568</v>
      </c>
      <c r="J360" t="s">
        <v>579</v>
      </c>
      <c r="K360" s="22" t="s">
        <v>490</v>
      </c>
      <c r="M360" s="2" t="s">
        <v>8</v>
      </c>
      <c r="N360" s="2">
        <v>0</v>
      </c>
      <c r="O360" s="2">
        <v>10</v>
      </c>
    </row>
    <row r="361" spans="1:15" x14ac:dyDescent="0.2">
      <c r="A361" s="24" t="s">
        <v>460</v>
      </c>
      <c r="B361" s="24" t="s">
        <v>461</v>
      </c>
      <c r="C361" s="24" t="s">
        <v>274</v>
      </c>
      <c r="D361" s="24" t="s">
        <v>326</v>
      </c>
      <c r="E361" s="24" t="s">
        <v>578</v>
      </c>
      <c r="F361" s="2">
        <v>9</v>
      </c>
      <c r="G361" s="21">
        <v>2007</v>
      </c>
      <c r="H361" t="str">
        <f t="shared" si="5"/>
        <v>P07F04</v>
      </c>
      <c r="I361" t="s">
        <v>568</v>
      </c>
      <c r="J361" t="s">
        <v>579</v>
      </c>
      <c r="K361" s="22" t="s">
        <v>490</v>
      </c>
      <c r="M361" s="2" t="s">
        <v>8</v>
      </c>
      <c r="N361" s="2">
        <v>0</v>
      </c>
      <c r="O361" s="2">
        <v>10</v>
      </c>
    </row>
    <row r="362" spans="1:15" x14ac:dyDescent="0.2">
      <c r="A362" s="24" t="s">
        <v>460</v>
      </c>
      <c r="B362" s="24" t="s">
        <v>461</v>
      </c>
      <c r="C362" s="24" t="s">
        <v>274</v>
      </c>
      <c r="D362" s="24" t="s">
        <v>326</v>
      </c>
      <c r="E362" s="24" t="s">
        <v>578</v>
      </c>
      <c r="F362" s="2">
        <v>10</v>
      </c>
      <c r="G362" s="21">
        <v>2008</v>
      </c>
      <c r="H362" t="str">
        <f t="shared" si="5"/>
        <v>P08F04</v>
      </c>
      <c r="I362" t="s">
        <v>568</v>
      </c>
      <c r="J362" t="s">
        <v>579</v>
      </c>
      <c r="K362" s="22" t="s">
        <v>490</v>
      </c>
      <c r="M362" s="2" t="s">
        <v>8</v>
      </c>
      <c r="N362" s="2">
        <v>0</v>
      </c>
      <c r="O362" s="2">
        <v>10</v>
      </c>
    </row>
    <row r="363" spans="1:15" x14ac:dyDescent="0.2">
      <c r="A363" s="24" t="s">
        <v>460</v>
      </c>
      <c r="B363" s="24" t="s">
        <v>461</v>
      </c>
      <c r="C363" s="24" t="s">
        <v>274</v>
      </c>
      <c r="D363" s="24" t="s">
        <v>326</v>
      </c>
      <c r="E363" s="24" t="s">
        <v>578</v>
      </c>
      <c r="F363" s="2">
        <v>11</v>
      </c>
      <c r="G363" s="21">
        <v>2009</v>
      </c>
      <c r="H363" t="str">
        <f t="shared" si="5"/>
        <v>P09F04</v>
      </c>
      <c r="I363" t="s">
        <v>568</v>
      </c>
      <c r="J363" t="s">
        <v>579</v>
      </c>
      <c r="K363" s="22" t="s">
        <v>490</v>
      </c>
      <c r="M363" s="2" t="s">
        <v>8</v>
      </c>
      <c r="N363" s="2">
        <v>0</v>
      </c>
      <c r="O363" s="2">
        <v>10</v>
      </c>
    </row>
    <row r="364" spans="1:15" x14ac:dyDescent="0.2">
      <c r="A364" s="24" t="s">
        <v>460</v>
      </c>
      <c r="B364" s="24" t="s">
        <v>461</v>
      </c>
      <c r="C364" s="24" t="s">
        <v>274</v>
      </c>
      <c r="D364" s="24" t="s">
        <v>326</v>
      </c>
      <c r="E364" s="24" t="s">
        <v>578</v>
      </c>
      <c r="F364" s="2">
        <v>12</v>
      </c>
      <c r="G364" s="21">
        <v>2010</v>
      </c>
      <c r="H364" t="str">
        <f t="shared" si="5"/>
        <v>P10F04</v>
      </c>
      <c r="I364" t="s">
        <v>568</v>
      </c>
      <c r="J364" t="s">
        <v>579</v>
      </c>
      <c r="K364" s="22" t="s">
        <v>490</v>
      </c>
      <c r="M364" s="2" t="s">
        <v>8</v>
      </c>
      <c r="N364" s="2">
        <v>0</v>
      </c>
      <c r="O364" s="2">
        <v>10</v>
      </c>
    </row>
    <row r="365" spans="1:15" x14ac:dyDescent="0.2">
      <c r="A365" s="24" t="s">
        <v>460</v>
      </c>
      <c r="B365" s="24" t="s">
        <v>461</v>
      </c>
      <c r="C365" s="24" t="s">
        <v>274</v>
      </c>
      <c r="D365" s="24" t="s">
        <v>326</v>
      </c>
      <c r="E365" s="24" t="s">
        <v>578</v>
      </c>
      <c r="F365" s="2">
        <v>13</v>
      </c>
      <c r="G365" s="21">
        <v>2011</v>
      </c>
      <c r="H365" t="str">
        <f t="shared" si="5"/>
        <v>P11F04</v>
      </c>
      <c r="I365" t="s">
        <v>568</v>
      </c>
      <c r="J365" t="s">
        <v>579</v>
      </c>
      <c r="K365" s="22" t="s">
        <v>490</v>
      </c>
      <c r="M365" s="2" t="s">
        <v>8</v>
      </c>
      <c r="N365" s="2">
        <v>0</v>
      </c>
      <c r="O365" s="2">
        <v>10</v>
      </c>
    </row>
    <row r="366" spans="1:15" x14ac:dyDescent="0.2">
      <c r="A366" s="24" t="s">
        <v>460</v>
      </c>
      <c r="B366" s="24" t="s">
        <v>461</v>
      </c>
      <c r="C366" s="24" t="s">
        <v>274</v>
      </c>
      <c r="D366" s="24" t="s">
        <v>326</v>
      </c>
      <c r="E366" s="24" t="s">
        <v>578</v>
      </c>
      <c r="F366" s="2">
        <v>14</v>
      </c>
      <c r="G366" s="21">
        <v>2012</v>
      </c>
      <c r="H366" t="str">
        <f t="shared" si="5"/>
        <v>P12F04</v>
      </c>
      <c r="I366" t="s">
        <v>568</v>
      </c>
      <c r="J366" t="s">
        <v>579</v>
      </c>
      <c r="K366" s="22" t="s">
        <v>490</v>
      </c>
      <c r="M366" s="2" t="s">
        <v>8</v>
      </c>
      <c r="N366" s="2">
        <v>0</v>
      </c>
      <c r="O366" s="2">
        <v>10</v>
      </c>
    </row>
    <row r="367" spans="1:15" x14ac:dyDescent="0.2">
      <c r="A367" s="24" t="s">
        <v>460</v>
      </c>
      <c r="B367" s="24" t="s">
        <v>461</v>
      </c>
      <c r="C367" s="24" t="s">
        <v>274</v>
      </c>
      <c r="D367" s="24" t="s">
        <v>326</v>
      </c>
      <c r="E367" s="24" t="s">
        <v>578</v>
      </c>
      <c r="F367" s="2">
        <v>15</v>
      </c>
      <c r="G367" s="21">
        <v>2013</v>
      </c>
      <c r="H367" t="str">
        <f t="shared" si="5"/>
        <v>P13F04</v>
      </c>
      <c r="I367" t="s">
        <v>568</v>
      </c>
      <c r="J367" t="s">
        <v>579</v>
      </c>
      <c r="K367" s="22" t="s">
        <v>490</v>
      </c>
      <c r="M367" s="2" t="s">
        <v>8</v>
      </c>
      <c r="N367" s="2">
        <v>0</v>
      </c>
      <c r="O367" s="2">
        <v>10</v>
      </c>
    </row>
    <row r="368" spans="1:15" x14ac:dyDescent="0.2">
      <c r="A368" s="24" t="s">
        <v>460</v>
      </c>
      <c r="B368" s="24" t="s">
        <v>461</v>
      </c>
      <c r="C368" s="24" t="s">
        <v>274</v>
      </c>
      <c r="D368" s="24" t="s">
        <v>326</v>
      </c>
      <c r="E368" s="24" t="s">
        <v>578</v>
      </c>
      <c r="F368" s="2">
        <v>16</v>
      </c>
      <c r="G368" s="21">
        <v>2014</v>
      </c>
      <c r="H368" t="str">
        <f t="shared" si="5"/>
        <v>P14F04</v>
      </c>
      <c r="I368" t="s">
        <v>568</v>
      </c>
      <c r="J368" t="s">
        <v>579</v>
      </c>
      <c r="K368" s="22" t="s">
        <v>490</v>
      </c>
      <c r="M368" s="2" t="s">
        <v>8</v>
      </c>
      <c r="N368" s="2">
        <v>0</v>
      </c>
      <c r="O368" s="2">
        <v>10</v>
      </c>
    </row>
    <row r="369" spans="1:15" x14ac:dyDescent="0.2">
      <c r="A369" s="24" t="s">
        <v>460</v>
      </c>
      <c r="B369" s="24" t="s">
        <v>461</v>
      </c>
      <c r="C369" s="24" t="s">
        <v>274</v>
      </c>
      <c r="D369" s="24" t="s">
        <v>326</v>
      </c>
      <c r="E369" s="24" t="s">
        <v>578</v>
      </c>
      <c r="F369" s="2">
        <v>17</v>
      </c>
      <c r="G369" s="21">
        <v>2015</v>
      </c>
      <c r="H369" t="str">
        <f t="shared" si="5"/>
        <v>P15F04</v>
      </c>
      <c r="I369" t="s">
        <v>568</v>
      </c>
      <c r="J369" t="s">
        <v>579</v>
      </c>
      <c r="K369" s="22" t="s">
        <v>490</v>
      </c>
      <c r="M369" s="2" t="s">
        <v>8</v>
      </c>
      <c r="N369" s="2">
        <v>0</v>
      </c>
      <c r="O369" s="2">
        <v>10</v>
      </c>
    </row>
    <row r="370" spans="1:15" x14ac:dyDescent="0.2">
      <c r="A370" s="24" t="s">
        <v>460</v>
      </c>
      <c r="B370" s="24" t="s">
        <v>461</v>
      </c>
      <c r="C370" s="24" t="s">
        <v>274</v>
      </c>
      <c r="D370" s="24" t="s">
        <v>326</v>
      </c>
      <c r="E370" s="24" t="s">
        <v>578</v>
      </c>
      <c r="F370" s="2">
        <v>18</v>
      </c>
      <c r="G370" s="21">
        <v>2016</v>
      </c>
      <c r="H370" t="str">
        <f t="shared" si="5"/>
        <v>P16F04</v>
      </c>
      <c r="I370" t="s">
        <v>568</v>
      </c>
      <c r="J370" t="s">
        <v>579</v>
      </c>
      <c r="K370" s="22" t="s">
        <v>490</v>
      </c>
      <c r="M370" s="2" t="s">
        <v>8</v>
      </c>
      <c r="N370" s="2">
        <v>0</v>
      </c>
      <c r="O370" s="2">
        <v>10</v>
      </c>
    </row>
    <row r="371" spans="1:15" x14ac:dyDescent="0.2">
      <c r="A371" s="24" t="s">
        <v>460</v>
      </c>
      <c r="B371" s="24" t="s">
        <v>461</v>
      </c>
      <c r="C371" s="24" t="s">
        <v>274</v>
      </c>
      <c r="D371" s="24" t="s">
        <v>326</v>
      </c>
      <c r="E371" s="24" t="s">
        <v>578</v>
      </c>
      <c r="F371" s="2">
        <v>19</v>
      </c>
      <c r="G371" s="21">
        <v>2017</v>
      </c>
      <c r="H371" t="str">
        <f t="shared" si="5"/>
        <v>P17F04</v>
      </c>
      <c r="I371" t="s">
        <v>568</v>
      </c>
      <c r="J371" t="s">
        <v>579</v>
      </c>
      <c r="K371" s="22" t="s">
        <v>490</v>
      </c>
      <c r="M371" s="2" t="s">
        <v>8</v>
      </c>
      <c r="N371" s="2">
        <v>0</v>
      </c>
      <c r="O371" s="2">
        <v>10</v>
      </c>
    </row>
    <row r="372" spans="1:15" x14ac:dyDescent="0.2">
      <c r="A372" s="24" t="s">
        <v>460</v>
      </c>
      <c r="B372" s="24" t="s">
        <v>461</v>
      </c>
      <c r="C372" s="24" t="s">
        <v>274</v>
      </c>
      <c r="D372" s="24" t="s">
        <v>326</v>
      </c>
      <c r="E372" s="24" t="s">
        <v>578</v>
      </c>
      <c r="F372" s="2">
        <v>20</v>
      </c>
      <c r="G372" s="21">
        <v>2018</v>
      </c>
      <c r="H372" t="str">
        <f t="shared" si="5"/>
        <v>P18F04</v>
      </c>
      <c r="I372" t="s">
        <v>568</v>
      </c>
      <c r="J372" t="s">
        <v>579</v>
      </c>
      <c r="K372" s="22" t="s">
        <v>490</v>
      </c>
      <c r="M372" s="2" t="s">
        <v>8</v>
      </c>
      <c r="N372" s="2">
        <v>0</v>
      </c>
      <c r="O372" s="2">
        <v>10</v>
      </c>
    </row>
    <row r="373" spans="1:15" x14ac:dyDescent="0.2">
      <c r="A373" s="24" t="s">
        <v>460</v>
      </c>
      <c r="B373" s="24" t="s">
        <v>461</v>
      </c>
      <c r="C373" s="24" t="s">
        <v>274</v>
      </c>
      <c r="D373" s="24" t="s">
        <v>326</v>
      </c>
      <c r="E373" s="24" t="s">
        <v>578</v>
      </c>
      <c r="F373" s="2">
        <v>21</v>
      </c>
      <c r="G373" s="21">
        <v>2019</v>
      </c>
      <c r="H373" t="str">
        <f t="shared" si="5"/>
        <v>P19F04</v>
      </c>
      <c r="I373" t="s">
        <v>568</v>
      </c>
      <c r="J373" t="s">
        <v>579</v>
      </c>
      <c r="K373" s="22" t="s">
        <v>490</v>
      </c>
      <c r="M373" s="2" t="s">
        <v>8</v>
      </c>
      <c r="N373" s="2">
        <v>0</v>
      </c>
      <c r="O373" s="2">
        <v>10</v>
      </c>
    </row>
    <row r="374" spans="1:15" x14ac:dyDescent="0.2">
      <c r="A374" s="23" t="s">
        <v>460</v>
      </c>
      <c r="B374" s="23" t="s">
        <v>461</v>
      </c>
      <c r="C374" s="23" t="s">
        <v>274</v>
      </c>
      <c r="D374" s="23" t="s">
        <v>457</v>
      </c>
      <c r="E374" s="23" t="s">
        <v>458</v>
      </c>
      <c r="F374" s="2">
        <v>3</v>
      </c>
      <c r="G374" s="21">
        <v>2001</v>
      </c>
      <c r="H374" t="str">
        <f t="shared" si="5"/>
        <v>P01QL04</v>
      </c>
      <c r="I374" t="s">
        <v>569</v>
      </c>
      <c r="J374" t="s">
        <v>594</v>
      </c>
      <c r="K374" s="22" t="s">
        <v>490</v>
      </c>
      <c r="M374" s="2" t="s">
        <v>8</v>
      </c>
      <c r="N374" s="2">
        <v>0</v>
      </c>
      <c r="O374" s="2">
        <v>10</v>
      </c>
    </row>
    <row r="375" spans="1:15" x14ac:dyDescent="0.2">
      <c r="A375" s="23" t="s">
        <v>460</v>
      </c>
      <c r="B375" s="23" t="s">
        <v>461</v>
      </c>
      <c r="C375" s="23" t="s">
        <v>274</v>
      </c>
      <c r="D375" s="23" t="s">
        <v>457</v>
      </c>
      <c r="E375" s="23" t="s">
        <v>458</v>
      </c>
      <c r="F375" s="2">
        <v>4</v>
      </c>
      <c r="G375" s="21">
        <v>2002</v>
      </c>
      <c r="H375" t="str">
        <f t="shared" si="5"/>
        <v>P02QL04</v>
      </c>
      <c r="I375" t="s">
        <v>569</v>
      </c>
      <c r="J375" t="s">
        <v>594</v>
      </c>
      <c r="K375" s="22" t="s">
        <v>490</v>
      </c>
      <c r="M375" s="2" t="s">
        <v>8</v>
      </c>
      <c r="N375" s="2">
        <v>0</v>
      </c>
      <c r="O375" s="2">
        <v>10</v>
      </c>
    </row>
    <row r="376" spans="1:15" x14ac:dyDescent="0.2">
      <c r="A376" s="23" t="s">
        <v>460</v>
      </c>
      <c r="B376" s="23" t="s">
        <v>461</v>
      </c>
      <c r="C376" s="23" t="s">
        <v>274</v>
      </c>
      <c r="D376" s="23" t="s">
        <v>457</v>
      </c>
      <c r="E376" s="23" t="s">
        <v>458</v>
      </c>
      <c r="F376" s="2">
        <v>5</v>
      </c>
      <c r="G376" s="21">
        <v>2003</v>
      </c>
      <c r="H376" t="str">
        <f t="shared" si="5"/>
        <v>P03QL04</v>
      </c>
      <c r="I376" t="s">
        <v>569</v>
      </c>
      <c r="J376" t="s">
        <v>594</v>
      </c>
      <c r="K376" s="22" t="s">
        <v>490</v>
      </c>
      <c r="M376" s="2" t="s">
        <v>8</v>
      </c>
      <c r="N376" s="2">
        <v>0</v>
      </c>
      <c r="O376" s="2">
        <v>10</v>
      </c>
    </row>
    <row r="377" spans="1:15" x14ac:dyDescent="0.2">
      <c r="A377" s="23" t="s">
        <v>460</v>
      </c>
      <c r="B377" s="23" t="s">
        <v>461</v>
      </c>
      <c r="C377" s="23" t="s">
        <v>274</v>
      </c>
      <c r="D377" s="23" t="s">
        <v>457</v>
      </c>
      <c r="E377" s="23" t="s">
        <v>458</v>
      </c>
      <c r="F377" s="2">
        <v>6</v>
      </c>
      <c r="G377" s="21">
        <v>2004</v>
      </c>
      <c r="H377" t="str">
        <f t="shared" si="5"/>
        <v>P04QL04</v>
      </c>
      <c r="I377" t="s">
        <v>569</v>
      </c>
      <c r="J377" t="s">
        <v>594</v>
      </c>
      <c r="K377" s="22" t="s">
        <v>490</v>
      </c>
      <c r="M377" s="2" t="s">
        <v>8</v>
      </c>
      <c r="N377" s="2">
        <v>0</v>
      </c>
      <c r="O377" s="2">
        <v>10</v>
      </c>
    </row>
    <row r="378" spans="1:15" x14ac:dyDescent="0.2">
      <c r="A378" s="23" t="s">
        <v>460</v>
      </c>
      <c r="B378" s="23" t="s">
        <v>461</v>
      </c>
      <c r="C378" s="23" t="s">
        <v>274</v>
      </c>
      <c r="D378" s="23" t="s">
        <v>457</v>
      </c>
      <c r="E378" s="23" t="s">
        <v>458</v>
      </c>
      <c r="F378" s="2">
        <v>7</v>
      </c>
      <c r="G378" s="21">
        <v>2005</v>
      </c>
      <c r="H378" t="str">
        <f t="shared" si="5"/>
        <v>P05QL04</v>
      </c>
      <c r="I378" t="s">
        <v>569</v>
      </c>
      <c r="J378" t="s">
        <v>594</v>
      </c>
      <c r="K378" s="22" t="s">
        <v>490</v>
      </c>
      <c r="M378" s="2" t="s">
        <v>8</v>
      </c>
      <c r="N378" s="2">
        <v>0</v>
      </c>
      <c r="O378" s="2">
        <v>10</v>
      </c>
    </row>
    <row r="379" spans="1:15" x14ac:dyDescent="0.2">
      <c r="A379" s="23" t="s">
        <v>460</v>
      </c>
      <c r="B379" s="23" t="s">
        <v>461</v>
      </c>
      <c r="C379" s="23" t="s">
        <v>274</v>
      </c>
      <c r="D379" s="23" t="s">
        <v>457</v>
      </c>
      <c r="E379" s="23" t="s">
        <v>458</v>
      </c>
      <c r="F379" s="2">
        <v>8</v>
      </c>
      <c r="G379" s="21">
        <v>2006</v>
      </c>
      <c r="H379" t="str">
        <f t="shared" si="5"/>
        <v>P06QL04</v>
      </c>
      <c r="I379" t="s">
        <v>569</v>
      </c>
      <c r="J379" t="s">
        <v>594</v>
      </c>
      <c r="K379" s="22" t="s">
        <v>490</v>
      </c>
      <c r="M379" s="2" t="s">
        <v>8</v>
      </c>
      <c r="N379" s="2">
        <v>0</v>
      </c>
      <c r="O379" s="2">
        <v>10</v>
      </c>
    </row>
    <row r="380" spans="1:15" x14ac:dyDescent="0.2">
      <c r="A380" s="23" t="s">
        <v>460</v>
      </c>
      <c r="B380" s="23" t="s">
        <v>461</v>
      </c>
      <c r="C380" s="23" t="s">
        <v>274</v>
      </c>
      <c r="D380" s="23" t="s">
        <v>457</v>
      </c>
      <c r="E380" s="23" t="s">
        <v>458</v>
      </c>
      <c r="F380" s="2">
        <v>9</v>
      </c>
      <c r="G380" s="21">
        <v>2007</v>
      </c>
      <c r="H380" t="str">
        <f t="shared" si="5"/>
        <v>P07QL04</v>
      </c>
      <c r="I380" t="s">
        <v>569</v>
      </c>
      <c r="J380" t="s">
        <v>594</v>
      </c>
      <c r="K380" s="22" t="s">
        <v>490</v>
      </c>
      <c r="M380" s="2" t="s">
        <v>8</v>
      </c>
      <c r="N380" s="2">
        <v>0</v>
      </c>
      <c r="O380" s="2">
        <v>10</v>
      </c>
    </row>
    <row r="381" spans="1:15" x14ac:dyDescent="0.2">
      <c r="A381" s="23" t="s">
        <v>460</v>
      </c>
      <c r="B381" s="23" t="s">
        <v>461</v>
      </c>
      <c r="C381" s="23" t="s">
        <v>274</v>
      </c>
      <c r="D381" s="23" t="s">
        <v>457</v>
      </c>
      <c r="E381" s="23" t="s">
        <v>458</v>
      </c>
      <c r="F381" s="2">
        <v>10</v>
      </c>
      <c r="G381" s="21">
        <v>2008</v>
      </c>
      <c r="H381" t="str">
        <f t="shared" si="5"/>
        <v>P08QL04</v>
      </c>
      <c r="I381" t="s">
        <v>569</v>
      </c>
      <c r="J381" t="s">
        <v>594</v>
      </c>
      <c r="K381" s="22" t="s">
        <v>490</v>
      </c>
      <c r="M381" s="2" t="s">
        <v>8</v>
      </c>
      <c r="N381" s="2">
        <v>0</v>
      </c>
      <c r="O381" s="2">
        <v>10</v>
      </c>
    </row>
    <row r="382" spans="1:15" x14ac:dyDescent="0.2">
      <c r="A382" s="23" t="s">
        <v>460</v>
      </c>
      <c r="B382" s="23" t="s">
        <v>461</v>
      </c>
      <c r="C382" s="23" t="s">
        <v>274</v>
      </c>
      <c r="D382" s="23" t="s">
        <v>457</v>
      </c>
      <c r="E382" s="23" t="s">
        <v>458</v>
      </c>
      <c r="F382" s="2">
        <v>11</v>
      </c>
      <c r="G382" s="21">
        <v>2009</v>
      </c>
      <c r="H382" t="str">
        <f t="shared" si="5"/>
        <v>P09QL04</v>
      </c>
      <c r="I382" t="s">
        <v>569</v>
      </c>
      <c r="J382" t="s">
        <v>594</v>
      </c>
      <c r="K382" s="22" t="s">
        <v>490</v>
      </c>
      <c r="M382" s="2" t="s">
        <v>8</v>
      </c>
      <c r="N382" s="2">
        <v>0</v>
      </c>
      <c r="O382" s="2">
        <v>10</v>
      </c>
    </row>
    <row r="383" spans="1:15" x14ac:dyDescent="0.2">
      <c r="A383" s="23" t="s">
        <v>460</v>
      </c>
      <c r="B383" s="23" t="s">
        <v>461</v>
      </c>
      <c r="C383" s="23" t="s">
        <v>274</v>
      </c>
      <c r="D383" s="23" t="s">
        <v>457</v>
      </c>
      <c r="E383" s="23" t="s">
        <v>458</v>
      </c>
      <c r="F383" s="2">
        <v>12</v>
      </c>
      <c r="G383" s="21">
        <v>2010</v>
      </c>
      <c r="H383" t="str">
        <f t="shared" ref="H383:H430" si="6">"P"&amp;RIGHT(G383,2)&amp;I383</f>
        <v>P10QL04</v>
      </c>
      <c r="I383" t="s">
        <v>569</v>
      </c>
      <c r="J383" t="s">
        <v>594</v>
      </c>
      <c r="K383" s="22" t="s">
        <v>490</v>
      </c>
      <c r="M383" s="2" t="s">
        <v>8</v>
      </c>
      <c r="N383" s="2">
        <v>0</v>
      </c>
      <c r="O383" s="2">
        <v>10</v>
      </c>
    </row>
    <row r="384" spans="1:15" x14ac:dyDescent="0.2">
      <c r="A384" s="23" t="s">
        <v>460</v>
      </c>
      <c r="B384" s="23" t="s">
        <v>461</v>
      </c>
      <c r="C384" s="23" t="s">
        <v>274</v>
      </c>
      <c r="D384" s="23" t="s">
        <v>457</v>
      </c>
      <c r="E384" s="23" t="s">
        <v>458</v>
      </c>
      <c r="F384" s="2">
        <v>13</v>
      </c>
      <c r="G384" s="21">
        <v>2011</v>
      </c>
      <c r="H384" t="str">
        <f t="shared" si="6"/>
        <v>P11QL04</v>
      </c>
      <c r="I384" t="s">
        <v>569</v>
      </c>
      <c r="J384" t="s">
        <v>594</v>
      </c>
      <c r="K384" s="22" t="s">
        <v>490</v>
      </c>
      <c r="M384" s="2" t="s">
        <v>8</v>
      </c>
      <c r="N384" s="2">
        <v>0</v>
      </c>
      <c r="O384" s="2">
        <v>10</v>
      </c>
    </row>
    <row r="385" spans="1:15" x14ac:dyDescent="0.2">
      <c r="A385" s="23" t="s">
        <v>460</v>
      </c>
      <c r="B385" s="23" t="s">
        <v>461</v>
      </c>
      <c r="C385" s="23" t="s">
        <v>274</v>
      </c>
      <c r="D385" s="23" t="s">
        <v>457</v>
      </c>
      <c r="E385" s="23" t="s">
        <v>458</v>
      </c>
      <c r="F385" s="2">
        <v>14</v>
      </c>
      <c r="G385" s="21">
        <v>2012</v>
      </c>
      <c r="H385" t="str">
        <f t="shared" si="6"/>
        <v>P12QL04</v>
      </c>
      <c r="I385" t="s">
        <v>569</v>
      </c>
      <c r="J385" t="s">
        <v>594</v>
      </c>
      <c r="K385" s="22" t="s">
        <v>490</v>
      </c>
      <c r="M385" s="2" t="s">
        <v>8</v>
      </c>
      <c r="N385" s="2">
        <v>0</v>
      </c>
      <c r="O385" s="2">
        <v>10</v>
      </c>
    </row>
    <row r="386" spans="1:15" x14ac:dyDescent="0.2">
      <c r="A386" s="23" t="s">
        <v>460</v>
      </c>
      <c r="B386" s="23" t="s">
        <v>461</v>
      </c>
      <c r="C386" s="23" t="s">
        <v>274</v>
      </c>
      <c r="D386" s="23" t="s">
        <v>457</v>
      </c>
      <c r="E386" s="23" t="s">
        <v>458</v>
      </c>
      <c r="F386" s="2">
        <v>15</v>
      </c>
      <c r="G386" s="21">
        <v>2013</v>
      </c>
      <c r="H386" t="str">
        <f t="shared" si="6"/>
        <v>P13QL04</v>
      </c>
      <c r="I386" t="s">
        <v>569</v>
      </c>
      <c r="J386" t="s">
        <v>594</v>
      </c>
      <c r="K386" s="22" t="s">
        <v>490</v>
      </c>
      <c r="M386" s="2" t="s">
        <v>8</v>
      </c>
      <c r="N386" s="2">
        <v>0</v>
      </c>
      <c r="O386" s="2">
        <v>10</v>
      </c>
    </row>
    <row r="387" spans="1:15" x14ac:dyDescent="0.2">
      <c r="A387" s="23" t="s">
        <v>460</v>
      </c>
      <c r="B387" s="23" t="s">
        <v>461</v>
      </c>
      <c r="C387" s="23" t="s">
        <v>274</v>
      </c>
      <c r="D387" s="23" t="s">
        <v>457</v>
      </c>
      <c r="E387" s="23" t="s">
        <v>458</v>
      </c>
      <c r="F387" s="2">
        <v>16</v>
      </c>
      <c r="G387" s="21">
        <v>2014</v>
      </c>
      <c r="H387" t="str">
        <f t="shared" si="6"/>
        <v>P14QL04</v>
      </c>
      <c r="I387" t="s">
        <v>569</v>
      </c>
      <c r="J387" t="s">
        <v>594</v>
      </c>
      <c r="K387" s="22" t="s">
        <v>490</v>
      </c>
      <c r="M387" s="2" t="s">
        <v>8</v>
      </c>
      <c r="N387" s="2">
        <v>0</v>
      </c>
      <c r="O387" s="2">
        <v>10</v>
      </c>
    </row>
    <row r="388" spans="1:15" x14ac:dyDescent="0.2">
      <c r="A388" s="23" t="s">
        <v>460</v>
      </c>
      <c r="B388" s="23" t="s">
        <v>461</v>
      </c>
      <c r="C388" s="23" t="s">
        <v>274</v>
      </c>
      <c r="D388" s="23" t="s">
        <v>457</v>
      </c>
      <c r="E388" s="23" t="s">
        <v>458</v>
      </c>
      <c r="F388" s="2">
        <v>17</v>
      </c>
      <c r="G388" s="21">
        <v>2015</v>
      </c>
      <c r="H388" t="str">
        <f t="shared" si="6"/>
        <v>P15QL04</v>
      </c>
      <c r="I388" t="s">
        <v>569</v>
      </c>
      <c r="J388" t="s">
        <v>594</v>
      </c>
      <c r="K388" s="22" t="s">
        <v>490</v>
      </c>
      <c r="M388" s="2" t="s">
        <v>8</v>
      </c>
      <c r="N388" s="2">
        <v>0</v>
      </c>
      <c r="O388" s="2">
        <v>10</v>
      </c>
    </row>
    <row r="389" spans="1:15" x14ac:dyDescent="0.2">
      <c r="A389" s="23" t="s">
        <v>460</v>
      </c>
      <c r="B389" s="23" t="s">
        <v>461</v>
      </c>
      <c r="C389" s="23" t="s">
        <v>274</v>
      </c>
      <c r="D389" s="23" t="s">
        <v>457</v>
      </c>
      <c r="E389" s="23" t="s">
        <v>458</v>
      </c>
      <c r="F389" s="2">
        <v>18</v>
      </c>
      <c r="G389" s="21">
        <v>2016</v>
      </c>
      <c r="H389" t="str">
        <f t="shared" si="6"/>
        <v>P16QL04</v>
      </c>
      <c r="I389" t="s">
        <v>569</v>
      </c>
      <c r="J389" t="s">
        <v>594</v>
      </c>
      <c r="K389" s="22" t="s">
        <v>490</v>
      </c>
      <c r="M389" s="2" t="s">
        <v>8</v>
      </c>
      <c r="N389" s="2">
        <v>0</v>
      </c>
      <c r="O389" s="2">
        <v>10</v>
      </c>
    </row>
    <row r="390" spans="1:15" x14ac:dyDescent="0.2">
      <c r="A390" s="23" t="s">
        <v>460</v>
      </c>
      <c r="B390" s="23" t="s">
        <v>461</v>
      </c>
      <c r="C390" s="23" t="s">
        <v>274</v>
      </c>
      <c r="D390" s="23" t="s">
        <v>457</v>
      </c>
      <c r="E390" s="23" t="s">
        <v>458</v>
      </c>
      <c r="F390" s="2">
        <v>19</v>
      </c>
      <c r="G390" s="21">
        <v>2017</v>
      </c>
      <c r="H390" t="str">
        <f t="shared" si="6"/>
        <v>P17QL04</v>
      </c>
      <c r="I390" t="s">
        <v>569</v>
      </c>
      <c r="J390" t="s">
        <v>594</v>
      </c>
      <c r="K390" s="22" t="s">
        <v>490</v>
      </c>
      <c r="M390" s="2" t="s">
        <v>8</v>
      </c>
      <c r="N390" s="2">
        <v>0</v>
      </c>
      <c r="O390" s="2">
        <v>10</v>
      </c>
    </row>
    <row r="391" spans="1:15" x14ac:dyDescent="0.2">
      <c r="A391" s="23" t="s">
        <v>460</v>
      </c>
      <c r="B391" s="23" t="s">
        <v>461</v>
      </c>
      <c r="C391" s="23" t="s">
        <v>274</v>
      </c>
      <c r="D391" s="23" t="s">
        <v>457</v>
      </c>
      <c r="E391" s="23" t="s">
        <v>458</v>
      </c>
      <c r="F391" s="2">
        <v>20</v>
      </c>
      <c r="G391" s="21">
        <v>2018</v>
      </c>
      <c r="H391" t="str">
        <f t="shared" si="6"/>
        <v>P18QL04</v>
      </c>
      <c r="I391" t="s">
        <v>569</v>
      </c>
      <c r="J391" t="s">
        <v>594</v>
      </c>
      <c r="K391" s="22" t="s">
        <v>490</v>
      </c>
      <c r="M391" s="2" t="s">
        <v>8</v>
      </c>
      <c r="N391" s="2">
        <v>0</v>
      </c>
      <c r="O391" s="2">
        <v>10</v>
      </c>
    </row>
    <row r="392" spans="1:15" x14ac:dyDescent="0.2">
      <c r="A392" s="23" t="s">
        <v>460</v>
      </c>
      <c r="B392" s="23" t="s">
        <v>461</v>
      </c>
      <c r="C392" s="23" t="s">
        <v>274</v>
      </c>
      <c r="D392" s="23" t="s">
        <v>457</v>
      </c>
      <c r="E392" s="23" t="s">
        <v>458</v>
      </c>
      <c r="F392" s="2">
        <v>21</v>
      </c>
      <c r="G392" s="21">
        <v>2019</v>
      </c>
      <c r="H392" t="str">
        <f t="shared" si="6"/>
        <v>P19QL04</v>
      </c>
      <c r="I392" t="s">
        <v>569</v>
      </c>
      <c r="J392" t="s">
        <v>594</v>
      </c>
      <c r="K392" s="22" t="s">
        <v>490</v>
      </c>
      <c r="M392" s="2" t="s">
        <v>8</v>
      </c>
      <c r="N392" s="2">
        <v>0</v>
      </c>
      <c r="O392" s="2">
        <v>10</v>
      </c>
    </row>
    <row r="393" spans="1:15" x14ac:dyDescent="0.2">
      <c r="A393" s="24" t="s">
        <v>460</v>
      </c>
      <c r="B393" s="24" t="s">
        <v>461</v>
      </c>
      <c r="C393" s="24" t="s">
        <v>274</v>
      </c>
      <c r="D393" s="24" t="s">
        <v>447</v>
      </c>
      <c r="E393" s="24" t="s">
        <v>448</v>
      </c>
      <c r="F393" s="2">
        <v>3</v>
      </c>
      <c r="G393" s="21">
        <v>2001</v>
      </c>
      <c r="H393" t="str">
        <f t="shared" si="6"/>
        <v>P01A05</v>
      </c>
      <c r="I393" t="s">
        <v>570</v>
      </c>
      <c r="J393" t="s">
        <v>595</v>
      </c>
      <c r="K393" s="22" t="s">
        <v>490</v>
      </c>
      <c r="M393" s="2" t="s">
        <v>8</v>
      </c>
      <c r="N393" s="2">
        <v>0</v>
      </c>
      <c r="O393" s="2">
        <v>10</v>
      </c>
    </row>
    <row r="394" spans="1:15" x14ac:dyDescent="0.2">
      <c r="A394" s="24" t="s">
        <v>460</v>
      </c>
      <c r="B394" s="24" t="s">
        <v>461</v>
      </c>
      <c r="C394" s="24" t="s">
        <v>274</v>
      </c>
      <c r="D394" s="24" t="s">
        <v>447</v>
      </c>
      <c r="E394" s="24" t="s">
        <v>448</v>
      </c>
      <c r="F394" s="2">
        <v>4</v>
      </c>
      <c r="G394" s="21">
        <v>2002</v>
      </c>
      <c r="H394" t="str">
        <f t="shared" si="6"/>
        <v>P02A05</v>
      </c>
      <c r="I394" t="s">
        <v>570</v>
      </c>
      <c r="J394" t="s">
        <v>595</v>
      </c>
      <c r="K394" s="22" t="s">
        <v>490</v>
      </c>
      <c r="M394" s="2" t="s">
        <v>8</v>
      </c>
      <c r="N394" s="2">
        <v>0</v>
      </c>
      <c r="O394" s="2">
        <v>10</v>
      </c>
    </row>
    <row r="395" spans="1:15" x14ac:dyDescent="0.2">
      <c r="A395" s="24" t="s">
        <v>460</v>
      </c>
      <c r="B395" s="24" t="s">
        <v>461</v>
      </c>
      <c r="C395" s="24" t="s">
        <v>274</v>
      </c>
      <c r="D395" s="24" t="s">
        <v>447</v>
      </c>
      <c r="E395" s="24" t="s">
        <v>448</v>
      </c>
      <c r="F395" s="2">
        <v>5</v>
      </c>
      <c r="G395" s="21">
        <v>2003</v>
      </c>
      <c r="H395" t="str">
        <f t="shared" si="6"/>
        <v>P03A05</v>
      </c>
      <c r="I395" t="s">
        <v>570</v>
      </c>
      <c r="J395" t="s">
        <v>595</v>
      </c>
      <c r="K395" s="22" t="s">
        <v>490</v>
      </c>
      <c r="M395" s="2" t="s">
        <v>8</v>
      </c>
      <c r="N395" s="2">
        <v>0</v>
      </c>
      <c r="O395" s="2">
        <v>10</v>
      </c>
    </row>
    <row r="396" spans="1:15" x14ac:dyDescent="0.2">
      <c r="A396" s="24" t="s">
        <v>460</v>
      </c>
      <c r="B396" s="24" t="s">
        <v>461</v>
      </c>
      <c r="C396" s="24" t="s">
        <v>274</v>
      </c>
      <c r="D396" s="24" t="s">
        <v>447</v>
      </c>
      <c r="E396" s="24" t="s">
        <v>448</v>
      </c>
      <c r="F396" s="2">
        <v>6</v>
      </c>
      <c r="G396" s="21">
        <v>2004</v>
      </c>
      <c r="H396" t="str">
        <f t="shared" si="6"/>
        <v>P04A05</v>
      </c>
      <c r="I396" t="s">
        <v>570</v>
      </c>
      <c r="J396" t="s">
        <v>595</v>
      </c>
      <c r="K396" s="22" t="s">
        <v>490</v>
      </c>
      <c r="M396" s="2" t="s">
        <v>8</v>
      </c>
      <c r="N396" s="2">
        <v>0</v>
      </c>
      <c r="O396" s="2">
        <v>10</v>
      </c>
    </row>
    <row r="397" spans="1:15" x14ac:dyDescent="0.2">
      <c r="A397" s="24" t="s">
        <v>460</v>
      </c>
      <c r="B397" s="24" t="s">
        <v>461</v>
      </c>
      <c r="C397" s="24" t="s">
        <v>274</v>
      </c>
      <c r="D397" s="24" t="s">
        <v>447</v>
      </c>
      <c r="E397" s="24" t="s">
        <v>448</v>
      </c>
      <c r="F397" s="2">
        <v>7</v>
      </c>
      <c r="G397" s="21">
        <v>2005</v>
      </c>
      <c r="H397" t="str">
        <f t="shared" si="6"/>
        <v>P05A05</v>
      </c>
      <c r="I397" t="s">
        <v>570</v>
      </c>
      <c r="J397" t="s">
        <v>595</v>
      </c>
      <c r="K397" s="22" t="s">
        <v>490</v>
      </c>
      <c r="M397" s="2" t="s">
        <v>8</v>
      </c>
      <c r="N397" s="2">
        <v>0</v>
      </c>
      <c r="O397" s="2">
        <v>10</v>
      </c>
    </row>
    <row r="398" spans="1:15" x14ac:dyDescent="0.2">
      <c r="A398" s="24" t="s">
        <v>460</v>
      </c>
      <c r="B398" s="24" t="s">
        <v>461</v>
      </c>
      <c r="C398" s="24" t="s">
        <v>274</v>
      </c>
      <c r="D398" s="24" t="s">
        <v>447</v>
      </c>
      <c r="E398" s="24" t="s">
        <v>448</v>
      </c>
      <c r="F398" s="2">
        <v>8</v>
      </c>
      <c r="G398" s="21">
        <v>2006</v>
      </c>
      <c r="H398" t="str">
        <f t="shared" si="6"/>
        <v>P06A05</v>
      </c>
      <c r="I398" t="s">
        <v>570</v>
      </c>
      <c r="J398" t="s">
        <v>595</v>
      </c>
      <c r="K398" s="22" t="s">
        <v>490</v>
      </c>
      <c r="M398" s="2" t="s">
        <v>8</v>
      </c>
      <c r="N398" s="2">
        <v>0</v>
      </c>
      <c r="O398" s="2">
        <v>10</v>
      </c>
    </row>
    <row r="399" spans="1:15" x14ac:dyDescent="0.2">
      <c r="A399" s="24" t="s">
        <v>460</v>
      </c>
      <c r="B399" s="24" t="s">
        <v>461</v>
      </c>
      <c r="C399" s="24" t="s">
        <v>274</v>
      </c>
      <c r="D399" s="24" t="s">
        <v>447</v>
      </c>
      <c r="E399" s="24" t="s">
        <v>448</v>
      </c>
      <c r="F399" s="2">
        <v>9</v>
      </c>
      <c r="G399" s="21">
        <v>2007</v>
      </c>
      <c r="H399" t="str">
        <f t="shared" si="6"/>
        <v>P07A05</v>
      </c>
      <c r="I399" t="s">
        <v>570</v>
      </c>
      <c r="J399" t="s">
        <v>595</v>
      </c>
      <c r="K399" s="22" t="s">
        <v>490</v>
      </c>
      <c r="M399" s="2" t="s">
        <v>8</v>
      </c>
      <c r="N399" s="2">
        <v>0</v>
      </c>
      <c r="O399" s="2">
        <v>10</v>
      </c>
    </row>
    <row r="400" spans="1:15" x14ac:dyDescent="0.2">
      <c r="A400" s="24" t="s">
        <v>460</v>
      </c>
      <c r="B400" s="24" t="s">
        <v>461</v>
      </c>
      <c r="C400" s="24" t="s">
        <v>274</v>
      </c>
      <c r="D400" s="24" t="s">
        <v>447</v>
      </c>
      <c r="E400" s="24" t="s">
        <v>448</v>
      </c>
      <c r="F400" s="2">
        <v>10</v>
      </c>
      <c r="G400" s="21">
        <v>2008</v>
      </c>
      <c r="H400" t="str">
        <f t="shared" si="6"/>
        <v>P08A05</v>
      </c>
      <c r="I400" t="s">
        <v>570</v>
      </c>
      <c r="J400" t="s">
        <v>595</v>
      </c>
      <c r="K400" s="22" t="s">
        <v>490</v>
      </c>
      <c r="M400" s="2" t="s">
        <v>8</v>
      </c>
      <c r="N400" s="2">
        <v>0</v>
      </c>
      <c r="O400" s="2">
        <v>10</v>
      </c>
    </row>
    <row r="401" spans="1:15" x14ac:dyDescent="0.2">
      <c r="A401" s="24" t="s">
        <v>460</v>
      </c>
      <c r="B401" s="24" t="s">
        <v>461</v>
      </c>
      <c r="C401" s="24" t="s">
        <v>274</v>
      </c>
      <c r="D401" s="24" t="s">
        <v>447</v>
      </c>
      <c r="E401" s="24" t="s">
        <v>448</v>
      </c>
      <c r="F401" s="2">
        <v>11</v>
      </c>
      <c r="G401" s="21">
        <v>2009</v>
      </c>
      <c r="H401" t="str">
        <f t="shared" si="6"/>
        <v>P09A05</v>
      </c>
      <c r="I401" t="s">
        <v>570</v>
      </c>
      <c r="J401" t="s">
        <v>595</v>
      </c>
      <c r="K401" s="22" t="s">
        <v>490</v>
      </c>
      <c r="M401" s="2" t="s">
        <v>8</v>
      </c>
      <c r="N401" s="2">
        <v>0</v>
      </c>
      <c r="O401" s="2">
        <v>10</v>
      </c>
    </row>
    <row r="402" spans="1:15" x14ac:dyDescent="0.2">
      <c r="A402" s="24" t="s">
        <v>460</v>
      </c>
      <c r="B402" s="24" t="s">
        <v>461</v>
      </c>
      <c r="C402" s="24" t="s">
        <v>274</v>
      </c>
      <c r="D402" s="24" t="s">
        <v>447</v>
      </c>
      <c r="E402" s="24" t="s">
        <v>448</v>
      </c>
      <c r="F402" s="2">
        <v>12</v>
      </c>
      <c r="G402" s="21">
        <v>2010</v>
      </c>
      <c r="H402" t="str">
        <f t="shared" si="6"/>
        <v>P10A05</v>
      </c>
      <c r="I402" t="s">
        <v>570</v>
      </c>
      <c r="J402" t="s">
        <v>595</v>
      </c>
      <c r="K402" s="22" t="s">
        <v>490</v>
      </c>
      <c r="M402" s="2" t="s">
        <v>8</v>
      </c>
      <c r="N402" s="2">
        <v>0</v>
      </c>
      <c r="O402" s="2">
        <v>10</v>
      </c>
    </row>
    <row r="403" spans="1:15" x14ac:dyDescent="0.2">
      <c r="A403" s="24" t="s">
        <v>460</v>
      </c>
      <c r="B403" s="24" t="s">
        <v>461</v>
      </c>
      <c r="C403" s="24" t="s">
        <v>274</v>
      </c>
      <c r="D403" s="24" t="s">
        <v>447</v>
      </c>
      <c r="E403" s="24" t="s">
        <v>448</v>
      </c>
      <c r="F403" s="2">
        <v>13</v>
      </c>
      <c r="G403" s="21">
        <v>2011</v>
      </c>
      <c r="H403" t="str">
        <f t="shared" si="6"/>
        <v>P11A05</v>
      </c>
      <c r="I403" t="s">
        <v>570</v>
      </c>
      <c r="J403" t="s">
        <v>595</v>
      </c>
      <c r="K403" s="22" t="s">
        <v>490</v>
      </c>
      <c r="M403" s="2" t="s">
        <v>8</v>
      </c>
      <c r="N403" s="2">
        <v>0</v>
      </c>
      <c r="O403" s="2">
        <v>10</v>
      </c>
    </row>
    <row r="404" spans="1:15" x14ac:dyDescent="0.2">
      <c r="A404" s="24" t="s">
        <v>460</v>
      </c>
      <c r="B404" s="24" t="s">
        <v>461</v>
      </c>
      <c r="C404" s="24" t="s">
        <v>274</v>
      </c>
      <c r="D404" s="24" t="s">
        <v>447</v>
      </c>
      <c r="E404" s="24" t="s">
        <v>448</v>
      </c>
      <c r="F404" s="2">
        <v>14</v>
      </c>
      <c r="G404" s="21">
        <v>2012</v>
      </c>
      <c r="H404" t="str">
        <f t="shared" si="6"/>
        <v>P12A05</v>
      </c>
      <c r="I404" t="s">
        <v>570</v>
      </c>
      <c r="J404" t="s">
        <v>595</v>
      </c>
      <c r="K404" s="22" t="s">
        <v>490</v>
      </c>
      <c r="M404" s="2" t="s">
        <v>8</v>
      </c>
      <c r="N404" s="2">
        <v>0</v>
      </c>
      <c r="O404" s="2">
        <v>10</v>
      </c>
    </row>
    <row r="405" spans="1:15" x14ac:dyDescent="0.2">
      <c r="A405" s="24" t="s">
        <v>460</v>
      </c>
      <c r="B405" s="24" t="s">
        <v>461</v>
      </c>
      <c r="C405" s="24" t="s">
        <v>274</v>
      </c>
      <c r="D405" s="24" t="s">
        <v>447</v>
      </c>
      <c r="E405" s="24" t="s">
        <v>448</v>
      </c>
      <c r="F405" s="2">
        <v>15</v>
      </c>
      <c r="G405" s="21">
        <v>2013</v>
      </c>
      <c r="H405" t="str">
        <f t="shared" si="6"/>
        <v>P13A05</v>
      </c>
      <c r="I405" t="s">
        <v>570</v>
      </c>
      <c r="J405" t="s">
        <v>595</v>
      </c>
      <c r="K405" s="22" t="s">
        <v>490</v>
      </c>
      <c r="M405" s="2" t="s">
        <v>8</v>
      </c>
      <c r="N405" s="2">
        <v>0</v>
      </c>
      <c r="O405" s="2">
        <v>10</v>
      </c>
    </row>
    <row r="406" spans="1:15" x14ac:dyDescent="0.2">
      <c r="A406" s="24" t="s">
        <v>460</v>
      </c>
      <c r="B406" s="24" t="s">
        <v>461</v>
      </c>
      <c r="C406" s="24" t="s">
        <v>274</v>
      </c>
      <c r="D406" s="24" t="s">
        <v>447</v>
      </c>
      <c r="E406" s="24" t="s">
        <v>448</v>
      </c>
      <c r="F406" s="2">
        <v>16</v>
      </c>
      <c r="G406" s="21">
        <v>2014</v>
      </c>
      <c r="H406" t="str">
        <f t="shared" si="6"/>
        <v>P14A05</v>
      </c>
      <c r="I406" t="s">
        <v>570</v>
      </c>
      <c r="J406" t="s">
        <v>595</v>
      </c>
      <c r="K406" s="22" t="s">
        <v>490</v>
      </c>
      <c r="M406" s="2" t="s">
        <v>8</v>
      </c>
      <c r="N406" s="2">
        <v>0</v>
      </c>
      <c r="O406" s="2">
        <v>10</v>
      </c>
    </row>
    <row r="407" spans="1:15" x14ac:dyDescent="0.2">
      <c r="A407" s="24" t="s">
        <v>460</v>
      </c>
      <c r="B407" s="24" t="s">
        <v>461</v>
      </c>
      <c r="C407" s="24" t="s">
        <v>274</v>
      </c>
      <c r="D407" s="24" t="s">
        <v>447</v>
      </c>
      <c r="E407" s="24" t="s">
        <v>448</v>
      </c>
      <c r="F407" s="2">
        <v>17</v>
      </c>
      <c r="G407" s="21">
        <v>2015</v>
      </c>
      <c r="H407" t="str">
        <f t="shared" si="6"/>
        <v>P15A05</v>
      </c>
      <c r="I407" t="s">
        <v>570</v>
      </c>
      <c r="J407" t="s">
        <v>595</v>
      </c>
      <c r="K407" s="22" t="s">
        <v>490</v>
      </c>
      <c r="M407" s="2" t="s">
        <v>8</v>
      </c>
      <c r="N407" s="2">
        <v>0</v>
      </c>
      <c r="O407" s="2">
        <v>10</v>
      </c>
    </row>
    <row r="408" spans="1:15" x14ac:dyDescent="0.2">
      <c r="A408" s="24" t="s">
        <v>460</v>
      </c>
      <c r="B408" s="24" t="s">
        <v>461</v>
      </c>
      <c r="C408" s="24" t="s">
        <v>274</v>
      </c>
      <c r="D408" s="24" t="s">
        <v>447</v>
      </c>
      <c r="E408" s="24" t="s">
        <v>448</v>
      </c>
      <c r="F408" s="2">
        <v>18</v>
      </c>
      <c r="G408" s="21">
        <v>2016</v>
      </c>
      <c r="H408" t="str">
        <f t="shared" si="6"/>
        <v>P16A05</v>
      </c>
      <c r="I408" t="s">
        <v>570</v>
      </c>
      <c r="J408" t="s">
        <v>595</v>
      </c>
      <c r="K408" s="22" t="s">
        <v>490</v>
      </c>
      <c r="M408" s="2" t="s">
        <v>8</v>
      </c>
      <c r="N408" s="2">
        <v>0</v>
      </c>
      <c r="O408" s="2">
        <v>10</v>
      </c>
    </row>
    <row r="409" spans="1:15" x14ac:dyDescent="0.2">
      <c r="A409" s="24" t="s">
        <v>460</v>
      </c>
      <c r="B409" s="24" t="s">
        <v>461</v>
      </c>
      <c r="C409" s="24" t="s">
        <v>274</v>
      </c>
      <c r="D409" s="24" t="s">
        <v>447</v>
      </c>
      <c r="E409" s="24" t="s">
        <v>448</v>
      </c>
      <c r="F409" s="2">
        <v>19</v>
      </c>
      <c r="G409" s="21">
        <v>2017</v>
      </c>
      <c r="H409" t="str">
        <f t="shared" si="6"/>
        <v>P17A05</v>
      </c>
      <c r="I409" t="s">
        <v>570</v>
      </c>
      <c r="J409" t="s">
        <v>595</v>
      </c>
      <c r="K409" s="22" t="s">
        <v>490</v>
      </c>
      <c r="M409" s="2" t="s">
        <v>8</v>
      </c>
      <c r="N409" s="2">
        <v>0</v>
      </c>
      <c r="O409" s="2">
        <v>10</v>
      </c>
    </row>
    <row r="410" spans="1:15" x14ac:dyDescent="0.2">
      <c r="A410" s="24" t="s">
        <v>460</v>
      </c>
      <c r="B410" s="24" t="s">
        <v>461</v>
      </c>
      <c r="C410" s="24" t="s">
        <v>274</v>
      </c>
      <c r="D410" s="24" t="s">
        <v>447</v>
      </c>
      <c r="E410" s="24" t="s">
        <v>448</v>
      </c>
      <c r="F410" s="2">
        <v>20</v>
      </c>
      <c r="G410" s="21">
        <v>2018</v>
      </c>
      <c r="H410" t="str">
        <f t="shared" si="6"/>
        <v>P18A05</v>
      </c>
      <c r="I410" t="s">
        <v>570</v>
      </c>
      <c r="J410" t="s">
        <v>595</v>
      </c>
      <c r="K410" s="22" t="s">
        <v>490</v>
      </c>
      <c r="M410" s="2" t="s">
        <v>8</v>
      </c>
      <c r="N410" s="2">
        <v>0</v>
      </c>
      <c r="O410" s="2">
        <v>10</v>
      </c>
    </row>
    <row r="411" spans="1:15" x14ac:dyDescent="0.2">
      <c r="A411" s="24" t="s">
        <v>460</v>
      </c>
      <c r="B411" s="24" t="s">
        <v>461</v>
      </c>
      <c r="C411" s="24" t="s">
        <v>274</v>
      </c>
      <c r="D411" s="24" t="s">
        <v>447</v>
      </c>
      <c r="E411" s="24" t="s">
        <v>448</v>
      </c>
      <c r="F411" s="2">
        <v>21</v>
      </c>
      <c r="G411" s="21">
        <v>2019</v>
      </c>
      <c r="H411" t="str">
        <f t="shared" si="6"/>
        <v>P19A05</v>
      </c>
      <c r="I411" t="s">
        <v>570</v>
      </c>
      <c r="J411" t="s">
        <v>595</v>
      </c>
      <c r="K411" s="22" t="s">
        <v>490</v>
      </c>
      <c r="M411" s="2" t="s">
        <v>8</v>
      </c>
      <c r="N411" s="2">
        <v>0</v>
      </c>
      <c r="O411" s="2">
        <v>10</v>
      </c>
    </row>
    <row r="412" spans="1:15" x14ac:dyDescent="0.2">
      <c r="A412" s="23" t="s">
        <v>460</v>
      </c>
      <c r="B412" s="23" t="s">
        <v>461</v>
      </c>
      <c r="C412" s="23" t="s">
        <v>274</v>
      </c>
      <c r="D412" s="23" t="s">
        <v>450</v>
      </c>
      <c r="E412" s="23" t="s">
        <v>451</v>
      </c>
      <c r="F412" s="2">
        <v>3</v>
      </c>
      <c r="G412" s="21">
        <v>2001</v>
      </c>
      <c r="H412" t="str">
        <f t="shared" si="6"/>
        <v>P01A06</v>
      </c>
      <c r="I412" t="s">
        <v>571</v>
      </c>
      <c r="J412" t="s">
        <v>596</v>
      </c>
      <c r="K412" s="22" t="s">
        <v>490</v>
      </c>
      <c r="M412" s="2" t="s">
        <v>8</v>
      </c>
      <c r="N412" s="2">
        <v>0</v>
      </c>
      <c r="O412" s="2">
        <v>10</v>
      </c>
    </row>
    <row r="413" spans="1:15" x14ac:dyDescent="0.2">
      <c r="A413" s="23" t="s">
        <v>460</v>
      </c>
      <c r="B413" s="23" t="s">
        <v>461</v>
      </c>
      <c r="C413" s="23" t="s">
        <v>274</v>
      </c>
      <c r="D413" s="23" t="s">
        <v>450</v>
      </c>
      <c r="E413" s="23" t="s">
        <v>451</v>
      </c>
      <c r="F413" s="2">
        <v>4</v>
      </c>
      <c r="G413" s="21">
        <v>2002</v>
      </c>
      <c r="H413" t="str">
        <f t="shared" si="6"/>
        <v>P02A06</v>
      </c>
      <c r="I413" t="s">
        <v>571</v>
      </c>
      <c r="J413" t="s">
        <v>596</v>
      </c>
      <c r="K413" s="22" t="s">
        <v>490</v>
      </c>
      <c r="M413" s="2" t="s">
        <v>8</v>
      </c>
      <c r="N413" s="2">
        <v>0</v>
      </c>
      <c r="O413" s="2">
        <v>10</v>
      </c>
    </row>
    <row r="414" spans="1:15" x14ac:dyDescent="0.2">
      <c r="A414" s="23" t="s">
        <v>460</v>
      </c>
      <c r="B414" s="23" t="s">
        <v>461</v>
      </c>
      <c r="C414" s="23" t="s">
        <v>274</v>
      </c>
      <c r="D414" s="23" t="s">
        <v>450</v>
      </c>
      <c r="E414" s="23" t="s">
        <v>451</v>
      </c>
      <c r="F414" s="2">
        <v>5</v>
      </c>
      <c r="G414" s="21">
        <v>2003</v>
      </c>
      <c r="H414" t="str">
        <f t="shared" si="6"/>
        <v>P03A06</v>
      </c>
      <c r="I414" t="s">
        <v>571</v>
      </c>
      <c r="J414" t="s">
        <v>596</v>
      </c>
      <c r="K414" s="22" t="s">
        <v>490</v>
      </c>
      <c r="M414" s="2" t="s">
        <v>8</v>
      </c>
      <c r="N414" s="2">
        <v>0</v>
      </c>
      <c r="O414" s="2">
        <v>10</v>
      </c>
    </row>
    <row r="415" spans="1:15" x14ac:dyDescent="0.2">
      <c r="A415" s="23" t="s">
        <v>460</v>
      </c>
      <c r="B415" s="23" t="s">
        <v>461</v>
      </c>
      <c r="C415" s="23" t="s">
        <v>274</v>
      </c>
      <c r="D415" s="23" t="s">
        <v>450</v>
      </c>
      <c r="E415" s="23" t="s">
        <v>451</v>
      </c>
      <c r="F415" s="2">
        <v>6</v>
      </c>
      <c r="G415" s="21">
        <v>2004</v>
      </c>
      <c r="H415" t="str">
        <f t="shared" si="6"/>
        <v>P04A06</v>
      </c>
      <c r="I415" t="s">
        <v>571</v>
      </c>
      <c r="J415" t="s">
        <v>596</v>
      </c>
      <c r="K415" s="22" t="s">
        <v>490</v>
      </c>
      <c r="M415" s="2" t="s">
        <v>8</v>
      </c>
      <c r="N415" s="2">
        <v>0</v>
      </c>
      <c r="O415" s="2">
        <v>10</v>
      </c>
    </row>
    <row r="416" spans="1:15" x14ac:dyDescent="0.2">
      <c r="A416" s="23" t="s">
        <v>460</v>
      </c>
      <c r="B416" s="23" t="s">
        <v>461</v>
      </c>
      <c r="C416" s="23" t="s">
        <v>274</v>
      </c>
      <c r="D416" s="23" t="s">
        <v>450</v>
      </c>
      <c r="E416" s="23" t="s">
        <v>451</v>
      </c>
      <c r="F416" s="2">
        <v>7</v>
      </c>
      <c r="G416" s="21">
        <v>2005</v>
      </c>
      <c r="H416" t="str">
        <f t="shared" si="6"/>
        <v>P05A06</v>
      </c>
      <c r="I416" t="s">
        <v>571</v>
      </c>
      <c r="J416" t="s">
        <v>596</v>
      </c>
      <c r="K416" s="22" t="s">
        <v>490</v>
      </c>
      <c r="M416" s="2" t="s">
        <v>8</v>
      </c>
      <c r="N416" s="2">
        <v>0</v>
      </c>
      <c r="O416" s="2">
        <v>10</v>
      </c>
    </row>
    <row r="417" spans="1:15" x14ac:dyDescent="0.2">
      <c r="A417" s="23" t="s">
        <v>460</v>
      </c>
      <c r="B417" s="23" t="s">
        <v>461</v>
      </c>
      <c r="C417" s="23" t="s">
        <v>274</v>
      </c>
      <c r="D417" s="23" t="s">
        <v>450</v>
      </c>
      <c r="E417" s="23" t="s">
        <v>451</v>
      </c>
      <c r="F417" s="2">
        <v>8</v>
      </c>
      <c r="G417" s="21">
        <v>2006</v>
      </c>
      <c r="H417" t="str">
        <f t="shared" si="6"/>
        <v>P06A06</v>
      </c>
      <c r="I417" t="s">
        <v>571</v>
      </c>
      <c r="J417" t="s">
        <v>596</v>
      </c>
      <c r="K417" s="22" t="s">
        <v>490</v>
      </c>
      <c r="M417" s="2" t="s">
        <v>8</v>
      </c>
      <c r="N417" s="2">
        <v>0</v>
      </c>
      <c r="O417" s="2">
        <v>10</v>
      </c>
    </row>
    <row r="418" spans="1:15" x14ac:dyDescent="0.2">
      <c r="A418" s="23" t="s">
        <v>460</v>
      </c>
      <c r="B418" s="23" t="s">
        <v>461</v>
      </c>
      <c r="C418" s="23" t="s">
        <v>274</v>
      </c>
      <c r="D418" s="23" t="s">
        <v>450</v>
      </c>
      <c r="E418" s="23" t="s">
        <v>451</v>
      </c>
      <c r="F418" s="2">
        <v>9</v>
      </c>
      <c r="G418" s="21">
        <v>2007</v>
      </c>
      <c r="H418" t="str">
        <f t="shared" si="6"/>
        <v>P07A06</v>
      </c>
      <c r="I418" t="s">
        <v>571</v>
      </c>
      <c r="J418" t="s">
        <v>596</v>
      </c>
      <c r="K418" s="22" t="s">
        <v>490</v>
      </c>
      <c r="M418" s="2" t="s">
        <v>8</v>
      </c>
      <c r="N418" s="2">
        <v>0</v>
      </c>
      <c r="O418" s="2">
        <v>10</v>
      </c>
    </row>
    <row r="419" spans="1:15" x14ac:dyDescent="0.2">
      <c r="A419" s="23" t="s">
        <v>460</v>
      </c>
      <c r="B419" s="23" t="s">
        <v>461</v>
      </c>
      <c r="C419" s="23" t="s">
        <v>274</v>
      </c>
      <c r="D419" s="23" t="s">
        <v>450</v>
      </c>
      <c r="E419" s="23" t="s">
        <v>451</v>
      </c>
      <c r="F419" s="2">
        <v>10</v>
      </c>
      <c r="G419" s="21">
        <v>2008</v>
      </c>
      <c r="H419" t="str">
        <f t="shared" si="6"/>
        <v>P08A06</v>
      </c>
      <c r="I419" t="s">
        <v>571</v>
      </c>
      <c r="J419" t="s">
        <v>596</v>
      </c>
      <c r="K419" s="22" t="s">
        <v>490</v>
      </c>
      <c r="M419" s="2" t="s">
        <v>8</v>
      </c>
      <c r="N419" s="2">
        <v>0</v>
      </c>
      <c r="O419" s="2">
        <v>10</v>
      </c>
    </row>
    <row r="420" spans="1:15" x14ac:dyDescent="0.2">
      <c r="A420" s="23" t="s">
        <v>460</v>
      </c>
      <c r="B420" s="23" t="s">
        <v>461</v>
      </c>
      <c r="C420" s="23" t="s">
        <v>274</v>
      </c>
      <c r="D420" s="23" t="s">
        <v>450</v>
      </c>
      <c r="E420" s="23" t="s">
        <v>451</v>
      </c>
      <c r="F420" s="2">
        <v>11</v>
      </c>
      <c r="G420" s="21">
        <v>2009</v>
      </c>
      <c r="H420" t="str">
        <f t="shared" si="6"/>
        <v>P09A06</v>
      </c>
      <c r="I420" t="s">
        <v>571</v>
      </c>
      <c r="J420" t="s">
        <v>596</v>
      </c>
      <c r="K420" s="22" t="s">
        <v>490</v>
      </c>
      <c r="M420" s="2" t="s">
        <v>8</v>
      </c>
      <c r="N420" s="2">
        <v>0</v>
      </c>
      <c r="O420" s="2">
        <v>10</v>
      </c>
    </row>
    <row r="421" spans="1:15" x14ac:dyDescent="0.2">
      <c r="A421" s="23" t="s">
        <v>460</v>
      </c>
      <c r="B421" s="23" t="s">
        <v>461</v>
      </c>
      <c r="C421" s="23" t="s">
        <v>274</v>
      </c>
      <c r="D421" s="23" t="s">
        <v>450</v>
      </c>
      <c r="E421" s="23" t="s">
        <v>451</v>
      </c>
      <c r="F421" s="2">
        <v>12</v>
      </c>
      <c r="G421" s="21">
        <v>2010</v>
      </c>
      <c r="H421" t="str">
        <f t="shared" si="6"/>
        <v>P10A06</v>
      </c>
      <c r="I421" t="s">
        <v>571</v>
      </c>
      <c r="J421" t="s">
        <v>596</v>
      </c>
      <c r="K421" s="22" t="s">
        <v>490</v>
      </c>
      <c r="M421" s="2" t="s">
        <v>8</v>
      </c>
      <c r="N421" s="2">
        <v>0</v>
      </c>
      <c r="O421" s="2">
        <v>10</v>
      </c>
    </row>
    <row r="422" spans="1:15" x14ac:dyDescent="0.2">
      <c r="A422" s="23" t="s">
        <v>460</v>
      </c>
      <c r="B422" s="23" t="s">
        <v>461</v>
      </c>
      <c r="C422" s="23" t="s">
        <v>274</v>
      </c>
      <c r="D422" s="23" t="s">
        <v>450</v>
      </c>
      <c r="E422" s="23" t="s">
        <v>451</v>
      </c>
      <c r="F422" s="2">
        <v>13</v>
      </c>
      <c r="G422" s="21">
        <v>2011</v>
      </c>
      <c r="H422" t="str">
        <f t="shared" si="6"/>
        <v>P11A06</v>
      </c>
      <c r="I422" t="s">
        <v>571</v>
      </c>
      <c r="J422" t="s">
        <v>596</v>
      </c>
      <c r="K422" s="22" t="s">
        <v>490</v>
      </c>
      <c r="M422" s="2" t="s">
        <v>8</v>
      </c>
      <c r="N422" s="2">
        <v>0</v>
      </c>
      <c r="O422" s="2">
        <v>10</v>
      </c>
    </row>
    <row r="423" spans="1:15" x14ac:dyDescent="0.2">
      <c r="A423" s="23" t="s">
        <v>460</v>
      </c>
      <c r="B423" s="23" t="s">
        <v>461</v>
      </c>
      <c r="C423" s="23" t="s">
        <v>274</v>
      </c>
      <c r="D423" s="23" t="s">
        <v>450</v>
      </c>
      <c r="E423" s="23" t="s">
        <v>451</v>
      </c>
      <c r="F423" s="2">
        <v>14</v>
      </c>
      <c r="G423" s="21">
        <v>2012</v>
      </c>
      <c r="H423" t="str">
        <f t="shared" si="6"/>
        <v>P12A06</v>
      </c>
      <c r="I423" t="s">
        <v>571</v>
      </c>
      <c r="J423" t="s">
        <v>596</v>
      </c>
      <c r="K423" s="22" t="s">
        <v>490</v>
      </c>
      <c r="M423" s="2" t="s">
        <v>8</v>
      </c>
      <c r="N423" s="2">
        <v>0</v>
      </c>
      <c r="O423" s="2">
        <v>10</v>
      </c>
    </row>
    <row r="424" spans="1:15" x14ac:dyDescent="0.2">
      <c r="A424" s="23" t="s">
        <v>460</v>
      </c>
      <c r="B424" s="23" t="s">
        <v>461</v>
      </c>
      <c r="C424" s="23" t="s">
        <v>274</v>
      </c>
      <c r="D424" s="23" t="s">
        <v>450</v>
      </c>
      <c r="E424" s="23" t="s">
        <v>451</v>
      </c>
      <c r="F424" s="2">
        <v>15</v>
      </c>
      <c r="G424" s="21">
        <v>2013</v>
      </c>
      <c r="H424" t="str">
        <f t="shared" si="6"/>
        <v>P13A06</v>
      </c>
      <c r="I424" t="s">
        <v>571</v>
      </c>
      <c r="J424" t="s">
        <v>596</v>
      </c>
      <c r="K424" s="22" t="s">
        <v>490</v>
      </c>
      <c r="M424" s="2" t="s">
        <v>8</v>
      </c>
      <c r="N424" s="2">
        <v>0</v>
      </c>
      <c r="O424" s="2">
        <v>10</v>
      </c>
    </row>
    <row r="425" spans="1:15" x14ac:dyDescent="0.2">
      <c r="A425" s="23" t="s">
        <v>460</v>
      </c>
      <c r="B425" s="23" t="s">
        <v>461</v>
      </c>
      <c r="C425" s="23" t="s">
        <v>274</v>
      </c>
      <c r="D425" s="23" t="s">
        <v>450</v>
      </c>
      <c r="E425" s="23" t="s">
        <v>451</v>
      </c>
      <c r="F425" s="2">
        <v>16</v>
      </c>
      <c r="G425" s="21">
        <v>2014</v>
      </c>
      <c r="H425" t="str">
        <f t="shared" si="6"/>
        <v>P14A06</v>
      </c>
      <c r="I425" t="s">
        <v>571</v>
      </c>
      <c r="J425" t="s">
        <v>596</v>
      </c>
      <c r="K425" s="22" t="s">
        <v>490</v>
      </c>
      <c r="M425" s="2" t="s">
        <v>8</v>
      </c>
      <c r="N425" s="2">
        <v>0</v>
      </c>
      <c r="O425" s="2">
        <v>10</v>
      </c>
    </row>
    <row r="426" spans="1:15" x14ac:dyDescent="0.2">
      <c r="A426" s="23" t="s">
        <v>460</v>
      </c>
      <c r="B426" s="23" t="s">
        <v>461</v>
      </c>
      <c r="C426" s="23" t="s">
        <v>274</v>
      </c>
      <c r="D426" s="23" t="s">
        <v>450</v>
      </c>
      <c r="E426" s="23" t="s">
        <v>451</v>
      </c>
      <c r="F426" s="2">
        <v>17</v>
      </c>
      <c r="G426" s="21">
        <v>2015</v>
      </c>
      <c r="H426" t="str">
        <f t="shared" si="6"/>
        <v>P15A06</v>
      </c>
      <c r="I426" t="s">
        <v>571</v>
      </c>
      <c r="J426" t="s">
        <v>596</v>
      </c>
      <c r="K426" s="22" t="s">
        <v>490</v>
      </c>
      <c r="M426" s="2" t="s">
        <v>8</v>
      </c>
      <c r="N426" s="2">
        <v>0</v>
      </c>
      <c r="O426" s="2">
        <v>10</v>
      </c>
    </row>
    <row r="427" spans="1:15" x14ac:dyDescent="0.2">
      <c r="A427" s="23" t="s">
        <v>460</v>
      </c>
      <c r="B427" s="23" t="s">
        <v>461</v>
      </c>
      <c r="C427" s="23" t="s">
        <v>274</v>
      </c>
      <c r="D427" s="23" t="s">
        <v>450</v>
      </c>
      <c r="E427" s="23" t="s">
        <v>451</v>
      </c>
      <c r="F427" s="2">
        <v>18</v>
      </c>
      <c r="G427" s="21">
        <v>2016</v>
      </c>
      <c r="H427" t="str">
        <f t="shared" si="6"/>
        <v>P16A06</v>
      </c>
      <c r="I427" t="s">
        <v>571</v>
      </c>
      <c r="J427" t="s">
        <v>596</v>
      </c>
      <c r="K427" s="22" t="s">
        <v>490</v>
      </c>
      <c r="M427" s="2" t="s">
        <v>8</v>
      </c>
      <c r="N427" s="2">
        <v>0</v>
      </c>
      <c r="O427" s="2">
        <v>10</v>
      </c>
    </row>
    <row r="428" spans="1:15" x14ac:dyDescent="0.2">
      <c r="A428" s="23" t="s">
        <v>460</v>
      </c>
      <c r="B428" s="23" t="s">
        <v>461</v>
      </c>
      <c r="C428" s="23" t="s">
        <v>274</v>
      </c>
      <c r="D428" s="23" t="s">
        <v>450</v>
      </c>
      <c r="E428" s="23" t="s">
        <v>451</v>
      </c>
      <c r="F428" s="2">
        <v>19</v>
      </c>
      <c r="G428" s="21">
        <v>2017</v>
      </c>
      <c r="H428" t="str">
        <f t="shared" si="6"/>
        <v>P17A06</v>
      </c>
      <c r="I428" t="s">
        <v>571</v>
      </c>
      <c r="J428" t="s">
        <v>596</v>
      </c>
      <c r="K428" s="22" t="s">
        <v>490</v>
      </c>
      <c r="M428" s="2" t="s">
        <v>8</v>
      </c>
      <c r="N428" s="2">
        <v>0</v>
      </c>
      <c r="O428" s="2">
        <v>10</v>
      </c>
    </row>
    <row r="429" spans="1:15" x14ac:dyDescent="0.2">
      <c r="A429" s="23" t="s">
        <v>460</v>
      </c>
      <c r="B429" s="23" t="s">
        <v>461</v>
      </c>
      <c r="C429" s="23" t="s">
        <v>274</v>
      </c>
      <c r="D429" s="23" t="s">
        <v>450</v>
      </c>
      <c r="E429" s="23" t="s">
        <v>451</v>
      </c>
      <c r="F429" s="2">
        <v>20</v>
      </c>
      <c r="G429" s="21">
        <v>2018</v>
      </c>
      <c r="H429" t="str">
        <f t="shared" si="6"/>
        <v>P18A06</v>
      </c>
      <c r="I429" t="s">
        <v>571</v>
      </c>
      <c r="J429" t="s">
        <v>596</v>
      </c>
      <c r="K429" s="22" t="s">
        <v>490</v>
      </c>
      <c r="M429" s="2" t="s">
        <v>8</v>
      </c>
      <c r="N429" s="2">
        <v>0</v>
      </c>
      <c r="O429" s="2">
        <v>10</v>
      </c>
    </row>
    <row r="430" spans="1:15" x14ac:dyDescent="0.2">
      <c r="A430" s="23" t="s">
        <v>460</v>
      </c>
      <c r="B430" s="23" t="s">
        <v>461</v>
      </c>
      <c r="C430" s="23" t="s">
        <v>274</v>
      </c>
      <c r="D430" s="23" t="s">
        <v>450</v>
      </c>
      <c r="E430" s="23" t="s">
        <v>451</v>
      </c>
      <c r="F430" s="2">
        <v>21</v>
      </c>
      <c r="G430" s="21">
        <v>2019</v>
      </c>
      <c r="H430" t="str">
        <f t="shared" si="6"/>
        <v>P19A06</v>
      </c>
      <c r="I430" t="s">
        <v>571</v>
      </c>
      <c r="J430" t="s">
        <v>596</v>
      </c>
      <c r="K430" s="22" t="s">
        <v>490</v>
      </c>
      <c r="M430" s="2" t="s">
        <v>8</v>
      </c>
      <c r="N430" s="2">
        <v>0</v>
      </c>
      <c r="O430" s="2">
        <v>10</v>
      </c>
    </row>
    <row r="431" spans="1:15" x14ac:dyDescent="0.2">
      <c r="A431" s="24" t="s">
        <v>460</v>
      </c>
      <c r="B431" s="24" t="s">
        <v>516</v>
      </c>
      <c r="C431" s="24" t="s">
        <v>274</v>
      </c>
      <c r="D431" s="24" t="s">
        <v>454</v>
      </c>
      <c r="E431" s="24" t="s">
        <v>580</v>
      </c>
      <c r="F431" s="2">
        <v>1</v>
      </c>
      <c r="G431" s="21">
        <v>1999</v>
      </c>
      <c r="H431" t="str">
        <f t="shared" ref="H431:H442" si="7">"H"&amp;RIGHT(G431,2)&amp;"H12"</f>
        <v>H99H12</v>
      </c>
      <c r="I431" t="s">
        <v>581</v>
      </c>
      <c r="J431" t="s">
        <v>597</v>
      </c>
      <c r="K431" s="22" t="s">
        <v>490</v>
      </c>
      <c r="M431" s="2" t="s">
        <v>8</v>
      </c>
      <c r="N431" s="2">
        <v>0</v>
      </c>
      <c r="O431" s="2">
        <v>10</v>
      </c>
    </row>
    <row r="432" spans="1:15" x14ac:dyDescent="0.2">
      <c r="A432" s="24" t="s">
        <v>460</v>
      </c>
      <c r="B432" s="24" t="s">
        <v>516</v>
      </c>
      <c r="C432" s="24" t="s">
        <v>274</v>
      </c>
      <c r="D432" s="24" t="s">
        <v>454</v>
      </c>
      <c r="E432" s="24" t="s">
        <v>580</v>
      </c>
      <c r="F432" s="2">
        <v>2</v>
      </c>
      <c r="G432" s="21">
        <v>2000</v>
      </c>
      <c r="H432" t="str">
        <f t="shared" si="7"/>
        <v>H00H12</v>
      </c>
      <c r="I432" t="s">
        <v>581</v>
      </c>
      <c r="J432" t="s">
        <v>597</v>
      </c>
      <c r="K432" s="22" t="s">
        <v>490</v>
      </c>
      <c r="M432" s="2" t="s">
        <v>8</v>
      </c>
      <c r="N432" s="2">
        <v>0</v>
      </c>
      <c r="O432" s="2">
        <v>10</v>
      </c>
    </row>
    <row r="433" spans="1:17" x14ac:dyDescent="0.2">
      <c r="A433" s="24" t="s">
        <v>460</v>
      </c>
      <c r="B433" s="24" t="s">
        <v>516</v>
      </c>
      <c r="C433" s="24" t="s">
        <v>274</v>
      </c>
      <c r="D433" s="24" t="s">
        <v>454</v>
      </c>
      <c r="E433" s="24" t="s">
        <v>580</v>
      </c>
      <c r="F433" s="2">
        <v>3</v>
      </c>
      <c r="G433" s="21">
        <v>2001</v>
      </c>
      <c r="H433" t="str">
        <f t="shared" si="7"/>
        <v>H01H12</v>
      </c>
      <c r="I433" t="s">
        <v>581</v>
      </c>
      <c r="J433" t="s">
        <v>597</v>
      </c>
      <c r="K433" s="22" t="s">
        <v>490</v>
      </c>
      <c r="M433" s="2" t="s">
        <v>8</v>
      </c>
      <c r="N433" s="2">
        <v>0</v>
      </c>
      <c r="O433" s="2">
        <v>10</v>
      </c>
    </row>
    <row r="434" spans="1:17" x14ac:dyDescent="0.2">
      <c r="A434" s="24" t="s">
        <v>460</v>
      </c>
      <c r="B434" s="24" t="s">
        <v>516</v>
      </c>
      <c r="C434" s="24" t="s">
        <v>274</v>
      </c>
      <c r="D434" s="24" t="s">
        <v>454</v>
      </c>
      <c r="E434" s="24" t="s">
        <v>580</v>
      </c>
      <c r="F434" s="2">
        <v>4</v>
      </c>
      <c r="G434" s="21">
        <v>2002</v>
      </c>
      <c r="H434" t="str">
        <f t="shared" si="7"/>
        <v>H02H12</v>
      </c>
      <c r="I434" t="s">
        <v>581</v>
      </c>
      <c r="J434" t="s">
        <v>597</v>
      </c>
      <c r="K434" s="22" t="s">
        <v>490</v>
      </c>
      <c r="M434" s="2" t="s">
        <v>8</v>
      </c>
      <c r="N434" s="2">
        <v>0</v>
      </c>
      <c r="O434" s="2">
        <v>10</v>
      </c>
    </row>
    <row r="435" spans="1:17" x14ac:dyDescent="0.2">
      <c r="A435" s="24" t="s">
        <v>460</v>
      </c>
      <c r="B435" s="24" t="s">
        <v>516</v>
      </c>
      <c r="C435" s="24" t="s">
        <v>274</v>
      </c>
      <c r="D435" s="24" t="s">
        <v>454</v>
      </c>
      <c r="E435" s="24" t="s">
        <v>580</v>
      </c>
      <c r="F435" s="2">
        <v>5</v>
      </c>
      <c r="G435" s="21">
        <v>2003</v>
      </c>
      <c r="H435" t="str">
        <f t="shared" si="7"/>
        <v>H03H12</v>
      </c>
      <c r="I435" t="s">
        <v>581</v>
      </c>
      <c r="J435" t="s">
        <v>597</v>
      </c>
      <c r="K435" s="22" t="s">
        <v>490</v>
      </c>
      <c r="M435" s="2" t="s">
        <v>8</v>
      </c>
      <c r="N435" s="2">
        <v>0</v>
      </c>
      <c r="O435" s="2">
        <v>10</v>
      </c>
    </row>
    <row r="436" spans="1:17" x14ac:dyDescent="0.2">
      <c r="A436" s="24" t="s">
        <v>460</v>
      </c>
      <c r="B436" s="24" t="s">
        <v>516</v>
      </c>
      <c r="C436" s="24" t="s">
        <v>274</v>
      </c>
      <c r="D436" s="24" t="s">
        <v>454</v>
      </c>
      <c r="E436" s="24" t="s">
        <v>580</v>
      </c>
      <c r="F436" s="2">
        <v>15</v>
      </c>
      <c r="G436" s="21">
        <v>2013</v>
      </c>
      <c r="H436" t="str">
        <f t="shared" si="7"/>
        <v>H13H12</v>
      </c>
      <c r="I436" t="s">
        <v>581</v>
      </c>
      <c r="J436" t="s">
        <v>597</v>
      </c>
      <c r="K436" s="22" t="s">
        <v>490</v>
      </c>
      <c r="M436" s="2" t="s">
        <v>8</v>
      </c>
      <c r="N436" s="2">
        <v>0</v>
      </c>
      <c r="O436" s="2">
        <v>10</v>
      </c>
    </row>
    <row r="437" spans="1:17" x14ac:dyDescent="0.2">
      <c r="A437" s="24" t="s">
        <v>460</v>
      </c>
      <c r="B437" s="24" t="s">
        <v>516</v>
      </c>
      <c r="C437" s="24" t="s">
        <v>274</v>
      </c>
      <c r="D437" s="24" t="s">
        <v>454</v>
      </c>
      <c r="E437" s="24" t="s">
        <v>580</v>
      </c>
      <c r="F437" s="2">
        <v>16</v>
      </c>
      <c r="G437" s="21">
        <v>2014</v>
      </c>
      <c r="H437" t="str">
        <f t="shared" si="7"/>
        <v>H14H12</v>
      </c>
      <c r="I437" t="s">
        <v>581</v>
      </c>
      <c r="J437" t="s">
        <v>597</v>
      </c>
      <c r="K437" s="22" t="s">
        <v>490</v>
      </c>
      <c r="M437" s="2" t="s">
        <v>8</v>
      </c>
      <c r="N437" s="2">
        <v>0</v>
      </c>
      <c r="O437" s="2">
        <v>10</v>
      </c>
    </row>
    <row r="438" spans="1:17" x14ac:dyDescent="0.2">
      <c r="A438" s="24" t="s">
        <v>460</v>
      </c>
      <c r="B438" s="24" t="s">
        <v>516</v>
      </c>
      <c r="C438" s="24" t="s">
        <v>274</v>
      </c>
      <c r="D438" s="24" t="s">
        <v>454</v>
      </c>
      <c r="E438" s="24" t="s">
        <v>580</v>
      </c>
      <c r="F438" s="2">
        <v>17</v>
      </c>
      <c r="G438" s="21">
        <v>2015</v>
      </c>
      <c r="H438" t="str">
        <f t="shared" si="7"/>
        <v>H15H12</v>
      </c>
      <c r="I438" t="s">
        <v>581</v>
      </c>
      <c r="J438" t="s">
        <v>597</v>
      </c>
      <c r="K438" s="22" t="s">
        <v>490</v>
      </c>
      <c r="M438" s="2" t="s">
        <v>8</v>
      </c>
      <c r="N438" s="2">
        <v>0</v>
      </c>
      <c r="O438" s="2">
        <v>10</v>
      </c>
    </row>
    <row r="439" spans="1:17" x14ac:dyDescent="0.2">
      <c r="A439" s="24" t="s">
        <v>460</v>
      </c>
      <c r="B439" s="24" t="s">
        <v>516</v>
      </c>
      <c r="C439" s="24" t="s">
        <v>274</v>
      </c>
      <c r="D439" s="24" t="s">
        <v>454</v>
      </c>
      <c r="E439" s="24" t="s">
        <v>580</v>
      </c>
      <c r="F439" s="2">
        <v>18</v>
      </c>
      <c r="G439" s="21">
        <v>2016</v>
      </c>
      <c r="H439" t="str">
        <f t="shared" si="7"/>
        <v>H16H12</v>
      </c>
      <c r="I439" t="s">
        <v>581</v>
      </c>
      <c r="J439" t="s">
        <v>597</v>
      </c>
      <c r="K439" s="22" t="s">
        <v>490</v>
      </c>
      <c r="M439" s="2" t="s">
        <v>8</v>
      </c>
      <c r="N439" s="2">
        <v>0</v>
      </c>
      <c r="O439" s="2">
        <v>10</v>
      </c>
    </row>
    <row r="440" spans="1:17" x14ac:dyDescent="0.2">
      <c r="A440" s="24" t="s">
        <v>460</v>
      </c>
      <c r="B440" s="24" t="s">
        <v>516</v>
      </c>
      <c r="C440" s="24" t="s">
        <v>274</v>
      </c>
      <c r="D440" s="24" t="s">
        <v>454</v>
      </c>
      <c r="E440" s="24" t="s">
        <v>580</v>
      </c>
      <c r="F440" s="2">
        <v>19</v>
      </c>
      <c r="G440" s="21">
        <v>2017</v>
      </c>
      <c r="H440" t="str">
        <f t="shared" si="7"/>
        <v>H17H12</v>
      </c>
      <c r="I440" t="s">
        <v>581</v>
      </c>
      <c r="J440" t="s">
        <v>597</v>
      </c>
      <c r="K440" s="22" t="s">
        <v>490</v>
      </c>
      <c r="M440" s="2" t="s">
        <v>8</v>
      </c>
      <c r="N440" s="2">
        <v>0</v>
      </c>
      <c r="O440" s="2">
        <v>10</v>
      </c>
    </row>
    <row r="441" spans="1:17" x14ac:dyDescent="0.2">
      <c r="A441" s="24" t="s">
        <v>460</v>
      </c>
      <c r="B441" s="24" t="s">
        <v>516</v>
      </c>
      <c r="C441" s="24" t="s">
        <v>274</v>
      </c>
      <c r="D441" s="24" t="s">
        <v>454</v>
      </c>
      <c r="E441" s="24" t="s">
        <v>580</v>
      </c>
      <c r="F441" s="2">
        <v>20</v>
      </c>
      <c r="G441" s="21">
        <v>2018</v>
      </c>
      <c r="H441" t="str">
        <f t="shared" si="7"/>
        <v>H18H12</v>
      </c>
      <c r="I441" t="s">
        <v>581</v>
      </c>
      <c r="J441" t="s">
        <v>597</v>
      </c>
      <c r="K441" s="22" t="s">
        <v>490</v>
      </c>
      <c r="M441" s="2" t="s">
        <v>8</v>
      </c>
      <c r="N441" s="2">
        <v>0</v>
      </c>
      <c r="O441" s="2">
        <v>10</v>
      </c>
    </row>
    <row r="442" spans="1:17" x14ac:dyDescent="0.2">
      <c r="A442" s="24" t="s">
        <v>460</v>
      </c>
      <c r="B442" s="24" t="s">
        <v>516</v>
      </c>
      <c r="C442" s="24" t="s">
        <v>274</v>
      </c>
      <c r="D442" s="24" t="s">
        <v>454</v>
      </c>
      <c r="E442" s="24" t="s">
        <v>580</v>
      </c>
      <c r="F442" s="2">
        <v>21</v>
      </c>
      <c r="G442" s="21">
        <v>2019</v>
      </c>
      <c r="H442" t="str">
        <f t="shared" si="7"/>
        <v>H19H12</v>
      </c>
      <c r="I442" t="s">
        <v>581</v>
      </c>
      <c r="J442" t="s">
        <v>597</v>
      </c>
      <c r="K442" s="22" t="s">
        <v>490</v>
      </c>
      <c r="M442" s="2" t="s">
        <v>8</v>
      </c>
      <c r="N442" s="2">
        <v>0</v>
      </c>
      <c r="O442" s="2">
        <v>10</v>
      </c>
    </row>
    <row r="443" spans="1:17" ht="18" customHeight="1" x14ac:dyDescent="0.2">
      <c r="A443" s="23" t="s">
        <v>460</v>
      </c>
      <c r="B443" s="23" t="s">
        <v>461</v>
      </c>
      <c r="C443" s="23" t="s">
        <v>4182</v>
      </c>
      <c r="D443" s="23" t="s">
        <v>1625</v>
      </c>
      <c r="E443" s="23" t="s">
        <v>2675</v>
      </c>
      <c r="F443" s="4">
        <v>0</v>
      </c>
      <c r="G443" s="21">
        <v>0</v>
      </c>
      <c r="H443" s="4" t="s">
        <v>2676</v>
      </c>
      <c r="I443" s="4" t="s">
        <v>2677</v>
      </c>
      <c r="J443" s="2" t="s">
        <v>2678</v>
      </c>
      <c r="K443" s="22" t="s">
        <v>2679</v>
      </c>
      <c r="M443" s="2" t="s">
        <v>2680</v>
      </c>
      <c r="P443" s="2" t="s">
        <v>1127</v>
      </c>
      <c r="Q443" s="2" t="s">
        <v>1127</v>
      </c>
    </row>
    <row r="444" spans="1:17" ht="18" customHeight="1" x14ac:dyDescent="0.2">
      <c r="A444" s="23" t="s">
        <v>460</v>
      </c>
      <c r="B444" s="23" t="s">
        <v>461</v>
      </c>
      <c r="C444" s="23" t="s">
        <v>4182</v>
      </c>
      <c r="D444" s="23" t="s">
        <v>1625</v>
      </c>
      <c r="E444" s="23" t="s">
        <v>2681</v>
      </c>
      <c r="F444" s="21">
        <v>0</v>
      </c>
      <c r="G444" s="21">
        <v>0</v>
      </c>
      <c r="H444" s="50" t="s">
        <v>2682</v>
      </c>
      <c r="I444" s="4" t="s">
        <v>2683</v>
      </c>
      <c r="J444" s="2" t="s">
        <v>2684</v>
      </c>
      <c r="K444" s="22" t="s">
        <v>2679</v>
      </c>
      <c r="M444" s="2" t="s">
        <v>2680</v>
      </c>
      <c r="P444" s="2" t="s">
        <v>1127</v>
      </c>
      <c r="Q444" s="2" t="s">
        <v>1127</v>
      </c>
    </row>
    <row r="445" spans="1:17" ht="18" customHeight="1" x14ac:dyDescent="0.2">
      <c r="A445" s="23" t="s">
        <v>460</v>
      </c>
      <c r="B445" s="23" t="s">
        <v>2685</v>
      </c>
      <c r="C445" s="23" t="s">
        <v>4182</v>
      </c>
      <c r="D445" s="23" t="s">
        <v>1482</v>
      </c>
      <c r="E445" s="23" t="s">
        <v>2686</v>
      </c>
      <c r="F445" s="4">
        <v>1</v>
      </c>
      <c r="G445" s="21">
        <v>1999</v>
      </c>
      <c r="H445" s="4" t="s">
        <v>2687</v>
      </c>
      <c r="I445" s="4"/>
      <c r="J445" s="2" t="s">
        <v>2688</v>
      </c>
      <c r="K445" s="22" t="s">
        <v>2689</v>
      </c>
      <c r="M445" s="2" t="s">
        <v>2690</v>
      </c>
      <c r="P445" s="2" t="s">
        <v>1127</v>
      </c>
      <c r="Q445" s="2" t="s">
        <v>1127</v>
      </c>
    </row>
    <row r="446" spans="1:17" ht="18" customHeight="1" x14ac:dyDescent="0.2">
      <c r="A446" s="23" t="s">
        <v>460</v>
      </c>
      <c r="B446" s="23" t="s">
        <v>2685</v>
      </c>
      <c r="C446" s="23" t="s">
        <v>4182</v>
      </c>
      <c r="D446" s="23" t="s">
        <v>1482</v>
      </c>
      <c r="E446" s="23" t="s">
        <v>2686</v>
      </c>
      <c r="F446" s="4">
        <v>2</v>
      </c>
      <c r="G446" s="21">
        <v>2000</v>
      </c>
      <c r="H446" s="4" t="s">
        <v>2691</v>
      </c>
      <c r="I446" s="4"/>
      <c r="J446" s="2" t="s">
        <v>2688</v>
      </c>
      <c r="K446" s="22" t="s">
        <v>2689</v>
      </c>
      <c r="M446" s="2" t="s">
        <v>2690</v>
      </c>
      <c r="P446" s="2" t="s">
        <v>1127</v>
      </c>
      <c r="Q446" s="2" t="s">
        <v>1127</v>
      </c>
    </row>
    <row r="447" spans="1:17" ht="18" customHeight="1" x14ac:dyDescent="0.2">
      <c r="A447" s="23" t="s">
        <v>460</v>
      </c>
      <c r="B447" s="23" t="s">
        <v>2685</v>
      </c>
      <c r="C447" s="23" t="s">
        <v>4182</v>
      </c>
      <c r="D447" s="23" t="s">
        <v>1482</v>
      </c>
      <c r="E447" s="23" t="s">
        <v>2686</v>
      </c>
      <c r="F447" s="4">
        <v>3</v>
      </c>
      <c r="G447" s="21">
        <v>2001</v>
      </c>
      <c r="H447" s="4" t="s">
        <v>2692</v>
      </c>
      <c r="I447" s="4"/>
      <c r="J447" s="2" t="s">
        <v>2688</v>
      </c>
      <c r="K447" s="22" t="s">
        <v>2689</v>
      </c>
      <c r="M447" s="2" t="s">
        <v>2690</v>
      </c>
      <c r="P447" s="2" t="s">
        <v>1127</v>
      </c>
      <c r="Q447" s="2" t="s">
        <v>1127</v>
      </c>
    </row>
    <row r="448" spans="1:17" ht="18" customHeight="1" x14ac:dyDescent="0.2">
      <c r="A448" s="23" t="s">
        <v>460</v>
      </c>
      <c r="B448" s="23" t="s">
        <v>2685</v>
      </c>
      <c r="C448" s="23" t="s">
        <v>4182</v>
      </c>
      <c r="D448" s="23" t="s">
        <v>1482</v>
      </c>
      <c r="E448" s="23" t="s">
        <v>2686</v>
      </c>
      <c r="F448" s="4">
        <v>4</v>
      </c>
      <c r="G448" s="21">
        <v>2002</v>
      </c>
      <c r="H448" s="4" t="s">
        <v>2693</v>
      </c>
      <c r="I448" s="4"/>
      <c r="J448" s="2" t="s">
        <v>2688</v>
      </c>
      <c r="K448" s="22" t="s">
        <v>2689</v>
      </c>
      <c r="M448" s="2" t="s">
        <v>2690</v>
      </c>
      <c r="P448" s="2" t="s">
        <v>1127</v>
      </c>
      <c r="Q448" s="2" t="s">
        <v>1127</v>
      </c>
    </row>
    <row r="449" spans="1:17" ht="18" customHeight="1" x14ac:dyDescent="0.2">
      <c r="A449" s="23" t="s">
        <v>460</v>
      </c>
      <c r="B449" s="23" t="s">
        <v>2685</v>
      </c>
      <c r="C449" s="23" t="s">
        <v>4182</v>
      </c>
      <c r="D449" s="23" t="s">
        <v>1482</v>
      </c>
      <c r="E449" s="23" t="s">
        <v>2686</v>
      </c>
      <c r="F449" s="4">
        <v>5</v>
      </c>
      <c r="G449" s="21">
        <v>2003</v>
      </c>
      <c r="H449" s="4" t="s">
        <v>2694</v>
      </c>
      <c r="I449" s="4"/>
      <c r="J449" s="2" t="s">
        <v>2688</v>
      </c>
      <c r="K449" s="22" t="s">
        <v>2689</v>
      </c>
      <c r="M449" s="2" t="s">
        <v>2690</v>
      </c>
      <c r="P449" s="2" t="s">
        <v>1127</v>
      </c>
      <c r="Q449" s="2" t="s">
        <v>1127</v>
      </c>
    </row>
    <row r="450" spans="1:17" ht="18" customHeight="1" x14ac:dyDescent="0.2">
      <c r="A450" s="23" t="s">
        <v>460</v>
      </c>
      <c r="B450" s="23" t="s">
        <v>2685</v>
      </c>
      <c r="C450" s="23" t="s">
        <v>4182</v>
      </c>
      <c r="D450" s="23" t="s">
        <v>1482</v>
      </c>
      <c r="E450" s="23" t="s">
        <v>2686</v>
      </c>
      <c r="F450" s="4">
        <v>6</v>
      </c>
      <c r="G450" s="21">
        <v>2004</v>
      </c>
      <c r="H450" s="4" t="s">
        <v>2695</v>
      </c>
      <c r="I450" s="4"/>
      <c r="J450" s="2" t="s">
        <v>2688</v>
      </c>
      <c r="K450" s="22" t="s">
        <v>2689</v>
      </c>
      <c r="M450" s="2" t="s">
        <v>2690</v>
      </c>
      <c r="P450" s="2" t="s">
        <v>1127</v>
      </c>
      <c r="Q450" s="2" t="s">
        <v>1127</v>
      </c>
    </row>
    <row r="451" spans="1:17" ht="18" customHeight="1" x14ac:dyDescent="0.2">
      <c r="A451" s="23" t="s">
        <v>460</v>
      </c>
      <c r="B451" s="23" t="s">
        <v>2685</v>
      </c>
      <c r="C451" s="23" t="s">
        <v>4182</v>
      </c>
      <c r="D451" s="23" t="s">
        <v>1482</v>
      </c>
      <c r="E451" s="23" t="s">
        <v>2686</v>
      </c>
      <c r="F451" s="4">
        <v>7</v>
      </c>
      <c r="G451" s="21">
        <v>2005</v>
      </c>
      <c r="H451" s="4" t="s">
        <v>2696</v>
      </c>
      <c r="I451" s="4"/>
      <c r="J451" s="2" t="s">
        <v>2688</v>
      </c>
      <c r="K451" s="22" t="s">
        <v>2689</v>
      </c>
      <c r="M451" s="2" t="s">
        <v>2690</v>
      </c>
      <c r="P451" s="2" t="s">
        <v>1127</v>
      </c>
      <c r="Q451" s="2" t="s">
        <v>1127</v>
      </c>
    </row>
    <row r="452" spans="1:17" ht="18" customHeight="1" x14ac:dyDescent="0.2">
      <c r="A452" s="23" t="s">
        <v>460</v>
      </c>
      <c r="B452" s="23" t="s">
        <v>2685</v>
      </c>
      <c r="C452" s="23" t="s">
        <v>4182</v>
      </c>
      <c r="D452" s="23" t="s">
        <v>1482</v>
      </c>
      <c r="E452" s="23" t="s">
        <v>2686</v>
      </c>
      <c r="F452" s="4">
        <v>8</v>
      </c>
      <c r="G452" s="21">
        <v>2006</v>
      </c>
      <c r="H452" s="4" t="s">
        <v>2697</v>
      </c>
      <c r="I452" s="4"/>
      <c r="J452" s="2" t="s">
        <v>2688</v>
      </c>
      <c r="K452" s="22" t="s">
        <v>2689</v>
      </c>
      <c r="M452" s="2" t="s">
        <v>2690</v>
      </c>
      <c r="P452" s="2" t="s">
        <v>1127</v>
      </c>
      <c r="Q452" s="2" t="s">
        <v>1127</v>
      </c>
    </row>
    <row r="453" spans="1:17" ht="18" customHeight="1" x14ac:dyDescent="0.2">
      <c r="A453" s="23" t="s">
        <v>460</v>
      </c>
      <c r="B453" s="23" t="s">
        <v>2685</v>
      </c>
      <c r="C453" s="23" t="s">
        <v>4182</v>
      </c>
      <c r="D453" s="23" t="s">
        <v>1482</v>
      </c>
      <c r="E453" s="23" t="s">
        <v>2686</v>
      </c>
      <c r="F453" s="4">
        <v>9</v>
      </c>
      <c r="G453" s="21">
        <v>2007</v>
      </c>
      <c r="H453" s="4" t="s">
        <v>2698</v>
      </c>
      <c r="I453" s="4"/>
      <c r="J453" s="2" t="s">
        <v>2688</v>
      </c>
      <c r="K453" s="22" t="s">
        <v>2689</v>
      </c>
      <c r="M453" s="2" t="s">
        <v>2690</v>
      </c>
      <c r="P453" s="2" t="s">
        <v>1127</v>
      </c>
      <c r="Q453" s="2" t="s">
        <v>1127</v>
      </c>
    </row>
    <row r="454" spans="1:17" ht="18" customHeight="1" x14ac:dyDescent="0.2">
      <c r="A454" s="23" t="s">
        <v>460</v>
      </c>
      <c r="B454" s="23" t="s">
        <v>2685</v>
      </c>
      <c r="C454" s="23" t="s">
        <v>4182</v>
      </c>
      <c r="D454" s="23" t="s">
        <v>1482</v>
      </c>
      <c r="E454" s="23" t="s">
        <v>2686</v>
      </c>
      <c r="F454" s="4">
        <v>10</v>
      </c>
      <c r="G454" s="21">
        <v>2008</v>
      </c>
      <c r="H454" s="4" t="s">
        <v>2699</v>
      </c>
      <c r="I454" s="4"/>
      <c r="J454" s="2" t="s">
        <v>2688</v>
      </c>
      <c r="K454" s="22" t="s">
        <v>2689</v>
      </c>
      <c r="M454" s="2" t="s">
        <v>2690</v>
      </c>
      <c r="P454" s="2" t="s">
        <v>1127</v>
      </c>
      <c r="Q454" s="2" t="s">
        <v>1127</v>
      </c>
    </row>
    <row r="455" spans="1:17" ht="18" customHeight="1" x14ac:dyDescent="0.2">
      <c r="A455" s="23" t="s">
        <v>460</v>
      </c>
      <c r="B455" s="23" t="s">
        <v>2685</v>
      </c>
      <c r="C455" s="23" t="s">
        <v>4182</v>
      </c>
      <c r="D455" s="23" t="s">
        <v>1482</v>
      </c>
      <c r="E455" s="23" t="s">
        <v>2686</v>
      </c>
      <c r="F455" s="4">
        <v>11</v>
      </c>
      <c r="G455" s="21">
        <v>2009</v>
      </c>
      <c r="H455" s="4" t="s">
        <v>2700</v>
      </c>
      <c r="I455" s="4"/>
      <c r="J455" s="2" t="s">
        <v>2688</v>
      </c>
      <c r="K455" s="22" t="s">
        <v>2689</v>
      </c>
      <c r="M455" s="2" t="s">
        <v>2690</v>
      </c>
      <c r="P455" s="2" t="s">
        <v>1127</v>
      </c>
      <c r="Q455" s="2" t="s">
        <v>1127</v>
      </c>
    </row>
    <row r="456" spans="1:17" ht="18" customHeight="1" x14ac:dyDescent="0.2">
      <c r="A456" s="23" t="s">
        <v>460</v>
      </c>
      <c r="B456" s="23" t="s">
        <v>2685</v>
      </c>
      <c r="C456" s="23" t="s">
        <v>4182</v>
      </c>
      <c r="D456" s="23" t="s">
        <v>1482</v>
      </c>
      <c r="E456" s="23" t="s">
        <v>2686</v>
      </c>
      <c r="F456" s="4">
        <v>12</v>
      </c>
      <c r="G456" s="21">
        <v>2010</v>
      </c>
      <c r="H456" s="4" t="s">
        <v>2701</v>
      </c>
      <c r="I456" s="4"/>
      <c r="J456" s="2" t="s">
        <v>2688</v>
      </c>
      <c r="K456" s="22" t="s">
        <v>2689</v>
      </c>
      <c r="M456" s="2" t="s">
        <v>2690</v>
      </c>
      <c r="P456" s="2" t="s">
        <v>1127</v>
      </c>
      <c r="Q456" s="2" t="s">
        <v>1127</v>
      </c>
    </row>
    <row r="457" spans="1:17" ht="18" customHeight="1" x14ac:dyDescent="0.2">
      <c r="A457" s="23" t="s">
        <v>460</v>
      </c>
      <c r="B457" s="23" t="s">
        <v>2685</v>
      </c>
      <c r="C457" s="23" t="s">
        <v>4182</v>
      </c>
      <c r="D457" s="23" t="s">
        <v>1482</v>
      </c>
      <c r="E457" s="23" t="s">
        <v>2686</v>
      </c>
      <c r="F457" s="4">
        <v>13</v>
      </c>
      <c r="G457" s="21">
        <v>2011</v>
      </c>
      <c r="H457" s="4" t="s">
        <v>2702</v>
      </c>
      <c r="I457" s="4"/>
      <c r="J457" s="2" t="s">
        <v>2688</v>
      </c>
      <c r="K457" s="22" t="s">
        <v>2689</v>
      </c>
      <c r="M457" s="2" t="s">
        <v>2690</v>
      </c>
      <c r="P457" s="2" t="s">
        <v>1127</v>
      </c>
      <c r="Q457" s="2" t="s">
        <v>1127</v>
      </c>
    </row>
    <row r="458" spans="1:17" ht="18" customHeight="1" x14ac:dyDescent="0.2">
      <c r="A458" s="23" t="s">
        <v>460</v>
      </c>
      <c r="B458" s="23" t="s">
        <v>2685</v>
      </c>
      <c r="C458" s="23" t="s">
        <v>4182</v>
      </c>
      <c r="D458" s="23" t="s">
        <v>1482</v>
      </c>
      <c r="E458" s="23" t="s">
        <v>2686</v>
      </c>
      <c r="F458" s="4">
        <v>14</v>
      </c>
      <c r="G458" s="21">
        <v>2012</v>
      </c>
      <c r="H458" s="4" t="s">
        <v>2703</v>
      </c>
      <c r="I458" s="4"/>
      <c r="J458" s="2" t="s">
        <v>2688</v>
      </c>
      <c r="K458" s="22" t="s">
        <v>2689</v>
      </c>
      <c r="M458" s="2" t="s">
        <v>2690</v>
      </c>
      <c r="P458" s="2" t="s">
        <v>1127</v>
      </c>
      <c r="Q458" s="2" t="s">
        <v>1127</v>
      </c>
    </row>
    <row r="459" spans="1:17" ht="18" customHeight="1" x14ac:dyDescent="0.2">
      <c r="A459" s="23" t="s">
        <v>460</v>
      </c>
      <c r="B459" s="23" t="s">
        <v>2685</v>
      </c>
      <c r="C459" s="23" t="s">
        <v>4182</v>
      </c>
      <c r="D459" s="23" t="s">
        <v>1482</v>
      </c>
      <c r="E459" s="23" t="s">
        <v>2686</v>
      </c>
      <c r="F459" s="4">
        <v>15</v>
      </c>
      <c r="G459" s="21">
        <v>2013</v>
      </c>
      <c r="H459" s="4" t="s">
        <v>2704</v>
      </c>
      <c r="I459" s="4"/>
      <c r="J459" s="2" t="s">
        <v>2688</v>
      </c>
      <c r="K459" s="22" t="s">
        <v>2689</v>
      </c>
      <c r="M459" s="2" t="s">
        <v>2690</v>
      </c>
      <c r="P459" s="2" t="s">
        <v>1127</v>
      </c>
      <c r="Q459" s="2" t="s">
        <v>1127</v>
      </c>
    </row>
    <row r="460" spans="1:17" ht="18" customHeight="1" x14ac:dyDescent="0.2">
      <c r="A460" s="23" t="s">
        <v>460</v>
      </c>
      <c r="B460" s="23" t="s">
        <v>2685</v>
      </c>
      <c r="C460" s="23" t="s">
        <v>4182</v>
      </c>
      <c r="D460" s="23" t="s">
        <v>1482</v>
      </c>
      <c r="E460" s="23" t="s">
        <v>2686</v>
      </c>
      <c r="F460" s="4">
        <v>16</v>
      </c>
      <c r="G460" s="21">
        <v>2014</v>
      </c>
      <c r="H460" s="4" t="s">
        <v>2705</v>
      </c>
      <c r="I460" s="4"/>
      <c r="J460" s="2" t="s">
        <v>2688</v>
      </c>
      <c r="K460" s="22" t="s">
        <v>2689</v>
      </c>
      <c r="M460" s="2" t="s">
        <v>2690</v>
      </c>
      <c r="P460" s="2" t="s">
        <v>1127</v>
      </c>
      <c r="Q460" s="2" t="s">
        <v>1127</v>
      </c>
    </row>
    <row r="461" spans="1:17" ht="18" customHeight="1" x14ac:dyDescent="0.2">
      <c r="A461" s="23" t="s">
        <v>460</v>
      </c>
      <c r="B461" s="23" t="s">
        <v>2685</v>
      </c>
      <c r="C461" s="23" t="s">
        <v>4182</v>
      </c>
      <c r="D461" s="23" t="s">
        <v>1482</v>
      </c>
      <c r="E461" s="23" t="s">
        <v>2686</v>
      </c>
      <c r="F461" s="4">
        <v>17</v>
      </c>
      <c r="G461" s="21">
        <v>2015</v>
      </c>
      <c r="H461" s="4" t="s">
        <v>2706</v>
      </c>
      <c r="I461" s="4"/>
      <c r="J461" s="2" t="s">
        <v>2688</v>
      </c>
      <c r="K461" s="22" t="s">
        <v>2689</v>
      </c>
      <c r="M461" s="2" t="s">
        <v>2690</v>
      </c>
      <c r="P461" s="2" t="s">
        <v>1127</v>
      </c>
      <c r="Q461" s="2" t="s">
        <v>1127</v>
      </c>
    </row>
    <row r="462" spans="1:17" ht="18" customHeight="1" x14ac:dyDescent="0.2">
      <c r="A462" s="23" t="s">
        <v>460</v>
      </c>
      <c r="B462" s="23" t="s">
        <v>2685</v>
      </c>
      <c r="C462" s="23" t="s">
        <v>4182</v>
      </c>
      <c r="D462" s="23" t="s">
        <v>1482</v>
      </c>
      <c r="E462" s="23" t="s">
        <v>2686</v>
      </c>
      <c r="F462" s="4">
        <v>18</v>
      </c>
      <c r="G462" s="21">
        <v>2016</v>
      </c>
      <c r="H462" s="4" t="s">
        <v>2707</v>
      </c>
      <c r="I462" s="4"/>
      <c r="J462" s="2" t="s">
        <v>2688</v>
      </c>
      <c r="K462" s="22" t="s">
        <v>2689</v>
      </c>
      <c r="M462" s="2" t="s">
        <v>2690</v>
      </c>
      <c r="P462" s="2" t="s">
        <v>1127</v>
      </c>
      <c r="Q462" s="2" t="s">
        <v>1127</v>
      </c>
    </row>
    <row r="463" spans="1:17" ht="18" customHeight="1" x14ac:dyDescent="0.2">
      <c r="A463" s="23" t="s">
        <v>460</v>
      </c>
      <c r="B463" s="23" t="s">
        <v>2685</v>
      </c>
      <c r="C463" s="23" t="s">
        <v>4182</v>
      </c>
      <c r="D463" s="23" t="s">
        <v>1482</v>
      </c>
      <c r="E463" s="23" t="s">
        <v>2686</v>
      </c>
      <c r="F463" s="4">
        <v>19</v>
      </c>
      <c r="G463" s="21">
        <v>2017</v>
      </c>
      <c r="H463" s="4" t="s">
        <v>2708</v>
      </c>
      <c r="I463" s="4"/>
      <c r="J463" s="2" t="s">
        <v>2688</v>
      </c>
      <c r="K463" s="22" t="s">
        <v>2689</v>
      </c>
      <c r="M463" s="2" t="s">
        <v>2690</v>
      </c>
      <c r="P463" s="2" t="s">
        <v>1127</v>
      </c>
      <c r="Q463" s="2" t="s">
        <v>1127</v>
      </c>
    </row>
    <row r="464" spans="1:17" ht="18" customHeight="1" x14ac:dyDescent="0.2">
      <c r="A464" s="23" t="s">
        <v>460</v>
      </c>
      <c r="B464" s="23" t="s">
        <v>2685</v>
      </c>
      <c r="C464" s="23" t="s">
        <v>4182</v>
      </c>
      <c r="D464" s="23" t="s">
        <v>1482</v>
      </c>
      <c r="E464" s="23" t="s">
        <v>2686</v>
      </c>
      <c r="F464" s="4">
        <v>20</v>
      </c>
      <c r="G464" s="21">
        <v>2018</v>
      </c>
      <c r="H464" s="4" t="s">
        <v>2709</v>
      </c>
      <c r="I464" s="4"/>
      <c r="J464" s="2" t="s">
        <v>2688</v>
      </c>
      <c r="K464" s="22" t="s">
        <v>2689</v>
      </c>
      <c r="M464" s="2" t="s">
        <v>2690</v>
      </c>
      <c r="P464" s="2" t="s">
        <v>1127</v>
      </c>
      <c r="Q464" s="2" t="s">
        <v>1127</v>
      </c>
    </row>
    <row r="465" spans="1:17" ht="18" customHeight="1" x14ac:dyDescent="0.2">
      <c r="A465" s="23" t="s">
        <v>460</v>
      </c>
      <c r="B465" s="23" t="s">
        <v>2685</v>
      </c>
      <c r="C465" s="23" t="s">
        <v>4182</v>
      </c>
      <c r="D465" s="23" t="s">
        <v>1482</v>
      </c>
      <c r="E465" s="23" t="s">
        <v>2686</v>
      </c>
      <c r="F465" s="4">
        <v>21</v>
      </c>
      <c r="G465" s="21">
        <v>2019</v>
      </c>
      <c r="H465" s="4" t="s">
        <v>2710</v>
      </c>
      <c r="I465" s="4"/>
      <c r="J465" s="2" t="s">
        <v>2688</v>
      </c>
      <c r="K465" s="22" t="s">
        <v>2689</v>
      </c>
      <c r="M465" s="2" t="s">
        <v>2690</v>
      </c>
      <c r="P465" s="2" t="s">
        <v>1127</v>
      </c>
      <c r="Q465" s="2" t="s">
        <v>1127</v>
      </c>
    </row>
    <row r="466" spans="1:17" x14ac:dyDescent="0.2">
      <c r="A466" s="23" t="s">
        <v>460</v>
      </c>
      <c r="B466" s="23" t="s">
        <v>461</v>
      </c>
      <c r="C466" s="23" t="s">
        <v>4182</v>
      </c>
      <c r="D466" s="23" t="s">
        <v>1626</v>
      </c>
      <c r="E466" s="23" t="s">
        <v>1626</v>
      </c>
      <c r="F466" s="4">
        <v>1</v>
      </c>
      <c r="G466" s="21">
        <v>1999</v>
      </c>
      <c r="H466" t="str">
        <f t="shared" ref="H466:H486" si="8">"IS4MAJ"&amp;RIGHT(G466,2)</f>
        <v>IS4MAJ99</v>
      </c>
      <c r="J466" s="2" t="s">
        <v>2711</v>
      </c>
      <c r="K466" s="2" t="s">
        <v>2712</v>
      </c>
      <c r="M466" s="2" t="s">
        <v>2713</v>
      </c>
      <c r="P466" s="2" t="s">
        <v>1127</v>
      </c>
      <c r="Q466" s="2" t="s">
        <v>1127</v>
      </c>
    </row>
    <row r="467" spans="1:17" x14ac:dyDescent="0.2">
      <c r="A467" s="23" t="s">
        <v>460</v>
      </c>
      <c r="B467" s="23" t="s">
        <v>461</v>
      </c>
      <c r="C467" s="23" t="s">
        <v>4182</v>
      </c>
      <c r="D467" s="23" t="s">
        <v>1626</v>
      </c>
      <c r="E467" s="23" t="s">
        <v>1626</v>
      </c>
      <c r="F467" s="4">
        <v>2</v>
      </c>
      <c r="G467" s="21">
        <v>2000</v>
      </c>
      <c r="H467" t="str">
        <f t="shared" si="8"/>
        <v>IS4MAJ00</v>
      </c>
      <c r="J467" s="2" t="s">
        <v>2711</v>
      </c>
      <c r="K467" s="2" t="s">
        <v>2712</v>
      </c>
      <c r="M467" s="2" t="s">
        <v>2713</v>
      </c>
      <c r="P467" s="2" t="s">
        <v>1127</v>
      </c>
      <c r="Q467" s="2" t="s">
        <v>1127</v>
      </c>
    </row>
    <row r="468" spans="1:17" x14ac:dyDescent="0.2">
      <c r="A468" s="23" t="s">
        <v>460</v>
      </c>
      <c r="B468" s="23" t="s">
        <v>461</v>
      </c>
      <c r="C468" s="23" t="s">
        <v>4182</v>
      </c>
      <c r="D468" s="23" t="s">
        <v>1626</v>
      </c>
      <c r="E468" s="23" t="s">
        <v>1626</v>
      </c>
      <c r="F468" s="4">
        <v>3</v>
      </c>
      <c r="G468" s="21">
        <v>2001</v>
      </c>
      <c r="H468" t="str">
        <f t="shared" si="8"/>
        <v>IS4MAJ01</v>
      </c>
      <c r="J468" s="2" t="s">
        <v>2711</v>
      </c>
      <c r="K468" s="2" t="s">
        <v>2712</v>
      </c>
      <c r="M468" s="2" t="s">
        <v>2713</v>
      </c>
      <c r="P468" s="2" t="s">
        <v>1127</v>
      </c>
      <c r="Q468" s="2" t="s">
        <v>1127</v>
      </c>
    </row>
    <row r="469" spans="1:17" x14ac:dyDescent="0.2">
      <c r="A469" s="23" t="s">
        <v>460</v>
      </c>
      <c r="B469" s="23" t="s">
        <v>461</v>
      </c>
      <c r="C469" s="23" t="s">
        <v>4182</v>
      </c>
      <c r="D469" s="23" t="s">
        <v>1626</v>
      </c>
      <c r="E469" s="23" t="s">
        <v>1626</v>
      </c>
      <c r="F469" s="4">
        <v>4</v>
      </c>
      <c r="G469" s="21">
        <v>2002</v>
      </c>
      <c r="H469" t="str">
        <f t="shared" si="8"/>
        <v>IS4MAJ02</v>
      </c>
      <c r="J469" s="2" t="s">
        <v>2711</v>
      </c>
      <c r="K469" s="2" t="s">
        <v>2712</v>
      </c>
      <c r="M469" s="2" t="s">
        <v>2713</v>
      </c>
      <c r="P469" s="2" t="s">
        <v>1127</v>
      </c>
      <c r="Q469" s="2" t="s">
        <v>1127</v>
      </c>
    </row>
    <row r="470" spans="1:17" x14ac:dyDescent="0.2">
      <c r="A470" s="23" t="s">
        <v>460</v>
      </c>
      <c r="B470" s="23" t="s">
        <v>461</v>
      </c>
      <c r="C470" s="23" t="s">
        <v>4182</v>
      </c>
      <c r="D470" s="23" t="s">
        <v>1626</v>
      </c>
      <c r="E470" s="23" t="s">
        <v>1626</v>
      </c>
      <c r="F470" s="4">
        <v>5</v>
      </c>
      <c r="G470" s="21">
        <v>2003</v>
      </c>
      <c r="H470" t="str">
        <f t="shared" si="8"/>
        <v>IS4MAJ03</v>
      </c>
      <c r="J470" s="2" t="s">
        <v>2711</v>
      </c>
      <c r="K470" s="2" t="s">
        <v>2712</v>
      </c>
      <c r="M470" s="2" t="s">
        <v>2713</v>
      </c>
      <c r="P470" s="2" t="s">
        <v>1127</v>
      </c>
      <c r="Q470" s="2" t="s">
        <v>1127</v>
      </c>
    </row>
    <row r="471" spans="1:17" x14ac:dyDescent="0.2">
      <c r="A471" s="23" t="s">
        <v>460</v>
      </c>
      <c r="B471" s="23" t="s">
        <v>461</v>
      </c>
      <c r="C471" s="23" t="s">
        <v>4182</v>
      </c>
      <c r="D471" s="23" t="s">
        <v>1626</v>
      </c>
      <c r="E471" s="23" t="s">
        <v>1626</v>
      </c>
      <c r="F471" s="4">
        <v>6</v>
      </c>
      <c r="G471" s="21">
        <v>2004</v>
      </c>
      <c r="H471" t="str">
        <f t="shared" si="8"/>
        <v>IS4MAJ04</v>
      </c>
      <c r="J471" s="2" t="s">
        <v>2711</v>
      </c>
      <c r="K471" s="2" t="s">
        <v>2712</v>
      </c>
      <c r="M471" s="2" t="s">
        <v>2713</v>
      </c>
      <c r="P471" s="2" t="s">
        <v>1127</v>
      </c>
      <c r="Q471" s="2" t="s">
        <v>1127</v>
      </c>
    </row>
    <row r="472" spans="1:17" x14ac:dyDescent="0.2">
      <c r="A472" s="23" t="s">
        <v>460</v>
      </c>
      <c r="B472" s="23" t="s">
        <v>461</v>
      </c>
      <c r="C472" s="23" t="s">
        <v>4182</v>
      </c>
      <c r="D472" s="23" t="s">
        <v>1626</v>
      </c>
      <c r="E472" s="23" t="s">
        <v>1626</v>
      </c>
      <c r="F472" s="4">
        <v>7</v>
      </c>
      <c r="G472" s="21">
        <v>2005</v>
      </c>
      <c r="H472" t="str">
        <f t="shared" si="8"/>
        <v>IS4MAJ05</v>
      </c>
      <c r="J472" s="2" t="s">
        <v>2711</v>
      </c>
      <c r="K472" s="2" t="s">
        <v>2712</v>
      </c>
      <c r="M472" s="2" t="s">
        <v>2713</v>
      </c>
      <c r="P472" s="2" t="s">
        <v>1127</v>
      </c>
      <c r="Q472" s="2" t="s">
        <v>1127</v>
      </c>
    </row>
    <row r="473" spans="1:17" x14ac:dyDescent="0.2">
      <c r="A473" s="23" t="s">
        <v>460</v>
      </c>
      <c r="B473" s="23" t="s">
        <v>461</v>
      </c>
      <c r="C473" s="23" t="s">
        <v>4182</v>
      </c>
      <c r="D473" s="23" t="s">
        <v>1626</v>
      </c>
      <c r="E473" s="23" t="s">
        <v>1626</v>
      </c>
      <c r="F473" s="4">
        <v>8</v>
      </c>
      <c r="G473" s="21">
        <v>2006</v>
      </c>
      <c r="H473" t="str">
        <f t="shared" si="8"/>
        <v>IS4MAJ06</v>
      </c>
      <c r="J473" s="2" t="s">
        <v>2711</v>
      </c>
      <c r="K473" s="2" t="s">
        <v>2712</v>
      </c>
      <c r="M473" s="2" t="s">
        <v>2713</v>
      </c>
      <c r="P473" s="2" t="s">
        <v>1127</v>
      </c>
      <c r="Q473" s="2" t="s">
        <v>1127</v>
      </c>
    </row>
    <row r="474" spans="1:17" x14ac:dyDescent="0.2">
      <c r="A474" s="23" t="s">
        <v>460</v>
      </c>
      <c r="B474" s="23" t="s">
        <v>461</v>
      </c>
      <c r="C474" s="23" t="s">
        <v>4182</v>
      </c>
      <c r="D474" s="23" t="s">
        <v>1626</v>
      </c>
      <c r="E474" s="23" t="s">
        <v>1626</v>
      </c>
      <c r="F474" s="4">
        <v>9</v>
      </c>
      <c r="G474" s="21">
        <v>2007</v>
      </c>
      <c r="H474" t="str">
        <f t="shared" si="8"/>
        <v>IS4MAJ07</v>
      </c>
      <c r="J474" s="2" t="s">
        <v>2711</v>
      </c>
      <c r="K474" s="2" t="s">
        <v>2712</v>
      </c>
      <c r="M474" s="2" t="s">
        <v>2713</v>
      </c>
      <c r="P474" s="2" t="s">
        <v>1127</v>
      </c>
      <c r="Q474" s="2" t="s">
        <v>1127</v>
      </c>
    </row>
    <row r="475" spans="1:17" x14ac:dyDescent="0.2">
      <c r="A475" s="23" t="s">
        <v>460</v>
      </c>
      <c r="B475" s="23" t="s">
        <v>461</v>
      </c>
      <c r="C475" s="23" t="s">
        <v>4182</v>
      </c>
      <c r="D475" s="23" t="s">
        <v>1626</v>
      </c>
      <c r="E475" s="23" t="s">
        <v>1626</v>
      </c>
      <c r="F475" s="4">
        <v>10</v>
      </c>
      <c r="G475" s="21">
        <v>2008</v>
      </c>
      <c r="H475" t="str">
        <f t="shared" si="8"/>
        <v>IS4MAJ08</v>
      </c>
      <c r="J475" s="2" t="s">
        <v>2711</v>
      </c>
      <c r="K475" s="2" t="s">
        <v>2712</v>
      </c>
      <c r="M475" s="2" t="s">
        <v>2713</v>
      </c>
      <c r="P475" s="2" t="s">
        <v>1127</v>
      </c>
      <c r="Q475" s="2" t="s">
        <v>1127</v>
      </c>
    </row>
    <row r="476" spans="1:17" x14ac:dyDescent="0.2">
      <c r="A476" s="23" t="s">
        <v>460</v>
      </c>
      <c r="B476" s="23" t="s">
        <v>461</v>
      </c>
      <c r="C476" s="23" t="s">
        <v>4182</v>
      </c>
      <c r="D476" s="23" t="s">
        <v>1626</v>
      </c>
      <c r="E476" s="23" t="s">
        <v>1626</v>
      </c>
      <c r="F476" s="4">
        <v>11</v>
      </c>
      <c r="G476" s="21">
        <v>2009</v>
      </c>
      <c r="H476" t="str">
        <f t="shared" si="8"/>
        <v>IS4MAJ09</v>
      </c>
      <c r="J476" s="2" t="s">
        <v>2711</v>
      </c>
      <c r="K476" s="2" t="s">
        <v>2712</v>
      </c>
      <c r="M476" s="2" t="s">
        <v>2713</v>
      </c>
      <c r="P476" s="2" t="s">
        <v>1127</v>
      </c>
      <c r="Q476" s="2" t="s">
        <v>1127</v>
      </c>
    </row>
    <row r="477" spans="1:17" x14ac:dyDescent="0.2">
      <c r="A477" s="23" t="s">
        <v>460</v>
      </c>
      <c r="B477" s="23" t="s">
        <v>461</v>
      </c>
      <c r="C477" s="23" t="s">
        <v>4182</v>
      </c>
      <c r="D477" s="23" t="s">
        <v>1626</v>
      </c>
      <c r="E477" s="23" t="s">
        <v>1626</v>
      </c>
      <c r="F477" s="4">
        <v>12</v>
      </c>
      <c r="G477" s="21">
        <v>2010</v>
      </c>
      <c r="H477" t="str">
        <f t="shared" si="8"/>
        <v>IS4MAJ10</v>
      </c>
      <c r="J477" s="2" t="s">
        <v>2711</v>
      </c>
      <c r="K477" s="2" t="s">
        <v>2712</v>
      </c>
      <c r="M477" s="2" t="s">
        <v>2713</v>
      </c>
      <c r="P477" s="2" t="s">
        <v>1127</v>
      </c>
      <c r="Q477" s="2" t="s">
        <v>1127</v>
      </c>
    </row>
    <row r="478" spans="1:17" x14ac:dyDescent="0.2">
      <c r="A478" s="23" t="s">
        <v>460</v>
      </c>
      <c r="B478" s="23" t="s">
        <v>461</v>
      </c>
      <c r="C478" s="23" t="s">
        <v>4182</v>
      </c>
      <c r="D478" s="23" t="s">
        <v>1626</v>
      </c>
      <c r="E478" s="23" t="s">
        <v>1626</v>
      </c>
      <c r="F478" s="4">
        <v>13</v>
      </c>
      <c r="G478" s="21">
        <v>2011</v>
      </c>
      <c r="H478" t="str">
        <f t="shared" si="8"/>
        <v>IS4MAJ11</v>
      </c>
      <c r="J478" s="2" t="s">
        <v>2711</v>
      </c>
      <c r="K478" s="2" t="s">
        <v>2712</v>
      </c>
      <c r="M478" s="2" t="s">
        <v>2713</v>
      </c>
      <c r="P478" s="2" t="s">
        <v>1127</v>
      </c>
      <c r="Q478" s="2" t="s">
        <v>1127</v>
      </c>
    </row>
    <row r="479" spans="1:17" x14ac:dyDescent="0.2">
      <c r="A479" s="23" t="s">
        <v>460</v>
      </c>
      <c r="B479" s="23" t="s">
        <v>461</v>
      </c>
      <c r="C479" s="23" t="s">
        <v>4182</v>
      </c>
      <c r="D479" s="23" t="s">
        <v>1626</v>
      </c>
      <c r="E479" s="23" t="s">
        <v>1626</v>
      </c>
      <c r="F479" s="4">
        <v>14</v>
      </c>
      <c r="G479" s="21">
        <v>2012</v>
      </c>
      <c r="H479" t="str">
        <f t="shared" si="8"/>
        <v>IS4MAJ12</v>
      </c>
      <c r="J479" s="2" t="s">
        <v>2711</v>
      </c>
      <c r="K479" s="2" t="s">
        <v>2712</v>
      </c>
      <c r="M479" s="2" t="s">
        <v>2713</v>
      </c>
      <c r="P479" s="2" t="s">
        <v>1127</v>
      </c>
      <c r="Q479" s="2" t="s">
        <v>1127</v>
      </c>
    </row>
    <row r="480" spans="1:17" x14ac:dyDescent="0.2">
      <c r="A480" s="23" t="s">
        <v>460</v>
      </c>
      <c r="B480" s="23" t="s">
        <v>461</v>
      </c>
      <c r="C480" s="23" t="s">
        <v>4182</v>
      </c>
      <c r="D480" s="23" t="s">
        <v>1626</v>
      </c>
      <c r="E480" s="23" t="s">
        <v>1626</v>
      </c>
      <c r="F480" s="4">
        <v>15</v>
      </c>
      <c r="G480" s="21">
        <v>2013</v>
      </c>
      <c r="H480" t="str">
        <f t="shared" si="8"/>
        <v>IS4MAJ13</v>
      </c>
      <c r="J480" s="2" t="s">
        <v>2711</v>
      </c>
      <c r="K480" s="2" t="s">
        <v>2712</v>
      </c>
      <c r="M480" s="2" t="s">
        <v>2713</v>
      </c>
      <c r="P480" s="2" t="s">
        <v>1127</v>
      </c>
      <c r="Q480" s="2" t="s">
        <v>1127</v>
      </c>
    </row>
    <row r="481" spans="1:17" x14ac:dyDescent="0.2">
      <c r="A481" s="23" t="s">
        <v>460</v>
      </c>
      <c r="B481" s="23" t="s">
        <v>461</v>
      </c>
      <c r="C481" s="23" t="s">
        <v>4182</v>
      </c>
      <c r="D481" s="23" t="s">
        <v>1626</v>
      </c>
      <c r="E481" s="23" t="s">
        <v>1626</v>
      </c>
      <c r="F481" s="4">
        <v>16</v>
      </c>
      <c r="G481" s="21">
        <v>2014</v>
      </c>
      <c r="H481" t="str">
        <f t="shared" si="8"/>
        <v>IS4MAJ14</v>
      </c>
      <c r="J481" s="2" t="s">
        <v>2711</v>
      </c>
      <c r="K481" s="2" t="s">
        <v>2712</v>
      </c>
      <c r="M481" s="2" t="s">
        <v>2713</v>
      </c>
      <c r="P481" s="2" t="s">
        <v>1127</v>
      </c>
      <c r="Q481" s="2" t="s">
        <v>1127</v>
      </c>
    </row>
    <row r="482" spans="1:17" x14ac:dyDescent="0.2">
      <c r="A482" s="23" t="s">
        <v>460</v>
      </c>
      <c r="B482" s="23" t="s">
        <v>461</v>
      </c>
      <c r="C482" s="23" t="s">
        <v>4182</v>
      </c>
      <c r="D482" s="23" t="s">
        <v>1626</v>
      </c>
      <c r="E482" s="23" t="s">
        <v>1626</v>
      </c>
      <c r="F482" s="4">
        <v>17</v>
      </c>
      <c r="G482" s="21">
        <v>2015</v>
      </c>
      <c r="H482" t="str">
        <f t="shared" si="8"/>
        <v>IS4MAJ15</v>
      </c>
      <c r="J482" s="2" t="s">
        <v>2711</v>
      </c>
      <c r="K482" s="2" t="s">
        <v>2712</v>
      </c>
      <c r="M482" s="2" t="s">
        <v>2713</v>
      </c>
      <c r="P482" s="2" t="s">
        <v>1127</v>
      </c>
      <c r="Q482" s="2" t="s">
        <v>1127</v>
      </c>
    </row>
    <row r="483" spans="1:17" x14ac:dyDescent="0.2">
      <c r="A483" s="23" t="s">
        <v>460</v>
      </c>
      <c r="B483" s="23" t="s">
        <v>461</v>
      </c>
      <c r="C483" s="23" t="s">
        <v>4182</v>
      </c>
      <c r="D483" s="23" t="s">
        <v>1626</v>
      </c>
      <c r="E483" s="23" t="s">
        <v>1626</v>
      </c>
      <c r="F483" s="4">
        <v>18</v>
      </c>
      <c r="G483" s="21">
        <v>2016</v>
      </c>
      <c r="H483" t="str">
        <f t="shared" si="8"/>
        <v>IS4MAJ16</v>
      </c>
      <c r="J483" s="2" t="s">
        <v>2711</v>
      </c>
      <c r="K483" s="2" t="s">
        <v>2712</v>
      </c>
      <c r="M483" s="2" t="s">
        <v>2713</v>
      </c>
      <c r="P483" s="2" t="s">
        <v>1127</v>
      </c>
      <c r="Q483" s="2" t="s">
        <v>1127</v>
      </c>
    </row>
    <row r="484" spans="1:17" x14ac:dyDescent="0.2">
      <c r="A484" s="23" t="s">
        <v>460</v>
      </c>
      <c r="B484" s="23" t="s">
        <v>461</v>
      </c>
      <c r="C484" s="23" t="s">
        <v>4182</v>
      </c>
      <c r="D484" s="23" t="s">
        <v>1626</v>
      </c>
      <c r="E484" s="23" t="s">
        <v>1626</v>
      </c>
      <c r="F484" s="4">
        <v>19</v>
      </c>
      <c r="G484" s="21">
        <v>2017</v>
      </c>
      <c r="H484" t="str">
        <f t="shared" si="8"/>
        <v>IS4MAJ17</v>
      </c>
      <c r="J484" s="2" t="s">
        <v>2711</v>
      </c>
      <c r="K484" s="2" t="s">
        <v>2712</v>
      </c>
      <c r="M484" s="2" t="s">
        <v>2713</v>
      </c>
      <c r="P484" s="2" t="s">
        <v>1127</v>
      </c>
      <c r="Q484" s="2" t="s">
        <v>1127</v>
      </c>
    </row>
    <row r="485" spans="1:17" x14ac:dyDescent="0.2">
      <c r="A485" s="23" t="s">
        <v>460</v>
      </c>
      <c r="B485" s="23" t="s">
        <v>461</v>
      </c>
      <c r="C485" s="23" t="s">
        <v>4182</v>
      </c>
      <c r="D485" s="23" t="s">
        <v>1626</v>
      </c>
      <c r="E485" s="23" t="s">
        <v>1626</v>
      </c>
      <c r="F485" s="4">
        <v>20</v>
      </c>
      <c r="G485" s="21">
        <v>2018</v>
      </c>
      <c r="H485" t="str">
        <f t="shared" si="8"/>
        <v>IS4MAJ18</v>
      </c>
      <c r="J485" s="2" t="s">
        <v>2711</v>
      </c>
      <c r="K485" s="2" t="s">
        <v>2712</v>
      </c>
      <c r="M485" s="2" t="s">
        <v>2713</v>
      </c>
      <c r="P485" s="2" t="s">
        <v>1127</v>
      </c>
      <c r="Q485" s="2" t="s">
        <v>1127</v>
      </c>
    </row>
    <row r="486" spans="1:17" x14ac:dyDescent="0.2">
      <c r="A486" s="23" t="s">
        <v>460</v>
      </c>
      <c r="B486" s="23" t="s">
        <v>461</v>
      </c>
      <c r="C486" s="23" t="s">
        <v>4182</v>
      </c>
      <c r="D486" s="23" t="s">
        <v>1626</v>
      </c>
      <c r="E486" s="23" t="s">
        <v>1626</v>
      </c>
      <c r="F486" s="4">
        <v>21</v>
      </c>
      <c r="G486" s="21">
        <v>2019</v>
      </c>
      <c r="H486" t="str">
        <f t="shared" si="8"/>
        <v>IS4MAJ19</v>
      </c>
      <c r="J486" s="2" t="s">
        <v>2711</v>
      </c>
      <c r="K486" s="2" t="s">
        <v>2712</v>
      </c>
      <c r="M486" s="2" t="s">
        <v>2713</v>
      </c>
      <c r="P486" s="2" t="s">
        <v>1127</v>
      </c>
      <c r="Q486" s="2" t="s">
        <v>1127</v>
      </c>
    </row>
    <row r="487" spans="1:17" ht="18" customHeight="1" x14ac:dyDescent="0.2">
      <c r="A487" s="23" t="s">
        <v>460</v>
      </c>
      <c r="B487" s="23" t="s">
        <v>2714</v>
      </c>
      <c r="C487" s="23" t="s">
        <v>4182</v>
      </c>
      <c r="D487" s="23" t="s">
        <v>1524</v>
      </c>
      <c r="E487" s="23" t="s">
        <v>2715</v>
      </c>
      <c r="F487" s="2">
        <v>1</v>
      </c>
      <c r="G487" s="2">
        <v>1999</v>
      </c>
      <c r="H487" s="2" t="s">
        <v>2718</v>
      </c>
      <c r="I487" s="2"/>
      <c r="J487" s="2" t="s">
        <v>2716</v>
      </c>
      <c r="K487" s="4" t="s">
        <v>2717</v>
      </c>
      <c r="M487" s="2" t="s">
        <v>8</v>
      </c>
      <c r="P487" s="2" t="s">
        <v>1127</v>
      </c>
      <c r="Q487" s="2" t="s">
        <v>3462</v>
      </c>
    </row>
    <row r="488" spans="1:17" ht="18" customHeight="1" x14ac:dyDescent="0.2">
      <c r="A488" s="23" t="s">
        <v>460</v>
      </c>
      <c r="B488" s="23" t="s">
        <v>2714</v>
      </c>
      <c r="C488" s="23" t="s">
        <v>4182</v>
      </c>
      <c r="D488" s="23" t="s">
        <v>1524</v>
      </c>
      <c r="E488" s="23" t="s">
        <v>2715</v>
      </c>
      <c r="F488" s="4">
        <v>2</v>
      </c>
      <c r="G488" s="21">
        <v>2000</v>
      </c>
      <c r="H488" s="2" t="s">
        <v>2718</v>
      </c>
      <c r="I488" s="2"/>
      <c r="J488" s="2" t="s">
        <v>2716</v>
      </c>
      <c r="K488" s="4" t="s">
        <v>2717</v>
      </c>
      <c r="M488" s="2" t="s">
        <v>8</v>
      </c>
      <c r="P488" s="2" t="s">
        <v>1127</v>
      </c>
      <c r="Q488" s="2" t="s">
        <v>3462</v>
      </c>
    </row>
    <row r="489" spans="1:17" ht="18" customHeight="1" x14ac:dyDescent="0.2">
      <c r="A489" s="23" t="s">
        <v>460</v>
      </c>
      <c r="B489" s="23" t="s">
        <v>2714</v>
      </c>
      <c r="C489" s="23" t="s">
        <v>4182</v>
      </c>
      <c r="D489" s="23" t="s">
        <v>1524</v>
      </c>
      <c r="E489" s="23" t="s">
        <v>2715</v>
      </c>
      <c r="F489" s="4">
        <v>3</v>
      </c>
      <c r="G489" s="21">
        <v>2001</v>
      </c>
      <c r="H489" s="2" t="s">
        <v>2718</v>
      </c>
      <c r="I489" s="2"/>
      <c r="J489" s="2" t="s">
        <v>2716</v>
      </c>
      <c r="K489" s="4" t="s">
        <v>2717</v>
      </c>
      <c r="M489" s="2" t="s">
        <v>8</v>
      </c>
      <c r="P489" s="2" t="s">
        <v>1127</v>
      </c>
      <c r="Q489" s="2" t="s">
        <v>3462</v>
      </c>
    </row>
    <row r="490" spans="1:17" ht="18" customHeight="1" x14ac:dyDescent="0.2">
      <c r="A490" s="23" t="s">
        <v>460</v>
      </c>
      <c r="B490" s="23" t="s">
        <v>2714</v>
      </c>
      <c r="C490" s="23" t="s">
        <v>4182</v>
      </c>
      <c r="D490" s="23" t="s">
        <v>1524</v>
      </c>
      <c r="E490" s="23" t="s">
        <v>2715</v>
      </c>
      <c r="F490" s="4">
        <v>4</v>
      </c>
      <c r="G490" s="21">
        <v>2002</v>
      </c>
      <c r="H490" s="2" t="s">
        <v>2718</v>
      </c>
      <c r="I490" s="2"/>
      <c r="J490" s="2" t="s">
        <v>2716</v>
      </c>
      <c r="K490" s="4" t="s">
        <v>2717</v>
      </c>
      <c r="M490" s="2" t="s">
        <v>8</v>
      </c>
      <c r="P490" s="2" t="s">
        <v>1127</v>
      </c>
      <c r="Q490" s="2" t="s">
        <v>3462</v>
      </c>
    </row>
    <row r="491" spans="1:17" ht="18" customHeight="1" x14ac:dyDescent="0.2">
      <c r="A491" s="23" t="s">
        <v>460</v>
      </c>
      <c r="B491" s="23" t="s">
        <v>2714</v>
      </c>
      <c r="C491" s="23" t="s">
        <v>4182</v>
      </c>
      <c r="D491" s="23" t="s">
        <v>1524</v>
      </c>
      <c r="E491" s="23" t="s">
        <v>2715</v>
      </c>
      <c r="F491" s="4">
        <v>5</v>
      </c>
      <c r="G491" s="21">
        <v>2003</v>
      </c>
      <c r="H491" s="2" t="s">
        <v>2718</v>
      </c>
      <c r="I491" s="2"/>
      <c r="J491" s="2" t="s">
        <v>2716</v>
      </c>
      <c r="K491" s="4" t="s">
        <v>2717</v>
      </c>
      <c r="M491" s="2" t="s">
        <v>8</v>
      </c>
      <c r="P491" s="2" t="s">
        <v>1127</v>
      </c>
      <c r="Q491" s="2" t="s">
        <v>3462</v>
      </c>
    </row>
    <row r="492" spans="1:17" ht="18" customHeight="1" x14ac:dyDescent="0.2">
      <c r="A492" s="23" t="s">
        <v>460</v>
      </c>
      <c r="B492" s="23" t="s">
        <v>2714</v>
      </c>
      <c r="C492" s="23" t="s">
        <v>4182</v>
      </c>
      <c r="D492" s="23" t="s">
        <v>1524</v>
      </c>
      <c r="E492" s="23" t="s">
        <v>2715</v>
      </c>
      <c r="F492" s="4">
        <v>6</v>
      </c>
      <c r="G492" s="21">
        <v>2004</v>
      </c>
      <c r="H492" s="2" t="s">
        <v>2718</v>
      </c>
      <c r="I492" s="2"/>
      <c r="J492" s="2" t="s">
        <v>2716</v>
      </c>
      <c r="K492" s="4" t="s">
        <v>2717</v>
      </c>
      <c r="M492" s="2" t="s">
        <v>8</v>
      </c>
      <c r="P492" s="2" t="s">
        <v>1127</v>
      </c>
      <c r="Q492" s="2" t="s">
        <v>3462</v>
      </c>
    </row>
    <row r="493" spans="1:17" ht="18" customHeight="1" x14ac:dyDescent="0.2">
      <c r="A493" s="23" t="s">
        <v>460</v>
      </c>
      <c r="B493" s="23" t="s">
        <v>2714</v>
      </c>
      <c r="C493" s="23" t="s">
        <v>4182</v>
      </c>
      <c r="D493" s="23" t="s">
        <v>1524</v>
      </c>
      <c r="E493" s="23" t="s">
        <v>2715</v>
      </c>
      <c r="F493" s="4">
        <v>7</v>
      </c>
      <c r="G493" s="21">
        <v>2005</v>
      </c>
      <c r="H493" s="2" t="s">
        <v>2718</v>
      </c>
      <c r="I493" s="2"/>
      <c r="J493" s="2" t="s">
        <v>2716</v>
      </c>
      <c r="K493" s="4" t="s">
        <v>2717</v>
      </c>
      <c r="M493" s="2" t="s">
        <v>8</v>
      </c>
      <c r="P493" s="2" t="s">
        <v>1127</v>
      </c>
      <c r="Q493" s="2" t="s">
        <v>3462</v>
      </c>
    </row>
    <row r="494" spans="1:17" ht="18" customHeight="1" x14ac:dyDescent="0.2">
      <c r="A494" s="23" t="s">
        <v>460</v>
      </c>
      <c r="B494" s="23" t="s">
        <v>2714</v>
      </c>
      <c r="C494" s="23" t="s">
        <v>4182</v>
      </c>
      <c r="D494" s="23" t="s">
        <v>1524</v>
      </c>
      <c r="E494" s="23" t="s">
        <v>2715</v>
      </c>
      <c r="F494" s="4">
        <v>8</v>
      </c>
      <c r="G494" s="21">
        <v>2006</v>
      </c>
      <c r="H494" s="2" t="s">
        <v>2718</v>
      </c>
      <c r="I494" s="2"/>
      <c r="J494" s="2" t="s">
        <v>2716</v>
      </c>
      <c r="K494" s="4" t="s">
        <v>2717</v>
      </c>
      <c r="M494" s="2" t="s">
        <v>8</v>
      </c>
      <c r="P494" s="2" t="s">
        <v>1127</v>
      </c>
      <c r="Q494" s="2" t="s">
        <v>3462</v>
      </c>
    </row>
    <row r="495" spans="1:17" ht="18" customHeight="1" x14ac:dyDescent="0.2">
      <c r="A495" s="23" t="s">
        <v>460</v>
      </c>
      <c r="B495" s="23" t="s">
        <v>2714</v>
      </c>
      <c r="C495" s="23" t="s">
        <v>4182</v>
      </c>
      <c r="D495" s="23" t="s">
        <v>1524</v>
      </c>
      <c r="E495" s="23" t="s">
        <v>2715</v>
      </c>
      <c r="F495" s="4">
        <v>9</v>
      </c>
      <c r="G495" s="21">
        <v>2007</v>
      </c>
      <c r="H495" s="2" t="s">
        <v>2718</v>
      </c>
      <c r="I495" s="2"/>
      <c r="J495" s="2" t="s">
        <v>2716</v>
      </c>
      <c r="K495" s="4" t="s">
        <v>2717</v>
      </c>
      <c r="M495" s="2" t="s">
        <v>8</v>
      </c>
      <c r="P495" s="2" t="s">
        <v>1127</v>
      </c>
      <c r="Q495" s="2" t="s">
        <v>3462</v>
      </c>
    </row>
    <row r="496" spans="1:17" ht="18" customHeight="1" x14ac:dyDescent="0.2">
      <c r="A496" s="23" t="s">
        <v>460</v>
      </c>
      <c r="B496" s="23" t="s">
        <v>2714</v>
      </c>
      <c r="C496" s="23" t="s">
        <v>4182</v>
      </c>
      <c r="D496" s="23" t="s">
        <v>1524</v>
      </c>
      <c r="E496" s="23" t="s">
        <v>2715</v>
      </c>
      <c r="F496" s="4">
        <v>10</v>
      </c>
      <c r="G496" s="21">
        <v>2008</v>
      </c>
      <c r="H496" s="2" t="s">
        <v>2718</v>
      </c>
      <c r="I496" s="2"/>
      <c r="J496" s="2" t="s">
        <v>2716</v>
      </c>
      <c r="K496" s="4" t="s">
        <v>2717</v>
      </c>
      <c r="M496" s="2" t="s">
        <v>8</v>
      </c>
      <c r="P496" s="2" t="s">
        <v>1127</v>
      </c>
      <c r="Q496" s="2" t="s">
        <v>3462</v>
      </c>
    </row>
    <row r="497" spans="1:17" ht="18" customHeight="1" x14ac:dyDescent="0.2">
      <c r="A497" s="23" t="s">
        <v>460</v>
      </c>
      <c r="B497" s="23" t="s">
        <v>2714</v>
      </c>
      <c r="C497" s="23" t="s">
        <v>4182</v>
      </c>
      <c r="D497" s="23" t="s">
        <v>1524</v>
      </c>
      <c r="E497" s="23" t="s">
        <v>2715</v>
      </c>
      <c r="F497" s="4">
        <v>11</v>
      </c>
      <c r="G497" s="21">
        <v>2009</v>
      </c>
      <c r="H497" s="2" t="s">
        <v>2718</v>
      </c>
      <c r="I497" s="2"/>
      <c r="J497" s="2" t="s">
        <v>2716</v>
      </c>
      <c r="K497" s="4" t="s">
        <v>2717</v>
      </c>
      <c r="M497" s="2" t="s">
        <v>8</v>
      </c>
      <c r="P497" s="2" t="s">
        <v>1127</v>
      </c>
      <c r="Q497" s="2" t="s">
        <v>3462</v>
      </c>
    </row>
    <row r="498" spans="1:17" ht="18" customHeight="1" x14ac:dyDescent="0.2">
      <c r="A498" s="23" t="s">
        <v>460</v>
      </c>
      <c r="B498" s="23" t="s">
        <v>2714</v>
      </c>
      <c r="C498" s="23" t="s">
        <v>4182</v>
      </c>
      <c r="D498" s="23" t="s">
        <v>1524</v>
      </c>
      <c r="E498" s="23" t="s">
        <v>2715</v>
      </c>
      <c r="F498" s="4">
        <v>12</v>
      </c>
      <c r="G498" s="21">
        <v>2010</v>
      </c>
      <c r="H498" s="2" t="s">
        <v>2718</v>
      </c>
      <c r="I498" s="2"/>
      <c r="J498" s="2" t="s">
        <v>2716</v>
      </c>
      <c r="K498" s="4" t="s">
        <v>2717</v>
      </c>
      <c r="M498" s="2" t="s">
        <v>8</v>
      </c>
      <c r="P498" s="2" t="s">
        <v>1127</v>
      </c>
      <c r="Q498" s="2" t="s">
        <v>3462</v>
      </c>
    </row>
    <row r="499" spans="1:17" ht="18" customHeight="1" x14ac:dyDescent="0.2">
      <c r="A499" s="23" t="s">
        <v>460</v>
      </c>
      <c r="B499" s="23" t="s">
        <v>2714</v>
      </c>
      <c r="C499" s="23" t="s">
        <v>4182</v>
      </c>
      <c r="D499" s="23" t="s">
        <v>1524</v>
      </c>
      <c r="E499" s="23" t="s">
        <v>2715</v>
      </c>
      <c r="F499" s="4">
        <v>13</v>
      </c>
      <c r="G499" s="21">
        <v>2011</v>
      </c>
      <c r="H499" s="2" t="s">
        <v>2718</v>
      </c>
      <c r="I499" s="2"/>
      <c r="J499" s="2" t="s">
        <v>2716</v>
      </c>
      <c r="K499" s="4" t="s">
        <v>2717</v>
      </c>
      <c r="M499" s="2" t="s">
        <v>8</v>
      </c>
      <c r="P499" s="2" t="s">
        <v>1127</v>
      </c>
      <c r="Q499" s="2" t="s">
        <v>3462</v>
      </c>
    </row>
    <row r="500" spans="1:17" ht="18" customHeight="1" x14ac:dyDescent="0.2">
      <c r="A500" s="23" t="s">
        <v>460</v>
      </c>
      <c r="B500" s="23" t="s">
        <v>2714</v>
      </c>
      <c r="C500" s="23" t="s">
        <v>4182</v>
      </c>
      <c r="D500" s="23" t="s">
        <v>1524</v>
      </c>
      <c r="E500" s="23" t="s">
        <v>2715</v>
      </c>
      <c r="F500" s="4">
        <v>14</v>
      </c>
      <c r="G500" s="21">
        <v>2012</v>
      </c>
      <c r="H500" s="2" t="s">
        <v>2718</v>
      </c>
      <c r="I500" s="2"/>
      <c r="J500" s="2" t="s">
        <v>2716</v>
      </c>
      <c r="K500" s="4" t="s">
        <v>2717</v>
      </c>
      <c r="M500" s="2" t="s">
        <v>8</v>
      </c>
      <c r="P500" s="2" t="s">
        <v>1127</v>
      </c>
      <c r="Q500" s="2" t="s">
        <v>3462</v>
      </c>
    </row>
    <row r="501" spans="1:17" ht="18" customHeight="1" x14ac:dyDescent="0.2">
      <c r="A501" s="23" t="s">
        <v>460</v>
      </c>
      <c r="B501" s="23" t="s">
        <v>2714</v>
      </c>
      <c r="C501" s="23" t="s">
        <v>4182</v>
      </c>
      <c r="D501" s="23" t="s">
        <v>1524</v>
      </c>
      <c r="E501" s="23" t="s">
        <v>2715</v>
      </c>
      <c r="F501" s="4">
        <v>15</v>
      </c>
      <c r="G501" s="21">
        <v>2013</v>
      </c>
      <c r="H501" s="2" t="s">
        <v>2718</v>
      </c>
      <c r="I501" s="2"/>
      <c r="J501" s="2" t="s">
        <v>2716</v>
      </c>
      <c r="K501" s="4" t="s">
        <v>2717</v>
      </c>
      <c r="M501" s="2" t="s">
        <v>8</v>
      </c>
      <c r="P501" s="2" t="s">
        <v>1127</v>
      </c>
      <c r="Q501" s="2" t="s">
        <v>3462</v>
      </c>
    </row>
    <row r="502" spans="1:17" ht="18" customHeight="1" x14ac:dyDescent="0.2">
      <c r="A502" s="23" t="s">
        <v>460</v>
      </c>
      <c r="B502" s="23" t="s">
        <v>2714</v>
      </c>
      <c r="C502" s="23" t="s">
        <v>4182</v>
      </c>
      <c r="D502" s="23" t="s">
        <v>1524</v>
      </c>
      <c r="E502" s="23" t="s">
        <v>2715</v>
      </c>
      <c r="F502" s="4">
        <v>16</v>
      </c>
      <c r="G502" s="21">
        <v>2014</v>
      </c>
      <c r="H502" s="2" t="s">
        <v>2718</v>
      </c>
      <c r="I502" s="2"/>
      <c r="J502" s="2" t="s">
        <v>2716</v>
      </c>
      <c r="K502" s="4" t="s">
        <v>2717</v>
      </c>
      <c r="M502" s="2" t="s">
        <v>8</v>
      </c>
      <c r="P502" s="2" t="s">
        <v>1127</v>
      </c>
      <c r="Q502" s="2" t="s">
        <v>3462</v>
      </c>
    </row>
    <row r="503" spans="1:17" ht="18" customHeight="1" x14ac:dyDescent="0.2">
      <c r="A503" s="23" t="s">
        <v>460</v>
      </c>
      <c r="B503" s="23" t="s">
        <v>2714</v>
      </c>
      <c r="C503" s="23" t="s">
        <v>4182</v>
      </c>
      <c r="D503" s="23" t="s">
        <v>1524</v>
      </c>
      <c r="E503" s="23" t="s">
        <v>2715</v>
      </c>
      <c r="F503" s="4">
        <v>17</v>
      </c>
      <c r="G503" s="21">
        <v>2015</v>
      </c>
      <c r="H503" s="2" t="s">
        <v>2718</v>
      </c>
      <c r="I503" s="2"/>
      <c r="J503" s="2" t="s">
        <v>2716</v>
      </c>
      <c r="K503" s="4" t="s">
        <v>2717</v>
      </c>
      <c r="M503" s="2" t="s">
        <v>8</v>
      </c>
      <c r="P503" s="2" t="s">
        <v>1127</v>
      </c>
      <c r="Q503" s="2" t="s">
        <v>3462</v>
      </c>
    </row>
    <row r="504" spans="1:17" ht="18" customHeight="1" x14ac:dyDescent="0.2">
      <c r="A504" s="23" t="s">
        <v>460</v>
      </c>
      <c r="B504" s="23" t="s">
        <v>2714</v>
      </c>
      <c r="C504" s="23" t="s">
        <v>4182</v>
      </c>
      <c r="D504" s="23" t="s">
        <v>1524</v>
      </c>
      <c r="E504" s="23" t="s">
        <v>2715</v>
      </c>
      <c r="F504" s="4">
        <v>18</v>
      </c>
      <c r="G504" s="21">
        <v>2016</v>
      </c>
      <c r="H504" s="2" t="s">
        <v>2718</v>
      </c>
      <c r="I504" s="2"/>
      <c r="J504" s="2" t="s">
        <v>2716</v>
      </c>
      <c r="K504" s="4" t="s">
        <v>2717</v>
      </c>
      <c r="M504" s="2" t="s">
        <v>8</v>
      </c>
      <c r="P504" s="2" t="s">
        <v>1127</v>
      </c>
      <c r="Q504" s="2" t="s">
        <v>3462</v>
      </c>
    </row>
    <row r="505" spans="1:17" ht="18" customHeight="1" x14ac:dyDescent="0.2">
      <c r="A505" s="23" t="s">
        <v>460</v>
      </c>
      <c r="B505" s="23" t="s">
        <v>2714</v>
      </c>
      <c r="C505" s="23" t="s">
        <v>4182</v>
      </c>
      <c r="D505" s="23" t="s">
        <v>1524</v>
      </c>
      <c r="E505" s="23" t="s">
        <v>2715</v>
      </c>
      <c r="F505" s="4">
        <v>19</v>
      </c>
      <c r="G505" s="21">
        <v>2017</v>
      </c>
      <c r="H505" s="2" t="s">
        <v>2718</v>
      </c>
      <c r="I505" s="2"/>
      <c r="J505" s="2" t="s">
        <v>2716</v>
      </c>
      <c r="K505" s="4" t="s">
        <v>2717</v>
      </c>
      <c r="M505" s="2" t="s">
        <v>8</v>
      </c>
      <c r="P505" s="2" t="s">
        <v>1127</v>
      </c>
      <c r="Q505" s="2" t="s">
        <v>3462</v>
      </c>
    </row>
    <row r="506" spans="1:17" ht="18" customHeight="1" x14ac:dyDescent="0.2">
      <c r="A506" s="23" t="s">
        <v>460</v>
      </c>
      <c r="B506" s="23" t="s">
        <v>2714</v>
      </c>
      <c r="C506" s="23" t="s">
        <v>4182</v>
      </c>
      <c r="D506" s="23" t="s">
        <v>1524</v>
      </c>
      <c r="E506" s="23" t="s">
        <v>2715</v>
      </c>
      <c r="F506" s="4">
        <v>20</v>
      </c>
      <c r="G506" s="21">
        <v>2018</v>
      </c>
      <c r="H506" s="2" t="s">
        <v>2718</v>
      </c>
      <c r="I506" s="2"/>
      <c r="J506" s="2" t="s">
        <v>2716</v>
      </c>
      <c r="K506" s="4" t="s">
        <v>2717</v>
      </c>
      <c r="M506" s="2" t="s">
        <v>8</v>
      </c>
      <c r="P506" s="2" t="s">
        <v>1127</v>
      </c>
      <c r="Q506" s="2" t="s">
        <v>3462</v>
      </c>
    </row>
    <row r="507" spans="1:17" ht="18" customHeight="1" x14ac:dyDescent="0.2">
      <c r="A507" s="23" t="s">
        <v>460</v>
      </c>
      <c r="B507" s="23" t="s">
        <v>2714</v>
      </c>
      <c r="C507" s="23" t="s">
        <v>4182</v>
      </c>
      <c r="D507" s="23" t="s">
        <v>1524</v>
      </c>
      <c r="E507" s="23" t="s">
        <v>2715</v>
      </c>
      <c r="F507" s="4">
        <v>21</v>
      </c>
      <c r="G507" s="21">
        <v>2019</v>
      </c>
      <c r="H507" s="2" t="s">
        <v>2718</v>
      </c>
      <c r="I507" s="2"/>
      <c r="J507" s="2" t="s">
        <v>2716</v>
      </c>
      <c r="K507" s="4" t="s">
        <v>2717</v>
      </c>
      <c r="M507" s="2" t="s">
        <v>8</v>
      </c>
      <c r="P507" s="2" t="s">
        <v>1127</v>
      </c>
      <c r="Q507" s="2" t="s">
        <v>3462</v>
      </c>
    </row>
    <row r="508" spans="1:17" ht="18" customHeight="1" x14ac:dyDescent="0.2">
      <c r="A508" s="35" t="s">
        <v>460</v>
      </c>
      <c r="B508" s="35" t="s">
        <v>461</v>
      </c>
      <c r="C508" s="35" t="s">
        <v>4182</v>
      </c>
      <c r="D508" s="35" t="s">
        <v>1641</v>
      </c>
      <c r="E508" s="35" t="s">
        <v>2719</v>
      </c>
      <c r="F508" s="4">
        <v>6</v>
      </c>
      <c r="G508" s="21">
        <v>2004</v>
      </c>
      <c r="H508" s="4" t="s">
        <v>2720</v>
      </c>
      <c r="I508" s="4" t="s">
        <v>2721</v>
      </c>
      <c r="J508" s="2" t="s">
        <v>2722</v>
      </c>
      <c r="K508" s="2" t="s">
        <v>1105</v>
      </c>
      <c r="M508" s="2" t="s">
        <v>2723</v>
      </c>
      <c r="P508" s="2" t="s">
        <v>1127</v>
      </c>
      <c r="Q508" s="2" t="s">
        <v>1127</v>
      </c>
    </row>
    <row r="509" spans="1:17" ht="18" customHeight="1" x14ac:dyDescent="0.2">
      <c r="A509" s="35" t="s">
        <v>460</v>
      </c>
      <c r="B509" s="35" t="s">
        <v>461</v>
      </c>
      <c r="C509" s="35" t="s">
        <v>4182</v>
      </c>
      <c r="D509" s="35" t="s">
        <v>1641</v>
      </c>
      <c r="E509" s="35" t="s">
        <v>2719</v>
      </c>
      <c r="F509" s="4">
        <v>7</v>
      </c>
      <c r="G509" s="21">
        <v>2005</v>
      </c>
      <c r="H509" s="4" t="s">
        <v>2724</v>
      </c>
      <c r="I509" s="4" t="s">
        <v>2721</v>
      </c>
      <c r="J509" s="2" t="s">
        <v>2722</v>
      </c>
      <c r="K509" s="2" t="s">
        <v>1105</v>
      </c>
      <c r="M509" s="2" t="s">
        <v>2723</v>
      </c>
      <c r="P509" s="2" t="s">
        <v>1127</v>
      </c>
      <c r="Q509" s="2" t="s">
        <v>1127</v>
      </c>
    </row>
    <row r="510" spans="1:17" ht="18" customHeight="1" x14ac:dyDescent="0.2">
      <c r="A510" s="35" t="s">
        <v>460</v>
      </c>
      <c r="B510" s="35" t="s">
        <v>461</v>
      </c>
      <c r="C510" s="35" t="s">
        <v>4182</v>
      </c>
      <c r="D510" s="35" t="s">
        <v>1641</v>
      </c>
      <c r="E510" s="35" t="s">
        <v>2719</v>
      </c>
      <c r="F510" s="4">
        <v>8</v>
      </c>
      <c r="G510" s="21">
        <v>2006</v>
      </c>
      <c r="H510" s="4" t="s">
        <v>2725</v>
      </c>
      <c r="I510" s="4" t="s">
        <v>2721</v>
      </c>
      <c r="J510" s="2" t="s">
        <v>2722</v>
      </c>
      <c r="K510" s="2" t="s">
        <v>1105</v>
      </c>
      <c r="M510" s="2" t="s">
        <v>2723</v>
      </c>
      <c r="P510" s="2" t="s">
        <v>1127</v>
      </c>
      <c r="Q510" s="2" t="s">
        <v>1127</v>
      </c>
    </row>
    <row r="511" spans="1:17" ht="18" customHeight="1" x14ac:dyDescent="0.2">
      <c r="A511" s="35" t="s">
        <v>460</v>
      </c>
      <c r="B511" s="35" t="s">
        <v>461</v>
      </c>
      <c r="C511" s="35" t="s">
        <v>4182</v>
      </c>
      <c r="D511" s="35" t="s">
        <v>1641</v>
      </c>
      <c r="E511" s="35" t="s">
        <v>2719</v>
      </c>
      <c r="F511" s="4">
        <v>9</v>
      </c>
      <c r="G511" s="21">
        <v>2007</v>
      </c>
      <c r="H511" s="4" t="s">
        <v>2726</v>
      </c>
      <c r="I511" s="4" t="s">
        <v>2721</v>
      </c>
      <c r="J511" s="2" t="s">
        <v>2722</v>
      </c>
      <c r="K511" s="2" t="s">
        <v>1105</v>
      </c>
      <c r="M511" s="2" t="s">
        <v>2723</v>
      </c>
      <c r="P511" s="2" t="s">
        <v>1127</v>
      </c>
      <c r="Q511" s="2" t="s">
        <v>1127</v>
      </c>
    </row>
    <row r="512" spans="1:17" ht="18" customHeight="1" x14ac:dyDescent="0.2">
      <c r="A512" s="35" t="s">
        <v>460</v>
      </c>
      <c r="B512" s="35" t="s">
        <v>461</v>
      </c>
      <c r="C512" s="35" t="s">
        <v>4182</v>
      </c>
      <c r="D512" s="35" t="s">
        <v>1641</v>
      </c>
      <c r="E512" s="35" t="s">
        <v>2719</v>
      </c>
      <c r="F512" s="4">
        <v>10</v>
      </c>
      <c r="G512" s="21">
        <v>2008</v>
      </c>
      <c r="H512" s="4" t="s">
        <v>2727</v>
      </c>
      <c r="I512" s="4" t="s">
        <v>2721</v>
      </c>
      <c r="J512" s="2" t="s">
        <v>2722</v>
      </c>
      <c r="K512" s="2" t="s">
        <v>1105</v>
      </c>
      <c r="M512" s="2" t="s">
        <v>2723</v>
      </c>
      <c r="P512" s="2" t="s">
        <v>1127</v>
      </c>
      <c r="Q512" s="2" t="s">
        <v>1127</v>
      </c>
    </row>
    <row r="513" spans="1:17" ht="18" customHeight="1" x14ac:dyDescent="0.2">
      <c r="A513" s="35" t="s">
        <v>460</v>
      </c>
      <c r="B513" s="35" t="s">
        <v>461</v>
      </c>
      <c r="C513" s="35" t="s">
        <v>4182</v>
      </c>
      <c r="D513" s="35" t="s">
        <v>1641</v>
      </c>
      <c r="E513" s="35" t="s">
        <v>2719</v>
      </c>
      <c r="F513" s="4">
        <v>11</v>
      </c>
      <c r="G513" s="21">
        <v>2009</v>
      </c>
      <c r="H513" s="4" t="s">
        <v>2728</v>
      </c>
      <c r="I513" s="4" t="s">
        <v>2721</v>
      </c>
      <c r="J513" s="2" t="s">
        <v>2722</v>
      </c>
      <c r="K513" s="2" t="s">
        <v>1105</v>
      </c>
      <c r="M513" s="2" t="s">
        <v>2723</v>
      </c>
      <c r="P513" s="2" t="s">
        <v>1127</v>
      </c>
      <c r="Q513" s="2" t="s">
        <v>1127</v>
      </c>
    </row>
    <row r="514" spans="1:17" ht="18" customHeight="1" x14ac:dyDescent="0.2">
      <c r="A514" s="35" t="s">
        <v>460</v>
      </c>
      <c r="B514" s="35" t="s">
        <v>461</v>
      </c>
      <c r="C514" s="35" t="s">
        <v>4182</v>
      </c>
      <c r="D514" s="35" t="s">
        <v>1641</v>
      </c>
      <c r="E514" s="35" t="s">
        <v>2719</v>
      </c>
      <c r="F514" s="4">
        <v>12</v>
      </c>
      <c r="G514" s="21">
        <v>2010</v>
      </c>
      <c r="H514" s="4" t="s">
        <v>2729</v>
      </c>
      <c r="I514" s="4" t="s">
        <v>2721</v>
      </c>
      <c r="J514" s="2" t="s">
        <v>2722</v>
      </c>
      <c r="K514" s="2" t="s">
        <v>1105</v>
      </c>
      <c r="M514" s="2" t="s">
        <v>2723</v>
      </c>
      <c r="P514" s="2" t="s">
        <v>1127</v>
      </c>
      <c r="Q514" s="2" t="s">
        <v>1127</v>
      </c>
    </row>
    <row r="515" spans="1:17" ht="18" customHeight="1" x14ac:dyDescent="0.2">
      <c r="A515" s="35" t="s">
        <v>460</v>
      </c>
      <c r="B515" s="35" t="s">
        <v>461</v>
      </c>
      <c r="C515" s="35" t="s">
        <v>4182</v>
      </c>
      <c r="D515" s="35" t="s">
        <v>1641</v>
      </c>
      <c r="E515" s="35" t="s">
        <v>2719</v>
      </c>
      <c r="F515" s="4">
        <v>13</v>
      </c>
      <c r="G515" s="21">
        <v>2011</v>
      </c>
      <c r="H515" s="4" t="s">
        <v>2730</v>
      </c>
      <c r="I515" s="4" t="s">
        <v>2721</v>
      </c>
      <c r="J515" s="2" t="s">
        <v>2722</v>
      </c>
      <c r="K515" s="2" t="s">
        <v>1105</v>
      </c>
      <c r="M515" s="2" t="s">
        <v>2723</v>
      </c>
      <c r="P515" s="2" t="s">
        <v>1127</v>
      </c>
      <c r="Q515" s="2" t="s">
        <v>1127</v>
      </c>
    </row>
    <row r="516" spans="1:17" ht="18" customHeight="1" x14ac:dyDescent="0.2">
      <c r="A516" s="35" t="s">
        <v>460</v>
      </c>
      <c r="B516" s="35" t="s">
        <v>461</v>
      </c>
      <c r="C516" s="35" t="s">
        <v>4182</v>
      </c>
      <c r="D516" s="35" t="s">
        <v>1641</v>
      </c>
      <c r="E516" s="35" t="s">
        <v>2719</v>
      </c>
      <c r="F516" s="4">
        <v>14</v>
      </c>
      <c r="G516" s="21">
        <v>2012</v>
      </c>
      <c r="H516" s="4" t="s">
        <v>2731</v>
      </c>
      <c r="I516" s="4" t="s">
        <v>2721</v>
      </c>
      <c r="J516" s="2" t="s">
        <v>2722</v>
      </c>
      <c r="K516" s="2" t="s">
        <v>1105</v>
      </c>
      <c r="M516" s="2" t="s">
        <v>2723</v>
      </c>
      <c r="P516" s="2" t="s">
        <v>1127</v>
      </c>
      <c r="Q516" s="2" t="s">
        <v>1127</v>
      </c>
    </row>
    <row r="517" spans="1:17" ht="18" customHeight="1" x14ac:dyDescent="0.2">
      <c r="A517" s="35" t="s">
        <v>460</v>
      </c>
      <c r="B517" s="35" t="s">
        <v>461</v>
      </c>
      <c r="C517" s="35" t="s">
        <v>4182</v>
      </c>
      <c r="D517" s="35" t="s">
        <v>1641</v>
      </c>
      <c r="E517" s="35" t="s">
        <v>2719</v>
      </c>
      <c r="F517" s="4">
        <v>15</v>
      </c>
      <c r="G517" s="21">
        <v>2013</v>
      </c>
      <c r="H517" s="4" t="s">
        <v>2732</v>
      </c>
      <c r="I517" s="4" t="s">
        <v>2721</v>
      </c>
      <c r="J517" s="2" t="s">
        <v>2722</v>
      </c>
      <c r="K517" s="2" t="s">
        <v>1105</v>
      </c>
      <c r="M517" s="2" t="s">
        <v>2723</v>
      </c>
      <c r="P517" s="2" t="s">
        <v>1127</v>
      </c>
      <c r="Q517" s="2" t="s">
        <v>1127</v>
      </c>
    </row>
    <row r="518" spans="1:17" ht="18" customHeight="1" x14ac:dyDescent="0.2">
      <c r="A518" s="35" t="s">
        <v>460</v>
      </c>
      <c r="B518" s="35" t="s">
        <v>461</v>
      </c>
      <c r="C518" s="35" t="s">
        <v>4182</v>
      </c>
      <c r="D518" s="35" t="s">
        <v>1641</v>
      </c>
      <c r="E518" s="35" t="s">
        <v>2719</v>
      </c>
      <c r="F518" s="4">
        <v>16</v>
      </c>
      <c r="G518" s="21">
        <v>2014</v>
      </c>
      <c r="H518" s="4" t="s">
        <v>2733</v>
      </c>
      <c r="I518" s="4" t="s">
        <v>2721</v>
      </c>
      <c r="J518" s="2" t="s">
        <v>2722</v>
      </c>
      <c r="K518" s="2" t="s">
        <v>1105</v>
      </c>
      <c r="M518" s="2" t="s">
        <v>2723</v>
      </c>
      <c r="P518" s="2" t="s">
        <v>1127</v>
      </c>
      <c r="Q518" s="2" t="s">
        <v>1127</v>
      </c>
    </row>
    <row r="519" spans="1:17" ht="18" customHeight="1" x14ac:dyDescent="0.2">
      <c r="A519" s="35" t="s">
        <v>460</v>
      </c>
      <c r="B519" s="35" t="s">
        <v>461</v>
      </c>
      <c r="C519" s="35" t="s">
        <v>4182</v>
      </c>
      <c r="D519" s="35" t="s">
        <v>1641</v>
      </c>
      <c r="E519" s="35" t="s">
        <v>2719</v>
      </c>
      <c r="F519" s="4">
        <v>17</v>
      </c>
      <c r="G519" s="21">
        <v>2015</v>
      </c>
      <c r="H519" s="4" t="s">
        <v>2734</v>
      </c>
      <c r="I519" s="4" t="s">
        <v>2721</v>
      </c>
      <c r="J519" s="2" t="s">
        <v>2722</v>
      </c>
      <c r="K519" s="2" t="s">
        <v>1105</v>
      </c>
      <c r="M519" s="2" t="s">
        <v>2723</v>
      </c>
      <c r="P519" s="2" t="s">
        <v>1127</v>
      </c>
      <c r="Q519" s="2" t="s">
        <v>1127</v>
      </c>
    </row>
    <row r="520" spans="1:17" ht="18" customHeight="1" x14ac:dyDescent="0.2">
      <c r="A520" s="35" t="s">
        <v>460</v>
      </c>
      <c r="B520" s="35" t="s">
        <v>461</v>
      </c>
      <c r="C520" s="35" t="s">
        <v>4182</v>
      </c>
      <c r="D520" s="35" t="s">
        <v>1641</v>
      </c>
      <c r="E520" s="35" t="s">
        <v>2719</v>
      </c>
      <c r="F520" s="4">
        <v>18</v>
      </c>
      <c r="G520" s="21">
        <v>2016</v>
      </c>
      <c r="H520" s="4" t="s">
        <v>2735</v>
      </c>
      <c r="I520" s="4" t="s">
        <v>2721</v>
      </c>
      <c r="J520" s="2" t="s">
        <v>2722</v>
      </c>
      <c r="K520" s="2" t="s">
        <v>1105</v>
      </c>
      <c r="M520" s="2" t="s">
        <v>2723</v>
      </c>
      <c r="P520" s="2" t="s">
        <v>1127</v>
      </c>
      <c r="Q520" s="2" t="s">
        <v>1127</v>
      </c>
    </row>
    <row r="521" spans="1:17" ht="18" customHeight="1" x14ac:dyDescent="0.2">
      <c r="A521" s="35" t="s">
        <v>460</v>
      </c>
      <c r="B521" s="35" t="s">
        <v>461</v>
      </c>
      <c r="C521" s="35" t="s">
        <v>4182</v>
      </c>
      <c r="D521" s="35" t="s">
        <v>1641</v>
      </c>
      <c r="E521" s="35" t="s">
        <v>2719</v>
      </c>
      <c r="F521" s="4">
        <v>19</v>
      </c>
      <c r="G521" s="21">
        <v>2017</v>
      </c>
      <c r="H521" s="4" t="s">
        <v>2736</v>
      </c>
      <c r="I521" s="4" t="s">
        <v>2721</v>
      </c>
      <c r="J521" s="2" t="s">
        <v>2722</v>
      </c>
      <c r="K521" s="2" t="s">
        <v>1105</v>
      </c>
      <c r="M521" s="2" t="s">
        <v>2723</v>
      </c>
      <c r="P521" s="2" t="s">
        <v>1127</v>
      </c>
      <c r="Q521" s="2" t="s">
        <v>1127</v>
      </c>
    </row>
    <row r="522" spans="1:17" ht="18" customHeight="1" x14ac:dyDescent="0.2">
      <c r="A522" s="35" t="s">
        <v>460</v>
      </c>
      <c r="B522" s="35" t="s">
        <v>461</v>
      </c>
      <c r="C522" s="35" t="s">
        <v>4182</v>
      </c>
      <c r="D522" s="35" t="s">
        <v>1641</v>
      </c>
      <c r="E522" s="35" t="s">
        <v>2719</v>
      </c>
      <c r="F522" s="4">
        <v>20</v>
      </c>
      <c r="G522" s="21">
        <v>2018</v>
      </c>
      <c r="H522" s="4" t="s">
        <v>2737</v>
      </c>
      <c r="I522" s="4" t="s">
        <v>2721</v>
      </c>
      <c r="J522" s="2" t="s">
        <v>2722</v>
      </c>
      <c r="K522" s="2" t="s">
        <v>1105</v>
      </c>
      <c r="M522" s="2" t="s">
        <v>2723</v>
      </c>
      <c r="P522" s="2" t="s">
        <v>1127</v>
      </c>
      <c r="Q522" s="2" t="s">
        <v>1127</v>
      </c>
    </row>
    <row r="523" spans="1:17" ht="18" customHeight="1" x14ac:dyDescent="0.2">
      <c r="A523" s="35" t="s">
        <v>460</v>
      </c>
      <c r="B523" s="35" t="s">
        <v>461</v>
      </c>
      <c r="C523" s="35" t="s">
        <v>4182</v>
      </c>
      <c r="D523" s="35" t="s">
        <v>1641</v>
      </c>
      <c r="E523" s="35" t="s">
        <v>2719</v>
      </c>
      <c r="F523" s="4">
        <v>21</v>
      </c>
      <c r="G523" s="21">
        <v>2019</v>
      </c>
      <c r="H523" s="4" t="s">
        <v>2738</v>
      </c>
      <c r="I523" s="4" t="s">
        <v>2721</v>
      </c>
      <c r="J523" s="2" t="s">
        <v>2722</v>
      </c>
      <c r="K523" s="2" t="s">
        <v>1105</v>
      </c>
      <c r="M523" s="2" t="s">
        <v>2723</v>
      </c>
      <c r="P523" s="2" t="s">
        <v>1127</v>
      </c>
      <c r="Q523" s="2" t="s">
        <v>1127</v>
      </c>
    </row>
    <row r="524" spans="1:17" ht="18" customHeight="1" x14ac:dyDescent="0.2">
      <c r="A524" s="35" t="s">
        <v>460</v>
      </c>
      <c r="B524" s="35" t="s">
        <v>461</v>
      </c>
      <c r="C524" s="35" t="s">
        <v>4182</v>
      </c>
      <c r="D524" s="35" t="s">
        <v>1629</v>
      </c>
      <c r="E524" s="35" t="s">
        <v>2739</v>
      </c>
      <c r="F524" s="2">
        <v>1</v>
      </c>
      <c r="G524" s="21">
        <v>1999</v>
      </c>
      <c r="H524" s="4" t="s">
        <v>2740</v>
      </c>
      <c r="I524" s="4"/>
      <c r="J524" s="4" t="s">
        <v>2741</v>
      </c>
      <c r="K524" s="22" t="s">
        <v>2742</v>
      </c>
      <c r="M524" s="2" t="s">
        <v>2743</v>
      </c>
      <c r="P524" s="2" t="s">
        <v>1127</v>
      </c>
      <c r="Q524" s="2" t="s">
        <v>1127</v>
      </c>
    </row>
    <row r="525" spans="1:17" ht="18" customHeight="1" x14ac:dyDescent="0.2">
      <c r="A525" s="35" t="s">
        <v>460</v>
      </c>
      <c r="B525" s="35" t="s">
        <v>461</v>
      </c>
      <c r="C525" s="35" t="s">
        <v>4182</v>
      </c>
      <c r="D525" s="35" t="s">
        <v>1629</v>
      </c>
      <c r="E525" s="35" t="s">
        <v>2739</v>
      </c>
      <c r="F525" s="2">
        <v>2</v>
      </c>
      <c r="G525" s="21">
        <v>2000</v>
      </c>
      <c r="H525" s="4" t="s">
        <v>2744</v>
      </c>
      <c r="I525" s="4"/>
      <c r="J525" s="4" t="s">
        <v>2741</v>
      </c>
      <c r="K525" s="22" t="s">
        <v>2742</v>
      </c>
      <c r="M525" s="2" t="s">
        <v>2743</v>
      </c>
      <c r="P525" s="2" t="s">
        <v>1127</v>
      </c>
      <c r="Q525" s="2" t="s">
        <v>1127</v>
      </c>
    </row>
    <row r="526" spans="1:17" ht="18" customHeight="1" x14ac:dyDescent="0.2">
      <c r="A526" s="35" t="s">
        <v>460</v>
      </c>
      <c r="B526" s="35" t="s">
        <v>461</v>
      </c>
      <c r="C526" s="35" t="s">
        <v>4182</v>
      </c>
      <c r="D526" s="35" t="s">
        <v>1629</v>
      </c>
      <c r="E526" s="35" t="s">
        <v>2739</v>
      </c>
      <c r="F526" s="2">
        <v>3</v>
      </c>
      <c r="G526" s="21">
        <v>2001</v>
      </c>
      <c r="H526" s="4" t="s">
        <v>2745</v>
      </c>
      <c r="I526" s="4"/>
      <c r="J526" s="4" t="s">
        <v>2741</v>
      </c>
      <c r="K526" s="22" t="s">
        <v>2742</v>
      </c>
      <c r="M526" s="2" t="s">
        <v>2743</v>
      </c>
      <c r="P526" s="2" t="s">
        <v>1127</v>
      </c>
      <c r="Q526" s="2" t="s">
        <v>1127</v>
      </c>
    </row>
    <row r="527" spans="1:17" ht="18" customHeight="1" x14ac:dyDescent="0.2">
      <c r="A527" s="35" t="s">
        <v>460</v>
      </c>
      <c r="B527" s="35" t="s">
        <v>461</v>
      </c>
      <c r="C527" s="35" t="s">
        <v>4182</v>
      </c>
      <c r="D527" s="35" t="s">
        <v>1629</v>
      </c>
      <c r="E527" s="35" t="s">
        <v>2739</v>
      </c>
      <c r="F527" s="2">
        <v>4</v>
      </c>
      <c r="G527" s="21">
        <v>2002</v>
      </c>
      <c r="H527" s="4" t="s">
        <v>2746</v>
      </c>
      <c r="I527" s="4"/>
      <c r="J527" s="4" t="s">
        <v>2741</v>
      </c>
      <c r="K527" s="22" t="s">
        <v>2742</v>
      </c>
      <c r="M527" s="2" t="s">
        <v>2743</v>
      </c>
      <c r="P527" s="2" t="s">
        <v>1127</v>
      </c>
      <c r="Q527" s="2" t="s">
        <v>1127</v>
      </c>
    </row>
    <row r="528" spans="1:17" ht="18" customHeight="1" x14ac:dyDescent="0.2">
      <c r="A528" s="35" t="s">
        <v>460</v>
      </c>
      <c r="B528" s="35" t="s">
        <v>461</v>
      </c>
      <c r="C528" s="35" t="s">
        <v>4182</v>
      </c>
      <c r="D528" s="35" t="s">
        <v>1629</v>
      </c>
      <c r="E528" s="35" t="s">
        <v>2739</v>
      </c>
      <c r="F528" s="2">
        <v>5</v>
      </c>
      <c r="G528" s="21">
        <v>2003</v>
      </c>
      <c r="H528" s="4" t="s">
        <v>2747</v>
      </c>
      <c r="I528" s="4"/>
      <c r="J528" s="4" t="s">
        <v>2741</v>
      </c>
      <c r="K528" s="22" t="s">
        <v>2742</v>
      </c>
      <c r="M528" s="2" t="s">
        <v>2743</v>
      </c>
      <c r="P528" s="2" t="s">
        <v>1127</v>
      </c>
      <c r="Q528" s="2" t="s">
        <v>1127</v>
      </c>
    </row>
    <row r="529" spans="1:17" ht="18" customHeight="1" x14ac:dyDescent="0.2">
      <c r="A529" s="35" t="s">
        <v>460</v>
      </c>
      <c r="B529" s="35" t="s">
        <v>461</v>
      </c>
      <c r="C529" s="35" t="s">
        <v>4182</v>
      </c>
      <c r="D529" s="35" t="s">
        <v>1629</v>
      </c>
      <c r="E529" s="35" t="s">
        <v>2739</v>
      </c>
      <c r="F529" s="2">
        <v>6</v>
      </c>
      <c r="G529" s="21">
        <v>2004</v>
      </c>
      <c r="H529" s="4" t="s">
        <v>2748</v>
      </c>
      <c r="I529" s="4"/>
      <c r="J529" s="4" t="s">
        <v>2741</v>
      </c>
      <c r="K529" s="22" t="s">
        <v>2742</v>
      </c>
      <c r="M529" s="2" t="s">
        <v>2743</v>
      </c>
      <c r="P529" s="2" t="s">
        <v>1127</v>
      </c>
      <c r="Q529" s="2" t="s">
        <v>1127</v>
      </c>
    </row>
    <row r="530" spans="1:17" ht="18" customHeight="1" x14ac:dyDescent="0.2">
      <c r="A530" s="35" t="s">
        <v>460</v>
      </c>
      <c r="B530" s="35" t="s">
        <v>461</v>
      </c>
      <c r="C530" s="35" t="s">
        <v>4182</v>
      </c>
      <c r="D530" s="35" t="s">
        <v>1629</v>
      </c>
      <c r="E530" s="35" t="s">
        <v>2739</v>
      </c>
      <c r="F530" s="2">
        <v>7</v>
      </c>
      <c r="G530" s="21">
        <v>2005</v>
      </c>
      <c r="H530" s="4" t="s">
        <v>2749</v>
      </c>
      <c r="I530" s="4"/>
      <c r="J530" s="4" t="s">
        <v>2741</v>
      </c>
      <c r="K530" s="22" t="s">
        <v>2742</v>
      </c>
      <c r="M530" s="2" t="s">
        <v>2743</v>
      </c>
      <c r="P530" s="2" t="s">
        <v>1127</v>
      </c>
      <c r="Q530" s="2" t="s">
        <v>1127</v>
      </c>
    </row>
    <row r="531" spans="1:17" ht="18" customHeight="1" x14ac:dyDescent="0.2">
      <c r="A531" s="35" t="s">
        <v>460</v>
      </c>
      <c r="B531" s="35" t="s">
        <v>461</v>
      </c>
      <c r="C531" s="35" t="s">
        <v>4182</v>
      </c>
      <c r="D531" s="35" t="s">
        <v>1629</v>
      </c>
      <c r="E531" s="35" t="s">
        <v>2739</v>
      </c>
      <c r="F531" s="2">
        <v>8</v>
      </c>
      <c r="G531" s="21">
        <v>2006</v>
      </c>
      <c r="H531" s="4" t="s">
        <v>2750</v>
      </c>
      <c r="I531" s="4"/>
      <c r="J531" s="4" t="s">
        <v>2741</v>
      </c>
      <c r="K531" s="22" t="s">
        <v>2742</v>
      </c>
      <c r="M531" s="2" t="s">
        <v>2743</v>
      </c>
      <c r="P531" s="2" t="s">
        <v>1127</v>
      </c>
      <c r="Q531" s="2" t="s">
        <v>1127</v>
      </c>
    </row>
    <row r="532" spans="1:17" ht="18" customHeight="1" x14ac:dyDescent="0.2">
      <c r="A532" s="35" t="s">
        <v>460</v>
      </c>
      <c r="B532" s="35" t="s">
        <v>461</v>
      </c>
      <c r="C532" s="35" t="s">
        <v>4182</v>
      </c>
      <c r="D532" s="35" t="s">
        <v>1629</v>
      </c>
      <c r="E532" s="35" t="s">
        <v>2739</v>
      </c>
      <c r="F532" s="2">
        <v>9</v>
      </c>
      <c r="G532" s="21">
        <v>2007</v>
      </c>
      <c r="H532" s="4" t="s">
        <v>2751</v>
      </c>
      <c r="I532" s="4"/>
      <c r="J532" s="4" t="s">
        <v>2741</v>
      </c>
      <c r="K532" s="22" t="s">
        <v>2742</v>
      </c>
      <c r="M532" s="2" t="s">
        <v>2743</v>
      </c>
      <c r="P532" s="2" t="s">
        <v>1127</v>
      </c>
      <c r="Q532" s="2" t="s">
        <v>1127</v>
      </c>
    </row>
    <row r="533" spans="1:17" ht="18" customHeight="1" x14ac:dyDescent="0.2">
      <c r="A533" s="35" t="s">
        <v>460</v>
      </c>
      <c r="B533" s="35" t="s">
        <v>461</v>
      </c>
      <c r="C533" s="35" t="s">
        <v>4182</v>
      </c>
      <c r="D533" s="35" t="s">
        <v>1629</v>
      </c>
      <c r="E533" s="35" t="s">
        <v>2739</v>
      </c>
      <c r="F533" s="2">
        <v>10</v>
      </c>
      <c r="G533" s="21">
        <v>2008</v>
      </c>
      <c r="H533" s="4" t="s">
        <v>2752</v>
      </c>
      <c r="I533" s="4"/>
      <c r="J533" s="4" t="s">
        <v>2741</v>
      </c>
      <c r="K533" s="22" t="s">
        <v>2742</v>
      </c>
      <c r="M533" s="2" t="s">
        <v>2743</v>
      </c>
      <c r="P533" s="2" t="s">
        <v>1127</v>
      </c>
      <c r="Q533" s="2" t="s">
        <v>1127</v>
      </c>
    </row>
    <row r="534" spans="1:17" ht="18" customHeight="1" x14ac:dyDescent="0.2">
      <c r="A534" s="35" t="s">
        <v>460</v>
      </c>
      <c r="B534" s="35" t="s">
        <v>461</v>
      </c>
      <c r="C534" s="35" t="s">
        <v>4182</v>
      </c>
      <c r="D534" s="35" t="s">
        <v>1629</v>
      </c>
      <c r="E534" s="35" t="s">
        <v>2739</v>
      </c>
      <c r="F534" s="2">
        <v>11</v>
      </c>
      <c r="G534" s="21">
        <v>2009</v>
      </c>
      <c r="H534" s="4" t="s">
        <v>2753</v>
      </c>
      <c r="I534" s="4"/>
      <c r="J534" s="4" t="s">
        <v>2741</v>
      </c>
      <c r="K534" s="22" t="s">
        <v>2742</v>
      </c>
      <c r="M534" s="2" t="s">
        <v>2743</v>
      </c>
      <c r="P534" s="2" t="s">
        <v>1127</v>
      </c>
      <c r="Q534" s="2" t="s">
        <v>1127</v>
      </c>
    </row>
    <row r="535" spans="1:17" ht="18" customHeight="1" x14ac:dyDescent="0.2">
      <c r="A535" s="35" t="s">
        <v>460</v>
      </c>
      <c r="B535" s="35" t="s">
        <v>461</v>
      </c>
      <c r="C535" s="35" t="s">
        <v>4182</v>
      </c>
      <c r="D535" s="35" t="s">
        <v>1629</v>
      </c>
      <c r="E535" s="35" t="s">
        <v>2739</v>
      </c>
      <c r="F535" s="2">
        <v>12</v>
      </c>
      <c r="G535" s="21">
        <v>2010</v>
      </c>
      <c r="H535" s="4" t="s">
        <v>2754</v>
      </c>
      <c r="I535" s="4"/>
      <c r="J535" s="4" t="s">
        <v>2741</v>
      </c>
      <c r="K535" s="22" t="s">
        <v>2742</v>
      </c>
      <c r="M535" s="2" t="s">
        <v>2743</v>
      </c>
      <c r="P535" s="2" t="s">
        <v>1127</v>
      </c>
      <c r="Q535" s="2" t="s">
        <v>1127</v>
      </c>
    </row>
    <row r="536" spans="1:17" ht="18" customHeight="1" x14ac:dyDescent="0.2">
      <c r="A536" s="35" t="s">
        <v>460</v>
      </c>
      <c r="B536" s="35" t="s">
        <v>461</v>
      </c>
      <c r="C536" s="35" t="s">
        <v>4182</v>
      </c>
      <c r="D536" s="35" t="s">
        <v>1629</v>
      </c>
      <c r="E536" s="35" t="s">
        <v>2739</v>
      </c>
      <c r="F536" s="2">
        <v>13</v>
      </c>
      <c r="G536" s="21">
        <v>2011</v>
      </c>
      <c r="H536" s="4" t="s">
        <v>2755</v>
      </c>
      <c r="I536" s="4"/>
      <c r="J536" s="4" t="s">
        <v>2741</v>
      </c>
      <c r="K536" s="22" t="s">
        <v>2742</v>
      </c>
      <c r="M536" s="2" t="s">
        <v>2743</v>
      </c>
      <c r="P536" s="2" t="s">
        <v>1127</v>
      </c>
      <c r="Q536" s="2" t="s">
        <v>1127</v>
      </c>
    </row>
    <row r="537" spans="1:17" ht="18" customHeight="1" x14ac:dyDescent="0.2">
      <c r="A537" s="35" t="s">
        <v>460</v>
      </c>
      <c r="B537" s="35" t="s">
        <v>461</v>
      </c>
      <c r="C537" s="35" t="s">
        <v>4182</v>
      </c>
      <c r="D537" s="35" t="s">
        <v>1629</v>
      </c>
      <c r="E537" s="35" t="s">
        <v>2739</v>
      </c>
      <c r="F537" s="2">
        <v>14</v>
      </c>
      <c r="G537" s="21">
        <v>2012</v>
      </c>
      <c r="H537" s="4" t="s">
        <v>2756</v>
      </c>
      <c r="I537" s="4"/>
      <c r="J537" s="4" t="s">
        <v>2741</v>
      </c>
      <c r="K537" s="22" t="s">
        <v>2742</v>
      </c>
      <c r="M537" s="2" t="s">
        <v>2743</v>
      </c>
      <c r="P537" s="2" t="s">
        <v>1127</v>
      </c>
      <c r="Q537" s="2" t="s">
        <v>1127</v>
      </c>
    </row>
    <row r="538" spans="1:17" ht="18" customHeight="1" x14ac:dyDescent="0.2">
      <c r="A538" s="35" t="s">
        <v>460</v>
      </c>
      <c r="B538" s="35" t="s">
        <v>461</v>
      </c>
      <c r="C538" s="35" t="s">
        <v>4182</v>
      </c>
      <c r="D538" s="35" t="s">
        <v>1629</v>
      </c>
      <c r="E538" s="35" t="s">
        <v>2739</v>
      </c>
      <c r="F538" s="2">
        <v>15</v>
      </c>
      <c r="G538" s="21">
        <v>2013</v>
      </c>
      <c r="H538" s="4" t="s">
        <v>2757</v>
      </c>
      <c r="I538" s="4"/>
      <c r="J538" s="4" t="s">
        <v>2741</v>
      </c>
      <c r="K538" s="22" t="s">
        <v>2742</v>
      </c>
      <c r="M538" s="2" t="s">
        <v>2743</v>
      </c>
      <c r="P538" s="2" t="s">
        <v>1127</v>
      </c>
      <c r="Q538" s="2" t="s">
        <v>1127</v>
      </c>
    </row>
    <row r="539" spans="1:17" ht="18" customHeight="1" x14ac:dyDescent="0.2">
      <c r="A539" s="35" t="s">
        <v>460</v>
      </c>
      <c r="B539" s="35" t="s">
        <v>461</v>
      </c>
      <c r="C539" s="35" t="s">
        <v>4182</v>
      </c>
      <c r="D539" s="35" t="s">
        <v>1629</v>
      </c>
      <c r="E539" s="35" t="s">
        <v>2739</v>
      </c>
      <c r="F539" s="2">
        <v>16</v>
      </c>
      <c r="G539" s="21">
        <v>2014</v>
      </c>
      <c r="H539" s="4" t="s">
        <v>2758</v>
      </c>
      <c r="I539" s="4"/>
      <c r="J539" s="4" t="s">
        <v>2741</v>
      </c>
      <c r="K539" s="22" t="s">
        <v>2742</v>
      </c>
      <c r="M539" s="2" t="s">
        <v>2743</v>
      </c>
      <c r="P539" s="2" t="s">
        <v>1127</v>
      </c>
      <c r="Q539" s="2" t="s">
        <v>1127</v>
      </c>
    </row>
    <row r="540" spans="1:17" ht="18" customHeight="1" x14ac:dyDescent="0.2">
      <c r="A540" s="35" t="s">
        <v>460</v>
      </c>
      <c r="B540" s="35" t="s">
        <v>461</v>
      </c>
      <c r="C540" s="35" t="s">
        <v>4182</v>
      </c>
      <c r="D540" s="35" t="s">
        <v>1629</v>
      </c>
      <c r="E540" s="35" t="s">
        <v>2739</v>
      </c>
      <c r="F540" s="2">
        <v>17</v>
      </c>
      <c r="G540" s="21">
        <v>2015</v>
      </c>
      <c r="H540" s="4" t="s">
        <v>2759</v>
      </c>
      <c r="I540" s="4"/>
      <c r="J540" s="4" t="s">
        <v>2741</v>
      </c>
      <c r="K540" s="22" t="s">
        <v>2742</v>
      </c>
      <c r="M540" s="2" t="s">
        <v>2743</v>
      </c>
      <c r="P540" s="2" t="s">
        <v>1127</v>
      </c>
      <c r="Q540" s="2" t="s">
        <v>1127</v>
      </c>
    </row>
    <row r="541" spans="1:17" ht="18" customHeight="1" x14ac:dyDescent="0.2">
      <c r="A541" s="35" t="s">
        <v>460</v>
      </c>
      <c r="B541" s="35" t="s">
        <v>461</v>
      </c>
      <c r="C541" s="35" t="s">
        <v>4182</v>
      </c>
      <c r="D541" s="35" t="s">
        <v>1629</v>
      </c>
      <c r="E541" s="35" t="s">
        <v>2739</v>
      </c>
      <c r="F541" s="2">
        <v>18</v>
      </c>
      <c r="G541" s="21">
        <v>2016</v>
      </c>
      <c r="H541" s="4" t="s">
        <v>2760</v>
      </c>
      <c r="I541" s="4"/>
      <c r="J541" s="4" t="s">
        <v>2741</v>
      </c>
      <c r="K541" s="22" t="s">
        <v>2742</v>
      </c>
      <c r="M541" s="2" t="s">
        <v>2743</v>
      </c>
      <c r="P541" s="2" t="s">
        <v>1127</v>
      </c>
      <c r="Q541" s="2" t="s">
        <v>1127</v>
      </c>
    </row>
    <row r="542" spans="1:17" ht="18" customHeight="1" x14ac:dyDescent="0.2">
      <c r="A542" s="35" t="s">
        <v>460</v>
      </c>
      <c r="B542" s="35" t="s">
        <v>461</v>
      </c>
      <c r="C542" s="35" t="s">
        <v>4182</v>
      </c>
      <c r="D542" s="35" t="s">
        <v>1629</v>
      </c>
      <c r="E542" s="35" t="s">
        <v>2739</v>
      </c>
      <c r="F542" s="2">
        <v>19</v>
      </c>
      <c r="G542" s="21">
        <v>2017</v>
      </c>
      <c r="H542" s="4" t="s">
        <v>2761</v>
      </c>
      <c r="I542" s="4"/>
      <c r="J542" s="4" t="s">
        <v>2741</v>
      </c>
      <c r="K542" s="22" t="s">
        <v>2742</v>
      </c>
      <c r="M542" s="2" t="s">
        <v>2743</v>
      </c>
      <c r="P542" s="2" t="s">
        <v>1127</v>
      </c>
      <c r="Q542" s="2" t="s">
        <v>1127</v>
      </c>
    </row>
    <row r="543" spans="1:17" ht="18" customHeight="1" x14ac:dyDescent="0.2">
      <c r="A543" s="35" t="s">
        <v>460</v>
      </c>
      <c r="B543" s="35" t="s">
        <v>461</v>
      </c>
      <c r="C543" s="35" t="s">
        <v>4182</v>
      </c>
      <c r="D543" s="35" t="s">
        <v>1629</v>
      </c>
      <c r="E543" s="35" t="s">
        <v>2739</v>
      </c>
      <c r="F543" s="2">
        <v>20</v>
      </c>
      <c r="G543" s="21">
        <v>2018</v>
      </c>
      <c r="H543" s="4" t="s">
        <v>2762</v>
      </c>
      <c r="I543" s="4"/>
      <c r="J543" s="4" t="s">
        <v>2741</v>
      </c>
      <c r="K543" s="22" t="s">
        <v>2742</v>
      </c>
      <c r="M543" s="2" t="s">
        <v>2743</v>
      </c>
      <c r="P543" s="2" t="s">
        <v>1127</v>
      </c>
      <c r="Q543" s="2" t="s">
        <v>1127</v>
      </c>
    </row>
    <row r="544" spans="1:17" ht="18" customHeight="1" x14ac:dyDescent="0.2">
      <c r="A544" s="35" t="s">
        <v>460</v>
      </c>
      <c r="B544" s="35" t="s">
        <v>461</v>
      </c>
      <c r="C544" s="35" t="s">
        <v>4182</v>
      </c>
      <c r="D544" s="35" t="s">
        <v>1629</v>
      </c>
      <c r="E544" s="35" t="s">
        <v>2739</v>
      </c>
      <c r="F544" s="2">
        <v>21</v>
      </c>
      <c r="G544" s="21">
        <v>2019</v>
      </c>
      <c r="H544" s="4" t="s">
        <v>2763</v>
      </c>
      <c r="I544" s="4"/>
      <c r="J544" s="4" t="s">
        <v>2741</v>
      </c>
      <c r="K544" s="22" t="s">
        <v>2742</v>
      </c>
      <c r="M544" s="2" t="s">
        <v>2743</v>
      </c>
      <c r="P544" s="2" t="s">
        <v>1127</v>
      </c>
      <c r="Q544" s="2" t="s">
        <v>1127</v>
      </c>
    </row>
    <row r="545" spans="1:17" ht="18" customHeight="1" x14ac:dyDescent="0.2">
      <c r="A545" s="35" t="s">
        <v>460</v>
      </c>
      <c r="B545" s="35" t="s">
        <v>461</v>
      </c>
      <c r="C545" s="35" t="s">
        <v>4182</v>
      </c>
      <c r="D545" s="35" t="s">
        <v>1353</v>
      </c>
      <c r="E545" s="35" t="s">
        <v>2764</v>
      </c>
      <c r="F545" s="4">
        <v>2</v>
      </c>
      <c r="G545" s="21">
        <v>2000</v>
      </c>
      <c r="H545" s="4" t="s">
        <v>2765</v>
      </c>
      <c r="I545" s="4" t="s">
        <v>2766</v>
      </c>
      <c r="J545" s="2" t="s">
        <v>2767</v>
      </c>
      <c r="K545" s="22" t="s">
        <v>2768</v>
      </c>
      <c r="M545" s="2" t="s">
        <v>2769</v>
      </c>
      <c r="P545" s="2" t="s">
        <v>1127</v>
      </c>
      <c r="Q545" s="2" t="s">
        <v>1127</v>
      </c>
    </row>
    <row r="546" spans="1:17" ht="18" customHeight="1" x14ac:dyDescent="0.2">
      <c r="A546" s="35" t="s">
        <v>460</v>
      </c>
      <c r="B546" s="35" t="s">
        <v>461</v>
      </c>
      <c r="C546" s="35" t="s">
        <v>4182</v>
      </c>
      <c r="D546" s="35" t="s">
        <v>1353</v>
      </c>
      <c r="E546" s="35" t="s">
        <v>2764</v>
      </c>
      <c r="F546" s="4">
        <v>3</v>
      </c>
      <c r="G546" s="21">
        <v>2001</v>
      </c>
      <c r="H546" s="4" t="s">
        <v>2770</v>
      </c>
      <c r="I546" s="4" t="s">
        <v>2766</v>
      </c>
      <c r="J546" s="2" t="s">
        <v>2767</v>
      </c>
      <c r="K546" s="22" t="s">
        <v>2768</v>
      </c>
      <c r="M546" s="2" t="s">
        <v>2769</v>
      </c>
      <c r="P546" s="2" t="s">
        <v>1127</v>
      </c>
      <c r="Q546" s="2" t="s">
        <v>1127</v>
      </c>
    </row>
    <row r="547" spans="1:17" ht="18" customHeight="1" x14ac:dyDescent="0.2">
      <c r="A547" s="35" t="s">
        <v>460</v>
      </c>
      <c r="B547" s="35" t="s">
        <v>461</v>
      </c>
      <c r="C547" s="35" t="s">
        <v>4182</v>
      </c>
      <c r="D547" s="35" t="s">
        <v>1353</v>
      </c>
      <c r="E547" s="35" t="s">
        <v>2764</v>
      </c>
      <c r="F547" s="4">
        <v>4</v>
      </c>
      <c r="G547" s="21">
        <v>2002</v>
      </c>
      <c r="H547" s="4" t="s">
        <v>2771</v>
      </c>
      <c r="I547" s="4" t="s">
        <v>2766</v>
      </c>
      <c r="J547" s="2" t="s">
        <v>2767</v>
      </c>
      <c r="K547" s="22" t="s">
        <v>2768</v>
      </c>
      <c r="M547" s="2" t="s">
        <v>2769</v>
      </c>
      <c r="P547" s="2" t="s">
        <v>1127</v>
      </c>
      <c r="Q547" s="2" t="s">
        <v>1127</v>
      </c>
    </row>
    <row r="548" spans="1:17" ht="18" customHeight="1" x14ac:dyDescent="0.2">
      <c r="A548" s="35" t="s">
        <v>460</v>
      </c>
      <c r="B548" s="35" t="s">
        <v>461</v>
      </c>
      <c r="C548" s="35" t="s">
        <v>4182</v>
      </c>
      <c r="D548" s="35" t="s">
        <v>1353</v>
      </c>
      <c r="E548" s="35" t="s">
        <v>2764</v>
      </c>
      <c r="F548" s="4">
        <v>5</v>
      </c>
      <c r="G548" s="21">
        <v>2003</v>
      </c>
      <c r="H548" s="4" t="s">
        <v>2772</v>
      </c>
      <c r="I548" s="4" t="s">
        <v>2766</v>
      </c>
      <c r="J548" s="2" t="s">
        <v>2767</v>
      </c>
      <c r="K548" s="22" t="s">
        <v>2768</v>
      </c>
      <c r="M548" s="2" t="s">
        <v>2769</v>
      </c>
      <c r="P548" s="2" t="s">
        <v>1127</v>
      </c>
      <c r="Q548" s="2" t="s">
        <v>1127</v>
      </c>
    </row>
    <row r="549" spans="1:17" ht="18" customHeight="1" x14ac:dyDescent="0.2">
      <c r="A549" s="35" t="s">
        <v>460</v>
      </c>
      <c r="B549" s="35" t="s">
        <v>461</v>
      </c>
      <c r="C549" s="35" t="s">
        <v>4182</v>
      </c>
      <c r="D549" s="35" t="s">
        <v>1353</v>
      </c>
      <c r="E549" s="35" t="s">
        <v>2764</v>
      </c>
      <c r="F549" s="4">
        <v>2</v>
      </c>
      <c r="G549" s="21">
        <v>2000</v>
      </c>
      <c r="H549" s="4" t="s">
        <v>2773</v>
      </c>
      <c r="I549" s="4" t="s">
        <v>2774</v>
      </c>
      <c r="J549" s="2" t="s">
        <v>2775</v>
      </c>
      <c r="K549" s="22" t="s">
        <v>2768</v>
      </c>
      <c r="M549" s="2" t="s">
        <v>2769</v>
      </c>
      <c r="P549" s="2" t="s">
        <v>1127</v>
      </c>
      <c r="Q549" s="2" t="s">
        <v>1127</v>
      </c>
    </row>
    <row r="550" spans="1:17" ht="18" customHeight="1" x14ac:dyDescent="0.2">
      <c r="A550" s="35" t="s">
        <v>460</v>
      </c>
      <c r="B550" s="35" t="s">
        <v>461</v>
      </c>
      <c r="C550" s="35" t="s">
        <v>4182</v>
      </c>
      <c r="D550" s="35" t="s">
        <v>1353</v>
      </c>
      <c r="E550" s="35" t="s">
        <v>2764</v>
      </c>
      <c r="F550" s="4">
        <v>3</v>
      </c>
      <c r="G550" s="21">
        <v>2001</v>
      </c>
      <c r="H550" s="4" t="s">
        <v>2776</v>
      </c>
      <c r="I550" s="4" t="s">
        <v>2774</v>
      </c>
      <c r="J550" s="2" t="s">
        <v>2775</v>
      </c>
      <c r="K550" s="22" t="s">
        <v>2768</v>
      </c>
      <c r="M550" s="2" t="s">
        <v>2769</v>
      </c>
      <c r="P550" s="2" t="s">
        <v>1127</v>
      </c>
      <c r="Q550" s="2" t="s">
        <v>1127</v>
      </c>
    </row>
    <row r="551" spans="1:17" ht="18" customHeight="1" x14ac:dyDescent="0.2">
      <c r="A551" s="35" t="s">
        <v>460</v>
      </c>
      <c r="B551" s="35" t="s">
        <v>461</v>
      </c>
      <c r="C551" s="35" t="s">
        <v>4182</v>
      </c>
      <c r="D551" s="35" t="s">
        <v>1353</v>
      </c>
      <c r="E551" s="35" t="s">
        <v>2764</v>
      </c>
      <c r="F551" s="4">
        <v>4</v>
      </c>
      <c r="G551" s="21">
        <v>2002</v>
      </c>
      <c r="H551" s="4" t="s">
        <v>2777</v>
      </c>
      <c r="I551" s="4" t="s">
        <v>2774</v>
      </c>
      <c r="J551" s="2" t="s">
        <v>2775</v>
      </c>
      <c r="K551" s="22" t="s">
        <v>2768</v>
      </c>
      <c r="M551" s="2" t="s">
        <v>2769</v>
      </c>
      <c r="P551" s="2" t="s">
        <v>1127</v>
      </c>
      <c r="Q551" s="2" t="s">
        <v>1127</v>
      </c>
    </row>
    <row r="552" spans="1:17" ht="18" customHeight="1" x14ac:dyDescent="0.2">
      <c r="A552" s="35" t="s">
        <v>460</v>
      </c>
      <c r="B552" s="35" t="s">
        <v>461</v>
      </c>
      <c r="C552" s="35" t="s">
        <v>4182</v>
      </c>
      <c r="D552" s="35" t="s">
        <v>1353</v>
      </c>
      <c r="E552" s="35" t="s">
        <v>2764</v>
      </c>
      <c r="F552" s="4">
        <v>5</v>
      </c>
      <c r="G552" s="21">
        <v>2003</v>
      </c>
      <c r="H552" s="4" t="s">
        <v>2778</v>
      </c>
      <c r="I552" s="4" t="s">
        <v>2774</v>
      </c>
      <c r="J552" s="2" t="s">
        <v>2775</v>
      </c>
      <c r="K552" s="22" t="s">
        <v>2768</v>
      </c>
      <c r="M552" s="2" t="s">
        <v>2769</v>
      </c>
      <c r="P552" s="2" t="s">
        <v>1127</v>
      </c>
      <c r="Q552" s="2" t="s">
        <v>1127</v>
      </c>
    </row>
    <row r="553" spans="1:17" ht="18" customHeight="1" x14ac:dyDescent="0.2">
      <c r="A553" s="35" t="s">
        <v>460</v>
      </c>
      <c r="B553" s="35" t="s">
        <v>461</v>
      </c>
      <c r="C553" s="35" t="s">
        <v>4182</v>
      </c>
      <c r="D553" s="35" t="s">
        <v>1353</v>
      </c>
      <c r="E553" s="35" t="s">
        <v>2764</v>
      </c>
      <c r="F553" s="4">
        <v>2</v>
      </c>
      <c r="G553" s="21">
        <v>2000</v>
      </c>
      <c r="H553" s="4" t="s">
        <v>2779</v>
      </c>
      <c r="I553" s="4" t="s">
        <v>2780</v>
      </c>
      <c r="J553" s="2" t="s">
        <v>2781</v>
      </c>
      <c r="K553" s="22" t="s">
        <v>2768</v>
      </c>
      <c r="M553" s="2" t="s">
        <v>2769</v>
      </c>
      <c r="P553" s="2" t="s">
        <v>1127</v>
      </c>
      <c r="Q553" s="2" t="s">
        <v>1127</v>
      </c>
    </row>
    <row r="554" spans="1:17" ht="18" customHeight="1" x14ac:dyDescent="0.2">
      <c r="A554" s="35" t="s">
        <v>460</v>
      </c>
      <c r="B554" s="35" t="s">
        <v>461</v>
      </c>
      <c r="C554" s="35" t="s">
        <v>4182</v>
      </c>
      <c r="D554" s="35" t="s">
        <v>1353</v>
      </c>
      <c r="E554" s="35" t="s">
        <v>2764</v>
      </c>
      <c r="F554" s="4">
        <v>3</v>
      </c>
      <c r="G554" s="21">
        <v>2001</v>
      </c>
      <c r="H554" s="4" t="s">
        <v>2782</v>
      </c>
      <c r="I554" s="4" t="s">
        <v>2780</v>
      </c>
      <c r="J554" s="2" t="s">
        <v>2781</v>
      </c>
      <c r="K554" s="22" t="s">
        <v>2768</v>
      </c>
      <c r="M554" s="2" t="s">
        <v>2769</v>
      </c>
      <c r="P554" s="2" t="s">
        <v>1127</v>
      </c>
      <c r="Q554" s="2" t="s">
        <v>1127</v>
      </c>
    </row>
    <row r="555" spans="1:17" ht="18" customHeight="1" x14ac:dyDescent="0.2">
      <c r="A555" s="35" t="s">
        <v>460</v>
      </c>
      <c r="B555" s="35" t="s">
        <v>461</v>
      </c>
      <c r="C555" s="35" t="s">
        <v>4182</v>
      </c>
      <c r="D555" s="35" t="s">
        <v>1353</v>
      </c>
      <c r="E555" s="35" t="s">
        <v>2764</v>
      </c>
      <c r="F555" s="4">
        <v>4</v>
      </c>
      <c r="G555" s="21">
        <v>2002</v>
      </c>
      <c r="H555" s="4" t="s">
        <v>2783</v>
      </c>
      <c r="I555" s="4" t="s">
        <v>2780</v>
      </c>
      <c r="J555" s="2" t="s">
        <v>2781</v>
      </c>
      <c r="K555" s="22" t="s">
        <v>2768</v>
      </c>
      <c r="M555" s="2" t="s">
        <v>2769</v>
      </c>
      <c r="P555" s="2" t="s">
        <v>1127</v>
      </c>
      <c r="Q555" s="2" t="s">
        <v>1127</v>
      </c>
    </row>
    <row r="556" spans="1:17" ht="18" customHeight="1" x14ac:dyDescent="0.2">
      <c r="A556" s="35" t="s">
        <v>460</v>
      </c>
      <c r="B556" s="35" t="s">
        <v>461</v>
      </c>
      <c r="C556" s="35" t="s">
        <v>4182</v>
      </c>
      <c r="D556" s="35" t="s">
        <v>1353</v>
      </c>
      <c r="E556" s="35" t="s">
        <v>2764</v>
      </c>
      <c r="F556" s="4">
        <v>5</v>
      </c>
      <c r="G556" s="21">
        <v>2003</v>
      </c>
      <c r="H556" s="4" t="s">
        <v>2784</v>
      </c>
      <c r="I556" s="4" t="s">
        <v>2780</v>
      </c>
      <c r="J556" s="2" t="s">
        <v>2781</v>
      </c>
      <c r="K556" s="22" t="s">
        <v>2768</v>
      </c>
      <c r="M556" s="2" t="s">
        <v>2769</v>
      </c>
      <c r="P556" s="2" t="s">
        <v>1127</v>
      </c>
      <c r="Q556" s="2" t="s">
        <v>1127</v>
      </c>
    </row>
    <row r="557" spans="1:17" ht="18" customHeight="1" x14ac:dyDescent="0.2">
      <c r="A557" s="35" t="s">
        <v>460</v>
      </c>
      <c r="B557" s="35" t="s">
        <v>461</v>
      </c>
      <c r="C557" s="35" t="s">
        <v>4182</v>
      </c>
      <c r="D557" s="35" t="s">
        <v>1353</v>
      </c>
      <c r="E557" s="35" t="s">
        <v>2764</v>
      </c>
      <c r="F557" s="4">
        <v>2</v>
      </c>
      <c r="G557" s="21">
        <v>2000</v>
      </c>
      <c r="H557" s="4" t="s">
        <v>2785</v>
      </c>
      <c r="I557" s="4" t="s">
        <v>2786</v>
      </c>
      <c r="J557" s="2" t="s">
        <v>2787</v>
      </c>
      <c r="K557" s="22" t="s">
        <v>2768</v>
      </c>
      <c r="M557" s="2" t="s">
        <v>2769</v>
      </c>
      <c r="P557" s="2" t="s">
        <v>1127</v>
      </c>
      <c r="Q557" s="2" t="s">
        <v>1127</v>
      </c>
    </row>
    <row r="558" spans="1:17" ht="18" customHeight="1" x14ac:dyDescent="0.2">
      <c r="A558" s="35" t="s">
        <v>460</v>
      </c>
      <c r="B558" s="35" t="s">
        <v>461</v>
      </c>
      <c r="C558" s="35" t="s">
        <v>4182</v>
      </c>
      <c r="D558" s="35" t="s">
        <v>1353</v>
      </c>
      <c r="E558" s="35" t="s">
        <v>2764</v>
      </c>
      <c r="F558" s="4">
        <v>3</v>
      </c>
      <c r="G558" s="21">
        <v>2001</v>
      </c>
      <c r="H558" s="4" t="s">
        <v>2788</v>
      </c>
      <c r="I558" s="4" t="s">
        <v>2786</v>
      </c>
      <c r="J558" s="2" t="s">
        <v>2787</v>
      </c>
      <c r="K558" s="22" t="s">
        <v>2768</v>
      </c>
      <c r="M558" s="2" t="s">
        <v>2769</v>
      </c>
      <c r="P558" s="2" t="s">
        <v>1127</v>
      </c>
      <c r="Q558" s="2" t="s">
        <v>1127</v>
      </c>
    </row>
    <row r="559" spans="1:17" ht="18" customHeight="1" x14ac:dyDescent="0.2">
      <c r="A559" s="35" t="s">
        <v>460</v>
      </c>
      <c r="B559" s="35" t="s">
        <v>461</v>
      </c>
      <c r="C559" s="35" t="s">
        <v>4182</v>
      </c>
      <c r="D559" s="35" t="s">
        <v>1353</v>
      </c>
      <c r="E559" s="35" t="s">
        <v>2764</v>
      </c>
      <c r="F559" s="4">
        <v>4</v>
      </c>
      <c r="G559" s="21">
        <v>2002</v>
      </c>
      <c r="H559" s="4" t="s">
        <v>2789</v>
      </c>
      <c r="I559" s="4" t="s">
        <v>2786</v>
      </c>
      <c r="J559" s="2" t="s">
        <v>2787</v>
      </c>
      <c r="K559" s="22" t="s">
        <v>2768</v>
      </c>
      <c r="M559" s="2" t="s">
        <v>2769</v>
      </c>
      <c r="P559" s="2" t="s">
        <v>1127</v>
      </c>
      <c r="Q559" s="2" t="s">
        <v>1127</v>
      </c>
    </row>
    <row r="560" spans="1:17" ht="18" customHeight="1" x14ac:dyDescent="0.2">
      <c r="A560" s="35" t="s">
        <v>460</v>
      </c>
      <c r="B560" s="35" t="s">
        <v>461</v>
      </c>
      <c r="C560" s="35" t="s">
        <v>4182</v>
      </c>
      <c r="D560" s="35" t="s">
        <v>1353</v>
      </c>
      <c r="E560" s="35" t="s">
        <v>2764</v>
      </c>
      <c r="F560" s="4">
        <v>5</v>
      </c>
      <c r="G560" s="21">
        <v>2003</v>
      </c>
      <c r="H560" s="4" t="s">
        <v>2790</v>
      </c>
      <c r="I560" s="4" t="s">
        <v>2786</v>
      </c>
      <c r="J560" s="2" t="s">
        <v>2787</v>
      </c>
      <c r="K560" s="22" t="s">
        <v>2768</v>
      </c>
      <c r="M560" s="2" t="s">
        <v>2769</v>
      </c>
      <c r="P560" s="2" t="s">
        <v>1127</v>
      </c>
      <c r="Q560" s="2" t="s">
        <v>1127</v>
      </c>
    </row>
    <row r="561" spans="1:17" ht="18" customHeight="1" x14ac:dyDescent="0.2">
      <c r="A561" s="35" t="s">
        <v>460</v>
      </c>
      <c r="B561" s="35" t="s">
        <v>461</v>
      </c>
      <c r="C561" s="35" t="s">
        <v>4182</v>
      </c>
      <c r="D561" s="35" t="s">
        <v>1353</v>
      </c>
      <c r="E561" s="35" t="s">
        <v>2764</v>
      </c>
      <c r="F561" s="4">
        <v>6</v>
      </c>
      <c r="G561" s="21">
        <v>2004</v>
      </c>
      <c r="H561" s="4" t="s">
        <v>2791</v>
      </c>
      <c r="I561" s="4" t="s">
        <v>2792</v>
      </c>
      <c r="J561" s="2" t="s">
        <v>2793</v>
      </c>
      <c r="K561" s="22" t="s">
        <v>2794</v>
      </c>
      <c r="M561" s="2" t="s">
        <v>2769</v>
      </c>
      <c r="P561" s="2" t="s">
        <v>1127</v>
      </c>
      <c r="Q561" s="2" t="s">
        <v>1127</v>
      </c>
    </row>
    <row r="562" spans="1:17" ht="18" customHeight="1" x14ac:dyDescent="0.2">
      <c r="A562" s="35" t="s">
        <v>460</v>
      </c>
      <c r="B562" s="35" t="s">
        <v>461</v>
      </c>
      <c r="C562" s="35" t="s">
        <v>4182</v>
      </c>
      <c r="D562" s="35" t="s">
        <v>1353</v>
      </c>
      <c r="E562" s="35" t="s">
        <v>2764</v>
      </c>
      <c r="F562" s="4">
        <v>7</v>
      </c>
      <c r="G562" s="21">
        <v>2005</v>
      </c>
      <c r="H562" s="4" t="s">
        <v>2795</v>
      </c>
      <c r="I562" s="4" t="s">
        <v>2792</v>
      </c>
      <c r="J562" s="2" t="s">
        <v>2793</v>
      </c>
      <c r="K562" s="22" t="s">
        <v>2794</v>
      </c>
      <c r="M562" s="2" t="s">
        <v>2769</v>
      </c>
      <c r="P562" s="2" t="s">
        <v>1127</v>
      </c>
      <c r="Q562" s="2" t="s">
        <v>1127</v>
      </c>
    </row>
    <row r="563" spans="1:17" ht="18" customHeight="1" x14ac:dyDescent="0.2">
      <c r="A563" s="35" t="s">
        <v>460</v>
      </c>
      <c r="B563" s="35" t="s">
        <v>461</v>
      </c>
      <c r="C563" s="35" t="s">
        <v>4182</v>
      </c>
      <c r="D563" s="35" t="s">
        <v>1353</v>
      </c>
      <c r="E563" s="35" t="s">
        <v>2764</v>
      </c>
      <c r="F563" s="4">
        <v>8</v>
      </c>
      <c r="G563" s="21">
        <v>2006</v>
      </c>
      <c r="H563" s="4" t="s">
        <v>2796</v>
      </c>
      <c r="I563" s="4" t="s">
        <v>2792</v>
      </c>
      <c r="J563" s="2" t="s">
        <v>2793</v>
      </c>
      <c r="K563" s="22" t="s">
        <v>2794</v>
      </c>
      <c r="M563" s="2" t="s">
        <v>2769</v>
      </c>
      <c r="P563" s="2" t="s">
        <v>1127</v>
      </c>
      <c r="Q563" s="2" t="s">
        <v>1127</v>
      </c>
    </row>
    <row r="564" spans="1:17" ht="18" customHeight="1" x14ac:dyDescent="0.2">
      <c r="A564" s="35" t="s">
        <v>460</v>
      </c>
      <c r="B564" s="35" t="s">
        <v>461</v>
      </c>
      <c r="C564" s="35" t="s">
        <v>4182</v>
      </c>
      <c r="D564" s="35" t="s">
        <v>1353</v>
      </c>
      <c r="E564" s="35" t="s">
        <v>2764</v>
      </c>
      <c r="F564" s="4">
        <v>9</v>
      </c>
      <c r="G564" s="21">
        <v>2007</v>
      </c>
      <c r="H564" s="4" t="s">
        <v>2797</v>
      </c>
      <c r="I564" s="4" t="s">
        <v>2792</v>
      </c>
      <c r="J564" s="2" t="s">
        <v>2793</v>
      </c>
      <c r="K564" s="22" t="s">
        <v>2794</v>
      </c>
      <c r="M564" s="2" t="s">
        <v>2769</v>
      </c>
      <c r="P564" s="2" t="s">
        <v>1127</v>
      </c>
      <c r="Q564" s="2" t="s">
        <v>1127</v>
      </c>
    </row>
    <row r="565" spans="1:17" ht="18" customHeight="1" x14ac:dyDescent="0.2">
      <c r="A565" s="35" t="s">
        <v>460</v>
      </c>
      <c r="B565" s="35" t="s">
        <v>461</v>
      </c>
      <c r="C565" s="35" t="s">
        <v>4182</v>
      </c>
      <c r="D565" s="35" t="s">
        <v>1353</v>
      </c>
      <c r="E565" s="35" t="s">
        <v>2764</v>
      </c>
      <c r="F565" s="4">
        <v>10</v>
      </c>
      <c r="G565" s="21">
        <v>2008</v>
      </c>
      <c r="H565" s="4" t="s">
        <v>2798</v>
      </c>
      <c r="I565" s="4" t="s">
        <v>2792</v>
      </c>
      <c r="J565" s="2" t="s">
        <v>2793</v>
      </c>
      <c r="K565" s="22" t="s">
        <v>2794</v>
      </c>
      <c r="M565" s="2" t="s">
        <v>2769</v>
      </c>
      <c r="P565" s="2" t="s">
        <v>1127</v>
      </c>
      <c r="Q565" s="2" t="s">
        <v>1127</v>
      </c>
    </row>
    <row r="566" spans="1:17" ht="18" customHeight="1" x14ac:dyDescent="0.2">
      <c r="A566" s="35" t="s">
        <v>460</v>
      </c>
      <c r="B566" s="35" t="s">
        <v>461</v>
      </c>
      <c r="C566" s="35" t="s">
        <v>4182</v>
      </c>
      <c r="D566" s="35" t="s">
        <v>1353</v>
      </c>
      <c r="E566" s="35" t="s">
        <v>2764</v>
      </c>
      <c r="F566" s="4">
        <v>11</v>
      </c>
      <c r="G566" s="21">
        <v>2009</v>
      </c>
      <c r="H566" s="4" t="s">
        <v>2799</v>
      </c>
      <c r="I566" s="4" t="s">
        <v>2792</v>
      </c>
      <c r="J566" s="2" t="s">
        <v>2793</v>
      </c>
      <c r="K566" s="22" t="s">
        <v>2794</v>
      </c>
      <c r="M566" s="2" t="s">
        <v>2769</v>
      </c>
      <c r="P566" s="2" t="s">
        <v>1127</v>
      </c>
      <c r="Q566" s="2" t="s">
        <v>1127</v>
      </c>
    </row>
    <row r="567" spans="1:17" ht="18" customHeight="1" x14ac:dyDescent="0.2">
      <c r="A567" s="35" t="s">
        <v>460</v>
      </c>
      <c r="B567" s="35" t="s">
        <v>461</v>
      </c>
      <c r="C567" s="35" t="s">
        <v>4182</v>
      </c>
      <c r="D567" s="35" t="s">
        <v>1353</v>
      </c>
      <c r="E567" s="35" t="s">
        <v>2764</v>
      </c>
      <c r="F567" s="4">
        <v>12</v>
      </c>
      <c r="G567" s="21">
        <v>2010</v>
      </c>
      <c r="H567" s="4" t="s">
        <v>2800</v>
      </c>
      <c r="I567" s="4" t="s">
        <v>2792</v>
      </c>
      <c r="J567" s="2" t="s">
        <v>2793</v>
      </c>
      <c r="K567" s="22" t="s">
        <v>2794</v>
      </c>
      <c r="M567" s="2" t="s">
        <v>2769</v>
      </c>
      <c r="P567" s="2" t="s">
        <v>1127</v>
      </c>
      <c r="Q567" s="2" t="s">
        <v>1127</v>
      </c>
    </row>
    <row r="568" spans="1:17" ht="18" customHeight="1" x14ac:dyDescent="0.2">
      <c r="A568" s="35" t="s">
        <v>460</v>
      </c>
      <c r="B568" s="35" t="s">
        <v>461</v>
      </c>
      <c r="C568" s="35" t="s">
        <v>4182</v>
      </c>
      <c r="D568" s="35" t="s">
        <v>1353</v>
      </c>
      <c r="E568" s="35" t="s">
        <v>2764</v>
      </c>
      <c r="F568" s="4">
        <v>13</v>
      </c>
      <c r="G568" s="21">
        <v>2011</v>
      </c>
      <c r="H568" s="4" t="s">
        <v>2801</v>
      </c>
      <c r="I568" s="4" t="s">
        <v>2792</v>
      </c>
      <c r="J568" s="2" t="s">
        <v>2793</v>
      </c>
      <c r="K568" s="22" t="s">
        <v>2794</v>
      </c>
      <c r="M568" s="2" t="s">
        <v>2769</v>
      </c>
      <c r="P568" s="2" t="s">
        <v>1127</v>
      </c>
      <c r="Q568" s="2" t="s">
        <v>1127</v>
      </c>
    </row>
    <row r="569" spans="1:17" ht="18" customHeight="1" x14ac:dyDescent="0.2">
      <c r="A569" s="35" t="s">
        <v>460</v>
      </c>
      <c r="B569" s="35" t="s">
        <v>461</v>
      </c>
      <c r="C569" s="35" t="s">
        <v>4182</v>
      </c>
      <c r="D569" s="35" t="s">
        <v>1353</v>
      </c>
      <c r="E569" s="35" t="s">
        <v>2764</v>
      </c>
      <c r="F569" s="4">
        <v>14</v>
      </c>
      <c r="G569" s="21">
        <v>2012</v>
      </c>
      <c r="H569" s="4" t="s">
        <v>2802</v>
      </c>
      <c r="I569" s="4" t="s">
        <v>2792</v>
      </c>
      <c r="J569" s="2" t="s">
        <v>2793</v>
      </c>
      <c r="K569" s="22" t="s">
        <v>2794</v>
      </c>
      <c r="M569" s="2" t="s">
        <v>2769</v>
      </c>
      <c r="P569" s="2" t="s">
        <v>1127</v>
      </c>
      <c r="Q569" s="2" t="s">
        <v>1127</v>
      </c>
    </row>
    <row r="570" spans="1:17" ht="18" customHeight="1" x14ac:dyDescent="0.2">
      <c r="A570" s="35" t="s">
        <v>460</v>
      </c>
      <c r="B570" s="35" t="s">
        <v>461</v>
      </c>
      <c r="C570" s="35" t="s">
        <v>4182</v>
      </c>
      <c r="D570" s="35" t="s">
        <v>1353</v>
      </c>
      <c r="E570" s="35" t="s">
        <v>2764</v>
      </c>
      <c r="F570" s="4">
        <v>15</v>
      </c>
      <c r="G570" s="21">
        <v>2013</v>
      </c>
      <c r="H570" s="4" t="s">
        <v>2803</v>
      </c>
      <c r="I570" s="4" t="s">
        <v>2792</v>
      </c>
      <c r="J570" s="2" t="s">
        <v>2793</v>
      </c>
      <c r="K570" s="22" t="s">
        <v>2794</v>
      </c>
      <c r="M570" s="2" t="s">
        <v>2769</v>
      </c>
      <c r="P570" s="2" t="s">
        <v>1127</v>
      </c>
      <c r="Q570" s="2" t="s">
        <v>1127</v>
      </c>
    </row>
    <row r="571" spans="1:17" ht="18" customHeight="1" x14ac:dyDescent="0.2">
      <c r="A571" s="35" t="s">
        <v>460</v>
      </c>
      <c r="B571" s="35" t="s">
        <v>461</v>
      </c>
      <c r="C571" s="35" t="s">
        <v>4182</v>
      </c>
      <c r="D571" s="35" t="s">
        <v>1353</v>
      </c>
      <c r="E571" s="35" t="s">
        <v>2764</v>
      </c>
      <c r="F571" s="4">
        <v>16</v>
      </c>
      <c r="G571" s="21">
        <v>2014</v>
      </c>
      <c r="H571" s="4" t="s">
        <v>2804</v>
      </c>
      <c r="I571" s="4" t="s">
        <v>2792</v>
      </c>
      <c r="J571" s="2" t="s">
        <v>2793</v>
      </c>
      <c r="K571" s="22" t="s">
        <v>2794</v>
      </c>
      <c r="M571" s="2" t="s">
        <v>2769</v>
      </c>
      <c r="P571" s="2" t="s">
        <v>1127</v>
      </c>
      <c r="Q571" s="2" t="s">
        <v>1127</v>
      </c>
    </row>
    <row r="572" spans="1:17" ht="18" customHeight="1" x14ac:dyDescent="0.2">
      <c r="A572" s="35" t="s">
        <v>460</v>
      </c>
      <c r="B572" s="35" t="s">
        <v>461</v>
      </c>
      <c r="C572" s="35" t="s">
        <v>4182</v>
      </c>
      <c r="D572" s="35" t="s">
        <v>1353</v>
      </c>
      <c r="E572" s="35" t="s">
        <v>2764</v>
      </c>
      <c r="F572" s="4">
        <v>17</v>
      </c>
      <c r="G572" s="21">
        <v>2015</v>
      </c>
      <c r="H572" s="4" t="s">
        <v>2805</v>
      </c>
      <c r="I572" s="4" t="s">
        <v>2792</v>
      </c>
      <c r="J572" s="2" t="s">
        <v>2793</v>
      </c>
      <c r="K572" s="22" t="s">
        <v>2794</v>
      </c>
      <c r="M572" s="2" t="s">
        <v>2769</v>
      </c>
      <c r="P572" s="2" t="s">
        <v>1127</v>
      </c>
      <c r="Q572" s="2" t="s">
        <v>1127</v>
      </c>
    </row>
    <row r="573" spans="1:17" ht="18" customHeight="1" x14ac:dyDescent="0.2">
      <c r="A573" s="35" t="s">
        <v>460</v>
      </c>
      <c r="B573" s="35" t="s">
        <v>461</v>
      </c>
      <c r="C573" s="35" t="s">
        <v>4182</v>
      </c>
      <c r="D573" s="35" t="s">
        <v>1353</v>
      </c>
      <c r="E573" s="35" t="s">
        <v>2764</v>
      </c>
      <c r="F573" s="4">
        <v>18</v>
      </c>
      <c r="G573" s="21">
        <v>2016</v>
      </c>
      <c r="H573" s="4" t="s">
        <v>2806</v>
      </c>
      <c r="I573" s="4" t="s">
        <v>2792</v>
      </c>
      <c r="J573" s="2" t="s">
        <v>2793</v>
      </c>
      <c r="K573" s="22" t="s">
        <v>2794</v>
      </c>
      <c r="M573" s="2" t="s">
        <v>2769</v>
      </c>
      <c r="P573" s="2" t="s">
        <v>1127</v>
      </c>
      <c r="Q573" s="2" t="s">
        <v>1127</v>
      </c>
    </row>
    <row r="574" spans="1:17" ht="18" customHeight="1" x14ac:dyDescent="0.2">
      <c r="A574" s="35" t="s">
        <v>460</v>
      </c>
      <c r="B574" s="35" t="s">
        <v>461</v>
      </c>
      <c r="C574" s="35" t="s">
        <v>4182</v>
      </c>
      <c r="D574" s="35" t="s">
        <v>1353</v>
      </c>
      <c r="E574" s="35" t="s">
        <v>2764</v>
      </c>
      <c r="F574" s="4">
        <v>19</v>
      </c>
      <c r="G574" s="21">
        <v>2017</v>
      </c>
      <c r="H574" s="4" t="s">
        <v>2807</v>
      </c>
      <c r="I574" s="4" t="s">
        <v>2792</v>
      </c>
      <c r="J574" s="2" t="s">
        <v>2793</v>
      </c>
      <c r="K574" s="22" t="s">
        <v>2794</v>
      </c>
      <c r="M574" s="2" t="s">
        <v>2769</v>
      </c>
      <c r="P574" s="2" t="s">
        <v>1127</v>
      </c>
      <c r="Q574" s="2" t="s">
        <v>1127</v>
      </c>
    </row>
    <row r="575" spans="1:17" ht="18" customHeight="1" x14ac:dyDescent="0.2">
      <c r="A575" s="35" t="s">
        <v>460</v>
      </c>
      <c r="B575" s="35" t="s">
        <v>461</v>
      </c>
      <c r="C575" s="35" t="s">
        <v>4182</v>
      </c>
      <c r="D575" s="35" t="s">
        <v>1353</v>
      </c>
      <c r="E575" s="35" t="s">
        <v>2764</v>
      </c>
      <c r="F575" s="4">
        <v>20</v>
      </c>
      <c r="G575" s="21">
        <v>2018</v>
      </c>
      <c r="H575" s="4" t="s">
        <v>2808</v>
      </c>
      <c r="I575" s="4" t="s">
        <v>2792</v>
      </c>
      <c r="J575" s="2" t="s">
        <v>2793</v>
      </c>
      <c r="K575" s="22" t="s">
        <v>2794</v>
      </c>
      <c r="M575" s="2" t="s">
        <v>2769</v>
      </c>
      <c r="P575" s="2" t="s">
        <v>1127</v>
      </c>
      <c r="Q575" s="2" t="s">
        <v>1127</v>
      </c>
    </row>
    <row r="576" spans="1:17" ht="18" customHeight="1" x14ac:dyDescent="0.2">
      <c r="A576" s="35" t="s">
        <v>460</v>
      </c>
      <c r="B576" s="35" t="s">
        <v>461</v>
      </c>
      <c r="C576" s="35" t="s">
        <v>4182</v>
      </c>
      <c r="D576" s="35" t="s">
        <v>1353</v>
      </c>
      <c r="E576" s="35" t="s">
        <v>2764</v>
      </c>
      <c r="F576" s="4">
        <v>21</v>
      </c>
      <c r="G576" s="21">
        <v>2019</v>
      </c>
      <c r="H576" s="4" t="s">
        <v>2809</v>
      </c>
      <c r="I576" s="4" t="s">
        <v>2792</v>
      </c>
      <c r="J576" s="2" t="s">
        <v>2793</v>
      </c>
      <c r="K576" s="22" t="s">
        <v>2794</v>
      </c>
      <c r="M576" s="2" t="s">
        <v>2769</v>
      </c>
      <c r="P576" s="2" t="s">
        <v>1127</v>
      </c>
      <c r="Q576" s="2" t="s">
        <v>1127</v>
      </c>
    </row>
    <row r="577" spans="1:17" ht="18" customHeight="1" x14ac:dyDescent="0.2">
      <c r="A577" s="27" t="s">
        <v>460</v>
      </c>
      <c r="B577" s="27" t="s">
        <v>461</v>
      </c>
      <c r="C577" s="27" t="s">
        <v>4182</v>
      </c>
      <c r="D577" s="27" t="s">
        <v>1128</v>
      </c>
      <c r="E577" s="27" t="s">
        <v>2810</v>
      </c>
      <c r="F577" s="2">
        <v>2</v>
      </c>
      <c r="G577" s="21">
        <v>2000</v>
      </c>
      <c r="H577" s="4" t="s">
        <v>2811</v>
      </c>
      <c r="I577" s="4" t="s">
        <v>2812</v>
      </c>
      <c r="J577" s="2" t="s">
        <v>2813</v>
      </c>
      <c r="K577" s="22" t="s">
        <v>2814</v>
      </c>
      <c r="M577" s="2" t="s">
        <v>1414</v>
      </c>
      <c r="P577" s="2" t="s">
        <v>1127</v>
      </c>
      <c r="Q577" s="2" t="s">
        <v>1127</v>
      </c>
    </row>
    <row r="578" spans="1:17" ht="18" customHeight="1" x14ac:dyDescent="0.2">
      <c r="A578" s="27" t="s">
        <v>460</v>
      </c>
      <c r="B578" s="27" t="s">
        <v>461</v>
      </c>
      <c r="C578" s="27" t="s">
        <v>4182</v>
      </c>
      <c r="D578" s="27" t="s">
        <v>1128</v>
      </c>
      <c r="E578" s="27" t="s">
        <v>2810</v>
      </c>
      <c r="F578" s="2">
        <v>3</v>
      </c>
      <c r="G578" s="21">
        <v>2001</v>
      </c>
      <c r="H578" s="4" t="s">
        <v>2815</v>
      </c>
      <c r="I578" s="4" t="s">
        <v>2812</v>
      </c>
      <c r="J578" s="2" t="s">
        <v>2813</v>
      </c>
      <c r="K578" s="22" t="s">
        <v>2814</v>
      </c>
      <c r="M578" s="2" t="s">
        <v>1414</v>
      </c>
      <c r="P578" s="2" t="s">
        <v>1127</v>
      </c>
      <c r="Q578" s="2" t="s">
        <v>1127</v>
      </c>
    </row>
    <row r="579" spans="1:17" ht="18" customHeight="1" x14ac:dyDescent="0.2">
      <c r="A579" s="27" t="s">
        <v>460</v>
      </c>
      <c r="B579" s="27" t="s">
        <v>461</v>
      </c>
      <c r="C579" s="27" t="s">
        <v>4182</v>
      </c>
      <c r="D579" s="27" t="s">
        <v>1128</v>
      </c>
      <c r="E579" s="27" t="s">
        <v>2810</v>
      </c>
      <c r="F579" s="2">
        <v>4</v>
      </c>
      <c r="G579" s="21">
        <v>2002</v>
      </c>
      <c r="H579" s="4" t="s">
        <v>2816</v>
      </c>
      <c r="I579" s="4" t="s">
        <v>2812</v>
      </c>
      <c r="J579" s="2" t="s">
        <v>2813</v>
      </c>
      <c r="K579" s="22" t="s">
        <v>2814</v>
      </c>
      <c r="M579" s="2" t="s">
        <v>1414</v>
      </c>
      <c r="P579" s="2" t="s">
        <v>1127</v>
      </c>
      <c r="Q579" s="2" t="s">
        <v>1127</v>
      </c>
    </row>
    <row r="580" spans="1:17" ht="18" customHeight="1" x14ac:dyDescent="0.2">
      <c r="A580" s="27" t="s">
        <v>460</v>
      </c>
      <c r="B580" s="27" t="s">
        <v>461</v>
      </c>
      <c r="C580" s="27" t="s">
        <v>4182</v>
      </c>
      <c r="D580" s="27" t="s">
        <v>1128</v>
      </c>
      <c r="E580" s="27" t="s">
        <v>2810</v>
      </c>
      <c r="F580" s="2">
        <v>5</v>
      </c>
      <c r="G580" s="21">
        <v>2003</v>
      </c>
      <c r="H580" s="4" t="s">
        <v>2817</v>
      </c>
      <c r="I580" s="4" t="s">
        <v>2812</v>
      </c>
      <c r="J580" s="2" t="s">
        <v>2813</v>
      </c>
      <c r="K580" s="22" t="s">
        <v>2814</v>
      </c>
      <c r="M580" s="2" t="s">
        <v>1414</v>
      </c>
      <c r="P580" s="2" t="s">
        <v>1127</v>
      </c>
      <c r="Q580" s="2" t="s">
        <v>1127</v>
      </c>
    </row>
    <row r="581" spans="1:17" ht="18" customHeight="1" x14ac:dyDescent="0.2">
      <c r="A581" s="27" t="s">
        <v>460</v>
      </c>
      <c r="B581" s="27" t="s">
        <v>461</v>
      </c>
      <c r="C581" s="27" t="s">
        <v>4182</v>
      </c>
      <c r="D581" s="27" t="s">
        <v>1128</v>
      </c>
      <c r="E581" s="27" t="s">
        <v>2810</v>
      </c>
      <c r="F581" s="2">
        <v>6</v>
      </c>
      <c r="G581" s="21">
        <v>2004</v>
      </c>
      <c r="H581" s="4" t="s">
        <v>2818</v>
      </c>
      <c r="I581" s="4" t="s">
        <v>2812</v>
      </c>
      <c r="J581" s="2" t="s">
        <v>2813</v>
      </c>
      <c r="K581" s="22" t="s">
        <v>2814</v>
      </c>
      <c r="M581" s="2" t="s">
        <v>1414</v>
      </c>
      <c r="P581" s="2" t="s">
        <v>1127</v>
      </c>
      <c r="Q581" s="2" t="s">
        <v>1127</v>
      </c>
    </row>
    <row r="582" spans="1:17" ht="18" customHeight="1" x14ac:dyDescent="0.2">
      <c r="A582" s="27" t="s">
        <v>460</v>
      </c>
      <c r="B582" s="27" t="s">
        <v>461</v>
      </c>
      <c r="C582" s="27" t="s">
        <v>4182</v>
      </c>
      <c r="D582" s="27" t="s">
        <v>1128</v>
      </c>
      <c r="E582" s="27" t="s">
        <v>2810</v>
      </c>
      <c r="F582" s="2">
        <v>7</v>
      </c>
      <c r="G582" s="21">
        <v>2005</v>
      </c>
      <c r="H582" s="4" t="s">
        <v>2819</v>
      </c>
      <c r="I582" s="4" t="s">
        <v>2812</v>
      </c>
      <c r="J582" s="2" t="s">
        <v>2813</v>
      </c>
      <c r="K582" s="22" t="s">
        <v>2814</v>
      </c>
      <c r="M582" s="2" t="s">
        <v>1414</v>
      </c>
      <c r="P582" s="2" t="s">
        <v>1127</v>
      </c>
      <c r="Q582" s="2" t="s">
        <v>1127</v>
      </c>
    </row>
    <row r="583" spans="1:17" ht="18" customHeight="1" x14ac:dyDescent="0.2">
      <c r="A583" s="27" t="s">
        <v>460</v>
      </c>
      <c r="B583" s="27" t="s">
        <v>461</v>
      </c>
      <c r="C583" s="27" t="s">
        <v>4182</v>
      </c>
      <c r="D583" s="27" t="s">
        <v>1128</v>
      </c>
      <c r="E583" s="27" t="s">
        <v>2810</v>
      </c>
      <c r="F583" s="2">
        <v>8</v>
      </c>
      <c r="G583" s="21">
        <v>2006</v>
      </c>
      <c r="H583" s="4" t="s">
        <v>2820</v>
      </c>
      <c r="I583" s="4" t="s">
        <v>2812</v>
      </c>
      <c r="J583" s="2" t="s">
        <v>2813</v>
      </c>
      <c r="K583" s="22" t="s">
        <v>2814</v>
      </c>
      <c r="M583" s="2" t="s">
        <v>1414</v>
      </c>
      <c r="P583" s="2" t="s">
        <v>1127</v>
      </c>
      <c r="Q583" s="2" t="s">
        <v>1127</v>
      </c>
    </row>
    <row r="584" spans="1:17" ht="18" customHeight="1" x14ac:dyDescent="0.2">
      <c r="A584" s="27" t="s">
        <v>460</v>
      </c>
      <c r="B584" s="27" t="s">
        <v>461</v>
      </c>
      <c r="C584" s="27" t="s">
        <v>4182</v>
      </c>
      <c r="D584" s="27" t="s">
        <v>1128</v>
      </c>
      <c r="E584" s="27" t="s">
        <v>2810</v>
      </c>
      <c r="F584" s="2">
        <v>9</v>
      </c>
      <c r="G584" s="21">
        <v>2007</v>
      </c>
      <c r="H584" s="4" t="s">
        <v>2821</v>
      </c>
      <c r="I584" s="4" t="s">
        <v>2812</v>
      </c>
      <c r="J584" s="2" t="s">
        <v>2813</v>
      </c>
      <c r="K584" s="22" t="s">
        <v>2814</v>
      </c>
      <c r="M584" s="2" t="s">
        <v>1414</v>
      </c>
      <c r="P584" s="2" t="s">
        <v>1127</v>
      </c>
      <c r="Q584" s="2" t="s">
        <v>1127</v>
      </c>
    </row>
    <row r="585" spans="1:17" ht="18" customHeight="1" x14ac:dyDescent="0.2">
      <c r="A585" s="27" t="s">
        <v>460</v>
      </c>
      <c r="B585" s="27" t="s">
        <v>461</v>
      </c>
      <c r="C585" s="27" t="s">
        <v>4182</v>
      </c>
      <c r="D585" s="27" t="s">
        <v>1128</v>
      </c>
      <c r="E585" s="27" t="s">
        <v>2810</v>
      </c>
      <c r="F585" s="2">
        <v>10</v>
      </c>
      <c r="G585" s="21">
        <v>2008</v>
      </c>
      <c r="H585" s="4" t="s">
        <v>2822</v>
      </c>
      <c r="I585" s="4" t="s">
        <v>2812</v>
      </c>
      <c r="J585" s="2" t="s">
        <v>2813</v>
      </c>
      <c r="K585" s="22" t="s">
        <v>2814</v>
      </c>
      <c r="M585" s="2" t="s">
        <v>1414</v>
      </c>
      <c r="P585" s="2" t="s">
        <v>1127</v>
      </c>
      <c r="Q585" s="2" t="s">
        <v>1127</v>
      </c>
    </row>
    <row r="586" spans="1:17" ht="18" customHeight="1" x14ac:dyDescent="0.2">
      <c r="A586" s="27" t="s">
        <v>460</v>
      </c>
      <c r="B586" s="27" t="s">
        <v>461</v>
      </c>
      <c r="C586" s="27" t="s">
        <v>4182</v>
      </c>
      <c r="D586" s="27" t="s">
        <v>1128</v>
      </c>
      <c r="E586" s="27" t="s">
        <v>2810</v>
      </c>
      <c r="F586" s="2">
        <v>11</v>
      </c>
      <c r="G586" s="21">
        <v>2009</v>
      </c>
      <c r="H586" s="4" t="s">
        <v>2823</v>
      </c>
      <c r="I586" s="4" t="s">
        <v>2812</v>
      </c>
      <c r="J586" s="2" t="s">
        <v>2813</v>
      </c>
      <c r="K586" s="22" t="s">
        <v>2814</v>
      </c>
      <c r="M586" s="2" t="s">
        <v>1414</v>
      </c>
      <c r="P586" s="2" t="s">
        <v>1127</v>
      </c>
      <c r="Q586" s="2" t="s">
        <v>1127</v>
      </c>
    </row>
    <row r="587" spans="1:17" ht="18" customHeight="1" x14ac:dyDescent="0.2">
      <c r="A587" s="27" t="s">
        <v>460</v>
      </c>
      <c r="B587" s="27" t="s">
        <v>461</v>
      </c>
      <c r="C587" s="27" t="s">
        <v>4182</v>
      </c>
      <c r="D587" s="27" t="s">
        <v>1128</v>
      </c>
      <c r="E587" s="27" t="s">
        <v>2810</v>
      </c>
      <c r="F587" s="2">
        <v>12</v>
      </c>
      <c r="G587" s="21">
        <v>2010</v>
      </c>
      <c r="H587" s="4" t="s">
        <v>2824</v>
      </c>
      <c r="I587" s="4" t="s">
        <v>2812</v>
      </c>
      <c r="J587" s="2" t="s">
        <v>2813</v>
      </c>
      <c r="K587" s="22" t="s">
        <v>2814</v>
      </c>
      <c r="M587" s="2" t="s">
        <v>1414</v>
      </c>
      <c r="P587" s="2" t="s">
        <v>1127</v>
      </c>
      <c r="Q587" s="2" t="s">
        <v>1127</v>
      </c>
    </row>
    <row r="588" spans="1:17" ht="18" customHeight="1" x14ac:dyDescent="0.2">
      <c r="A588" s="27" t="s">
        <v>460</v>
      </c>
      <c r="B588" s="27" t="s">
        <v>461</v>
      </c>
      <c r="C588" s="27" t="s">
        <v>4182</v>
      </c>
      <c r="D588" s="27" t="s">
        <v>1128</v>
      </c>
      <c r="E588" s="27" t="s">
        <v>2810</v>
      </c>
      <c r="F588" s="2">
        <v>13</v>
      </c>
      <c r="G588" s="21">
        <v>2011</v>
      </c>
      <c r="H588" s="4" t="s">
        <v>2825</v>
      </c>
      <c r="I588" s="4" t="s">
        <v>2812</v>
      </c>
      <c r="J588" s="2" t="s">
        <v>2813</v>
      </c>
      <c r="K588" s="22" t="s">
        <v>2814</v>
      </c>
      <c r="M588" s="2" t="s">
        <v>1414</v>
      </c>
      <c r="P588" s="2" t="s">
        <v>1127</v>
      </c>
      <c r="Q588" s="2" t="s">
        <v>1127</v>
      </c>
    </row>
    <row r="589" spans="1:17" ht="18" customHeight="1" x14ac:dyDescent="0.2">
      <c r="A589" s="27" t="s">
        <v>460</v>
      </c>
      <c r="B589" s="27" t="s">
        <v>461</v>
      </c>
      <c r="C589" s="27" t="s">
        <v>4182</v>
      </c>
      <c r="D589" s="27" t="s">
        <v>1128</v>
      </c>
      <c r="E589" s="27" t="s">
        <v>2810</v>
      </c>
      <c r="F589" s="2">
        <v>14</v>
      </c>
      <c r="G589" s="21">
        <v>2012</v>
      </c>
      <c r="H589" s="4" t="s">
        <v>2826</v>
      </c>
      <c r="I589" s="4" t="s">
        <v>2812</v>
      </c>
      <c r="J589" s="2" t="s">
        <v>2813</v>
      </c>
      <c r="K589" s="22" t="s">
        <v>2814</v>
      </c>
      <c r="M589" s="2" t="s">
        <v>1414</v>
      </c>
      <c r="P589" s="2" t="s">
        <v>1127</v>
      </c>
      <c r="Q589" s="2" t="s">
        <v>1127</v>
      </c>
    </row>
    <row r="590" spans="1:17" ht="18" customHeight="1" x14ac:dyDescent="0.2">
      <c r="A590" s="27" t="s">
        <v>460</v>
      </c>
      <c r="B590" s="27" t="s">
        <v>461</v>
      </c>
      <c r="C590" s="27" t="s">
        <v>4182</v>
      </c>
      <c r="D590" s="27" t="s">
        <v>1128</v>
      </c>
      <c r="E590" s="27" t="s">
        <v>2810</v>
      </c>
      <c r="F590" s="2">
        <v>15</v>
      </c>
      <c r="G590" s="21">
        <v>2013</v>
      </c>
      <c r="H590" s="4" t="s">
        <v>2827</v>
      </c>
      <c r="I590" s="4" t="s">
        <v>2812</v>
      </c>
      <c r="J590" s="2" t="s">
        <v>2813</v>
      </c>
      <c r="K590" s="22" t="s">
        <v>2814</v>
      </c>
      <c r="M590" s="2" t="s">
        <v>1414</v>
      </c>
      <c r="P590" s="2" t="s">
        <v>1127</v>
      </c>
      <c r="Q590" s="2" t="s">
        <v>1127</v>
      </c>
    </row>
    <row r="591" spans="1:17" ht="18" customHeight="1" x14ac:dyDescent="0.2">
      <c r="A591" s="27" t="s">
        <v>460</v>
      </c>
      <c r="B591" s="27" t="s">
        <v>461</v>
      </c>
      <c r="C591" s="27" t="s">
        <v>4182</v>
      </c>
      <c r="D591" s="27" t="s">
        <v>1128</v>
      </c>
      <c r="E591" s="27" t="s">
        <v>2810</v>
      </c>
      <c r="F591" s="2">
        <v>16</v>
      </c>
      <c r="G591" s="21">
        <v>2014</v>
      </c>
      <c r="H591" s="4" t="s">
        <v>2828</v>
      </c>
      <c r="I591" s="4" t="s">
        <v>2812</v>
      </c>
      <c r="J591" s="2" t="s">
        <v>2813</v>
      </c>
      <c r="K591" s="22" t="s">
        <v>2814</v>
      </c>
      <c r="M591" s="2" t="s">
        <v>1414</v>
      </c>
      <c r="P591" s="2" t="s">
        <v>1127</v>
      </c>
      <c r="Q591" s="2" t="s">
        <v>1127</v>
      </c>
    </row>
    <row r="592" spans="1:17" ht="18" customHeight="1" x14ac:dyDescent="0.2">
      <c r="A592" s="27" t="s">
        <v>460</v>
      </c>
      <c r="B592" s="27" t="s">
        <v>461</v>
      </c>
      <c r="C592" s="27" t="s">
        <v>4182</v>
      </c>
      <c r="D592" s="27" t="s">
        <v>1128</v>
      </c>
      <c r="E592" s="27" t="s">
        <v>2810</v>
      </c>
      <c r="F592" s="2">
        <v>17</v>
      </c>
      <c r="G592" s="21">
        <v>2015</v>
      </c>
      <c r="H592" s="4" t="s">
        <v>2829</v>
      </c>
      <c r="I592" s="4" t="s">
        <v>2812</v>
      </c>
      <c r="J592" s="2" t="s">
        <v>2813</v>
      </c>
      <c r="K592" s="22" t="s">
        <v>2814</v>
      </c>
      <c r="M592" s="2" t="s">
        <v>1414</v>
      </c>
      <c r="P592" s="2" t="s">
        <v>1127</v>
      </c>
      <c r="Q592" s="2" t="s">
        <v>1127</v>
      </c>
    </row>
    <row r="593" spans="1:17" ht="18" customHeight="1" x14ac:dyDescent="0.2">
      <c r="A593" s="27" t="s">
        <v>460</v>
      </c>
      <c r="B593" s="27" t="s">
        <v>461</v>
      </c>
      <c r="C593" s="27" t="s">
        <v>4182</v>
      </c>
      <c r="D593" s="27" t="s">
        <v>1128</v>
      </c>
      <c r="E593" s="27" t="s">
        <v>2810</v>
      </c>
      <c r="F593" s="2">
        <v>18</v>
      </c>
      <c r="G593" s="21">
        <v>2016</v>
      </c>
      <c r="H593" s="4" t="s">
        <v>2830</v>
      </c>
      <c r="I593" s="4" t="s">
        <v>2812</v>
      </c>
      <c r="J593" s="2" t="s">
        <v>2813</v>
      </c>
      <c r="K593" s="22" t="s">
        <v>2814</v>
      </c>
      <c r="M593" s="2" t="s">
        <v>1414</v>
      </c>
      <c r="P593" s="2" t="s">
        <v>1127</v>
      </c>
      <c r="Q593" s="2" t="s">
        <v>1127</v>
      </c>
    </row>
    <row r="594" spans="1:17" ht="18" customHeight="1" x14ac:dyDescent="0.2">
      <c r="A594" s="27" t="s">
        <v>460</v>
      </c>
      <c r="B594" s="27" t="s">
        <v>461</v>
      </c>
      <c r="C594" s="27" t="s">
        <v>4182</v>
      </c>
      <c r="D594" s="27" t="s">
        <v>1128</v>
      </c>
      <c r="E594" s="27" t="s">
        <v>2810</v>
      </c>
      <c r="F594" s="2">
        <v>19</v>
      </c>
      <c r="G594" s="21">
        <v>2017</v>
      </c>
      <c r="H594" s="4" t="s">
        <v>2831</v>
      </c>
      <c r="I594" s="4" t="s">
        <v>2812</v>
      </c>
      <c r="J594" s="2" t="s">
        <v>2813</v>
      </c>
      <c r="K594" s="22" t="s">
        <v>2814</v>
      </c>
      <c r="M594" s="2" t="s">
        <v>1414</v>
      </c>
      <c r="P594" s="2" t="s">
        <v>1127</v>
      </c>
      <c r="Q594" s="2" t="s">
        <v>1127</v>
      </c>
    </row>
    <row r="595" spans="1:17" ht="18" customHeight="1" x14ac:dyDescent="0.2">
      <c r="A595" s="27" t="s">
        <v>460</v>
      </c>
      <c r="B595" s="27" t="s">
        <v>461</v>
      </c>
      <c r="C595" s="27" t="s">
        <v>4182</v>
      </c>
      <c r="D595" s="27" t="s">
        <v>1128</v>
      </c>
      <c r="E595" s="27" t="s">
        <v>2810</v>
      </c>
      <c r="F595" s="2">
        <v>20</v>
      </c>
      <c r="G595" s="21">
        <v>2018</v>
      </c>
      <c r="H595" s="4" t="s">
        <v>2832</v>
      </c>
      <c r="I595" s="4" t="s">
        <v>2812</v>
      </c>
      <c r="J595" s="2" t="s">
        <v>2813</v>
      </c>
      <c r="K595" s="22" t="s">
        <v>2814</v>
      </c>
      <c r="M595" s="2" t="s">
        <v>1414</v>
      </c>
      <c r="P595" s="2" t="s">
        <v>1127</v>
      </c>
      <c r="Q595" s="2" t="s">
        <v>1127</v>
      </c>
    </row>
    <row r="596" spans="1:17" ht="18" customHeight="1" x14ac:dyDescent="0.2">
      <c r="A596" s="27" t="s">
        <v>460</v>
      </c>
      <c r="B596" s="27" t="s">
        <v>461</v>
      </c>
      <c r="C596" s="27" t="s">
        <v>4182</v>
      </c>
      <c r="D596" s="27" t="s">
        <v>1128</v>
      </c>
      <c r="E596" s="27" t="s">
        <v>2810</v>
      </c>
      <c r="F596" s="2">
        <v>21</v>
      </c>
      <c r="G596" s="21">
        <v>2019</v>
      </c>
      <c r="H596" s="4" t="s">
        <v>2833</v>
      </c>
      <c r="I596" s="4" t="s">
        <v>2812</v>
      </c>
      <c r="J596" s="2" t="s">
        <v>2813</v>
      </c>
      <c r="K596" s="22" t="s">
        <v>2814</v>
      </c>
      <c r="M596" s="2" t="s">
        <v>1414</v>
      </c>
      <c r="P596" s="2" t="s">
        <v>1127</v>
      </c>
      <c r="Q596" s="2" t="s">
        <v>1127</v>
      </c>
    </row>
    <row r="597" spans="1:17" ht="18" customHeight="1" x14ac:dyDescent="0.2">
      <c r="A597" s="27" t="s">
        <v>460</v>
      </c>
      <c r="B597" s="27" t="s">
        <v>461</v>
      </c>
      <c r="C597" s="27" t="s">
        <v>4182</v>
      </c>
      <c r="D597" s="27" t="s">
        <v>1128</v>
      </c>
      <c r="E597" s="27" t="s">
        <v>2834</v>
      </c>
      <c r="F597" s="2">
        <v>2</v>
      </c>
      <c r="G597" s="21">
        <v>2000</v>
      </c>
      <c r="H597" s="4" t="s">
        <v>2835</v>
      </c>
      <c r="I597" s="4" t="s">
        <v>2836</v>
      </c>
      <c r="J597" s="2" t="s">
        <v>2837</v>
      </c>
      <c r="K597" s="22" t="s">
        <v>2838</v>
      </c>
      <c r="M597" s="2" t="s">
        <v>2024</v>
      </c>
      <c r="P597" s="2" t="s">
        <v>1127</v>
      </c>
      <c r="Q597" s="2" t="s">
        <v>1127</v>
      </c>
    </row>
    <row r="598" spans="1:17" ht="18" customHeight="1" x14ac:dyDescent="0.2">
      <c r="A598" s="27" t="s">
        <v>460</v>
      </c>
      <c r="B598" s="27" t="s">
        <v>461</v>
      </c>
      <c r="C598" s="27" t="s">
        <v>4182</v>
      </c>
      <c r="D598" s="27" t="s">
        <v>1128</v>
      </c>
      <c r="E598" s="27" t="s">
        <v>2834</v>
      </c>
      <c r="F598" s="2">
        <v>3</v>
      </c>
      <c r="G598" s="21">
        <v>2001</v>
      </c>
      <c r="H598" s="4" t="s">
        <v>2839</v>
      </c>
      <c r="I598" s="4" t="s">
        <v>2836</v>
      </c>
      <c r="J598" s="2" t="s">
        <v>2837</v>
      </c>
      <c r="K598" s="22" t="s">
        <v>2838</v>
      </c>
      <c r="M598" s="2" t="s">
        <v>2024</v>
      </c>
      <c r="P598" s="2" t="s">
        <v>1127</v>
      </c>
      <c r="Q598" s="2" t="s">
        <v>1127</v>
      </c>
    </row>
    <row r="599" spans="1:17" ht="18" customHeight="1" x14ac:dyDescent="0.2">
      <c r="A599" s="27" t="s">
        <v>460</v>
      </c>
      <c r="B599" s="27" t="s">
        <v>461</v>
      </c>
      <c r="C599" s="27" t="s">
        <v>4182</v>
      </c>
      <c r="D599" s="27" t="s">
        <v>1128</v>
      </c>
      <c r="E599" s="27" t="s">
        <v>2834</v>
      </c>
      <c r="F599" s="2">
        <v>4</v>
      </c>
      <c r="G599" s="21">
        <v>2002</v>
      </c>
      <c r="H599" s="4" t="s">
        <v>2840</v>
      </c>
      <c r="I599" s="4" t="s">
        <v>2836</v>
      </c>
      <c r="J599" s="2" t="s">
        <v>2837</v>
      </c>
      <c r="K599" s="22" t="s">
        <v>2838</v>
      </c>
      <c r="M599" s="2" t="s">
        <v>2024</v>
      </c>
      <c r="P599" s="2" t="s">
        <v>1127</v>
      </c>
      <c r="Q599" s="2" t="s">
        <v>1127</v>
      </c>
    </row>
    <row r="600" spans="1:17" ht="18" customHeight="1" x14ac:dyDescent="0.2">
      <c r="A600" s="27" t="s">
        <v>460</v>
      </c>
      <c r="B600" s="27" t="s">
        <v>461</v>
      </c>
      <c r="C600" s="27" t="s">
        <v>4182</v>
      </c>
      <c r="D600" s="27" t="s">
        <v>1128</v>
      </c>
      <c r="E600" s="27" t="s">
        <v>2834</v>
      </c>
      <c r="F600" s="2">
        <v>5</v>
      </c>
      <c r="G600" s="21">
        <v>2003</v>
      </c>
      <c r="H600" s="4" t="s">
        <v>2841</v>
      </c>
      <c r="I600" s="4" t="s">
        <v>2836</v>
      </c>
      <c r="J600" s="2" t="s">
        <v>2837</v>
      </c>
      <c r="K600" s="22" t="s">
        <v>2838</v>
      </c>
      <c r="M600" s="2" t="s">
        <v>2024</v>
      </c>
      <c r="P600" s="2" t="s">
        <v>1127</v>
      </c>
      <c r="Q600" s="2" t="s">
        <v>1127</v>
      </c>
    </row>
    <row r="601" spans="1:17" ht="18" customHeight="1" x14ac:dyDescent="0.2">
      <c r="A601" s="27" t="s">
        <v>460</v>
      </c>
      <c r="B601" s="27" t="s">
        <v>461</v>
      </c>
      <c r="C601" s="27" t="s">
        <v>4182</v>
      </c>
      <c r="D601" s="27" t="s">
        <v>1128</v>
      </c>
      <c r="E601" s="27" t="s">
        <v>2834</v>
      </c>
      <c r="F601" s="2">
        <v>6</v>
      </c>
      <c r="G601" s="21">
        <v>2004</v>
      </c>
      <c r="H601" s="4" t="s">
        <v>2842</v>
      </c>
      <c r="I601" s="4" t="s">
        <v>2836</v>
      </c>
      <c r="J601" s="2" t="s">
        <v>2837</v>
      </c>
      <c r="K601" s="22" t="s">
        <v>2838</v>
      </c>
      <c r="M601" s="2" t="s">
        <v>2024</v>
      </c>
      <c r="P601" s="2" t="s">
        <v>1127</v>
      </c>
      <c r="Q601" s="2" t="s">
        <v>1127</v>
      </c>
    </row>
    <row r="602" spans="1:17" ht="18" customHeight="1" x14ac:dyDescent="0.2">
      <c r="A602" s="27" t="s">
        <v>460</v>
      </c>
      <c r="B602" s="27" t="s">
        <v>461</v>
      </c>
      <c r="C602" s="27" t="s">
        <v>4182</v>
      </c>
      <c r="D602" s="27" t="s">
        <v>1128</v>
      </c>
      <c r="E602" s="27" t="s">
        <v>2834</v>
      </c>
      <c r="F602" s="2">
        <v>7</v>
      </c>
      <c r="G602" s="21">
        <v>2005</v>
      </c>
      <c r="H602" s="4" t="s">
        <v>2843</v>
      </c>
      <c r="I602" s="4" t="s">
        <v>2836</v>
      </c>
      <c r="J602" s="2" t="s">
        <v>2837</v>
      </c>
      <c r="K602" s="22" t="s">
        <v>2838</v>
      </c>
      <c r="M602" s="2" t="s">
        <v>2024</v>
      </c>
      <c r="P602" s="2" t="s">
        <v>1127</v>
      </c>
      <c r="Q602" s="2" t="s">
        <v>1127</v>
      </c>
    </row>
    <row r="603" spans="1:17" ht="18" customHeight="1" x14ac:dyDescent="0.2">
      <c r="A603" s="27" t="s">
        <v>460</v>
      </c>
      <c r="B603" s="27" t="s">
        <v>461</v>
      </c>
      <c r="C603" s="27" t="s">
        <v>4182</v>
      </c>
      <c r="D603" s="27" t="s">
        <v>1128</v>
      </c>
      <c r="E603" s="27" t="s">
        <v>2834</v>
      </c>
      <c r="F603" s="2">
        <v>8</v>
      </c>
      <c r="G603" s="21">
        <v>2006</v>
      </c>
      <c r="H603" s="4" t="s">
        <v>2844</v>
      </c>
      <c r="I603" s="4" t="s">
        <v>2836</v>
      </c>
      <c r="J603" s="2" t="s">
        <v>2837</v>
      </c>
      <c r="K603" s="22" t="s">
        <v>2838</v>
      </c>
      <c r="M603" s="2" t="s">
        <v>2024</v>
      </c>
      <c r="P603" s="2" t="s">
        <v>1127</v>
      </c>
      <c r="Q603" s="2" t="s">
        <v>1127</v>
      </c>
    </row>
    <row r="604" spans="1:17" ht="18" customHeight="1" x14ac:dyDescent="0.2">
      <c r="A604" s="27" t="s">
        <v>460</v>
      </c>
      <c r="B604" s="27" t="s">
        <v>461</v>
      </c>
      <c r="C604" s="27" t="s">
        <v>4182</v>
      </c>
      <c r="D604" s="27" t="s">
        <v>1128</v>
      </c>
      <c r="E604" s="27" t="s">
        <v>2834</v>
      </c>
      <c r="F604" s="2">
        <v>9</v>
      </c>
      <c r="G604" s="21">
        <v>2007</v>
      </c>
      <c r="H604" s="4" t="s">
        <v>2845</v>
      </c>
      <c r="I604" s="4" t="s">
        <v>2836</v>
      </c>
      <c r="J604" s="2" t="s">
        <v>2837</v>
      </c>
      <c r="K604" s="22" t="s">
        <v>2838</v>
      </c>
      <c r="M604" s="2" t="s">
        <v>2024</v>
      </c>
      <c r="P604" s="2" t="s">
        <v>1127</v>
      </c>
      <c r="Q604" s="2" t="s">
        <v>1127</v>
      </c>
    </row>
    <row r="605" spans="1:17" ht="18" customHeight="1" x14ac:dyDescent="0.2">
      <c r="A605" s="27" t="s">
        <v>460</v>
      </c>
      <c r="B605" s="27" t="s">
        <v>461</v>
      </c>
      <c r="C605" s="27" t="s">
        <v>4182</v>
      </c>
      <c r="D605" s="27" t="s">
        <v>1128</v>
      </c>
      <c r="E605" s="27" t="s">
        <v>2834</v>
      </c>
      <c r="F605" s="2">
        <v>10</v>
      </c>
      <c r="G605" s="21">
        <v>2008</v>
      </c>
      <c r="H605" s="4" t="s">
        <v>2846</v>
      </c>
      <c r="I605" s="4" t="s">
        <v>2836</v>
      </c>
      <c r="J605" s="2" t="s">
        <v>2837</v>
      </c>
      <c r="K605" s="22" t="s">
        <v>2838</v>
      </c>
      <c r="M605" s="2" t="s">
        <v>2024</v>
      </c>
      <c r="P605" s="2" t="s">
        <v>1127</v>
      </c>
      <c r="Q605" s="2" t="s">
        <v>1127</v>
      </c>
    </row>
    <row r="606" spans="1:17" ht="18" customHeight="1" x14ac:dyDescent="0.2">
      <c r="A606" s="27" t="s">
        <v>460</v>
      </c>
      <c r="B606" s="27" t="s">
        <v>461</v>
      </c>
      <c r="C606" s="27" t="s">
        <v>4182</v>
      </c>
      <c r="D606" s="27" t="s">
        <v>1128</v>
      </c>
      <c r="E606" s="27" t="s">
        <v>2834</v>
      </c>
      <c r="F606" s="2">
        <v>11</v>
      </c>
      <c r="G606" s="21">
        <v>2009</v>
      </c>
      <c r="H606" s="4" t="s">
        <v>2847</v>
      </c>
      <c r="I606" s="4" t="s">
        <v>2836</v>
      </c>
      <c r="J606" s="2" t="s">
        <v>2837</v>
      </c>
      <c r="K606" s="22" t="s">
        <v>2838</v>
      </c>
      <c r="M606" s="2" t="s">
        <v>2024</v>
      </c>
      <c r="P606" s="2" t="s">
        <v>1127</v>
      </c>
      <c r="Q606" s="2" t="s">
        <v>1127</v>
      </c>
    </row>
    <row r="607" spans="1:17" ht="18" customHeight="1" x14ac:dyDescent="0.2">
      <c r="A607" s="27" t="s">
        <v>460</v>
      </c>
      <c r="B607" s="27" t="s">
        <v>461</v>
      </c>
      <c r="C607" s="27" t="s">
        <v>4182</v>
      </c>
      <c r="D607" s="27" t="s">
        <v>1128</v>
      </c>
      <c r="E607" s="27" t="s">
        <v>2834</v>
      </c>
      <c r="F607" s="2">
        <v>12</v>
      </c>
      <c r="G607" s="21">
        <v>2010</v>
      </c>
      <c r="H607" s="4" t="s">
        <v>2848</v>
      </c>
      <c r="I607" s="4" t="s">
        <v>2836</v>
      </c>
      <c r="J607" s="2" t="s">
        <v>2837</v>
      </c>
      <c r="K607" s="22" t="s">
        <v>2838</v>
      </c>
      <c r="M607" s="2" t="s">
        <v>2024</v>
      </c>
      <c r="P607" s="2" t="s">
        <v>1127</v>
      </c>
      <c r="Q607" s="2" t="s">
        <v>1127</v>
      </c>
    </row>
    <row r="608" spans="1:17" ht="18" customHeight="1" x14ac:dyDescent="0.2">
      <c r="A608" s="27" t="s">
        <v>460</v>
      </c>
      <c r="B608" s="27" t="s">
        <v>461</v>
      </c>
      <c r="C608" s="27" t="s">
        <v>4182</v>
      </c>
      <c r="D608" s="27" t="s">
        <v>1128</v>
      </c>
      <c r="E608" s="27" t="s">
        <v>2834</v>
      </c>
      <c r="F608" s="2">
        <v>13</v>
      </c>
      <c r="G608" s="21">
        <v>2011</v>
      </c>
      <c r="H608" s="4" t="s">
        <v>2849</v>
      </c>
      <c r="I608" s="4" t="s">
        <v>2836</v>
      </c>
      <c r="J608" s="2" t="s">
        <v>2837</v>
      </c>
      <c r="K608" s="22" t="s">
        <v>2838</v>
      </c>
      <c r="M608" s="2" t="s">
        <v>2024</v>
      </c>
      <c r="P608" s="2" t="s">
        <v>1127</v>
      </c>
      <c r="Q608" s="2" t="s">
        <v>1127</v>
      </c>
    </row>
    <row r="609" spans="1:17" ht="18" customHeight="1" x14ac:dyDescent="0.2">
      <c r="A609" s="27" t="s">
        <v>460</v>
      </c>
      <c r="B609" s="27" t="s">
        <v>461</v>
      </c>
      <c r="C609" s="27" t="s">
        <v>4182</v>
      </c>
      <c r="D609" s="27" t="s">
        <v>1128</v>
      </c>
      <c r="E609" s="27" t="s">
        <v>2834</v>
      </c>
      <c r="F609" s="2">
        <v>14</v>
      </c>
      <c r="G609" s="21">
        <v>2012</v>
      </c>
      <c r="H609" s="4" t="s">
        <v>2850</v>
      </c>
      <c r="I609" s="4" t="s">
        <v>2836</v>
      </c>
      <c r="J609" s="2" t="s">
        <v>2837</v>
      </c>
      <c r="K609" s="22" t="s">
        <v>2838</v>
      </c>
      <c r="M609" s="2" t="s">
        <v>2024</v>
      </c>
      <c r="P609" s="2" t="s">
        <v>1127</v>
      </c>
      <c r="Q609" s="2" t="s">
        <v>1127</v>
      </c>
    </row>
    <row r="610" spans="1:17" ht="18" customHeight="1" x14ac:dyDescent="0.2">
      <c r="A610" s="27" t="s">
        <v>460</v>
      </c>
      <c r="B610" s="27" t="s">
        <v>461</v>
      </c>
      <c r="C610" s="27" t="s">
        <v>4182</v>
      </c>
      <c r="D610" s="27" t="s">
        <v>1128</v>
      </c>
      <c r="E610" s="27" t="s">
        <v>2834</v>
      </c>
      <c r="F610" s="2">
        <v>15</v>
      </c>
      <c r="G610" s="21">
        <v>2013</v>
      </c>
      <c r="H610" s="4" t="s">
        <v>2851</v>
      </c>
      <c r="I610" s="4" t="s">
        <v>2836</v>
      </c>
      <c r="J610" s="2" t="s">
        <v>2837</v>
      </c>
      <c r="K610" s="22" t="s">
        <v>2838</v>
      </c>
      <c r="M610" s="2" t="s">
        <v>2024</v>
      </c>
      <c r="P610" s="2" t="s">
        <v>1127</v>
      </c>
      <c r="Q610" s="2" t="s">
        <v>1127</v>
      </c>
    </row>
    <row r="611" spans="1:17" ht="18" customHeight="1" x14ac:dyDescent="0.2">
      <c r="A611" s="27" t="s">
        <v>460</v>
      </c>
      <c r="B611" s="27" t="s">
        <v>461</v>
      </c>
      <c r="C611" s="27" t="s">
        <v>4182</v>
      </c>
      <c r="D611" s="27" t="s">
        <v>1128</v>
      </c>
      <c r="E611" s="27" t="s">
        <v>2834</v>
      </c>
      <c r="F611" s="2">
        <v>16</v>
      </c>
      <c r="G611" s="21">
        <v>2014</v>
      </c>
      <c r="H611" s="4" t="s">
        <v>2852</v>
      </c>
      <c r="I611" s="4" t="s">
        <v>2836</v>
      </c>
      <c r="J611" s="2" t="s">
        <v>2837</v>
      </c>
      <c r="K611" s="22" t="s">
        <v>2838</v>
      </c>
      <c r="M611" s="2" t="s">
        <v>2024</v>
      </c>
      <c r="P611" s="2" t="s">
        <v>1127</v>
      </c>
      <c r="Q611" s="2" t="s">
        <v>1127</v>
      </c>
    </row>
    <row r="612" spans="1:17" ht="18" customHeight="1" x14ac:dyDescent="0.2">
      <c r="A612" s="27" t="s">
        <v>460</v>
      </c>
      <c r="B612" s="27" t="s">
        <v>461</v>
      </c>
      <c r="C612" s="27" t="s">
        <v>4182</v>
      </c>
      <c r="D612" s="27" t="s">
        <v>1128</v>
      </c>
      <c r="E612" s="27" t="s">
        <v>2834</v>
      </c>
      <c r="F612" s="2">
        <v>17</v>
      </c>
      <c r="G612" s="21">
        <v>2015</v>
      </c>
      <c r="H612" s="4" t="s">
        <v>2853</v>
      </c>
      <c r="I612" s="4" t="s">
        <v>2836</v>
      </c>
      <c r="J612" s="2" t="s">
        <v>2837</v>
      </c>
      <c r="K612" s="22" t="s">
        <v>2838</v>
      </c>
      <c r="M612" s="2" t="s">
        <v>2024</v>
      </c>
      <c r="P612" s="2" t="s">
        <v>1127</v>
      </c>
      <c r="Q612" s="2" t="s">
        <v>1127</v>
      </c>
    </row>
    <row r="613" spans="1:17" ht="18" customHeight="1" x14ac:dyDescent="0.2">
      <c r="A613" s="27" t="s">
        <v>460</v>
      </c>
      <c r="B613" s="27" t="s">
        <v>461</v>
      </c>
      <c r="C613" s="27" t="s">
        <v>4182</v>
      </c>
      <c r="D613" s="27" t="s">
        <v>1128</v>
      </c>
      <c r="E613" s="27" t="s">
        <v>2834</v>
      </c>
      <c r="F613" s="2">
        <v>18</v>
      </c>
      <c r="G613" s="21">
        <v>2016</v>
      </c>
      <c r="H613" s="4" t="s">
        <v>2854</v>
      </c>
      <c r="I613" s="4" t="s">
        <v>2836</v>
      </c>
      <c r="J613" s="2" t="s">
        <v>2837</v>
      </c>
      <c r="K613" s="22" t="s">
        <v>2838</v>
      </c>
      <c r="M613" s="2" t="s">
        <v>2024</v>
      </c>
      <c r="P613" s="2" t="s">
        <v>1127</v>
      </c>
      <c r="Q613" s="2" t="s">
        <v>1127</v>
      </c>
    </row>
    <row r="614" spans="1:17" ht="18" customHeight="1" x14ac:dyDescent="0.2">
      <c r="A614" s="27" t="s">
        <v>460</v>
      </c>
      <c r="B614" s="27" t="s">
        <v>461</v>
      </c>
      <c r="C614" s="27" t="s">
        <v>4182</v>
      </c>
      <c r="D614" s="27" t="s">
        <v>1128</v>
      </c>
      <c r="E614" s="27" t="s">
        <v>2834</v>
      </c>
      <c r="F614" s="2">
        <v>19</v>
      </c>
      <c r="G614" s="21">
        <v>2017</v>
      </c>
      <c r="H614" s="4" t="s">
        <v>2855</v>
      </c>
      <c r="I614" s="4" t="s">
        <v>2836</v>
      </c>
      <c r="J614" s="2" t="s">
        <v>2837</v>
      </c>
      <c r="K614" s="22" t="s">
        <v>2838</v>
      </c>
      <c r="M614" s="2" t="s">
        <v>2024</v>
      </c>
      <c r="P614" s="2" t="s">
        <v>1127</v>
      </c>
      <c r="Q614" s="2" t="s">
        <v>1127</v>
      </c>
    </row>
    <row r="615" spans="1:17" ht="18" customHeight="1" x14ac:dyDescent="0.2">
      <c r="A615" s="27" t="s">
        <v>460</v>
      </c>
      <c r="B615" s="27" t="s">
        <v>461</v>
      </c>
      <c r="C615" s="27" t="s">
        <v>4182</v>
      </c>
      <c r="D615" s="27" t="s">
        <v>1128</v>
      </c>
      <c r="E615" s="27" t="s">
        <v>2834</v>
      </c>
      <c r="F615" s="2">
        <v>20</v>
      </c>
      <c r="G615" s="21">
        <v>2018</v>
      </c>
      <c r="H615" s="4" t="s">
        <v>2856</v>
      </c>
      <c r="I615" s="4" t="s">
        <v>2836</v>
      </c>
      <c r="J615" s="2" t="s">
        <v>2837</v>
      </c>
      <c r="K615" s="22" t="s">
        <v>2838</v>
      </c>
      <c r="M615" s="2" t="s">
        <v>2024</v>
      </c>
      <c r="P615" s="2" t="s">
        <v>1127</v>
      </c>
      <c r="Q615" s="2" t="s">
        <v>1127</v>
      </c>
    </row>
    <row r="616" spans="1:17" ht="18" customHeight="1" x14ac:dyDescent="0.2">
      <c r="A616" s="27" t="s">
        <v>460</v>
      </c>
      <c r="B616" s="27" t="s">
        <v>461</v>
      </c>
      <c r="C616" s="27" t="s">
        <v>4182</v>
      </c>
      <c r="D616" s="27" t="s">
        <v>1128</v>
      </c>
      <c r="E616" s="27" t="s">
        <v>2834</v>
      </c>
      <c r="F616" s="2">
        <v>21</v>
      </c>
      <c r="G616" s="21">
        <v>2019</v>
      </c>
      <c r="H616" s="4" t="s">
        <v>2857</v>
      </c>
      <c r="I616" s="4" t="s">
        <v>2836</v>
      </c>
      <c r="J616" s="2" t="s">
        <v>2837</v>
      </c>
      <c r="K616" s="22" t="s">
        <v>2838</v>
      </c>
      <c r="M616" s="2" t="s">
        <v>2024</v>
      </c>
      <c r="P616" s="2" t="s">
        <v>1127</v>
      </c>
      <c r="Q616" s="2" t="s">
        <v>1127</v>
      </c>
    </row>
    <row r="617" spans="1:17" ht="18" customHeight="1" x14ac:dyDescent="0.2">
      <c r="A617" s="27" t="s">
        <v>460</v>
      </c>
      <c r="B617" s="27" t="s">
        <v>461</v>
      </c>
      <c r="C617" s="27" t="s">
        <v>4182</v>
      </c>
      <c r="D617" s="27" t="s">
        <v>1128</v>
      </c>
      <c r="E617" s="27" t="s">
        <v>2858</v>
      </c>
      <c r="F617" s="2">
        <v>2</v>
      </c>
      <c r="G617" s="21">
        <v>2000</v>
      </c>
      <c r="H617" s="4" t="s">
        <v>2859</v>
      </c>
      <c r="I617" s="4" t="s">
        <v>2860</v>
      </c>
      <c r="J617" s="2" t="s">
        <v>2861</v>
      </c>
      <c r="K617" s="2" t="s">
        <v>725</v>
      </c>
      <c r="M617" s="2" t="s">
        <v>2024</v>
      </c>
      <c r="P617" s="2" t="s">
        <v>1127</v>
      </c>
      <c r="Q617" s="2" t="s">
        <v>1127</v>
      </c>
    </row>
    <row r="618" spans="1:17" ht="18" customHeight="1" x14ac:dyDescent="0.2">
      <c r="A618" s="27" t="s">
        <v>460</v>
      </c>
      <c r="B618" s="27" t="s">
        <v>461</v>
      </c>
      <c r="C618" s="27" t="s">
        <v>4182</v>
      </c>
      <c r="D618" s="27" t="s">
        <v>1128</v>
      </c>
      <c r="E618" s="27" t="s">
        <v>2858</v>
      </c>
      <c r="F618" s="2">
        <v>3</v>
      </c>
      <c r="G618" s="21">
        <v>2001</v>
      </c>
      <c r="H618" s="4" t="s">
        <v>2862</v>
      </c>
      <c r="I618" s="4" t="s">
        <v>2860</v>
      </c>
      <c r="J618" s="2" t="s">
        <v>2861</v>
      </c>
      <c r="K618" s="2" t="s">
        <v>725</v>
      </c>
      <c r="M618" s="2" t="s">
        <v>2024</v>
      </c>
      <c r="P618" s="2" t="s">
        <v>1127</v>
      </c>
      <c r="Q618" s="2" t="s">
        <v>1127</v>
      </c>
    </row>
    <row r="619" spans="1:17" ht="18" customHeight="1" x14ac:dyDescent="0.2">
      <c r="A619" s="27" t="s">
        <v>460</v>
      </c>
      <c r="B619" s="27" t="s">
        <v>461</v>
      </c>
      <c r="C619" s="27" t="s">
        <v>4182</v>
      </c>
      <c r="D619" s="27" t="s">
        <v>1128</v>
      </c>
      <c r="E619" s="27" t="s">
        <v>2858</v>
      </c>
      <c r="F619" s="2">
        <v>4</v>
      </c>
      <c r="G619" s="21">
        <v>2002</v>
      </c>
      <c r="H619" s="4" t="s">
        <v>2863</v>
      </c>
      <c r="I619" s="4" t="s">
        <v>2860</v>
      </c>
      <c r="J619" s="2" t="s">
        <v>2861</v>
      </c>
      <c r="K619" s="2" t="s">
        <v>725</v>
      </c>
      <c r="M619" s="2" t="s">
        <v>2024</v>
      </c>
      <c r="P619" s="2" t="s">
        <v>1127</v>
      </c>
      <c r="Q619" s="2" t="s">
        <v>1127</v>
      </c>
    </row>
    <row r="620" spans="1:17" ht="18" customHeight="1" x14ac:dyDescent="0.2">
      <c r="A620" s="27" t="s">
        <v>460</v>
      </c>
      <c r="B620" s="27" t="s">
        <v>461</v>
      </c>
      <c r="C620" s="27" t="s">
        <v>4182</v>
      </c>
      <c r="D620" s="27" t="s">
        <v>1128</v>
      </c>
      <c r="E620" s="27" t="s">
        <v>2858</v>
      </c>
      <c r="F620" s="2">
        <v>5</v>
      </c>
      <c r="G620" s="21">
        <v>2003</v>
      </c>
      <c r="H620" s="4" t="s">
        <v>2864</v>
      </c>
      <c r="I620" s="4" t="s">
        <v>2860</v>
      </c>
      <c r="J620" s="2" t="s">
        <v>2861</v>
      </c>
      <c r="K620" s="2" t="s">
        <v>725</v>
      </c>
      <c r="M620" s="2" t="s">
        <v>2024</v>
      </c>
      <c r="P620" s="2" t="s">
        <v>1127</v>
      </c>
      <c r="Q620" s="2" t="s">
        <v>1127</v>
      </c>
    </row>
    <row r="621" spans="1:17" ht="18" customHeight="1" x14ac:dyDescent="0.2">
      <c r="A621" s="27" t="s">
        <v>460</v>
      </c>
      <c r="B621" s="27" t="s">
        <v>461</v>
      </c>
      <c r="C621" s="27" t="s">
        <v>4182</v>
      </c>
      <c r="D621" s="27" t="s">
        <v>1128</v>
      </c>
      <c r="E621" s="27" t="s">
        <v>2858</v>
      </c>
      <c r="F621" s="2">
        <v>6</v>
      </c>
      <c r="G621" s="21">
        <v>2004</v>
      </c>
      <c r="H621" s="4" t="s">
        <v>2865</v>
      </c>
      <c r="I621" s="4" t="s">
        <v>2860</v>
      </c>
      <c r="J621" s="2" t="s">
        <v>2861</v>
      </c>
      <c r="K621" s="2" t="s">
        <v>725</v>
      </c>
      <c r="M621" s="2" t="s">
        <v>2024</v>
      </c>
      <c r="P621" s="2" t="s">
        <v>1127</v>
      </c>
      <c r="Q621" s="2" t="s">
        <v>1127</v>
      </c>
    </row>
    <row r="622" spans="1:17" ht="18" customHeight="1" x14ac:dyDescent="0.2">
      <c r="A622" s="27" t="s">
        <v>460</v>
      </c>
      <c r="B622" s="27" t="s">
        <v>461</v>
      </c>
      <c r="C622" s="27" t="s">
        <v>4182</v>
      </c>
      <c r="D622" s="27" t="s">
        <v>1128</v>
      </c>
      <c r="E622" s="27" t="s">
        <v>2858</v>
      </c>
      <c r="F622" s="2">
        <v>7</v>
      </c>
      <c r="G622" s="21">
        <v>2005</v>
      </c>
      <c r="H622" s="4" t="s">
        <v>2866</v>
      </c>
      <c r="I622" s="4" t="s">
        <v>2860</v>
      </c>
      <c r="J622" s="2" t="s">
        <v>2861</v>
      </c>
      <c r="K622" s="2" t="s">
        <v>725</v>
      </c>
      <c r="M622" s="2" t="s">
        <v>2024</v>
      </c>
      <c r="P622" s="2" t="s">
        <v>1127</v>
      </c>
      <c r="Q622" s="2" t="s">
        <v>1127</v>
      </c>
    </row>
    <row r="623" spans="1:17" ht="18" customHeight="1" x14ac:dyDescent="0.2">
      <c r="A623" s="27" t="s">
        <v>460</v>
      </c>
      <c r="B623" s="27" t="s">
        <v>461</v>
      </c>
      <c r="C623" s="27" t="s">
        <v>4182</v>
      </c>
      <c r="D623" s="27" t="s">
        <v>1128</v>
      </c>
      <c r="E623" s="27" t="s">
        <v>2858</v>
      </c>
      <c r="F623" s="2">
        <v>8</v>
      </c>
      <c r="G623" s="21">
        <v>2006</v>
      </c>
      <c r="H623" s="4" t="s">
        <v>2867</v>
      </c>
      <c r="I623" s="4" t="s">
        <v>2860</v>
      </c>
      <c r="J623" s="2" t="s">
        <v>2861</v>
      </c>
      <c r="K623" s="2" t="s">
        <v>725</v>
      </c>
      <c r="M623" s="2" t="s">
        <v>2024</v>
      </c>
      <c r="P623" s="2" t="s">
        <v>1127</v>
      </c>
      <c r="Q623" s="2" t="s">
        <v>1127</v>
      </c>
    </row>
    <row r="624" spans="1:17" ht="18" customHeight="1" x14ac:dyDescent="0.2">
      <c r="A624" s="27" t="s">
        <v>460</v>
      </c>
      <c r="B624" s="27" t="s">
        <v>461</v>
      </c>
      <c r="C624" s="27" t="s">
        <v>4182</v>
      </c>
      <c r="D624" s="27" t="s">
        <v>1128</v>
      </c>
      <c r="E624" s="27" t="s">
        <v>2858</v>
      </c>
      <c r="F624" s="2">
        <v>9</v>
      </c>
      <c r="G624" s="21">
        <v>2007</v>
      </c>
      <c r="H624" s="4" t="s">
        <v>2868</v>
      </c>
      <c r="I624" s="4" t="s">
        <v>2860</v>
      </c>
      <c r="J624" s="2" t="s">
        <v>2861</v>
      </c>
      <c r="K624" s="2" t="s">
        <v>725</v>
      </c>
      <c r="M624" s="2" t="s">
        <v>2024</v>
      </c>
      <c r="P624" s="2" t="s">
        <v>1127</v>
      </c>
      <c r="Q624" s="2" t="s">
        <v>1127</v>
      </c>
    </row>
    <row r="625" spans="1:17" ht="18" customHeight="1" x14ac:dyDescent="0.2">
      <c r="A625" s="27" t="s">
        <v>460</v>
      </c>
      <c r="B625" s="27" t="s">
        <v>461</v>
      </c>
      <c r="C625" s="27" t="s">
        <v>4182</v>
      </c>
      <c r="D625" s="27" t="s">
        <v>1128</v>
      </c>
      <c r="E625" s="27" t="s">
        <v>2858</v>
      </c>
      <c r="F625" s="2">
        <v>10</v>
      </c>
      <c r="G625" s="21">
        <v>2008</v>
      </c>
      <c r="H625" s="4" t="s">
        <v>2869</v>
      </c>
      <c r="I625" s="4" t="s">
        <v>2860</v>
      </c>
      <c r="J625" s="2" t="s">
        <v>2861</v>
      </c>
      <c r="K625" s="2" t="s">
        <v>725</v>
      </c>
      <c r="M625" s="2" t="s">
        <v>2024</v>
      </c>
      <c r="P625" s="2" t="s">
        <v>1127</v>
      </c>
      <c r="Q625" s="2" t="s">
        <v>1127</v>
      </c>
    </row>
    <row r="626" spans="1:17" ht="18" customHeight="1" x14ac:dyDescent="0.2">
      <c r="A626" s="27" t="s">
        <v>460</v>
      </c>
      <c r="B626" s="27" t="s">
        <v>461</v>
      </c>
      <c r="C626" s="27" t="s">
        <v>4182</v>
      </c>
      <c r="D626" s="27" t="s">
        <v>1128</v>
      </c>
      <c r="E626" s="27" t="s">
        <v>2858</v>
      </c>
      <c r="F626" s="2">
        <v>11</v>
      </c>
      <c r="G626" s="21">
        <v>2009</v>
      </c>
      <c r="H626" s="4" t="s">
        <v>2870</v>
      </c>
      <c r="I626" s="4" t="s">
        <v>2860</v>
      </c>
      <c r="J626" s="2" t="s">
        <v>2861</v>
      </c>
      <c r="K626" s="2" t="s">
        <v>725</v>
      </c>
      <c r="M626" s="2" t="s">
        <v>2024</v>
      </c>
      <c r="P626" s="2" t="s">
        <v>1127</v>
      </c>
      <c r="Q626" s="2" t="s">
        <v>1127</v>
      </c>
    </row>
    <row r="627" spans="1:17" ht="18" customHeight="1" x14ac:dyDescent="0.2">
      <c r="A627" s="27" t="s">
        <v>460</v>
      </c>
      <c r="B627" s="27" t="s">
        <v>461</v>
      </c>
      <c r="C627" s="27" t="s">
        <v>4182</v>
      </c>
      <c r="D627" s="27" t="s">
        <v>1128</v>
      </c>
      <c r="E627" s="27" t="s">
        <v>2858</v>
      </c>
      <c r="F627" s="2">
        <v>12</v>
      </c>
      <c r="G627" s="21">
        <v>2010</v>
      </c>
      <c r="H627" s="4" t="s">
        <v>2871</v>
      </c>
      <c r="I627" s="4" t="s">
        <v>2860</v>
      </c>
      <c r="J627" s="2" t="s">
        <v>2861</v>
      </c>
      <c r="K627" s="2" t="s">
        <v>725</v>
      </c>
      <c r="M627" s="2" t="s">
        <v>2024</v>
      </c>
      <c r="P627" s="2" t="s">
        <v>1127</v>
      </c>
      <c r="Q627" s="2" t="s">
        <v>1127</v>
      </c>
    </row>
    <row r="628" spans="1:17" ht="18" customHeight="1" x14ac:dyDescent="0.2">
      <c r="A628" s="27" t="s">
        <v>460</v>
      </c>
      <c r="B628" s="27" t="s">
        <v>461</v>
      </c>
      <c r="C628" s="27" t="s">
        <v>4182</v>
      </c>
      <c r="D628" s="27" t="s">
        <v>1128</v>
      </c>
      <c r="E628" s="27" t="s">
        <v>2858</v>
      </c>
      <c r="F628" s="2">
        <v>13</v>
      </c>
      <c r="G628" s="21">
        <v>2011</v>
      </c>
      <c r="H628" s="4" t="s">
        <v>2872</v>
      </c>
      <c r="I628" s="4" t="s">
        <v>2860</v>
      </c>
      <c r="J628" s="2" t="s">
        <v>2861</v>
      </c>
      <c r="K628" s="2" t="s">
        <v>725</v>
      </c>
      <c r="M628" s="2" t="s">
        <v>2024</v>
      </c>
      <c r="P628" s="2" t="s">
        <v>1127</v>
      </c>
      <c r="Q628" s="2" t="s">
        <v>1127</v>
      </c>
    </row>
    <row r="629" spans="1:17" ht="18" customHeight="1" x14ac:dyDescent="0.2">
      <c r="A629" s="27" t="s">
        <v>460</v>
      </c>
      <c r="B629" s="27" t="s">
        <v>461</v>
      </c>
      <c r="C629" s="27" t="s">
        <v>4182</v>
      </c>
      <c r="D629" s="27" t="s">
        <v>1128</v>
      </c>
      <c r="E629" s="27" t="s">
        <v>2858</v>
      </c>
      <c r="F629" s="2">
        <v>14</v>
      </c>
      <c r="G629" s="21">
        <v>2012</v>
      </c>
      <c r="H629" s="4" t="s">
        <v>2873</v>
      </c>
      <c r="I629" s="4" t="s">
        <v>2860</v>
      </c>
      <c r="J629" s="2" t="s">
        <v>2861</v>
      </c>
      <c r="K629" s="2" t="s">
        <v>725</v>
      </c>
      <c r="M629" s="2" t="s">
        <v>2024</v>
      </c>
      <c r="P629" s="2" t="s">
        <v>1127</v>
      </c>
      <c r="Q629" s="2" t="s">
        <v>1127</v>
      </c>
    </row>
    <row r="630" spans="1:17" ht="18" customHeight="1" x14ac:dyDescent="0.2">
      <c r="A630" s="27" t="s">
        <v>460</v>
      </c>
      <c r="B630" s="27" t="s">
        <v>461</v>
      </c>
      <c r="C630" s="27" t="s">
        <v>4182</v>
      </c>
      <c r="D630" s="27" t="s">
        <v>1128</v>
      </c>
      <c r="E630" s="27" t="s">
        <v>2858</v>
      </c>
      <c r="F630" s="2">
        <v>15</v>
      </c>
      <c r="G630" s="21">
        <v>2013</v>
      </c>
      <c r="H630" s="4" t="s">
        <v>2874</v>
      </c>
      <c r="I630" s="4" t="s">
        <v>2860</v>
      </c>
      <c r="J630" s="2" t="s">
        <v>2861</v>
      </c>
      <c r="K630" s="2" t="s">
        <v>725</v>
      </c>
      <c r="M630" s="2" t="s">
        <v>2024</v>
      </c>
      <c r="P630" s="2" t="s">
        <v>1127</v>
      </c>
      <c r="Q630" s="2" t="s">
        <v>1127</v>
      </c>
    </row>
    <row r="631" spans="1:17" ht="18" customHeight="1" x14ac:dyDescent="0.2">
      <c r="A631" s="27" t="s">
        <v>460</v>
      </c>
      <c r="B631" s="27" t="s">
        <v>461</v>
      </c>
      <c r="C631" s="27" t="s">
        <v>4182</v>
      </c>
      <c r="D631" s="27" t="s">
        <v>1128</v>
      </c>
      <c r="E631" s="27" t="s">
        <v>2858</v>
      </c>
      <c r="F631" s="2">
        <v>16</v>
      </c>
      <c r="G631" s="21">
        <v>2014</v>
      </c>
      <c r="H631" s="4" t="s">
        <v>2875</v>
      </c>
      <c r="I631" s="4" t="s">
        <v>2860</v>
      </c>
      <c r="J631" s="2" t="s">
        <v>2861</v>
      </c>
      <c r="K631" s="2" t="s">
        <v>725</v>
      </c>
      <c r="M631" s="2" t="s">
        <v>2024</v>
      </c>
      <c r="P631" s="2" t="s">
        <v>1127</v>
      </c>
      <c r="Q631" s="2" t="s">
        <v>1127</v>
      </c>
    </row>
    <row r="632" spans="1:17" ht="18" customHeight="1" x14ac:dyDescent="0.2">
      <c r="A632" s="27" t="s">
        <v>460</v>
      </c>
      <c r="B632" s="27" t="s">
        <v>461</v>
      </c>
      <c r="C632" s="27" t="s">
        <v>4182</v>
      </c>
      <c r="D632" s="27" t="s">
        <v>1128</v>
      </c>
      <c r="E632" s="27" t="s">
        <v>2858</v>
      </c>
      <c r="F632" s="2">
        <v>17</v>
      </c>
      <c r="G632" s="21">
        <v>2015</v>
      </c>
      <c r="H632" s="4" t="s">
        <v>2876</v>
      </c>
      <c r="I632" s="4" t="s">
        <v>2860</v>
      </c>
      <c r="J632" s="2" t="s">
        <v>2861</v>
      </c>
      <c r="K632" s="2" t="s">
        <v>725</v>
      </c>
      <c r="M632" s="2" t="s">
        <v>2024</v>
      </c>
      <c r="P632" s="2" t="s">
        <v>1127</v>
      </c>
      <c r="Q632" s="2" t="s">
        <v>1127</v>
      </c>
    </row>
    <row r="633" spans="1:17" ht="18" customHeight="1" x14ac:dyDescent="0.2">
      <c r="A633" s="27" t="s">
        <v>460</v>
      </c>
      <c r="B633" s="27" t="s">
        <v>461</v>
      </c>
      <c r="C633" s="27" t="s">
        <v>4182</v>
      </c>
      <c r="D633" s="27" t="s">
        <v>1128</v>
      </c>
      <c r="E633" s="27" t="s">
        <v>2858</v>
      </c>
      <c r="F633" s="2">
        <v>18</v>
      </c>
      <c r="G633" s="21">
        <v>2016</v>
      </c>
      <c r="H633" s="4" t="s">
        <v>2877</v>
      </c>
      <c r="I633" s="4" t="s">
        <v>2860</v>
      </c>
      <c r="J633" s="2" t="s">
        <v>2861</v>
      </c>
      <c r="K633" s="2" t="s">
        <v>725</v>
      </c>
      <c r="M633" s="2" t="s">
        <v>2024</v>
      </c>
      <c r="P633" s="2" t="s">
        <v>1127</v>
      </c>
      <c r="Q633" s="2" t="s">
        <v>1127</v>
      </c>
    </row>
    <row r="634" spans="1:17" ht="18" customHeight="1" x14ac:dyDescent="0.2">
      <c r="A634" s="27" t="s">
        <v>460</v>
      </c>
      <c r="B634" s="27" t="s">
        <v>461</v>
      </c>
      <c r="C634" s="27" t="s">
        <v>4182</v>
      </c>
      <c r="D634" s="27" t="s">
        <v>1128</v>
      </c>
      <c r="E634" s="27" t="s">
        <v>2858</v>
      </c>
      <c r="F634" s="2">
        <v>19</v>
      </c>
      <c r="G634" s="21">
        <v>2017</v>
      </c>
      <c r="H634" s="4" t="s">
        <v>2878</v>
      </c>
      <c r="I634" s="4" t="s">
        <v>2860</v>
      </c>
      <c r="J634" s="2" t="s">
        <v>2861</v>
      </c>
      <c r="K634" s="2" t="s">
        <v>725</v>
      </c>
      <c r="M634" s="2" t="s">
        <v>2024</v>
      </c>
      <c r="P634" s="2" t="s">
        <v>1127</v>
      </c>
      <c r="Q634" s="2" t="s">
        <v>1127</v>
      </c>
    </row>
    <row r="635" spans="1:17" ht="18" customHeight="1" x14ac:dyDescent="0.2">
      <c r="A635" s="27" t="s">
        <v>460</v>
      </c>
      <c r="B635" s="27" t="s">
        <v>461</v>
      </c>
      <c r="C635" s="27" t="s">
        <v>4182</v>
      </c>
      <c r="D635" s="27" t="s">
        <v>1128</v>
      </c>
      <c r="E635" s="27" t="s">
        <v>2858</v>
      </c>
      <c r="F635" s="2">
        <v>20</v>
      </c>
      <c r="G635" s="21">
        <v>2018</v>
      </c>
      <c r="H635" s="4" t="s">
        <v>2879</v>
      </c>
      <c r="I635" s="4" t="s">
        <v>2860</v>
      </c>
      <c r="J635" s="2" t="s">
        <v>2861</v>
      </c>
      <c r="K635" s="2" t="s">
        <v>725</v>
      </c>
      <c r="M635" s="2" t="s">
        <v>2024</v>
      </c>
      <c r="P635" s="2" t="s">
        <v>1127</v>
      </c>
      <c r="Q635" s="2" t="s">
        <v>1127</v>
      </c>
    </row>
    <row r="636" spans="1:17" ht="18" customHeight="1" x14ac:dyDescent="0.2">
      <c r="A636" s="27" t="s">
        <v>460</v>
      </c>
      <c r="B636" s="27" t="s">
        <v>461</v>
      </c>
      <c r="C636" s="27" t="s">
        <v>4182</v>
      </c>
      <c r="D636" s="27" t="s">
        <v>1128</v>
      </c>
      <c r="E636" s="27" t="s">
        <v>2858</v>
      </c>
      <c r="F636" s="2">
        <v>21</v>
      </c>
      <c r="G636" s="21">
        <v>2019</v>
      </c>
      <c r="H636" s="4" t="s">
        <v>2880</v>
      </c>
      <c r="I636" s="4" t="s">
        <v>2860</v>
      </c>
      <c r="J636" s="2" t="s">
        <v>2861</v>
      </c>
      <c r="K636" s="2" t="s">
        <v>725</v>
      </c>
      <c r="M636" s="2" t="s">
        <v>2024</v>
      </c>
      <c r="P636" s="2" t="s">
        <v>1127</v>
      </c>
      <c r="Q636" s="2" t="s">
        <v>1127</v>
      </c>
    </row>
    <row r="637" spans="1:17" ht="18" customHeight="1" x14ac:dyDescent="0.2">
      <c r="A637" s="27" t="s">
        <v>460</v>
      </c>
      <c r="B637" s="27" t="s">
        <v>461</v>
      </c>
      <c r="C637" s="27" t="s">
        <v>4182</v>
      </c>
      <c r="D637" s="27" t="s">
        <v>1128</v>
      </c>
      <c r="E637" s="27" t="s">
        <v>2881</v>
      </c>
      <c r="F637" s="2">
        <v>4</v>
      </c>
      <c r="G637" s="21">
        <v>2002</v>
      </c>
      <c r="H637" s="4" t="s">
        <v>2882</v>
      </c>
      <c r="I637" s="4" t="s">
        <v>2883</v>
      </c>
      <c r="J637" s="2" t="s">
        <v>2884</v>
      </c>
      <c r="K637" s="22" t="s">
        <v>2885</v>
      </c>
      <c r="M637" s="2" t="s">
        <v>2024</v>
      </c>
      <c r="P637" s="2" t="s">
        <v>1127</v>
      </c>
      <c r="Q637" s="2" t="s">
        <v>1127</v>
      </c>
    </row>
    <row r="638" spans="1:17" ht="18" customHeight="1" x14ac:dyDescent="0.2">
      <c r="A638" s="27" t="s">
        <v>460</v>
      </c>
      <c r="B638" s="27" t="s">
        <v>461</v>
      </c>
      <c r="C638" s="27" t="s">
        <v>4182</v>
      </c>
      <c r="D638" s="27" t="s">
        <v>1128</v>
      </c>
      <c r="E638" s="27" t="s">
        <v>2881</v>
      </c>
      <c r="F638" s="2">
        <v>5</v>
      </c>
      <c r="G638" s="21">
        <v>2003</v>
      </c>
      <c r="H638" s="4" t="s">
        <v>2886</v>
      </c>
      <c r="I638" s="4" t="s">
        <v>2883</v>
      </c>
      <c r="J638" s="2" t="s">
        <v>2884</v>
      </c>
      <c r="K638" s="22" t="s">
        <v>2885</v>
      </c>
      <c r="M638" s="2" t="s">
        <v>2024</v>
      </c>
      <c r="P638" s="2" t="s">
        <v>1127</v>
      </c>
      <c r="Q638" s="2" t="s">
        <v>1127</v>
      </c>
    </row>
    <row r="639" spans="1:17" ht="18" customHeight="1" x14ac:dyDescent="0.2">
      <c r="A639" s="27" t="s">
        <v>460</v>
      </c>
      <c r="B639" s="27" t="s">
        <v>461</v>
      </c>
      <c r="C639" s="27" t="s">
        <v>4182</v>
      </c>
      <c r="D639" s="27" t="s">
        <v>1128</v>
      </c>
      <c r="E639" s="27" t="s">
        <v>2881</v>
      </c>
      <c r="F639" s="2">
        <v>6</v>
      </c>
      <c r="G639" s="21">
        <v>2004</v>
      </c>
      <c r="H639" s="4" t="s">
        <v>2887</v>
      </c>
      <c r="I639" s="4" t="s">
        <v>2883</v>
      </c>
      <c r="J639" s="2" t="s">
        <v>2884</v>
      </c>
      <c r="K639" s="22" t="s">
        <v>2885</v>
      </c>
      <c r="M639" s="2" t="s">
        <v>2024</v>
      </c>
      <c r="P639" s="2" t="s">
        <v>1127</v>
      </c>
      <c r="Q639" s="2" t="s">
        <v>1127</v>
      </c>
    </row>
    <row r="640" spans="1:17" ht="18" customHeight="1" x14ac:dyDescent="0.2">
      <c r="A640" s="27" t="s">
        <v>460</v>
      </c>
      <c r="B640" s="27" t="s">
        <v>461</v>
      </c>
      <c r="C640" s="27" t="s">
        <v>4182</v>
      </c>
      <c r="D640" s="27" t="s">
        <v>1128</v>
      </c>
      <c r="E640" s="27" t="s">
        <v>2881</v>
      </c>
      <c r="F640" s="2">
        <v>7</v>
      </c>
      <c r="G640" s="21">
        <v>2005</v>
      </c>
      <c r="H640" s="4" t="s">
        <v>2888</v>
      </c>
      <c r="I640" s="4" t="s">
        <v>2883</v>
      </c>
      <c r="J640" s="2" t="s">
        <v>2884</v>
      </c>
      <c r="K640" s="22" t="s">
        <v>2885</v>
      </c>
      <c r="M640" s="2" t="s">
        <v>2024</v>
      </c>
      <c r="P640" s="2" t="s">
        <v>1127</v>
      </c>
      <c r="Q640" s="2" t="s">
        <v>1127</v>
      </c>
    </row>
    <row r="641" spans="1:17" ht="18" customHeight="1" x14ac:dyDescent="0.2">
      <c r="A641" s="27" t="s">
        <v>460</v>
      </c>
      <c r="B641" s="27" t="s">
        <v>461</v>
      </c>
      <c r="C641" s="27" t="s">
        <v>4182</v>
      </c>
      <c r="D641" s="27" t="s">
        <v>1128</v>
      </c>
      <c r="E641" s="27" t="s">
        <v>2881</v>
      </c>
      <c r="F641" s="2">
        <v>8</v>
      </c>
      <c r="G641" s="21">
        <v>2006</v>
      </c>
      <c r="H641" s="4" t="s">
        <v>2889</v>
      </c>
      <c r="I641" s="4" t="s">
        <v>2883</v>
      </c>
      <c r="J641" s="2" t="s">
        <v>2884</v>
      </c>
      <c r="K641" s="22" t="s">
        <v>2885</v>
      </c>
      <c r="M641" s="2" t="s">
        <v>2024</v>
      </c>
      <c r="P641" s="2" t="s">
        <v>1127</v>
      </c>
      <c r="Q641" s="2" t="s">
        <v>1127</v>
      </c>
    </row>
    <row r="642" spans="1:17" ht="18" customHeight="1" x14ac:dyDescent="0.2">
      <c r="A642" s="27" t="s">
        <v>460</v>
      </c>
      <c r="B642" s="27" t="s">
        <v>461</v>
      </c>
      <c r="C642" s="27" t="s">
        <v>4182</v>
      </c>
      <c r="D642" s="27" t="s">
        <v>1128</v>
      </c>
      <c r="E642" s="27" t="s">
        <v>2881</v>
      </c>
      <c r="F642" s="2">
        <v>9</v>
      </c>
      <c r="G642" s="21">
        <v>2007</v>
      </c>
      <c r="H642" s="4" t="s">
        <v>2890</v>
      </c>
      <c r="I642" s="4" t="s">
        <v>2883</v>
      </c>
      <c r="J642" s="2" t="s">
        <v>2884</v>
      </c>
      <c r="K642" s="22" t="s">
        <v>2885</v>
      </c>
      <c r="M642" s="2" t="s">
        <v>2024</v>
      </c>
      <c r="P642" s="2" t="s">
        <v>1127</v>
      </c>
      <c r="Q642" s="2" t="s">
        <v>1127</v>
      </c>
    </row>
    <row r="643" spans="1:17" ht="18" customHeight="1" x14ac:dyDescent="0.2">
      <c r="A643" s="27" t="s">
        <v>460</v>
      </c>
      <c r="B643" s="27" t="s">
        <v>461</v>
      </c>
      <c r="C643" s="27" t="s">
        <v>4182</v>
      </c>
      <c r="D643" s="27" t="s">
        <v>1128</v>
      </c>
      <c r="E643" s="27" t="s">
        <v>2881</v>
      </c>
      <c r="F643" s="2">
        <v>10</v>
      </c>
      <c r="G643" s="21">
        <v>2008</v>
      </c>
      <c r="H643" s="4" t="s">
        <v>2891</v>
      </c>
      <c r="I643" s="4" t="s">
        <v>2883</v>
      </c>
      <c r="J643" s="2" t="s">
        <v>2884</v>
      </c>
      <c r="K643" s="22" t="s">
        <v>2885</v>
      </c>
      <c r="M643" s="2" t="s">
        <v>2024</v>
      </c>
      <c r="P643" s="2" t="s">
        <v>1127</v>
      </c>
      <c r="Q643" s="2" t="s">
        <v>1127</v>
      </c>
    </row>
    <row r="644" spans="1:17" ht="18" customHeight="1" x14ac:dyDescent="0.2">
      <c r="A644" s="27" t="s">
        <v>460</v>
      </c>
      <c r="B644" s="27" t="s">
        <v>461</v>
      </c>
      <c r="C644" s="27" t="s">
        <v>4182</v>
      </c>
      <c r="D644" s="27" t="s">
        <v>1128</v>
      </c>
      <c r="E644" s="27" t="s">
        <v>2881</v>
      </c>
      <c r="F644" s="2">
        <v>11</v>
      </c>
      <c r="G644" s="21">
        <v>2009</v>
      </c>
      <c r="H644" s="4" t="s">
        <v>2892</v>
      </c>
      <c r="I644" s="4" t="s">
        <v>2883</v>
      </c>
      <c r="J644" s="2" t="s">
        <v>2884</v>
      </c>
      <c r="K644" s="22" t="s">
        <v>2885</v>
      </c>
      <c r="M644" s="2" t="s">
        <v>2024</v>
      </c>
      <c r="P644" s="2" t="s">
        <v>1127</v>
      </c>
      <c r="Q644" s="2" t="s">
        <v>1127</v>
      </c>
    </row>
    <row r="645" spans="1:17" ht="18" customHeight="1" x14ac:dyDescent="0.2">
      <c r="A645" s="27" t="s">
        <v>460</v>
      </c>
      <c r="B645" s="27" t="s">
        <v>461</v>
      </c>
      <c r="C645" s="27" t="s">
        <v>4182</v>
      </c>
      <c r="D645" s="27" t="s">
        <v>1128</v>
      </c>
      <c r="E645" s="27" t="s">
        <v>2881</v>
      </c>
      <c r="F645" s="2">
        <v>12</v>
      </c>
      <c r="G645" s="21">
        <v>2010</v>
      </c>
      <c r="H645" s="4" t="s">
        <v>2893</v>
      </c>
      <c r="I645" s="4" t="s">
        <v>2883</v>
      </c>
      <c r="J645" s="2" t="s">
        <v>2884</v>
      </c>
      <c r="K645" s="22" t="s">
        <v>2885</v>
      </c>
      <c r="M645" s="2" t="s">
        <v>2024</v>
      </c>
      <c r="P645" s="2" t="s">
        <v>1127</v>
      </c>
      <c r="Q645" s="2" t="s">
        <v>1127</v>
      </c>
    </row>
    <row r="646" spans="1:17" ht="18" customHeight="1" x14ac:dyDescent="0.2">
      <c r="A646" s="27" t="s">
        <v>460</v>
      </c>
      <c r="B646" s="27" t="s">
        <v>461</v>
      </c>
      <c r="C646" s="27" t="s">
        <v>4182</v>
      </c>
      <c r="D646" s="27" t="s">
        <v>1128</v>
      </c>
      <c r="E646" s="27" t="s">
        <v>2881</v>
      </c>
      <c r="F646" s="2">
        <v>13</v>
      </c>
      <c r="G646" s="21">
        <v>2011</v>
      </c>
      <c r="H646" s="4" t="s">
        <v>2894</v>
      </c>
      <c r="I646" s="4" t="s">
        <v>2883</v>
      </c>
      <c r="J646" s="2" t="s">
        <v>2884</v>
      </c>
      <c r="K646" s="22" t="s">
        <v>2885</v>
      </c>
      <c r="M646" s="2" t="s">
        <v>2024</v>
      </c>
      <c r="P646" s="2" t="s">
        <v>1127</v>
      </c>
      <c r="Q646" s="2" t="s">
        <v>1127</v>
      </c>
    </row>
    <row r="647" spans="1:17" ht="18" customHeight="1" x14ac:dyDescent="0.2">
      <c r="A647" s="27" t="s">
        <v>460</v>
      </c>
      <c r="B647" s="27" t="s">
        <v>461</v>
      </c>
      <c r="C647" s="27" t="s">
        <v>4182</v>
      </c>
      <c r="D647" s="27" t="s">
        <v>1128</v>
      </c>
      <c r="E647" s="27" t="s">
        <v>2881</v>
      </c>
      <c r="F647" s="2">
        <v>14</v>
      </c>
      <c r="G647" s="21">
        <v>2012</v>
      </c>
      <c r="H647" s="4" t="s">
        <v>2895</v>
      </c>
      <c r="I647" s="4" t="s">
        <v>2883</v>
      </c>
      <c r="J647" s="2" t="s">
        <v>2884</v>
      </c>
      <c r="K647" s="22" t="s">
        <v>2885</v>
      </c>
      <c r="M647" s="2" t="s">
        <v>2024</v>
      </c>
      <c r="P647" s="2" t="s">
        <v>1127</v>
      </c>
      <c r="Q647" s="2" t="s">
        <v>1127</v>
      </c>
    </row>
    <row r="648" spans="1:17" ht="18" customHeight="1" x14ac:dyDescent="0.2">
      <c r="A648" s="27" t="s">
        <v>460</v>
      </c>
      <c r="B648" s="27" t="s">
        <v>461</v>
      </c>
      <c r="C648" s="27" t="s">
        <v>4182</v>
      </c>
      <c r="D648" s="27" t="s">
        <v>1128</v>
      </c>
      <c r="E648" s="27" t="s">
        <v>2881</v>
      </c>
      <c r="F648" s="2">
        <v>15</v>
      </c>
      <c r="G648" s="21">
        <v>2013</v>
      </c>
      <c r="H648" s="4" t="s">
        <v>2896</v>
      </c>
      <c r="I648" s="4" t="s">
        <v>2883</v>
      </c>
      <c r="J648" s="2" t="s">
        <v>2884</v>
      </c>
      <c r="K648" s="22" t="s">
        <v>2885</v>
      </c>
      <c r="M648" s="2" t="s">
        <v>2024</v>
      </c>
      <c r="P648" s="2" t="s">
        <v>1127</v>
      </c>
      <c r="Q648" s="2" t="s">
        <v>1127</v>
      </c>
    </row>
    <row r="649" spans="1:17" ht="18" customHeight="1" x14ac:dyDescent="0.2">
      <c r="A649" s="27" t="s">
        <v>460</v>
      </c>
      <c r="B649" s="27" t="s">
        <v>461</v>
      </c>
      <c r="C649" s="27" t="s">
        <v>4182</v>
      </c>
      <c r="D649" s="27" t="s">
        <v>1128</v>
      </c>
      <c r="E649" s="27" t="s">
        <v>2881</v>
      </c>
      <c r="F649" s="2">
        <v>16</v>
      </c>
      <c r="G649" s="21">
        <v>2014</v>
      </c>
      <c r="H649" s="4" t="s">
        <v>2897</v>
      </c>
      <c r="I649" s="4" t="s">
        <v>2883</v>
      </c>
      <c r="J649" s="2" t="s">
        <v>2884</v>
      </c>
      <c r="K649" s="22" t="s">
        <v>2885</v>
      </c>
      <c r="M649" s="2" t="s">
        <v>2024</v>
      </c>
      <c r="P649" s="2" t="s">
        <v>1127</v>
      </c>
      <c r="Q649" s="2" t="s">
        <v>1127</v>
      </c>
    </row>
    <row r="650" spans="1:17" ht="18" customHeight="1" x14ac:dyDescent="0.2">
      <c r="A650" s="27" t="s">
        <v>460</v>
      </c>
      <c r="B650" s="27" t="s">
        <v>461</v>
      </c>
      <c r="C650" s="27" t="s">
        <v>4182</v>
      </c>
      <c r="D650" s="27" t="s">
        <v>1128</v>
      </c>
      <c r="E650" s="27" t="s">
        <v>2881</v>
      </c>
      <c r="F650" s="2">
        <v>17</v>
      </c>
      <c r="G650" s="21">
        <v>2015</v>
      </c>
      <c r="H650" s="4" t="s">
        <v>2898</v>
      </c>
      <c r="I650" s="4" t="s">
        <v>2883</v>
      </c>
      <c r="J650" s="2" t="s">
        <v>2884</v>
      </c>
      <c r="K650" s="22" t="s">
        <v>2885</v>
      </c>
      <c r="M650" s="2" t="s">
        <v>2024</v>
      </c>
      <c r="P650" s="2" t="s">
        <v>1127</v>
      </c>
      <c r="Q650" s="2" t="s">
        <v>1127</v>
      </c>
    </row>
    <row r="651" spans="1:17" ht="18" customHeight="1" x14ac:dyDescent="0.2">
      <c r="A651" s="27" t="s">
        <v>460</v>
      </c>
      <c r="B651" s="27" t="s">
        <v>461</v>
      </c>
      <c r="C651" s="27" t="s">
        <v>4182</v>
      </c>
      <c r="D651" s="27" t="s">
        <v>1128</v>
      </c>
      <c r="E651" s="27" t="s">
        <v>2881</v>
      </c>
      <c r="F651" s="2">
        <v>18</v>
      </c>
      <c r="G651" s="21">
        <v>2016</v>
      </c>
      <c r="H651" s="4" t="s">
        <v>2899</v>
      </c>
      <c r="I651" s="4" t="s">
        <v>2883</v>
      </c>
      <c r="J651" s="2" t="s">
        <v>2884</v>
      </c>
      <c r="K651" s="22" t="s">
        <v>2885</v>
      </c>
      <c r="M651" s="2" t="s">
        <v>2024</v>
      </c>
      <c r="P651" s="2" t="s">
        <v>1127</v>
      </c>
      <c r="Q651" s="2" t="s">
        <v>1127</v>
      </c>
    </row>
    <row r="652" spans="1:17" ht="18" customHeight="1" x14ac:dyDescent="0.2">
      <c r="A652" s="27" t="s">
        <v>460</v>
      </c>
      <c r="B652" s="27" t="s">
        <v>461</v>
      </c>
      <c r="C652" s="27" t="s">
        <v>4182</v>
      </c>
      <c r="D652" s="27" t="s">
        <v>1128</v>
      </c>
      <c r="E652" s="27" t="s">
        <v>2881</v>
      </c>
      <c r="F652" s="2">
        <v>19</v>
      </c>
      <c r="G652" s="21">
        <v>2017</v>
      </c>
      <c r="H652" s="4" t="s">
        <v>2900</v>
      </c>
      <c r="I652" s="4" t="s">
        <v>2883</v>
      </c>
      <c r="J652" s="2" t="s">
        <v>2884</v>
      </c>
      <c r="K652" s="22" t="s">
        <v>2885</v>
      </c>
      <c r="M652" s="2" t="s">
        <v>2024</v>
      </c>
      <c r="P652" s="2" t="s">
        <v>1127</v>
      </c>
      <c r="Q652" s="2" t="s">
        <v>1127</v>
      </c>
    </row>
    <row r="653" spans="1:17" ht="18" customHeight="1" x14ac:dyDescent="0.2">
      <c r="A653" s="27" t="s">
        <v>460</v>
      </c>
      <c r="B653" s="27" t="s">
        <v>461</v>
      </c>
      <c r="C653" s="27" t="s">
        <v>4182</v>
      </c>
      <c r="D653" s="27" t="s">
        <v>1128</v>
      </c>
      <c r="E653" s="27" t="s">
        <v>2881</v>
      </c>
      <c r="F653" s="2">
        <v>20</v>
      </c>
      <c r="G653" s="21">
        <v>2018</v>
      </c>
      <c r="H653" s="4" t="s">
        <v>2901</v>
      </c>
      <c r="I653" s="4" t="s">
        <v>2883</v>
      </c>
      <c r="J653" s="2" t="s">
        <v>2884</v>
      </c>
      <c r="K653" s="22" t="s">
        <v>2885</v>
      </c>
      <c r="M653" s="2" t="s">
        <v>2024</v>
      </c>
      <c r="P653" s="2" t="s">
        <v>1127</v>
      </c>
      <c r="Q653" s="2" t="s">
        <v>1127</v>
      </c>
    </row>
    <row r="654" spans="1:17" ht="18" customHeight="1" x14ac:dyDescent="0.2">
      <c r="A654" s="27" t="s">
        <v>460</v>
      </c>
      <c r="B654" s="27" t="s">
        <v>461</v>
      </c>
      <c r="C654" s="27" t="s">
        <v>4182</v>
      </c>
      <c r="D654" s="27" t="s">
        <v>1128</v>
      </c>
      <c r="E654" s="27" t="s">
        <v>2881</v>
      </c>
      <c r="F654" s="2">
        <v>21</v>
      </c>
      <c r="G654" s="21">
        <v>2019</v>
      </c>
      <c r="H654" s="4" t="s">
        <v>2902</v>
      </c>
      <c r="I654" s="4" t="s">
        <v>2883</v>
      </c>
      <c r="J654" s="2" t="s">
        <v>2884</v>
      </c>
      <c r="K654" s="22" t="s">
        <v>2885</v>
      </c>
      <c r="M654" s="2" t="s">
        <v>2024</v>
      </c>
      <c r="P654" s="2" t="s">
        <v>1127</v>
      </c>
      <c r="Q654" s="2" t="s">
        <v>1127</v>
      </c>
    </row>
    <row r="655" spans="1:17" ht="18" customHeight="1" x14ac:dyDescent="0.2">
      <c r="A655" s="28" t="s">
        <v>460</v>
      </c>
      <c r="B655" s="28" t="s">
        <v>461</v>
      </c>
      <c r="C655" s="28" t="s">
        <v>4182</v>
      </c>
      <c r="D655" s="28" t="s">
        <v>1410</v>
      </c>
      <c r="E655" s="28" t="s">
        <v>2764</v>
      </c>
      <c r="F655" s="4">
        <v>2</v>
      </c>
      <c r="G655" s="21">
        <v>2000</v>
      </c>
      <c r="H655" s="4" t="s">
        <v>2765</v>
      </c>
      <c r="I655" s="4" t="s">
        <v>2766</v>
      </c>
      <c r="J655" s="2" t="s">
        <v>2767</v>
      </c>
      <c r="K655" s="22" t="s">
        <v>2768</v>
      </c>
      <c r="M655" s="2" t="s">
        <v>2903</v>
      </c>
      <c r="P655" s="2" t="s">
        <v>1127</v>
      </c>
      <c r="Q655" s="2" t="s">
        <v>1127</v>
      </c>
    </row>
    <row r="656" spans="1:17" ht="18" customHeight="1" x14ac:dyDescent="0.2">
      <c r="A656" s="28" t="s">
        <v>460</v>
      </c>
      <c r="B656" s="28" t="s">
        <v>461</v>
      </c>
      <c r="C656" s="28" t="s">
        <v>4182</v>
      </c>
      <c r="D656" s="28" t="s">
        <v>1410</v>
      </c>
      <c r="E656" s="28" t="s">
        <v>2764</v>
      </c>
      <c r="F656" s="4">
        <v>3</v>
      </c>
      <c r="G656" s="21">
        <v>2001</v>
      </c>
      <c r="H656" s="4" t="s">
        <v>2770</v>
      </c>
      <c r="I656" s="4" t="s">
        <v>2766</v>
      </c>
      <c r="J656" s="2" t="s">
        <v>2767</v>
      </c>
      <c r="K656" s="22" t="s">
        <v>2768</v>
      </c>
      <c r="M656" s="2" t="s">
        <v>2903</v>
      </c>
      <c r="P656" s="2" t="s">
        <v>1127</v>
      </c>
      <c r="Q656" s="2" t="s">
        <v>1127</v>
      </c>
    </row>
    <row r="657" spans="1:17" ht="18" customHeight="1" x14ac:dyDescent="0.2">
      <c r="A657" s="28" t="s">
        <v>460</v>
      </c>
      <c r="B657" s="28" t="s">
        <v>461</v>
      </c>
      <c r="C657" s="28" t="s">
        <v>4182</v>
      </c>
      <c r="D657" s="28" t="s">
        <v>1410</v>
      </c>
      <c r="E657" s="28" t="s">
        <v>2764</v>
      </c>
      <c r="F657" s="4">
        <v>4</v>
      </c>
      <c r="G657" s="21">
        <v>2002</v>
      </c>
      <c r="H657" s="4" t="s">
        <v>2771</v>
      </c>
      <c r="I657" s="4" t="s">
        <v>2766</v>
      </c>
      <c r="J657" s="2" t="s">
        <v>2767</v>
      </c>
      <c r="K657" s="22" t="s">
        <v>2768</v>
      </c>
      <c r="M657" s="2" t="s">
        <v>2903</v>
      </c>
      <c r="P657" s="2" t="s">
        <v>1127</v>
      </c>
      <c r="Q657" s="2" t="s">
        <v>1127</v>
      </c>
    </row>
    <row r="658" spans="1:17" ht="18" customHeight="1" x14ac:dyDescent="0.2">
      <c r="A658" s="28" t="s">
        <v>460</v>
      </c>
      <c r="B658" s="28" t="s">
        <v>461</v>
      </c>
      <c r="C658" s="28" t="s">
        <v>4182</v>
      </c>
      <c r="D658" s="28" t="s">
        <v>1410</v>
      </c>
      <c r="E658" s="28" t="s">
        <v>2764</v>
      </c>
      <c r="F658" s="4">
        <v>5</v>
      </c>
      <c r="G658" s="21">
        <v>2003</v>
      </c>
      <c r="H658" s="4" t="s">
        <v>2772</v>
      </c>
      <c r="I658" s="4" t="s">
        <v>2766</v>
      </c>
      <c r="J658" s="2" t="s">
        <v>2767</v>
      </c>
      <c r="K658" s="22" t="s">
        <v>2768</v>
      </c>
      <c r="M658" s="2" t="s">
        <v>2903</v>
      </c>
      <c r="P658" s="2" t="s">
        <v>1127</v>
      </c>
      <c r="Q658" s="2" t="s">
        <v>1127</v>
      </c>
    </row>
    <row r="659" spans="1:17" ht="18" customHeight="1" x14ac:dyDescent="0.2">
      <c r="A659" s="28" t="s">
        <v>460</v>
      </c>
      <c r="B659" s="28" t="s">
        <v>461</v>
      </c>
      <c r="C659" s="28" t="s">
        <v>4182</v>
      </c>
      <c r="D659" s="28" t="s">
        <v>1410</v>
      </c>
      <c r="E659" s="28" t="s">
        <v>2764</v>
      </c>
      <c r="F659" s="4">
        <v>2</v>
      </c>
      <c r="G659" s="21">
        <v>2000</v>
      </c>
      <c r="H659" s="4" t="s">
        <v>2773</v>
      </c>
      <c r="I659" s="4" t="s">
        <v>2774</v>
      </c>
      <c r="J659" s="2" t="s">
        <v>2775</v>
      </c>
      <c r="K659" s="22" t="s">
        <v>2768</v>
      </c>
      <c r="M659" s="2" t="s">
        <v>2903</v>
      </c>
      <c r="P659" s="2" t="s">
        <v>1127</v>
      </c>
      <c r="Q659" s="2" t="s">
        <v>1127</v>
      </c>
    </row>
    <row r="660" spans="1:17" ht="18" customHeight="1" x14ac:dyDescent="0.2">
      <c r="A660" s="28" t="s">
        <v>460</v>
      </c>
      <c r="B660" s="28" t="s">
        <v>461</v>
      </c>
      <c r="C660" s="28" t="s">
        <v>4182</v>
      </c>
      <c r="D660" s="28" t="s">
        <v>1410</v>
      </c>
      <c r="E660" s="28" t="s">
        <v>2764</v>
      </c>
      <c r="F660" s="4">
        <v>3</v>
      </c>
      <c r="G660" s="21">
        <v>2001</v>
      </c>
      <c r="H660" s="4" t="s">
        <v>2776</v>
      </c>
      <c r="I660" s="4" t="s">
        <v>2774</v>
      </c>
      <c r="J660" s="2" t="s">
        <v>2775</v>
      </c>
      <c r="K660" s="22" t="s">
        <v>2768</v>
      </c>
      <c r="M660" s="2" t="s">
        <v>2903</v>
      </c>
      <c r="P660" s="2" t="s">
        <v>1127</v>
      </c>
      <c r="Q660" s="2" t="s">
        <v>1127</v>
      </c>
    </row>
    <row r="661" spans="1:17" ht="18" customHeight="1" x14ac:dyDescent="0.2">
      <c r="A661" s="28" t="s">
        <v>460</v>
      </c>
      <c r="B661" s="28" t="s">
        <v>461</v>
      </c>
      <c r="C661" s="28" t="s">
        <v>4182</v>
      </c>
      <c r="D661" s="28" t="s">
        <v>1410</v>
      </c>
      <c r="E661" s="28" t="s">
        <v>2764</v>
      </c>
      <c r="F661" s="4">
        <v>4</v>
      </c>
      <c r="G661" s="21">
        <v>2002</v>
      </c>
      <c r="H661" s="4" t="s">
        <v>2777</v>
      </c>
      <c r="I661" s="4" t="s">
        <v>2774</v>
      </c>
      <c r="J661" s="2" t="s">
        <v>2775</v>
      </c>
      <c r="K661" s="22" t="s">
        <v>2768</v>
      </c>
      <c r="M661" s="2" t="s">
        <v>2903</v>
      </c>
      <c r="P661" s="2" t="s">
        <v>1127</v>
      </c>
      <c r="Q661" s="2" t="s">
        <v>1127</v>
      </c>
    </row>
    <row r="662" spans="1:17" ht="18" customHeight="1" x14ac:dyDescent="0.2">
      <c r="A662" s="28" t="s">
        <v>460</v>
      </c>
      <c r="B662" s="28" t="s">
        <v>461</v>
      </c>
      <c r="C662" s="28" t="s">
        <v>4182</v>
      </c>
      <c r="D662" s="28" t="s">
        <v>1410</v>
      </c>
      <c r="E662" s="28" t="s">
        <v>2764</v>
      </c>
      <c r="F662" s="4">
        <v>5</v>
      </c>
      <c r="G662" s="21">
        <v>2003</v>
      </c>
      <c r="H662" s="4" t="s">
        <v>2778</v>
      </c>
      <c r="I662" s="4" t="s">
        <v>2774</v>
      </c>
      <c r="J662" s="2" t="s">
        <v>2775</v>
      </c>
      <c r="K662" s="22" t="s">
        <v>2768</v>
      </c>
      <c r="M662" s="2" t="s">
        <v>2903</v>
      </c>
      <c r="P662" s="2" t="s">
        <v>1127</v>
      </c>
      <c r="Q662" s="2" t="s">
        <v>1127</v>
      </c>
    </row>
    <row r="663" spans="1:17" ht="18" customHeight="1" x14ac:dyDescent="0.2">
      <c r="A663" s="28" t="s">
        <v>460</v>
      </c>
      <c r="B663" s="28" t="s">
        <v>461</v>
      </c>
      <c r="C663" s="28" t="s">
        <v>4182</v>
      </c>
      <c r="D663" s="28" t="s">
        <v>1410</v>
      </c>
      <c r="E663" s="28" t="s">
        <v>2764</v>
      </c>
      <c r="F663" s="4">
        <v>2</v>
      </c>
      <c r="G663" s="21">
        <v>2000</v>
      </c>
      <c r="H663" s="4" t="s">
        <v>2779</v>
      </c>
      <c r="I663" s="4" t="s">
        <v>2780</v>
      </c>
      <c r="J663" s="2" t="s">
        <v>2781</v>
      </c>
      <c r="K663" s="22" t="s">
        <v>2768</v>
      </c>
      <c r="M663" s="2" t="s">
        <v>2903</v>
      </c>
      <c r="P663" s="2" t="s">
        <v>1127</v>
      </c>
      <c r="Q663" s="2" t="s">
        <v>1127</v>
      </c>
    </row>
    <row r="664" spans="1:17" ht="18" customHeight="1" x14ac:dyDescent="0.2">
      <c r="A664" s="28" t="s">
        <v>460</v>
      </c>
      <c r="B664" s="28" t="s">
        <v>461</v>
      </c>
      <c r="C664" s="28" t="s">
        <v>4182</v>
      </c>
      <c r="D664" s="28" t="s">
        <v>1410</v>
      </c>
      <c r="E664" s="28" t="s">
        <v>2764</v>
      </c>
      <c r="F664" s="4">
        <v>3</v>
      </c>
      <c r="G664" s="21">
        <v>2001</v>
      </c>
      <c r="H664" s="4" t="s">
        <v>2782</v>
      </c>
      <c r="I664" s="4" t="s">
        <v>2780</v>
      </c>
      <c r="J664" s="2" t="s">
        <v>2781</v>
      </c>
      <c r="K664" s="22" t="s">
        <v>2768</v>
      </c>
      <c r="M664" s="2" t="s">
        <v>2903</v>
      </c>
      <c r="P664" s="2" t="s">
        <v>1127</v>
      </c>
      <c r="Q664" s="2" t="s">
        <v>1127</v>
      </c>
    </row>
    <row r="665" spans="1:17" ht="18" customHeight="1" x14ac:dyDescent="0.2">
      <c r="A665" s="28" t="s">
        <v>460</v>
      </c>
      <c r="B665" s="28" t="s">
        <v>461</v>
      </c>
      <c r="C665" s="28" t="s">
        <v>4182</v>
      </c>
      <c r="D665" s="28" t="s">
        <v>1410</v>
      </c>
      <c r="E665" s="28" t="s">
        <v>2764</v>
      </c>
      <c r="F665" s="4">
        <v>4</v>
      </c>
      <c r="G665" s="21">
        <v>2002</v>
      </c>
      <c r="H665" s="4" t="s">
        <v>2783</v>
      </c>
      <c r="I665" s="4" t="s">
        <v>2780</v>
      </c>
      <c r="J665" s="2" t="s">
        <v>2781</v>
      </c>
      <c r="K665" s="22" t="s">
        <v>2768</v>
      </c>
      <c r="M665" s="2" t="s">
        <v>2903</v>
      </c>
      <c r="P665" s="2" t="s">
        <v>1127</v>
      </c>
      <c r="Q665" s="2" t="s">
        <v>1127</v>
      </c>
    </row>
    <row r="666" spans="1:17" ht="18" customHeight="1" x14ac:dyDescent="0.2">
      <c r="A666" s="28" t="s">
        <v>460</v>
      </c>
      <c r="B666" s="28" t="s">
        <v>461</v>
      </c>
      <c r="C666" s="28" t="s">
        <v>4182</v>
      </c>
      <c r="D666" s="28" t="s">
        <v>1410</v>
      </c>
      <c r="E666" s="28" t="s">
        <v>2764</v>
      </c>
      <c r="F666" s="4">
        <v>5</v>
      </c>
      <c r="G666" s="21">
        <v>2003</v>
      </c>
      <c r="H666" s="4" t="s">
        <v>2784</v>
      </c>
      <c r="I666" s="4" t="s">
        <v>2780</v>
      </c>
      <c r="J666" s="2" t="s">
        <v>2781</v>
      </c>
      <c r="K666" s="22" t="s">
        <v>2768</v>
      </c>
      <c r="M666" s="2" t="s">
        <v>2903</v>
      </c>
      <c r="P666" s="2" t="s">
        <v>1127</v>
      </c>
      <c r="Q666" s="2" t="s">
        <v>1127</v>
      </c>
    </row>
    <row r="667" spans="1:17" ht="18" customHeight="1" x14ac:dyDescent="0.2">
      <c r="A667" s="28" t="s">
        <v>460</v>
      </c>
      <c r="B667" s="28" t="s">
        <v>461</v>
      </c>
      <c r="C667" s="28" t="s">
        <v>4182</v>
      </c>
      <c r="D667" s="28" t="s">
        <v>1410</v>
      </c>
      <c r="E667" s="28" t="s">
        <v>2764</v>
      </c>
      <c r="F667" s="4">
        <v>2</v>
      </c>
      <c r="G667" s="21">
        <v>2000</v>
      </c>
      <c r="H667" s="4" t="s">
        <v>2785</v>
      </c>
      <c r="I667" s="4" t="s">
        <v>2786</v>
      </c>
      <c r="J667" s="2" t="s">
        <v>2787</v>
      </c>
      <c r="K667" s="22" t="s">
        <v>2768</v>
      </c>
      <c r="M667" s="2" t="s">
        <v>2903</v>
      </c>
      <c r="P667" s="2" t="s">
        <v>1127</v>
      </c>
      <c r="Q667" s="2" t="s">
        <v>1127</v>
      </c>
    </row>
    <row r="668" spans="1:17" ht="18" customHeight="1" x14ac:dyDescent="0.2">
      <c r="A668" s="28" t="s">
        <v>460</v>
      </c>
      <c r="B668" s="28" t="s">
        <v>461</v>
      </c>
      <c r="C668" s="28" t="s">
        <v>4182</v>
      </c>
      <c r="D668" s="28" t="s">
        <v>1410</v>
      </c>
      <c r="E668" s="28" t="s">
        <v>2764</v>
      </c>
      <c r="F668" s="4">
        <v>3</v>
      </c>
      <c r="G668" s="21">
        <v>2001</v>
      </c>
      <c r="H668" s="4" t="s">
        <v>2788</v>
      </c>
      <c r="I668" s="4" t="s">
        <v>2786</v>
      </c>
      <c r="J668" s="2" t="s">
        <v>2787</v>
      </c>
      <c r="K668" s="22" t="s">
        <v>2768</v>
      </c>
      <c r="M668" s="2" t="s">
        <v>2903</v>
      </c>
      <c r="P668" s="2" t="s">
        <v>1127</v>
      </c>
      <c r="Q668" s="2" t="s">
        <v>1127</v>
      </c>
    </row>
    <row r="669" spans="1:17" ht="18" customHeight="1" x14ac:dyDescent="0.2">
      <c r="A669" s="28" t="s">
        <v>460</v>
      </c>
      <c r="B669" s="28" t="s">
        <v>461</v>
      </c>
      <c r="C669" s="28" t="s">
        <v>4182</v>
      </c>
      <c r="D669" s="28" t="s">
        <v>1410</v>
      </c>
      <c r="E669" s="28" t="s">
        <v>2764</v>
      </c>
      <c r="F669" s="4">
        <v>4</v>
      </c>
      <c r="G669" s="21">
        <v>2002</v>
      </c>
      <c r="H669" s="4" t="s">
        <v>2789</v>
      </c>
      <c r="I669" s="4" t="s">
        <v>2786</v>
      </c>
      <c r="J669" s="2" t="s">
        <v>2787</v>
      </c>
      <c r="K669" s="22" t="s">
        <v>2768</v>
      </c>
      <c r="M669" s="2" t="s">
        <v>2903</v>
      </c>
      <c r="P669" s="2" t="s">
        <v>1127</v>
      </c>
      <c r="Q669" s="2" t="s">
        <v>1127</v>
      </c>
    </row>
    <row r="670" spans="1:17" ht="18" customHeight="1" x14ac:dyDescent="0.2">
      <c r="A670" s="28" t="s">
        <v>460</v>
      </c>
      <c r="B670" s="28" t="s">
        <v>461</v>
      </c>
      <c r="C670" s="28" t="s">
        <v>4182</v>
      </c>
      <c r="D670" s="28" t="s">
        <v>1410</v>
      </c>
      <c r="E670" s="28" t="s">
        <v>2764</v>
      </c>
      <c r="F670" s="4">
        <v>5</v>
      </c>
      <c r="G670" s="21">
        <v>2003</v>
      </c>
      <c r="H670" s="4" t="s">
        <v>2790</v>
      </c>
      <c r="I670" s="4" t="s">
        <v>2786</v>
      </c>
      <c r="J670" s="2" t="s">
        <v>2787</v>
      </c>
      <c r="K670" s="22" t="s">
        <v>2768</v>
      </c>
      <c r="M670" s="2" t="s">
        <v>2903</v>
      </c>
      <c r="P670" s="2" t="s">
        <v>1127</v>
      </c>
      <c r="Q670" s="2" t="s">
        <v>1127</v>
      </c>
    </row>
    <row r="671" spans="1:17" ht="18" customHeight="1" x14ac:dyDescent="0.2">
      <c r="A671" s="28" t="s">
        <v>460</v>
      </c>
      <c r="B671" s="28" t="s">
        <v>461</v>
      </c>
      <c r="C671" s="28" t="s">
        <v>4182</v>
      </c>
      <c r="D671" s="28" t="s">
        <v>1410</v>
      </c>
      <c r="E671" s="28" t="s">
        <v>2764</v>
      </c>
      <c r="F671" s="4">
        <v>6</v>
      </c>
      <c r="G671" s="21">
        <v>2004</v>
      </c>
      <c r="H671" s="4" t="s">
        <v>2791</v>
      </c>
      <c r="I671" s="4" t="s">
        <v>2792</v>
      </c>
      <c r="J671" s="2" t="s">
        <v>2793</v>
      </c>
      <c r="K671" s="22" t="s">
        <v>2794</v>
      </c>
      <c r="M671" s="2" t="s">
        <v>2903</v>
      </c>
      <c r="P671" s="2" t="s">
        <v>1127</v>
      </c>
      <c r="Q671" s="2" t="s">
        <v>1127</v>
      </c>
    </row>
    <row r="672" spans="1:17" ht="18" customHeight="1" x14ac:dyDescent="0.2">
      <c r="A672" s="28" t="s">
        <v>460</v>
      </c>
      <c r="B672" s="28" t="s">
        <v>461</v>
      </c>
      <c r="C672" s="28" t="s">
        <v>4182</v>
      </c>
      <c r="D672" s="28" t="s">
        <v>1410</v>
      </c>
      <c r="E672" s="28" t="s">
        <v>2764</v>
      </c>
      <c r="F672" s="4">
        <v>7</v>
      </c>
      <c r="G672" s="21">
        <v>2005</v>
      </c>
      <c r="H672" s="4" t="s">
        <v>2795</v>
      </c>
      <c r="I672" s="4" t="s">
        <v>2792</v>
      </c>
      <c r="J672" s="2" t="s">
        <v>2793</v>
      </c>
      <c r="K672" s="22" t="s">
        <v>2794</v>
      </c>
      <c r="M672" s="2" t="s">
        <v>2903</v>
      </c>
      <c r="P672" s="2" t="s">
        <v>1127</v>
      </c>
      <c r="Q672" s="2" t="s">
        <v>1127</v>
      </c>
    </row>
    <row r="673" spans="1:17" ht="18" customHeight="1" x14ac:dyDescent="0.2">
      <c r="A673" s="28" t="s">
        <v>460</v>
      </c>
      <c r="B673" s="28" t="s">
        <v>461</v>
      </c>
      <c r="C673" s="28" t="s">
        <v>4182</v>
      </c>
      <c r="D673" s="28" t="s">
        <v>1410</v>
      </c>
      <c r="E673" s="28" t="s">
        <v>2764</v>
      </c>
      <c r="F673" s="4">
        <v>8</v>
      </c>
      <c r="G673" s="21">
        <v>2006</v>
      </c>
      <c r="H673" s="4" t="s">
        <v>2796</v>
      </c>
      <c r="I673" s="4" t="s">
        <v>2792</v>
      </c>
      <c r="J673" s="2" t="s">
        <v>2793</v>
      </c>
      <c r="K673" s="22" t="s">
        <v>2794</v>
      </c>
      <c r="M673" s="2" t="s">
        <v>2903</v>
      </c>
      <c r="P673" s="2" t="s">
        <v>1127</v>
      </c>
      <c r="Q673" s="2" t="s">
        <v>1127</v>
      </c>
    </row>
    <row r="674" spans="1:17" ht="18" customHeight="1" x14ac:dyDescent="0.2">
      <c r="A674" s="28" t="s">
        <v>460</v>
      </c>
      <c r="B674" s="28" t="s">
        <v>461</v>
      </c>
      <c r="C674" s="28" t="s">
        <v>4182</v>
      </c>
      <c r="D674" s="28" t="s">
        <v>1410</v>
      </c>
      <c r="E674" s="28" t="s">
        <v>2764</v>
      </c>
      <c r="F674" s="4">
        <v>9</v>
      </c>
      <c r="G674" s="21">
        <v>2007</v>
      </c>
      <c r="H674" s="4" t="s">
        <v>2797</v>
      </c>
      <c r="I674" s="4" t="s">
        <v>2792</v>
      </c>
      <c r="J674" s="2" t="s">
        <v>2793</v>
      </c>
      <c r="K674" s="22" t="s">
        <v>2794</v>
      </c>
      <c r="M674" s="2" t="s">
        <v>2903</v>
      </c>
      <c r="P674" s="2" t="s">
        <v>1127</v>
      </c>
      <c r="Q674" s="2" t="s">
        <v>1127</v>
      </c>
    </row>
    <row r="675" spans="1:17" ht="18" customHeight="1" x14ac:dyDescent="0.2">
      <c r="A675" s="28" t="s">
        <v>460</v>
      </c>
      <c r="B675" s="28" t="s">
        <v>461</v>
      </c>
      <c r="C675" s="28" t="s">
        <v>4182</v>
      </c>
      <c r="D675" s="28" t="s">
        <v>1410</v>
      </c>
      <c r="E675" s="28" t="s">
        <v>2764</v>
      </c>
      <c r="F675" s="4">
        <v>10</v>
      </c>
      <c r="G675" s="21">
        <v>2008</v>
      </c>
      <c r="H675" s="4" t="s">
        <v>2798</v>
      </c>
      <c r="I675" s="4" t="s">
        <v>2792</v>
      </c>
      <c r="J675" s="2" t="s">
        <v>2793</v>
      </c>
      <c r="K675" s="22" t="s">
        <v>2794</v>
      </c>
      <c r="M675" s="2" t="s">
        <v>2903</v>
      </c>
      <c r="P675" s="2" t="s">
        <v>1127</v>
      </c>
      <c r="Q675" s="2" t="s">
        <v>1127</v>
      </c>
    </row>
    <row r="676" spans="1:17" ht="18" customHeight="1" x14ac:dyDescent="0.2">
      <c r="A676" s="28" t="s">
        <v>460</v>
      </c>
      <c r="B676" s="28" t="s">
        <v>461</v>
      </c>
      <c r="C676" s="28" t="s">
        <v>4182</v>
      </c>
      <c r="D676" s="28" t="s">
        <v>1410</v>
      </c>
      <c r="E676" s="28" t="s">
        <v>2764</v>
      </c>
      <c r="F676" s="4">
        <v>11</v>
      </c>
      <c r="G676" s="21">
        <v>2009</v>
      </c>
      <c r="H676" s="4" t="s">
        <v>2799</v>
      </c>
      <c r="I676" s="4" t="s">
        <v>2792</v>
      </c>
      <c r="J676" s="2" t="s">
        <v>2793</v>
      </c>
      <c r="K676" s="22" t="s">
        <v>2794</v>
      </c>
      <c r="M676" s="2" t="s">
        <v>2903</v>
      </c>
      <c r="P676" s="2" t="s">
        <v>1127</v>
      </c>
      <c r="Q676" s="2" t="s">
        <v>1127</v>
      </c>
    </row>
    <row r="677" spans="1:17" ht="18" customHeight="1" x14ac:dyDescent="0.2">
      <c r="A677" s="28" t="s">
        <v>460</v>
      </c>
      <c r="B677" s="28" t="s">
        <v>461</v>
      </c>
      <c r="C677" s="28" t="s">
        <v>4182</v>
      </c>
      <c r="D677" s="28" t="s">
        <v>1410</v>
      </c>
      <c r="E677" s="28" t="s">
        <v>2764</v>
      </c>
      <c r="F677" s="4">
        <v>12</v>
      </c>
      <c r="G677" s="21">
        <v>2010</v>
      </c>
      <c r="H677" s="4" t="s">
        <v>2800</v>
      </c>
      <c r="I677" s="4" t="s">
        <v>2792</v>
      </c>
      <c r="J677" s="2" t="s">
        <v>2793</v>
      </c>
      <c r="K677" s="22" t="s">
        <v>2794</v>
      </c>
      <c r="M677" s="2" t="s">
        <v>2903</v>
      </c>
      <c r="P677" s="2" t="s">
        <v>1127</v>
      </c>
      <c r="Q677" s="2" t="s">
        <v>1127</v>
      </c>
    </row>
    <row r="678" spans="1:17" ht="18" customHeight="1" x14ac:dyDescent="0.2">
      <c r="A678" s="28" t="s">
        <v>460</v>
      </c>
      <c r="B678" s="28" t="s">
        <v>461</v>
      </c>
      <c r="C678" s="28" t="s">
        <v>4182</v>
      </c>
      <c r="D678" s="28" t="s">
        <v>1410</v>
      </c>
      <c r="E678" s="28" t="s">
        <v>2764</v>
      </c>
      <c r="F678" s="4">
        <v>13</v>
      </c>
      <c r="G678" s="21">
        <v>2011</v>
      </c>
      <c r="H678" s="4" t="s">
        <v>2801</v>
      </c>
      <c r="I678" s="4" t="s">
        <v>2792</v>
      </c>
      <c r="J678" s="2" t="s">
        <v>2793</v>
      </c>
      <c r="K678" s="22" t="s">
        <v>2794</v>
      </c>
      <c r="M678" s="2" t="s">
        <v>2903</v>
      </c>
      <c r="P678" s="2" t="s">
        <v>1127</v>
      </c>
      <c r="Q678" s="2" t="s">
        <v>1127</v>
      </c>
    </row>
    <row r="679" spans="1:17" ht="18" customHeight="1" x14ac:dyDescent="0.2">
      <c r="A679" s="28" t="s">
        <v>460</v>
      </c>
      <c r="B679" s="28" t="s">
        <v>461</v>
      </c>
      <c r="C679" s="28" t="s">
        <v>4182</v>
      </c>
      <c r="D679" s="28" t="s">
        <v>1410</v>
      </c>
      <c r="E679" s="28" t="s">
        <v>2764</v>
      </c>
      <c r="F679" s="4">
        <v>14</v>
      </c>
      <c r="G679" s="21">
        <v>2012</v>
      </c>
      <c r="H679" s="4" t="s">
        <v>2802</v>
      </c>
      <c r="I679" s="4" t="s">
        <v>2792</v>
      </c>
      <c r="J679" s="2" t="s">
        <v>2793</v>
      </c>
      <c r="K679" s="22" t="s">
        <v>2794</v>
      </c>
      <c r="M679" s="2" t="s">
        <v>2903</v>
      </c>
      <c r="P679" s="2" t="s">
        <v>1127</v>
      </c>
      <c r="Q679" s="2" t="s">
        <v>1127</v>
      </c>
    </row>
    <row r="680" spans="1:17" ht="18" customHeight="1" x14ac:dyDescent="0.2">
      <c r="A680" s="28" t="s">
        <v>460</v>
      </c>
      <c r="B680" s="28" t="s">
        <v>461</v>
      </c>
      <c r="C680" s="28" t="s">
        <v>4182</v>
      </c>
      <c r="D680" s="28" t="s">
        <v>1410</v>
      </c>
      <c r="E680" s="28" t="s">
        <v>2764</v>
      </c>
      <c r="F680" s="4">
        <v>15</v>
      </c>
      <c r="G680" s="21">
        <v>2013</v>
      </c>
      <c r="H680" s="4" t="s">
        <v>2803</v>
      </c>
      <c r="I680" s="4" t="s">
        <v>2792</v>
      </c>
      <c r="J680" s="2" t="s">
        <v>2793</v>
      </c>
      <c r="K680" s="22" t="s">
        <v>2794</v>
      </c>
      <c r="M680" s="2" t="s">
        <v>2903</v>
      </c>
      <c r="P680" s="2" t="s">
        <v>1127</v>
      </c>
      <c r="Q680" s="2" t="s">
        <v>1127</v>
      </c>
    </row>
    <row r="681" spans="1:17" ht="18" customHeight="1" x14ac:dyDescent="0.2">
      <c r="A681" s="28" t="s">
        <v>460</v>
      </c>
      <c r="B681" s="28" t="s">
        <v>461</v>
      </c>
      <c r="C681" s="28" t="s">
        <v>4182</v>
      </c>
      <c r="D681" s="28" t="s">
        <v>1410</v>
      </c>
      <c r="E681" s="28" t="s">
        <v>2764</v>
      </c>
      <c r="F681" s="4">
        <v>16</v>
      </c>
      <c r="G681" s="21">
        <v>2014</v>
      </c>
      <c r="H681" s="4" t="s">
        <v>2804</v>
      </c>
      <c r="I681" s="4" t="s">
        <v>2792</v>
      </c>
      <c r="J681" s="2" t="s">
        <v>2793</v>
      </c>
      <c r="K681" s="22" t="s">
        <v>2794</v>
      </c>
      <c r="M681" s="2" t="s">
        <v>2903</v>
      </c>
      <c r="P681" s="2" t="s">
        <v>1127</v>
      </c>
      <c r="Q681" s="2" t="s">
        <v>1127</v>
      </c>
    </row>
    <row r="682" spans="1:17" ht="18" customHeight="1" x14ac:dyDescent="0.2">
      <c r="A682" s="28" t="s">
        <v>460</v>
      </c>
      <c r="B682" s="28" t="s">
        <v>461</v>
      </c>
      <c r="C682" s="28" t="s">
        <v>4182</v>
      </c>
      <c r="D682" s="28" t="s">
        <v>1410</v>
      </c>
      <c r="E682" s="28" t="s">
        <v>2764</v>
      </c>
      <c r="F682" s="4">
        <v>17</v>
      </c>
      <c r="G682" s="21">
        <v>2015</v>
      </c>
      <c r="H682" s="4" t="s">
        <v>2805</v>
      </c>
      <c r="I682" s="4" t="s">
        <v>2792</v>
      </c>
      <c r="J682" s="2" t="s">
        <v>2793</v>
      </c>
      <c r="K682" s="22" t="s">
        <v>2794</v>
      </c>
      <c r="M682" s="2" t="s">
        <v>2903</v>
      </c>
      <c r="P682" s="2" t="s">
        <v>1127</v>
      </c>
      <c r="Q682" s="2" t="s">
        <v>1127</v>
      </c>
    </row>
    <row r="683" spans="1:17" ht="18" customHeight="1" x14ac:dyDescent="0.2">
      <c r="A683" s="28" t="s">
        <v>460</v>
      </c>
      <c r="B683" s="28" t="s">
        <v>461</v>
      </c>
      <c r="C683" s="28" t="s">
        <v>4182</v>
      </c>
      <c r="D683" s="28" t="s">
        <v>1410</v>
      </c>
      <c r="E683" s="28" t="s">
        <v>2764</v>
      </c>
      <c r="F683" s="4">
        <v>18</v>
      </c>
      <c r="G683" s="21">
        <v>2016</v>
      </c>
      <c r="H683" s="4" t="s">
        <v>2806</v>
      </c>
      <c r="I683" s="4" t="s">
        <v>2792</v>
      </c>
      <c r="J683" s="2" t="s">
        <v>2793</v>
      </c>
      <c r="K683" s="22" t="s">
        <v>2794</v>
      </c>
      <c r="M683" s="2" t="s">
        <v>2903</v>
      </c>
      <c r="P683" s="2" t="s">
        <v>1127</v>
      </c>
      <c r="Q683" s="2" t="s">
        <v>1127</v>
      </c>
    </row>
    <row r="684" spans="1:17" ht="18" customHeight="1" x14ac:dyDescent="0.2">
      <c r="A684" s="28" t="s">
        <v>460</v>
      </c>
      <c r="B684" s="28" t="s">
        <v>461</v>
      </c>
      <c r="C684" s="28" t="s">
        <v>4182</v>
      </c>
      <c r="D684" s="28" t="s">
        <v>1410</v>
      </c>
      <c r="E684" s="28" t="s">
        <v>2764</v>
      </c>
      <c r="F684" s="4">
        <v>19</v>
      </c>
      <c r="G684" s="21">
        <v>2017</v>
      </c>
      <c r="H684" s="4" t="s">
        <v>2807</v>
      </c>
      <c r="I684" s="4" t="s">
        <v>2792</v>
      </c>
      <c r="J684" s="2" t="s">
        <v>2793</v>
      </c>
      <c r="K684" s="22" t="s">
        <v>2794</v>
      </c>
      <c r="M684" s="2" t="s">
        <v>2903</v>
      </c>
      <c r="P684" s="2" t="s">
        <v>1127</v>
      </c>
      <c r="Q684" s="2" t="s">
        <v>1127</v>
      </c>
    </row>
    <row r="685" spans="1:17" ht="18" customHeight="1" x14ac:dyDescent="0.2">
      <c r="A685" s="28" t="s">
        <v>460</v>
      </c>
      <c r="B685" s="28" t="s">
        <v>461</v>
      </c>
      <c r="C685" s="28" t="s">
        <v>4182</v>
      </c>
      <c r="D685" s="28" t="s">
        <v>1410</v>
      </c>
      <c r="E685" s="28" t="s">
        <v>2764</v>
      </c>
      <c r="F685" s="4">
        <v>20</v>
      </c>
      <c r="G685" s="21">
        <v>2018</v>
      </c>
      <c r="H685" s="4" t="s">
        <v>2808</v>
      </c>
      <c r="I685" s="4" t="s">
        <v>2792</v>
      </c>
      <c r="J685" s="2" t="s">
        <v>2793</v>
      </c>
      <c r="K685" s="22" t="s">
        <v>2794</v>
      </c>
      <c r="M685" s="2" t="s">
        <v>2903</v>
      </c>
      <c r="P685" s="2" t="s">
        <v>1127</v>
      </c>
      <c r="Q685" s="2" t="s">
        <v>1127</v>
      </c>
    </row>
    <row r="686" spans="1:17" ht="18" customHeight="1" x14ac:dyDescent="0.2">
      <c r="A686" s="28" t="s">
        <v>460</v>
      </c>
      <c r="B686" s="28" t="s">
        <v>461</v>
      </c>
      <c r="C686" s="28" t="s">
        <v>4182</v>
      </c>
      <c r="D686" s="28" t="s">
        <v>1410</v>
      </c>
      <c r="E686" s="28" t="s">
        <v>2764</v>
      </c>
      <c r="F686" s="4">
        <v>21</v>
      </c>
      <c r="G686" s="21">
        <v>2019</v>
      </c>
      <c r="H686" s="4" t="s">
        <v>2809</v>
      </c>
      <c r="I686" s="4" t="s">
        <v>2792</v>
      </c>
      <c r="J686" s="2" t="s">
        <v>2793</v>
      </c>
      <c r="K686" s="22" t="s">
        <v>2794</v>
      </c>
      <c r="M686" s="2" t="s">
        <v>2903</v>
      </c>
      <c r="P686" s="2" t="s">
        <v>1127</v>
      </c>
      <c r="Q686" s="2" t="s">
        <v>1127</v>
      </c>
    </row>
    <row r="687" spans="1:17" ht="18" customHeight="1" x14ac:dyDescent="0.2">
      <c r="A687" s="35" t="s">
        <v>460</v>
      </c>
      <c r="B687" s="35" t="s">
        <v>2904</v>
      </c>
      <c r="C687" s="35" t="s">
        <v>4182</v>
      </c>
      <c r="D687" s="35" t="s">
        <v>1389</v>
      </c>
      <c r="E687" s="35" t="s">
        <v>2905</v>
      </c>
      <c r="F687" s="2">
        <v>1</v>
      </c>
      <c r="G687" s="21">
        <v>1999</v>
      </c>
      <c r="H687" s="4" t="s">
        <v>2906</v>
      </c>
      <c r="I687" s="4" t="s">
        <v>732</v>
      </c>
      <c r="J687" s="4" t="s">
        <v>2907</v>
      </c>
      <c r="K687" s="2" t="s">
        <v>725</v>
      </c>
      <c r="M687" s="2" t="s">
        <v>2908</v>
      </c>
      <c r="P687" s="2" t="s">
        <v>1127</v>
      </c>
      <c r="Q687" s="2" t="s">
        <v>1127</v>
      </c>
    </row>
    <row r="688" spans="1:17" ht="18" customHeight="1" x14ac:dyDescent="0.2">
      <c r="A688" s="35" t="s">
        <v>460</v>
      </c>
      <c r="B688" s="35" t="s">
        <v>2904</v>
      </c>
      <c r="C688" s="35" t="s">
        <v>4182</v>
      </c>
      <c r="D688" s="35" t="s">
        <v>1389</v>
      </c>
      <c r="E688" s="35" t="s">
        <v>2905</v>
      </c>
      <c r="F688" s="2">
        <v>2</v>
      </c>
      <c r="G688" s="21">
        <v>2000</v>
      </c>
      <c r="H688" s="4" t="s">
        <v>2909</v>
      </c>
      <c r="I688" s="4" t="s">
        <v>732</v>
      </c>
      <c r="J688" s="4" t="s">
        <v>2907</v>
      </c>
      <c r="K688" s="2" t="s">
        <v>725</v>
      </c>
      <c r="M688" s="2" t="s">
        <v>2908</v>
      </c>
      <c r="P688" s="2" t="s">
        <v>1127</v>
      </c>
      <c r="Q688" s="2" t="s">
        <v>1127</v>
      </c>
    </row>
    <row r="689" spans="1:17" ht="18" customHeight="1" x14ac:dyDescent="0.2">
      <c r="A689" s="35" t="s">
        <v>460</v>
      </c>
      <c r="B689" s="35" t="s">
        <v>2904</v>
      </c>
      <c r="C689" s="35" t="s">
        <v>4182</v>
      </c>
      <c r="D689" s="35" t="s">
        <v>1389</v>
      </c>
      <c r="E689" s="35" t="s">
        <v>2905</v>
      </c>
      <c r="F689" s="2">
        <v>3</v>
      </c>
      <c r="G689" s="21">
        <v>2001</v>
      </c>
      <c r="H689" s="4" t="s">
        <v>2910</v>
      </c>
      <c r="I689" s="4" t="s">
        <v>732</v>
      </c>
      <c r="J689" s="4" t="s">
        <v>2907</v>
      </c>
      <c r="K689" s="2" t="s">
        <v>725</v>
      </c>
      <c r="M689" s="2" t="s">
        <v>2908</v>
      </c>
      <c r="P689" s="2" t="s">
        <v>1127</v>
      </c>
      <c r="Q689" s="2" t="s">
        <v>1127</v>
      </c>
    </row>
    <row r="690" spans="1:17" ht="18" customHeight="1" x14ac:dyDescent="0.2">
      <c r="A690" s="35" t="s">
        <v>460</v>
      </c>
      <c r="B690" s="35" t="s">
        <v>2904</v>
      </c>
      <c r="C690" s="35" t="s">
        <v>4182</v>
      </c>
      <c r="D690" s="35" t="s">
        <v>1389</v>
      </c>
      <c r="E690" s="35" t="s">
        <v>2905</v>
      </c>
      <c r="F690" s="2">
        <v>4</v>
      </c>
      <c r="G690" s="21">
        <v>2002</v>
      </c>
      <c r="H690" s="4" t="s">
        <v>2911</v>
      </c>
      <c r="I690" s="4" t="s">
        <v>732</v>
      </c>
      <c r="J690" s="4" t="s">
        <v>2907</v>
      </c>
      <c r="K690" s="2" t="s">
        <v>725</v>
      </c>
      <c r="M690" s="2" t="s">
        <v>2908</v>
      </c>
      <c r="P690" s="2" t="s">
        <v>1127</v>
      </c>
      <c r="Q690" s="2" t="s">
        <v>1127</v>
      </c>
    </row>
    <row r="691" spans="1:17" ht="18" customHeight="1" x14ac:dyDescent="0.2">
      <c r="A691" s="35" t="s">
        <v>460</v>
      </c>
      <c r="B691" s="35" t="s">
        <v>2904</v>
      </c>
      <c r="C691" s="35" t="s">
        <v>4182</v>
      </c>
      <c r="D691" s="35" t="s">
        <v>1389</v>
      </c>
      <c r="E691" s="35" t="s">
        <v>2905</v>
      </c>
      <c r="F691" s="2">
        <v>5</v>
      </c>
      <c r="G691" s="21">
        <v>2003</v>
      </c>
      <c r="H691" s="4" t="s">
        <v>2912</v>
      </c>
      <c r="I691" s="4" t="s">
        <v>732</v>
      </c>
      <c r="J691" s="4" t="s">
        <v>2907</v>
      </c>
      <c r="K691" s="2" t="s">
        <v>725</v>
      </c>
      <c r="M691" s="2" t="s">
        <v>2908</v>
      </c>
      <c r="P691" s="2" t="s">
        <v>1127</v>
      </c>
      <c r="Q691" s="2" t="s">
        <v>1127</v>
      </c>
    </row>
    <row r="692" spans="1:17" ht="18" customHeight="1" x14ac:dyDescent="0.2">
      <c r="A692" s="35" t="s">
        <v>460</v>
      </c>
      <c r="B692" s="35" t="s">
        <v>2904</v>
      </c>
      <c r="C692" s="35" t="s">
        <v>4182</v>
      </c>
      <c r="D692" s="35" t="s">
        <v>1389</v>
      </c>
      <c r="E692" s="35" t="s">
        <v>2905</v>
      </c>
      <c r="F692" s="2">
        <v>6</v>
      </c>
      <c r="G692" s="21">
        <v>2004</v>
      </c>
      <c r="H692" s="4" t="s">
        <v>2913</v>
      </c>
      <c r="I692" s="4" t="s">
        <v>732</v>
      </c>
      <c r="J692" s="4" t="s">
        <v>2907</v>
      </c>
      <c r="K692" s="2" t="s">
        <v>725</v>
      </c>
      <c r="M692" s="2" t="s">
        <v>2908</v>
      </c>
      <c r="P692" s="2" t="s">
        <v>1127</v>
      </c>
      <c r="Q692" s="2" t="s">
        <v>1127</v>
      </c>
    </row>
    <row r="693" spans="1:17" ht="18" customHeight="1" x14ac:dyDescent="0.2">
      <c r="A693" s="35" t="s">
        <v>460</v>
      </c>
      <c r="B693" s="35" t="s">
        <v>2904</v>
      </c>
      <c r="C693" s="35" t="s">
        <v>4182</v>
      </c>
      <c r="D693" s="35" t="s">
        <v>1389</v>
      </c>
      <c r="E693" s="35" t="s">
        <v>2905</v>
      </c>
      <c r="F693" s="2">
        <v>7</v>
      </c>
      <c r="G693" s="21">
        <v>2005</v>
      </c>
      <c r="H693" s="4" t="s">
        <v>2914</v>
      </c>
      <c r="I693" s="4" t="s">
        <v>732</v>
      </c>
      <c r="J693" s="4" t="s">
        <v>2907</v>
      </c>
      <c r="K693" s="2" t="s">
        <v>725</v>
      </c>
      <c r="M693" s="2" t="s">
        <v>2908</v>
      </c>
      <c r="P693" s="2" t="s">
        <v>1127</v>
      </c>
      <c r="Q693" s="2" t="s">
        <v>1127</v>
      </c>
    </row>
    <row r="694" spans="1:17" ht="18" customHeight="1" x14ac:dyDescent="0.2">
      <c r="A694" s="35" t="s">
        <v>460</v>
      </c>
      <c r="B694" s="35" t="s">
        <v>2904</v>
      </c>
      <c r="C694" s="35" t="s">
        <v>4182</v>
      </c>
      <c r="D694" s="35" t="s">
        <v>1389</v>
      </c>
      <c r="E694" s="35" t="s">
        <v>2905</v>
      </c>
      <c r="F694" s="2">
        <v>8</v>
      </c>
      <c r="G694" s="21">
        <v>2006</v>
      </c>
      <c r="H694" s="4" t="s">
        <v>2915</v>
      </c>
      <c r="I694" s="4" t="s">
        <v>732</v>
      </c>
      <c r="J694" s="4" t="s">
        <v>2907</v>
      </c>
      <c r="K694" s="2" t="s">
        <v>725</v>
      </c>
      <c r="M694" s="2" t="s">
        <v>2908</v>
      </c>
      <c r="P694" s="2" t="s">
        <v>1127</v>
      </c>
      <c r="Q694" s="2" t="s">
        <v>1127</v>
      </c>
    </row>
    <row r="695" spans="1:17" ht="18" customHeight="1" x14ac:dyDescent="0.2">
      <c r="A695" s="35" t="s">
        <v>460</v>
      </c>
      <c r="B695" s="35" t="s">
        <v>2904</v>
      </c>
      <c r="C695" s="35" t="s">
        <v>4182</v>
      </c>
      <c r="D695" s="35" t="s">
        <v>1389</v>
      </c>
      <c r="E695" s="35" t="s">
        <v>2905</v>
      </c>
      <c r="F695" s="2">
        <v>9</v>
      </c>
      <c r="G695" s="21">
        <v>2007</v>
      </c>
      <c r="H695" s="4" t="s">
        <v>2916</v>
      </c>
      <c r="I695" s="4" t="s">
        <v>732</v>
      </c>
      <c r="J695" s="4" t="s">
        <v>2907</v>
      </c>
      <c r="K695" s="2" t="s">
        <v>725</v>
      </c>
      <c r="M695" s="2" t="s">
        <v>2908</v>
      </c>
      <c r="P695" s="2" t="s">
        <v>1127</v>
      </c>
      <c r="Q695" s="2" t="s">
        <v>1127</v>
      </c>
    </row>
    <row r="696" spans="1:17" ht="18" customHeight="1" x14ac:dyDescent="0.2">
      <c r="A696" s="35" t="s">
        <v>460</v>
      </c>
      <c r="B696" s="35" t="s">
        <v>2904</v>
      </c>
      <c r="C696" s="35" t="s">
        <v>4182</v>
      </c>
      <c r="D696" s="35" t="s">
        <v>1389</v>
      </c>
      <c r="E696" s="35" t="s">
        <v>2905</v>
      </c>
      <c r="F696" s="2">
        <v>10</v>
      </c>
      <c r="G696" s="21">
        <v>2008</v>
      </c>
      <c r="H696" s="4" t="s">
        <v>2917</v>
      </c>
      <c r="I696" s="4" t="s">
        <v>732</v>
      </c>
      <c r="J696" s="4" t="s">
        <v>2907</v>
      </c>
      <c r="K696" s="2" t="s">
        <v>725</v>
      </c>
      <c r="M696" s="2" t="s">
        <v>2908</v>
      </c>
      <c r="P696" s="2" t="s">
        <v>1127</v>
      </c>
      <c r="Q696" s="2" t="s">
        <v>1127</v>
      </c>
    </row>
    <row r="697" spans="1:17" ht="18" customHeight="1" x14ac:dyDescent="0.2">
      <c r="A697" s="35" t="s">
        <v>460</v>
      </c>
      <c r="B697" s="35" t="s">
        <v>2904</v>
      </c>
      <c r="C697" s="35" t="s">
        <v>4182</v>
      </c>
      <c r="D697" s="35" t="s">
        <v>1389</v>
      </c>
      <c r="E697" s="35" t="s">
        <v>2905</v>
      </c>
      <c r="F697" s="2">
        <v>11</v>
      </c>
      <c r="G697" s="21">
        <v>2009</v>
      </c>
      <c r="H697" s="4" t="s">
        <v>2918</v>
      </c>
      <c r="I697" s="4" t="s">
        <v>732</v>
      </c>
      <c r="J697" s="4" t="s">
        <v>2907</v>
      </c>
      <c r="K697" s="2" t="s">
        <v>725</v>
      </c>
      <c r="M697" s="2" t="s">
        <v>2908</v>
      </c>
      <c r="P697" s="2" t="s">
        <v>1127</v>
      </c>
      <c r="Q697" s="2" t="s">
        <v>1127</v>
      </c>
    </row>
    <row r="698" spans="1:17" ht="18" customHeight="1" x14ac:dyDescent="0.2">
      <c r="A698" s="35" t="s">
        <v>460</v>
      </c>
      <c r="B698" s="35" t="s">
        <v>2904</v>
      </c>
      <c r="C698" s="35" t="s">
        <v>4182</v>
      </c>
      <c r="D698" s="35" t="s">
        <v>1389</v>
      </c>
      <c r="E698" s="35" t="s">
        <v>2905</v>
      </c>
      <c r="F698" s="2">
        <v>12</v>
      </c>
      <c r="G698" s="21">
        <v>2010</v>
      </c>
      <c r="H698" s="4" t="s">
        <v>2919</v>
      </c>
      <c r="I698" s="4" t="s">
        <v>732</v>
      </c>
      <c r="J698" s="4" t="s">
        <v>2907</v>
      </c>
      <c r="K698" s="2" t="s">
        <v>725</v>
      </c>
      <c r="M698" s="2" t="s">
        <v>2908</v>
      </c>
      <c r="P698" s="2" t="s">
        <v>1127</v>
      </c>
      <c r="Q698" s="2" t="s">
        <v>1127</v>
      </c>
    </row>
    <row r="699" spans="1:17" ht="18" customHeight="1" x14ac:dyDescent="0.2">
      <c r="A699" s="35" t="s">
        <v>460</v>
      </c>
      <c r="B699" s="35" t="s">
        <v>2904</v>
      </c>
      <c r="C699" s="35" t="s">
        <v>4182</v>
      </c>
      <c r="D699" s="35" t="s">
        <v>1389</v>
      </c>
      <c r="E699" s="35" t="s">
        <v>2905</v>
      </c>
      <c r="F699" s="2">
        <v>13</v>
      </c>
      <c r="G699" s="21">
        <v>2011</v>
      </c>
      <c r="H699" s="4" t="s">
        <v>2920</v>
      </c>
      <c r="I699" s="4" t="s">
        <v>732</v>
      </c>
      <c r="J699" s="4" t="s">
        <v>2907</v>
      </c>
      <c r="K699" s="2" t="s">
        <v>725</v>
      </c>
      <c r="M699" s="2" t="s">
        <v>2908</v>
      </c>
      <c r="P699" s="2" t="s">
        <v>1127</v>
      </c>
      <c r="Q699" s="2" t="s">
        <v>1127</v>
      </c>
    </row>
    <row r="700" spans="1:17" ht="18" customHeight="1" x14ac:dyDescent="0.2">
      <c r="A700" s="35" t="s">
        <v>460</v>
      </c>
      <c r="B700" s="35" t="s">
        <v>2904</v>
      </c>
      <c r="C700" s="35" t="s">
        <v>4182</v>
      </c>
      <c r="D700" s="35" t="s">
        <v>1389</v>
      </c>
      <c r="E700" s="35" t="s">
        <v>2905</v>
      </c>
      <c r="F700" s="2">
        <v>14</v>
      </c>
      <c r="G700" s="21">
        <v>2012</v>
      </c>
      <c r="H700" s="4" t="s">
        <v>2921</v>
      </c>
      <c r="I700" s="4" t="s">
        <v>732</v>
      </c>
      <c r="J700" s="4" t="s">
        <v>2907</v>
      </c>
      <c r="K700" s="2" t="s">
        <v>725</v>
      </c>
      <c r="M700" s="2" t="s">
        <v>2908</v>
      </c>
      <c r="P700" s="2" t="s">
        <v>1127</v>
      </c>
      <c r="Q700" s="2" t="s">
        <v>1127</v>
      </c>
    </row>
    <row r="701" spans="1:17" ht="18" customHeight="1" x14ac:dyDescent="0.2">
      <c r="A701" s="35" t="s">
        <v>460</v>
      </c>
      <c r="B701" s="35" t="s">
        <v>2904</v>
      </c>
      <c r="C701" s="35" t="s">
        <v>4182</v>
      </c>
      <c r="D701" s="35" t="s">
        <v>1389</v>
      </c>
      <c r="E701" s="35" t="s">
        <v>2905</v>
      </c>
      <c r="F701" s="2">
        <v>15</v>
      </c>
      <c r="G701" s="21">
        <v>2013</v>
      </c>
      <c r="H701" s="4" t="s">
        <v>2922</v>
      </c>
      <c r="I701" s="4" t="s">
        <v>732</v>
      </c>
      <c r="J701" s="4" t="s">
        <v>2907</v>
      </c>
      <c r="K701" s="2" t="s">
        <v>725</v>
      </c>
      <c r="M701" s="2" t="s">
        <v>2908</v>
      </c>
      <c r="P701" s="2" t="s">
        <v>1127</v>
      </c>
      <c r="Q701" s="2" t="s">
        <v>1127</v>
      </c>
    </row>
    <row r="702" spans="1:17" ht="18" customHeight="1" x14ac:dyDescent="0.2">
      <c r="A702" s="35" t="s">
        <v>460</v>
      </c>
      <c r="B702" s="35" t="s">
        <v>2904</v>
      </c>
      <c r="C702" s="35" t="s">
        <v>4182</v>
      </c>
      <c r="D702" s="35" t="s">
        <v>1389</v>
      </c>
      <c r="E702" s="35" t="s">
        <v>2905</v>
      </c>
      <c r="F702" s="2">
        <v>16</v>
      </c>
      <c r="G702" s="21">
        <v>2014</v>
      </c>
      <c r="H702" s="4" t="s">
        <v>2923</v>
      </c>
      <c r="I702" s="4" t="s">
        <v>732</v>
      </c>
      <c r="J702" s="4" t="s">
        <v>2907</v>
      </c>
      <c r="K702" s="2" t="s">
        <v>725</v>
      </c>
      <c r="M702" s="2" t="s">
        <v>2908</v>
      </c>
      <c r="P702" s="2" t="s">
        <v>1127</v>
      </c>
      <c r="Q702" s="2" t="s">
        <v>1127</v>
      </c>
    </row>
    <row r="703" spans="1:17" ht="18" customHeight="1" x14ac:dyDescent="0.2">
      <c r="A703" s="35" t="s">
        <v>460</v>
      </c>
      <c r="B703" s="35" t="s">
        <v>2904</v>
      </c>
      <c r="C703" s="35" t="s">
        <v>4182</v>
      </c>
      <c r="D703" s="35" t="s">
        <v>1389</v>
      </c>
      <c r="E703" s="35" t="s">
        <v>2905</v>
      </c>
      <c r="F703" s="2">
        <v>17</v>
      </c>
      <c r="G703" s="21">
        <v>2015</v>
      </c>
      <c r="H703" s="4" t="s">
        <v>2924</v>
      </c>
      <c r="I703" s="4" t="s">
        <v>732</v>
      </c>
      <c r="J703" s="4" t="s">
        <v>2907</v>
      </c>
      <c r="K703" s="2" t="s">
        <v>725</v>
      </c>
      <c r="M703" s="2" t="s">
        <v>2908</v>
      </c>
      <c r="P703" s="2" t="s">
        <v>1127</v>
      </c>
      <c r="Q703" s="2" t="s">
        <v>1127</v>
      </c>
    </row>
    <row r="704" spans="1:17" ht="18" customHeight="1" x14ac:dyDescent="0.2">
      <c r="A704" s="35" t="s">
        <v>460</v>
      </c>
      <c r="B704" s="35" t="s">
        <v>2904</v>
      </c>
      <c r="C704" s="35" t="s">
        <v>4182</v>
      </c>
      <c r="D704" s="35" t="s">
        <v>1389</v>
      </c>
      <c r="E704" s="35" t="s">
        <v>2905</v>
      </c>
      <c r="F704" s="2">
        <v>18</v>
      </c>
      <c r="G704" s="21">
        <v>2016</v>
      </c>
      <c r="H704" s="4" t="s">
        <v>2925</v>
      </c>
      <c r="I704" s="4" t="s">
        <v>732</v>
      </c>
      <c r="J704" s="4" t="s">
        <v>2907</v>
      </c>
      <c r="K704" s="2" t="s">
        <v>725</v>
      </c>
      <c r="M704" s="2" t="s">
        <v>2908</v>
      </c>
      <c r="P704" s="2" t="s">
        <v>1127</v>
      </c>
      <c r="Q704" s="2" t="s">
        <v>1127</v>
      </c>
    </row>
    <row r="705" spans="1:17" ht="18" customHeight="1" x14ac:dyDescent="0.2">
      <c r="A705" s="35" t="s">
        <v>460</v>
      </c>
      <c r="B705" s="35" t="s">
        <v>2904</v>
      </c>
      <c r="C705" s="35" t="s">
        <v>4182</v>
      </c>
      <c r="D705" s="35" t="s">
        <v>1389</v>
      </c>
      <c r="E705" s="35" t="s">
        <v>2905</v>
      </c>
      <c r="F705" s="2">
        <v>19</v>
      </c>
      <c r="G705" s="21">
        <v>2017</v>
      </c>
      <c r="H705" s="4" t="s">
        <v>2926</v>
      </c>
      <c r="I705" s="4" t="s">
        <v>732</v>
      </c>
      <c r="J705" s="4" t="s">
        <v>2907</v>
      </c>
      <c r="K705" s="2" t="s">
        <v>725</v>
      </c>
      <c r="M705" s="2" t="s">
        <v>2908</v>
      </c>
      <c r="P705" s="2" t="s">
        <v>1127</v>
      </c>
      <c r="Q705" s="2" t="s">
        <v>1127</v>
      </c>
    </row>
    <row r="706" spans="1:17" ht="18" customHeight="1" x14ac:dyDescent="0.2">
      <c r="A706" s="35" t="s">
        <v>460</v>
      </c>
      <c r="B706" s="35" t="s">
        <v>2904</v>
      </c>
      <c r="C706" s="35" t="s">
        <v>4182</v>
      </c>
      <c r="D706" s="35" t="s">
        <v>1389</v>
      </c>
      <c r="E706" s="35" t="s">
        <v>2905</v>
      </c>
      <c r="F706" s="2">
        <v>20</v>
      </c>
      <c r="G706" s="21">
        <v>2018</v>
      </c>
      <c r="H706" s="4" t="s">
        <v>2927</v>
      </c>
      <c r="I706" s="4" t="s">
        <v>732</v>
      </c>
      <c r="J706" s="4" t="s">
        <v>2907</v>
      </c>
      <c r="K706" s="2" t="s">
        <v>725</v>
      </c>
      <c r="M706" s="2" t="s">
        <v>2908</v>
      </c>
      <c r="P706" s="2" t="s">
        <v>1127</v>
      </c>
      <c r="Q706" s="2" t="s">
        <v>1127</v>
      </c>
    </row>
    <row r="707" spans="1:17" ht="18" customHeight="1" x14ac:dyDescent="0.2">
      <c r="A707" s="35" t="s">
        <v>460</v>
      </c>
      <c r="B707" s="35" t="s">
        <v>2904</v>
      </c>
      <c r="C707" s="35" t="s">
        <v>4182</v>
      </c>
      <c r="D707" s="35" t="s">
        <v>1389</v>
      </c>
      <c r="E707" s="35" t="s">
        <v>2905</v>
      </c>
      <c r="F707" s="2">
        <v>21</v>
      </c>
      <c r="G707" s="21">
        <v>2019</v>
      </c>
      <c r="H707" s="4" t="s">
        <v>2928</v>
      </c>
      <c r="I707" s="4" t="s">
        <v>732</v>
      </c>
      <c r="J707" s="4" t="s">
        <v>2907</v>
      </c>
      <c r="K707" s="2" t="s">
        <v>725</v>
      </c>
      <c r="M707" s="2" t="s">
        <v>2908</v>
      </c>
      <c r="P707" s="2" t="s">
        <v>1127</v>
      </c>
      <c r="Q707" s="2" t="s">
        <v>1127</v>
      </c>
    </row>
    <row r="708" spans="1:17" ht="18" customHeight="1" x14ac:dyDescent="0.2">
      <c r="A708" s="35" t="s">
        <v>460</v>
      </c>
      <c r="B708" s="35" t="s">
        <v>461</v>
      </c>
      <c r="C708" s="35" t="s">
        <v>4182</v>
      </c>
      <c r="D708" s="35" t="s">
        <v>1389</v>
      </c>
      <c r="E708" s="35" t="s">
        <v>2929</v>
      </c>
      <c r="F708" s="4">
        <v>6</v>
      </c>
      <c r="G708" s="21">
        <v>2004</v>
      </c>
      <c r="H708" s="4" t="str">
        <f t="shared" ref="H708:H716" si="9">"P"&amp;RIGHT(G708,2)&amp;I708</f>
        <v>P04D113</v>
      </c>
      <c r="I708" s="4" t="s">
        <v>2930</v>
      </c>
      <c r="J708" s="2" t="s">
        <v>2931</v>
      </c>
      <c r="K708" s="4" t="s">
        <v>2932</v>
      </c>
      <c r="M708" s="2" t="s">
        <v>4191</v>
      </c>
      <c r="P708" s="2" t="s">
        <v>1127</v>
      </c>
      <c r="Q708" s="2" t="s">
        <v>1127</v>
      </c>
    </row>
    <row r="709" spans="1:17" ht="18" customHeight="1" x14ac:dyDescent="0.2">
      <c r="A709" s="35" t="s">
        <v>460</v>
      </c>
      <c r="B709" s="35" t="s">
        <v>461</v>
      </c>
      <c r="C709" s="35" t="s">
        <v>4182</v>
      </c>
      <c r="D709" s="35" t="s">
        <v>1389</v>
      </c>
      <c r="E709" s="35" t="s">
        <v>2929</v>
      </c>
      <c r="F709" s="4">
        <v>7</v>
      </c>
      <c r="G709" s="21">
        <v>2005</v>
      </c>
      <c r="H709" s="4" t="str">
        <f t="shared" si="9"/>
        <v>P05D113</v>
      </c>
      <c r="I709" s="4" t="s">
        <v>2930</v>
      </c>
      <c r="J709" s="2" t="s">
        <v>2931</v>
      </c>
      <c r="K709" s="4" t="s">
        <v>2932</v>
      </c>
      <c r="M709" s="2" t="s">
        <v>4191</v>
      </c>
      <c r="P709" s="2" t="s">
        <v>1127</v>
      </c>
      <c r="Q709" s="2" t="s">
        <v>1127</v>
      </c>
    </row>
    <row r="710" spans="1:17" ht="18" customHeight="1" x14ac:dyDescent="0.2">
      <c r="A710" s="35" t="s">
        <v>460</v>
      </c>
      <c r="B710" s="35" t="s">
        <v>461</v>
      </c>
      <c r="C710" s="35" t="s">
        <v>4182</v>
      </c>
      <c r="D710" s="35" t="s">
        <v>1389</v>
      </c>
      <c r="E710" s="35" t="s">
        <v>2929</v>
      </c>
      <c r="F710" s="4">
        <v>8</v>
      </c>
      <c r="G710" s="21">
        <v>2006</v>
      </c>
      <c r="H710" s="4" t="str">
        <f t="shared" si="9"/>
        <v>P06D113</v>
      </c>
      <c r="I710" s="4" t="s">
        <v>2930</v>
      </c>
      <c r="J710" s="2" t="s">
        <v>2931</v>
      </c>
      <c r="K710" s="4" t="s">
        <v>2932</v>
      </c>
      <c r="M710" s="2" t="s">
        <v>4191</v>
      </c>
      <c r="P710" s="2" t="s">
        <v>1127</v>
      </c>
      <c r="Q710" s="2" t="s">
        <v>1127</v>
      </c>
    </row>
    <row r="711" spans="1:17" ht="18" customHeight="1" x14ac:dyDescent="0.2">
      <c r="A711" s="35" t="s">
        <v>460</v>
      </c>
      <c r="B711" s="35" t="s">
        <v>461</v>
      </c>
      <c r="C711" s="35" t="s">
        <v>4182</v>
      </c>
      <c r="D711" s="35" t="s">
        <v>1389</v>
      </c>
      <c r="E711" s="35" t="s">
        <v>2929</v>
      </c>
      <c r="F711" s="4">
        <v>9</v>
      </c>
      <c r="G711" s="21">
        <v>2007</v>
      </c>
      <c r="H711" s="4" t="str">
        <f t="shared" si="9"/>
        <v>P07D113</v>
      </c>
      <c r="I711" s="4" t="s">
        <v>2930</v>
      </c>
      <c r="J711" s="2" t="s">
        <v>2931</v>
      </c>
      <c r="K711" s="4" t="s">
        <v>2932</v>
      </c>
      <c r="M711" s="2" t="s">
        <v>4191</v>
      </c>
      <c r="P711" s="2" t="s">
        <v>1127</v>
      </c>
      <c r="Q711" s="2" t="s">
        <v>1127</v>
      </c>
    </row>
    <row r="712" spans="1:17" ht="18" customHeight="1" x14ac:dyDescent="0.2">
      <c r="A712" s="35" t="s">
        <v>460</v>
      </c>
      <c r="B712" s="35" t="s">
        <v>461</v>
      </c>
      <c r="C712" s="35" t="s">
        <v>4182</v>
      </c>
      <c r="D712" s="35" t="s">
        <v>1389</v>
      </c>
      <c r="E712" s="35" t="s">
        <v>2929</v>
      </c>
      <c r="F712" s="4">
        <v>10</v>
      </c>
      <c r="G712" s="21">
        <v>2008</v>
      </c>
      <c r="H712" s="4" t="str">
        <f t="shared" si="9"/>
        <v>P08D113</v>
      </c>
      <c r="I712" s="4" t="s">
        <v>2930</v>
      </c>
      <c r="J712" s="2" t="s">
        <v>2931</v>
      </c>
      <c r="K712" s="4" t="s">
        <v>2932</v>
      </c>
      <c r="M712" s="2" t="s">
        <v>4191</v>
      </c>
      <c r="P712" s="2" t="s">
        <v>1127</v>
      </c>
      <c r="Q712" s="2" t="s">
        <v>1127</v>
      </c>
    </row>
    <row r="713" spans="1:17" ht="18" customHeight="1" x14ac:dyDescent="0.2">
      <c r="A713" s="35" t="s">
        <v>460</v>
      </c>
      <c r="B713" s="35" t="s">
        <v>461</v>
      </c>
      <c r="C713" s="35" t="s">
        <v>4182</v>
      </c>
      <c r="D713" s="35" t="s">
        <v>1389</v>
      </c>
      <c r="E713" s="35" t="s">
        <v>2929</v>
      </c>
      <c r="F713" s="4">
        <v>11</v>
      </c>
      <c r="G713" s="21">
        <v>2009</v>
      </c>
      <c r="H713" s="4" t="str">
        <f t="shared" si="9"/>
        <v>P09D113</v>
      </c>
      <c r="I713" s="4" t="s">
        <v>2930</v>
      </c>
      <c r="J713" s="2" t="s">
        <v>2931</v>
      </c>
      <c r="K713" s="4" t="s">
        <v>2932</v>
      </c>
      <c r="M713" s="2" t="s">
        <v>4191</v>
      </c>
      <c r="P713" s="2" t="s">
        <v>1127</v>
      </c>
      <c r="Q713" s="2" t="s">
        <v>1127</v>
      </c>
    </row>
    <row r="714" spans="1:17" ht="18" customHeight="1" x14ac:dyDescent="0.2">
      <c r="A714" s="35" t="s">
        <v>460</v>
      </c>
      <c r="B714" s="35" t="s">
        <v>461</v>
      </c>
      <c r="C714" s="35" t="s">
        <v>4182</v>
      </c>
      <c r="D714" s="35" t="s">
        <v>1389</v>
      </c>
      <c r="E714" s="35" t="s">
        <v>2929</v>
      </c>
      <c r="F714" s="4">
        <v>12</v>
      </c>
      <c r="G714" s="21">
        <v>2010</v>
      </c>
      <c r="H714" s="4" t="str">
        <f t="shared" si="9"/>
        <v>P10D113</v>
      </c>
      <c r="I714" s="4" t="s">
        <v>2930</v>
      </c>
      <c r="J714" s="2" t="s">
        <v>2931</v>
      </c>
      <c r="K714" s="4" t="s">
        <v>2932</v>
      </c>
      <c r="M714" s="2" t="s">
        <v>4191</v>
      </c>
      <c r="P714" s="2" t="s">
        <v>1127</v>
      </c>
      <c r="Q714" s="2" t="s">
        <v>1127</v>
      </c>
    </row>
    <row r="715" spans="1:17" ht="18" customHeight="1" x14ac:dyDescent="0.2">
      <c r="A715" s="35" t="s">
        <v>460</v>
      </c>
      <c r="B715" s="35" t="s">
        <v>461</v>
      </c>
      <c r="C715" s="35" t="s">
        <v>4182</v>
      </c>
      <c r="D715" s="35" t="s">
        <v>1389</v>
      </c>
      <c r="E715" s="35" t="s">
        <v>2929</v>
      </c>
      <c r="F715" s="4">
        <v>13</v>
      </c>
      <c r="G715" s="21">
        <v>2011</v>
      </c>
      <c r="H715" s="4" t="str">
        <f t="shared" si="9"/>
        <v>P11D113</v>
      </c>
      <c r="I715" s="4" t="s">
        <v>2930</v>
      </c>
      <c r="J715" s="2" t="s">
        <v>2931</v>
      </c>
      <c r="K715" s="4" t="s">
        <v>2932</v>
      </c>
      <c r="M715" s="2" t="s">
        <v>4191</v>
      </c>
      <c r="P715" s="2" t="s">
        <v>1127</v>
      </c>
      <c r="Q715" s="2" t="s">
        <v>1127</v>
      </c>
    </row>
    <row r="716" spans="1:17" ht="18" customHeight="1" x14ac:dyDescent="0.2">
      <c r="A716" s="35" t="s">
        <v>460</v>
      </c>
      <c r="B716" s="35" t="s">
        <v>461</v>
      </c>
      <c r="C716" s="35" t="s">
        <v>4182</v>
      </c>
      <c r="D716" s="35" t="s">
        <v>1389</v>
      </c>
      <c r="E716" s="35" t="s">
        <v>2929</v>
      </c>
      <c r="F716" s="4">
        <v>14</v>
      </c>
      <c r="G716" s="21">
        <v>2012</v>
      </c>
      <c r="H716" s="4" t="str">
        <f t="shared" si="9"/>
        <v>P12D113</v>
      </c>
      <c r="I716" s="4" t="s">
        <v>2930</v>
      </c>
      <c r="J716" s="2" t="s">
        <v>2931</v>
      </c>
      <c r="K716" s="4" t="s">
        <v>2932</v>
      </c>
      <c r="M716" s="2" t="s">
        <v>4191</v>
      </c>
      <c r="P716" s="2" t="s">
        <v>1127</v>
      </c>
      <c r="Q716" s="2" t="s">
        <v>1127</v>
      </c>
    </row>
    <row r="717" spans="1:17" ht="18" customHeight="1" x14ac:dyDescent="0.2">
      <c r="A717" s="35" t="s">
        <v>460</v>
      </c>
      <c r="B717" s="35" t="s">
        <v>461</v>
      </c>
      <c r="C717" s="35" t="s">
        <v>4182</v>
      </c>
      <c r="D717" s="35" t="s">
        <v>1389</v>
      </c>
      <c r="E717" s="35" t="s">
        <v>2764</v>
      </c>
      <c r="F717" s="4">
        <v>2</v>
      </c>
      <c r="G717" s="21">
        <v>2000</v>
      </c>
      <c r="H717" s="4" t="s">
        <v>2791</v>
      </c>
      <c r="I717" s="4" t="s">
        <v>2792</v>
      </c>
      <c r="J717" s="2" t="s">
        <v>2933</v>
      </c>
      <c r="K717" s="51" t="s">
        <v>2814</v>
      </c>
      <c r="M717" s="2" t="s">
        <v>2903</v>
      </c>
      <c r="P717" s="2" t="s">
        <v>1127</v>
      </c>
      <c r="Q717" s="2" t="s">
        <v>1127</v>
      </c>
    </row>
    <row r="718" spans="1:17" ht="18" customHeight="1" x14ac:dyDescent="0.2">
      <c r="A718" s="35" t="s">
        <v>460</v>
      </c>
      <c r="B718" s="35" t="s">
        <v>461</v>
      </c>
      <c r="C718" s="35" t="s">
        <v>4182</v>
      </c>
      <c r="D718" s="35" t="s">
        <v>1389</v>
      </c>
      <c r="E718" s="35" t="s">
        <v>2764</v>
      </c>
      <c r="F718" s="4">
        <v>3</v>
      </c>
      <c r="G718" s="21">
        <v>2001</v>
      </c>
      <c r="H718" s="4" t="s">
        <v>2795</v>
      </c>
      <c r="I718" s="4" t="s">
        <v>2792</v>
      </c>
      <c r="J718" s="2" t="s">
        <v>2933</v>
      </c>
      <c r="K718" s="51" t="s">
        <v>2814</v>
      </c>
      <c r="M718" s="2" t="s">
        <v>2903</v>
      </c>
      <c r="P718" s="2" t="s">
        <v>1127</v>
      </c>
      <c r="Q718" s="2" t="s">
        <v>1127</v>
      </c>
    </row>
    <row r="719" spans="1:17" ht="18" customHeight="1" x14ac:dyDescent="0.2">
      <c r="A719" s="35" t="s">
        <v>460</v>
      </c>
      <c r="B719" s="35" t="s">
        <v>461</v>
      </c>
      <c r="C719" s="35" t="s">
        <v>4182</v>
      </c>
      <c r="D719" s="35" t="s">
        <v>1389</v>
      </c>
      <c r="E719" s="35" t="s">
        <v>2764</v>
      </c>
      <c r="F719" s="4">
        <v>4</v>
      </c>
      <c r="G719" s="21">
        <v>2002</v>
      </c>
      <c r="H719" s="4" t="s">
        <v>2796</v>
      </c>
      <c r="I719" s="4" t="s">
        <v>2792</v>
      </c>
      <c r="J719" s="2" t="s">
        <v>2933</v>
      </c>
      <c r="K719" s="51" t="s">
        <v>2814</v>
      </c>
      <c r="M719" s="2" t="s">
        <v>2903</v>
      </c>
      <c r="P719" s="2" t="s">
        <v>1127</v>
      </c>
      <c r="Q719" s="2" t="s">
        <v>1127</v>
      </c>
    </row>
    <row r="720" spans="1:17" ht="18" customHeight="1" x14ac:dyDescent="0.2">
      <c r="A720" s="35" t="s">
        <v>460</v>
      </c>
      <c r="B720" s="35" t="s">
        <v>461</v>
      </c>
      <c r="C720" s="35" t="s">
        <v>4182</v>
      </c>
      <c r="D720" s="35" t="s">
        <v>1389</v>
      </c>
      <c r="E720" s="35" t="s">
        <v>2764</v>
      </c>
      <c r="F720" s="4">
        <v>5</v>
      </c>
      <c r="G720" s="21">
        <v>2003</v>
      </c>
      <c r="H720" s="4" t="s">
        <v>2797</v>
      </c>
      <c r="I720" s="4" t="s">
        <v>2792</v>
      </c>
      <c r="J720" s="2" t="s">
        <v>2933</v>
      </c>
      <c r="K720" s="51" t="s">
        <v>2814</v>
      </c>
      <c r="M720" s="2" t="s">
        <v>2903</v>
      </c>
      <c r="P720" s="2" t="s">
        <v>1127</v>
      </c>
      <c r="Q720" s="2" t="s">
        <v>1127</v>
      </c>
    </row>
    <row r="721" spans="1:17" ht="18" customHeight="1" x14ac:dyDescent="0.2">
      <c r="A721" s="35" t="s">
        <v>460</v>
      </c>
      <c r="B721" s="35" t="s">
        <v>461</v>
      </c>
      <c r="C721" s="35" t="s">
        <v>4182</v>
      </c>
      <c r="D721" s="35" t="s">
        <v>1389</v>
      </c>
      <c r="E721" s="35" t="s">
        <v>2764</v>
      </c>
      <c r="F721" s="4">
        <v>6</v>
      </c>
      <c r="G721" s="21">
        <v>2004</v>
      </c>
      <c r="H721" s="4" t="s">
        <v>2791</v>
      </c>
      <c r="I721" s="4" t="s">
        <v>2792</v>
      </c>
      <c r="J721" s="2" t="s">
        <v>2933</v>
      </c>
      <c r="K721" s="51" t="s">
        <v>2814</v>
      </c>
      <c r="M721" s="2" t="s">
        <v>2903</v>
      </c>
      <c r="P721" s="2" t="s">
        <v>1127</v>
      </c>
      <c r="Q721" s="2" t="s">
        <v>1127</v>
      </c>
    </row>
    <row r="722" spans="1:17" ht="18" customHeight="1" x14ac:dyDescent="0.2">
      <c r="A722" s="35" t="s">
        <v>460</v>
      </c>
      <c r="B722" s="35" t="s">
        <v>461</v>
      </c>
      <c r="C722" s="35" t="s">
        <v>4182</v>
      </c>
      <c r="D722" s="35" t="s">
        <v>1389</v>
      </c>
      <c r="E722" s="35" t="s">
        <v>2764</v>
      </c>
      <c r="F722" s="4">
        <v>7</v>
      </c>
      <c r="G722" s="21">
        <v>2005</v>
      </c>
      <c r="H722" s="4" t="s">
        <v>2795</v>
      </c>
      <c r="I722" s="4" t="s">
        <v>2792</v>
      </c>
      <c r="J722" s="2" t="s">
        <v>2933</v>
      </c>
      <c r="K722" s="51" t="s">
        <v>2814</v>
      </c>
      <c r="M722" s="2" t="s">
        <v>2903</v>
      </c>
      <c r="P722" s="2" t="s">
        <v>1127</v>
      </c>
      <c r="Q722" s="2" t="s">
        <v>1127</v>
      </c>
    </row>
    <row r="723" spans="1:17" ht="18" customHeight="1" x14ac:dyDescent="0.2">
      <c r="A723" s="35" t="s">
        <v>460</v>
      </c>
      <c r="B723" s="35" t="s">
        <v>461</v>
      </c>
      <c r="C723" s="35" t="s">
        <v>4182</v>
      </c>
      <c r="D723" s="35" t="s">
        <v>1389</v>
      </c>
      <c r="E723" s="35" t="s">
        <v>2764</v>
      </c>
      <c r="F723" s="4">
        <v>8</v>
      </c>
      <c r="G723" s="21">
        <v>2006</v>
      </c>
      <c r="H723" s="4" t="s">
        <v>2796</v>
      </c>
      <c r="I723" s="4" t="s">
        <v>2792</v>
      </c>
      <c r="J723" s="2" t="s">
        <v>2933</v>
      </c>
      <c r="K723" s="51" t="s">
        <v>2814</v>
      </c>
      <c r="M723" s="2" t="s">
        <v>2903</v>
      </c>
      <c r="P723" s="2" t="s">
        <v>1127</v>
      </c>
      <c r="Q723" s="2" t="s">
        <v>1127</v>
      </c>
    </row>
    <row r="724" spans="1:17" ht="18" customHeight="1" x14ac:dyDescent="0.2">
      <c r="A724" s="35" t="s">
        <v>460</v>
      </c>
      <c r="B724" s="35" t="s">
        <v>461</v>
      </c>
      <c r="C724" s="35" t="s">
        <v>4182</v>
      </c>
      <c r="D724" s="35" t="s">
        <v>1389</v>
      </c>
      <c r="E724" s="35" t="s">
        <v>2764</v>
      </c>
      <c r="F724" s="4">
        <v>9</v>
      </c>
      <c r="G724" s="21">
        <v>2007</v>
      </c>
      <c r="H724" s="4" t="s">
        <v>2797</v>
      </c>
      <c r="I724" s="4" t="s">
        <v>2792</v>
      </c>
      <c r="J724" s="2" t="s">
        <v>2933</v>
      </c>
      <c r="K724" s="51" t="s">
        <v>2814</v>
      </c>
      <c r="M724" s="2" t="s">
        <v>2903</v>
      </c>
      <c r="P724" s="2" t="s">
        <v>1127</v>
      </c>
      <c r="Q724" s="2" t="s">
        <v>1127</v>
      </c>
    </row>
    <row r="725" spans="1:17" ht="18" customHeight="1" x14ac:dyDescent="0.2">
      <c r="A725" s="35" t="s">
        <v>460</v>
      </c>
      <c r="B725" s="35" t="s">
        <v>461</v>
      </c>
      <c r="C725" s="35" t="s">
        <v>4182</v>
      </c>
      <c r="D725" s="35" t="s">
        <v>1389</v>
      </c>
      <c r="E725" s="35" t="s">
        <v>2764</v>
      </c>
      <c r="F725" s="4">
        <v>10</v>
      </c>
      <c r="G725" s="21">
        <v>2008</v>
      </c>
      <c r="H725" s="4" t="s">
        <v>2798</v>
      </c>
      <c r="I725" s="4" t="s">
        <v>2792</v>
      </c>
      <c r="J725" s="2" t="s">
        <v>2933</v>
      </c>
      <c r="K725" s="51" t="s">
        <v>2814</v>
      </c>
      <c r="M725" s="2" t="s">
        <v>2903</v>
      </c>
      <c r="P725" s="2" t="s">
        <v>1127</v>
      </c>
      <c r="Q725" s="2" t="s">
        <v>1127</v>
      </c>
    </row>
    <row r="726" spans="1:17" ht="18" customHeight="1" x14ac:dyDescent="0.2">
      <c r="A726" s="35" t="s">
        <v>460</v>
      </c>
      <c r="B726" s="35" t="s">
        <v>461</v>
      </c>
      <c r="C726" s="35" t="s">
        <v>4182</v>
      </c>
      <c r="D726" s="35" t="s">
        <v>1389</v>
      </c>
      <c r="E726" s="35" t="s">
        <v>2764</v>
      </c>
      <c r="F726" s="4">
        <v>11</v>
      </c>
      <c r="G726" s="21">
        <v>2009</v>
      </c>
      <c r="H726" s="4" t="s">
        <v>2799</v>
      </c>
      <c r="I726" s="4" t="s">
        <v>2792</v>
      </c>
      <c r="J726" s="2" t="s">
        <v>2933</v>
      </c>
      <c r="K726" s="51" t="s">
        <v>2814</v>
      </c>
      <c r="M726" s="2" t="s">
        <v>2903</v>
      </c>
      <c r="P726" s="2" t="s">
        <v>1127</v>
      </c>
      <c r="Q726" s="2" t="s">
        <v>1127</v>
      </c>
    </row>
    <row r="727" spans="1:17" ht="18" customHeight="1" x14ac:dyDescent="0.2">
      <c r="A727" s="35" t="s">
        <v>460</v>
      </c>
      <c r="B727" s="35" t="s">
        <v>461</v>
      </c>
      <c r="C727" s="35" t="s">
        <v>4182</v>
      </c>
      <c r="D727" s="35" t="s">
        <v>1389</v>
      </c>
      <c r="E727" s="35" t="s">
        <v>2764</v>
      </c>
      <c r="F727" s="4">
        <v>12</v>
      </c>
      <c r="G727" s="21">
        <v>2010</v>
      </c>
      <c r="H727" s="4" t="s">
        <v>2800</v>
      </c>
      <c r="I727" s="4" t="s">
        <v>2792</v>
      </c>
      <c r="J727" s="2" t="s">
        <v>2933</v>
      </c>
      <c r="K727" s="51" t="s">
        <v>2814</v>
      </c>
      <c r="M727" s="2" t="s">
        <v>2903</v>
      </c>
      <c r="P727" s="2" t="s">
        <v>1127</v>
      </c>
      <c r="Q727" s="2" t="s">
        <v>1127</v>
      </c>
    </row>
    <row r="728" spans="1:17" ht="18" customHeight="1" x14ac:dyDescent="0.2">
      <c r="A728" s="35" t="s">
        <v>460</v>
      </c>
      <c r="B728" s="35" t="s">
        <v>461</v>
      </c>
      <c r="C728" s="35" t="s">
        <v>4182</v>
      </c>
      <c r="D728" s="35" t="s">
        <v>1389</v>
      </c>
      <c r="E728" s="35" t="s">
        <v>2764</v>
      </c>
      <c r="F728" s="4">
        <v>13</v>
      </c>
      <c r="G728" s="21">
        <v>2011</v>
      </c>
      <c r="H728" s="4" t="s">
        <v>2801</v>
      </c>
      <c r="I728" s="4" t="s">
        <v>2792</v>
      </c>
      <c r="J728" s="2" t="s">
        <v>2933</v>
      </c>
      <c r="K728" s="51" t="s">
        <v>2814</v>
      </c>
      <c r="M728" s="2" t="s">
        <v>2903</v>
      </c>
      <c r="P728" s="2" t="s">
        <v>1127</v>
      </c>
      <c r="Q728" s="2" t="s">
        <v>1127</v>
      </c>
    </row>
    <row r="729" spans="1:17" ht="18" customHeight="1" x14ac:dyDescent="0.2">
      <c r="A729" s="35" t="s">
        <v>460</v>
      </c>
      <c r="B729" s="35" t="s">
        <v>461</v>
      </c>
      <c r="C729" s="35" t="s">
        <v>4182</v>
      </c>
      <c r="D729" s="35" t="s">
        <v>1389</v>
      </c>
      <c r="E729" s="35" t="s">
        <v>2764</v>
      </c>
      <c r="F729" s="4">
        <v>14</v>
      </c>
      <c r="G729" s="21">
        <v>2012</v>
      </c>
      <c r="H729" s="4" t="s">
        <v>2802</v>
      </c>
      <c r="I729" s="4" t="s">
        <v>2792</v>
      </c>
      <c r="J729" s="2" t="s">
        <v>2933</v>
      </c>
      <c r="K729" s="51" t="s">
        <v>2814</v>
      </c>
      <c r="M729" s="2" t="s">
        <v>2903</v>
      </c>
      <c r="P729" s="2" t="s">
        <v>1127</v>
      </c>
      <c r="Q729" s="2" t="s">
        <v>1127</v>
      </c>
    </row>
    <row r="730" spans="1:17" ht="18" customHeight="1" x14ac:dyDescent="0.2">
      <c r="A730" s="35" t="s">
        <v>460</v>
      </c>
      <c r="B730" s="35" t="s">
        <v>461</v>
      </c>
      <c r="C730" s="35" t="s">
        <v>4182</v>
      </c>
      <c r="D730" s="35" t="s">
        <v>1389</v>
      </c>
      <c r="E730" s="35" t="s">
        <v>2764</v>
      </c>
      <c r="F730" s="4">
        <v>15</v>
      </c>
      <c r="G730" s="21">
        <v>2013</v>
      </c>
      <c r="H730" s="4" t="s">
        <v>2803</v>
      </c>
      <c r="I730" s="4" t="s">
        <v>2792</v>
      </c>
      <c r="J730" s="2" t="s">
        <v>2933</v>
      </c>
      <c r="K730" s="51" t="s">
        <v>2814</v>
      </c>
      <c r="M730" s="2" t="s">
        <v>2903</v>
      </c>
      <c r="P730" s="2" t="s">
        <v>1127</v>
      </c>
      <c r="Q730" s="2" t="s">
        <v>1127</v>
      </c>
    </row>
    <row r="731" spans="1:17" ht="18" customHeight="1" x14ac:dyDescent="0.2">
      <c r="A731" s="35" t="s">
        <v>460</v>
      </c>
      <c r="B731" s="35" t="s">
        <v>461</v>
      </c>
      <c r="C731" s="35" t="s">
        <v>4182</v>
      </c>
      <c r="D731" s="35" t="s">
        <v>1389</v>
      </c>
      <c r="E731" s="35" t="s">
        <v>2764</v>
      </c>
      <c r="F731" s="4">
        <v>16</v>
      </c>
      <c r="G731" s="21">
        <v>2014</v>
      </c>
      <c r="H731" s="4" t="s">
        <v>2804</v>
      </c>
      <c r="I731" s="4" t="s">
        <v>2792</v>
      </c>
      <c r="J731" s="2" t="s">
        <v>2933</v>
      </c>
      <c r="K731" s="51" t="s">
        <v>2814</v>
      </c>
      <c r="M731" s="2" t="s">
        <v>2903</v>
      </c>
      <c r="P731" s="2" t="s">
        <v>1127</v>
      </c>
      <c r="Q731" s="2" t="s">
        <v>1127</v>
      </c>
    </row>
    <row r="732" spans="1:17" ht="18" customHeight="1" x14ac:dyDescent="0.2">
      <c r="A732" s="35" t="s">
        <v>460</v>
      </c>
      <c r="B732" s="35" t="s">
        <v>461</v>
      </c>
      <c r="C732" s="35" t="s">
        <v>4182</v>
      </c>
      <c r="D732" s="35" t="s">
        <v>1389</v>
      </c>
      <c r="E732" s="35" t="s">
        <v>2764</v>
      </c>
      <c r="F732" s="4">
        <v>17</v>
      </c>
      <c r="G732" s="21">
        <v>2015</v>
      </c>
      <c r="H732" s="4" t="s">
        <v>2805</v>
      </c>
      <c r="I732" s="4" t="s">
        <v>2792</v>
      </c>
      <c r="J732" s="2" t="s">
        <v>2933</v>
      </c>
      <c r="K732" s="51" t="s">
        <v>2814</v>
      </c>
      <c r="M732" s="2" t="s">
        <v>2903</v>
      </c>
      <c r="P732" s="2" t="s">
        <v>1127</v>
      </c>
      <c r="Q732" s="2" t="s">
        <v>1127</v>
      </c>
    </row>
    <row r="733" spans="1:17" ht="18" customHeight="1" x14ac:dyDescent="0.2">
      <c r="A733" s="35" t="s">
        <v>460</v>
      </c>
      <c r="B733" s="35" t="s">
        <v>461</v>
      </c>
      <c r="C733" s="35" t="s">
        <v>4182</v>
      </c>
      <c r="D733" s="35" t="s">
        <v>1389</v>
      </c>
      <c r="E733" s="35" t="s">
        <v>2764</v>
      </c>
      <c r="F733" s="4">
        <v>18</v>
      </c>
      <c r="G733" s="21">
        <v>2016</v>
      </c>
      <c r="H733" s="4" t="s">
        <v>2806</v>
      </c>
      <c r="I733" s="4" t="s">
        <v>2792</v>
      </c>
      <c r="J733" s="2" t="s">
        <v>2933</v>
      </c>
      <c r="K733" s="51" t="s">
        <v>2814</v>
      </c>
      <c r="M733" s="2" t="s">
        <v>2903</v>
      </c>
      <c r="P733" s="2" t="s">
        <v>1127</v>
      </c>
      <c r="Q733" s="2" t="s">
        <v>1127</v>
      </c>
    </row>
    <row r="734" spans="1:17" ht="18" customHeight="1" x14ac:dyDescent="0.2">
      <c r="A734" s="35" t="s">
        <v>460</v>
      </c>
      <c r="B734" s="35" t="s">
        <v>461</v>
      </c>
      <c r="C734" s="35" t="s">
        <v>4182</v>
      </c>
      <c r="D734" s="35" t="s">
        <v>1389</v>
      </c>
      <c r="E734" s="35" t="s">
        <v>2764</v>
      </c>
      <c r="F734" s="4">
        <v>19</v>
      </c>
      <c r="G734" s="21">
        <v>2017</v>
      </c>
      <c r="H734" s="4" t="s">
        <v>2807</v>
      </c>
      <c r="I734" s="4" t="s">
        <v>2792</v>
      </c>
      <c r="J734" s="2" t="s">
        <v>2933</v>
      </c>
      <c r="K734" s="51" t="s">
        <v>2814</v>
      </c>
      <c r="M734" s="2" t="s">
        <v>2903</v>
      </c>
      <c r="P734" s="2" t="s">
        <v>1127</v>
      </c>
      <c r="Q734" s="2" t="s">
        <v>1127</v>
      </c>
    </row>
    <row r="735" spans="1:17" ht="18" customHeight="1" x14ac:dyDescent="0.2">
      <c r="A735" s="35" t="s">
        <v>460</v>
      </c>
      <c r="B735" s="35" t="s">
        <v>461</v>
      </c>
      <c r="C735" s="35" t="s">
        <v>4182</v>
      </c>
      <c r="D735" s="35" t="s">
        <v>1389</v>
      </c>
      <c r="E735" s="35" t="s">
        <v>2764</v>
      </c>
      <c r="F735" s="4">
        <v>20</v>
      </c>
      <c r="G735" s="21">
        <v>2018</v>
      </c>
      <c r="H735" s="4" t="s">
        <v>2808</v>
      </c>
      <c r="I735" s="4" t="s">
        <v>2792</v>
      </c>
      <c r="J735" s="2" t="s">
        <v>2933</v>
      </c>
      <c r="K735" s="51" t="s">
        <v>2814</v>
      </c>
      <c r="M735" s="2" t="s">
        <v>2903</v>
      </c>
      <c r="P735" s="2" t="s">
        <v>1127</v>
      </c>
      <c r="Q735" s="2" t="s">
        <v>1127</v>
      </c>
    </row>
    <row r="736" spans="1:17" ht="18" customHeight="1" x14ac:dyDescent="0.2">
      <c r="A736" s="35" t="s">
        <v>460</v>
      </c>
      <c r="B736" s="35" t="s">
        <v>461</v>
      </c>
      <c r="C736" s="35" t="s">
        <v>4182</v>
      </c>
      <c r="D736" s="35" t="s">
        <v>1389</v>
      </c>
      <c r="E736" s="35" t="s">
        <v>2764</v>
      </c>
      <c r="F736" s="4">
        <v>21</v>
      </c>
      <c r="G736" s="21">
        <v>2019</v>
      </c>
      <c r="H736" s="4" t="s">
        <v>2809</v>
      </c>
      <c r="I736" s="4" t="s">
        <v>2792</v>
      </c>
      <c r="J736" s="2" t="s">
        <v>2933</v>
      </c>
      <c r="K736" s="51" t="s">
        <v>2814</v>
      </c>
      <c r="M736" s="2" t="s">
        <v>2903</v>
      </c>
      <c r="P736" s="2" t="s">
        <v>1127</v>
      </c>
      <c r="Q736" s="2" t="s">
        <v>1127</v>
      </c>
    </row>
    <row r="737" spans="1:17" ht="18" customHeight="1" x14ac:dyDescent="0.2">
      <c r="A737" s="23" t="s">
        <v>460</v>
      </c>
      <c r="B737" s="23" t="s">
        <v>2904</v>
      </c>
      <c r="C737" s="23" t="s">
        <v>4182</v>
      </c>
      <c r="D737" s="23" t="s">
        <v>1630</v>
      </c>
      <c r="E737" s="23" t="s">
        <v>2905</v>
      </c>
      <c r="F737" s="2">
        <v>1</v>
      </c>
      <c r="G737" s="21">
        <v>1999</v>
      </c>
      <c r="H737" s="4" t="s">
        <v>2906</v>
      </c>
      <c r="I737" s="4" t="s">
        <v>732</v>
      </c>
      <c r="J737" s="4" t="s">
        <v>2907</v>
      </c>
      <c r="K737" s="2" t="s">
        <v>725</v>
      </c>
      <c r="M737" s="2" t="s">
        <v>8</v>
      </c>
      <c r="P737" s="2" t="s">
        <v>1127</v>
      </c>
      <c r="Q737" s="2" t="s">
        <v>1127</v>
      </c>
    </row>
    <row r="738" spans="1:17" ht="18" customHeight="1" x14ac:dyDescent="0.2">
      <c r="A738" s="23" t="s">
        <v>460</v>
      </c>
      <c r="B738" s="23" t="s">
        <v>2904</v>
      </c>
      <c r="C738" s="23" t="s">
        <v>4182</v>
      </c>
      <c r="D738" s="23" t="s">
        <v>1630</v>
      </c>
      <c r="E738" s="23" t="s">
        <v>2905</v>
      </c>
      <c r="F738" s="2">
        <v>2</v>
      </c>
      <c r="G738" s="21">
        <v>2000</v>
      </c>
      <c r="H738" s="4" t="s">
        <v>2909</v>
      </c>
      <c r="I738" s="4" t="s">
        <v>732</v>
      </c>
      <c r="J738" s="4" t="s">
        <v>2907</v>
      </c>
      <c r="K738" s="2" t="s">
        <v>725</v>
      </c>
      <c r="M738" s="2" t="s">
        <v>8</v>
      </c>
      <c r="P738" s="2" t="s">
        <v>1127</v>
      </c>
      <c r="Q738" s="2" t="s">
        <v>1127</v>
      </c>
    </row>
    <row r="739" spans="1:17" ht="18" customHeight="1" x14ac:dyDescent="0.2">
      <c r="A739" s="23" t="s">
        <v>460</v>
      </c>
      <c r="B739" s="23" t="s">
        <v>2904</v>
      </c>
      <c r="C739" s="23" t="s">
        <v>4182</v>
      </c>
      <c r="D739" s="23" t="s">
        <v>1630</v>
      </c>
      <c r="E739" s="23" t="s">
        <v>2905</v>
      </c>
      <c r="F739" s="2">
        <v>3</v>
      </c>
      <c r="G739" s="21">
        <v>2001</v>
      </c>
      <c r="H739" s="4" t="s">
        <v>2910</v>
      </c>
      <c r="I739" s="4" t="s">
        <v>732</v>
      </c>
      <c r="J739" s="4" t="s">
        <v>2907</v>
      </c>
      <c r="K739" s="2" t="s">
        <v>725</v>
      </c>
      <c r="M739" s="2" t="s">
        <v>8</v>
      </c>
      <c r="P739" s="2" t="s">
        <v>1127</v>
      </c>
      <c r="Q739" s="2" t="s">
        <v>1127</v>
      </c>
    </row>
    <row r="740" spans="1:17" ht="18" customHeight="1" x14ac:dyDescent="0.2">
      <c r="A740" s="23" t="s">
        <v>460</v>
      </c>
      <c r="B740" s="23" t="s">
        <v>2904</v>
      </c>
      <c r="C740" s="23" t="s">
        <v>4182</v>
      </c>
      <c r="D740" s="23" t="s">
        <v>1630</v>
      </c>
      <c r="E740" s="23" t="s">
        <v>2905</v>
      </c>
      <c r="F740" s="2">
        <v>4</v>
      </c>
      <c r="G740" s="21">
        <v>2002</v>
      </c>
      <c r="H740" s="4" t="s">
        <v>2911</v>
      </c>
      <c r="I740" s="4" t="s">
        <v>732</v>
      </c>
      <c r="J740" s="4" t="s">
        <v>2907</v>
      </c>
      <c r="K740" s="2" t="s">
        <v>725</v>
      </c>
      <c r="M740" s="2" t="s">
        <v>8</v>
      </c>
      <c r="P740" s="2" t="s">
        <v>1127</v>
      </c>
      <c r="Q740" s="2" t="s">
        <v>1127</v>
      </c>
    </row>
    <row r="741" spans="1:17" ht="18" customHeight="1" x14ac:dyDescent="0.2">
      <c r="A741" s="23" t="s">
        <v>460</v>
      </c>
      <c r="B741" s="23" t="s">
        <v>2904</v>
      </c>
      <c r="C741" s="23" t="s">
        <v>4182</v>
      </c>
      <c r="D741" s="23" t="s">
        <v>1630</v>
      </c>
      <c r="E741" s="23" t="s">
        <v>2905</v>
      </c>
      <c r="F741" s="2">
        <v>5</v>
      </c>
      <c r="G741" s="21">
        <v>2003</v>
      </c>
      <c r="H741" s="4" t="s">
        <v>2912</v>
      </c>
      <c r="I741" s="4" t="s">
        <v>732</v>
      </c>
      <c r="J741" s="4" t="s">
        <v>2907</v>
      </c>
      <c r="K741" s="2" t="s">
        <v>725</v>
      </c>
      <c r="M741" s="2" t="s">
        <v>8</v>
      </c>
      <c r="P741" s="2" t="s">
        <v>1127</v>
      </c>
      <c r="Q741" s="2" t="s">
        <v>1127</v>
      </c>
    </row>
    <row r="742" spans="1:17" ht="18" customHeight="1" x14ac:dyDescent="0.2">
      <c r="A742" s="23" t="s">
        <v>460</v>
      </c>
      <c r="B742" s="23" t="s">
        <v>2904</v>
      </c>
      <c r="C742" s="23" t="s">
        <v>4182</v>
      </c>
      <c r="D742" s="23" t="s">
        <v>1630</v>
      </c>
      <c r="E742" s="23" t="s">
        <v>2905</v>
      </c>
      <c r="F742" s="2">
        <v>6</v>
      </c>
      <c r="G742" s="21">
        <v>2004</v>
      </c>
      <c r="H742" s="4" t="s">
        <v>2913</v>
      </c>
      <c r="I742" s="4" t="s">
        <v>732</v>
      </c>
      <c r="J742" s="4" t="s">
        <v>2907</v>
      </c>
      <c r="K742" s="2" t="s">
        <v>725</v>
      </c>
      <c r="M742" s="2" t="s">
        <v>8</v>
      </c>
      <c r="P742" s="2" t="s">
        <v>1127</v>
      </c>
      <c r="Q742" s="2" t="s">
        <v>1127</v>
      </c>
    </row>
    <row r="743" spans="1:17" ht="18" customHeight="1" x14ac:dyDescent="0.2">
      <c r="A743" s="23" t="s">
        <v>460</v>
      </c>
      <c r="B743" s="23" t="s">
        <v>2904</v>
      </c>
      <c r="C743" s="23" t="s">
        <v>4182</v>
      </c>
      <c r="D743" s="23" t="s">
        <v>1630</v>
      </c>
      <c r="E743" s="23" t="s">
        <v>2905</v>
      </c>
      <c r="F743" s="2">
        <v>7</v>
      </c>
      <c r="G743" s="21">
        <v>2005</v>
      </c>
      <c r="H743" s="4" t="s">
        <v>2914</v>
      </c>
      <c r="I743" s="4" t="s">
        <v>732</v>
      </c>
      <c r="J743" s="4" t="s">
        <v>2907</v>
      </c>
      <c r="K743" s="2" t="s">
        <v>725</v>
      </c>
      <c r="M743" s="2" t="s">
        <v>8</v>
      </c>
      <c r="P743" s="2" t="s">
        <v>1127</v>
      </c>
      <c r="Q743" s="2" t="s">
        <v>1127</v>
      </c>
    </row>
    <row r="744" spans="1:17" ht="18" customHeight="1" x14ac:dyDescent="0.2">
      <c r="A744" s="23" t="s">
        <v>460</v>
      </c>
      <c r="B744" s="23" t="s">
        <v>2904</v>
      </c>
      <c r="C744" s="23" t="s">
        <v>4182</v>
      </c>
      <c r="D744" s="23" t="s">
        <v>1630</v>
      </c>
      <c r="E744" s="23" t="s">
        <v>2905</v>
      </c>
      <c r="F744" s="2">
        <v>8</v>
      </c>
      <c r="G744" s="21">
        <v>2006</v>
      </c>
      <c r="H744" s="4" t="s">
        <v>2915</v>
      </c>
      <c r="I744" s="4" t="s">
        <v>732</v>
      </c>
      <c r="J744" s="4" t="s">
        <v>2907</v>
      </c>
      <c r="K744" s="2" t="s">
        <v>725</v>
      </c>
      <c r="M744" s="2" t="s">
        <v>8</v>
      </c>
      <c r="P744" s="2" t="s">
        <v>1127</v>
      </c>
      <c r="Q744" s="2" t="s">
        <v>1127</v>
      </c>
    </row>
    <row r="745" spans="1:17" ht="18" customHeight="1" x14ac:dyDescent="0.2">
      <c r="A745" s="23" t="s">
        <v>460</v>
      </c>
      <c r="B745" s="23" t="s">
        <v>2904</v>
      </c>
      <c r="C745" s="23" t="s">
        <v>4182</v>
      </c>
      <c r="D745" s="23" t="s">
        <v>1630</v>
      </c>
      <c r="E745" s="23" t="s">
        <v>2905</v>
      </c>
      <c r="F745" s="2">
        <v>9</v>
      </c>
      <c r="G745" s="21">
        <v>2007</v>
      </c>
      <c r="H745" s="4" t="s">
        <v>2916</v>
      </c>
      <c r="I745" s="4" t="s">
        <v>732</v>
      </c>
      <c r="J745" s="4" t="s">
        <v>2907</v>
      </c>
      <c r="K745" s="2" t="s">
        <v>725</v>
      </c>
      <c r="M745" s="2" t="s">
        <v>8</v>
      </c>
      <c r="P745" s="2" t="s">
        <v>1127</v>
      </c>
      <c r="Q745" s="2" t="s">
        <v>1127</v>
      </c>
    </row>
    <row r="746" spans="1:17" ht="18" customHeight="1" x14ac:dyDescent="0.2">
      <c r="A746" s="23" t="s">
        <v>460</v>
      </c>
      <c r="B746" s="23" t="s">
        <v>2904</v>
      </c>
      <c r="C746" s="23" t="s">
        <v>4182</v>
      </c>
      <c r="D746" s="23" t="s">
        <v>1630</v>
      </c>
      <c r="E746" s="23" t="s">
        <v>2905</v>
      </c>
      <c r="F746" s="2">
        <v>10</v>
      </c>
      <c r="G746" s="21">
        <v>2008</v>
      </c>
      <c r="H746" s="4" t="s">
        <v>2917</v>
      </c>
      <c r="I746" s="4" t="s">
        <v>732</v>
      </c>
      <c r="J746" s="4" t="s">
        <v>2907</v>
      </c>
      <c r="K746" s="2" t="s">
        <v>725</v>
      </c>
      <c r="M746" s="2" t="s">
        <v>8</v>
      </c>
      <c r="P746" s="2" t="s">
        <v>1127</v>
      </c>
      <c r="Q746" s="2" t="s">
        <v>1127</v>
      </c>
    </row>
    <row r="747" spans="1:17" ht="18" customHeight="1" x14ac:dyDescent="0.2">
      <c r="A747" s="23" t="s">
        <v>460</v>
      </c>
      <c r="B747" s="23" t="s">
        <v>2904</v>
      </c>
      <c r="C747" s="23" t="s">
        <v>4182</v>
      </c>
      <c r="D747" s="23" t="s">
        <v>1630</v>
      </c>
      <c r="E747" s="23" t="s">
        <v>2905</v>
      </c>
      <c r="F747" s="2">
        <v>11</v>
      </c>
      <c r="G747" s="21">
        <v>2009</v>
      </c>
      <c r="H747" s="4" t="s">
        <v>2918</v>
      </c>
      <c r="I747" s="4" t="s">
        <v>732</v>
      </c>
      <c r="J747" s="4" t="s">
        <v>2907</v>
      </c>
      <c r="K747" s="2" t="s">
        <v>725</v>
      </c>
      <c r="M747" s="2" t="s">
        <v>8</v>
      </c>
      <c r="P747" s="2" t="s">
        <v>1127</v>
      </c>
      <c r="Q747" s="2" t="s">
        <v>1127</v>
      </c>
    </row>
    <row r="748" spans="1:17" ht="18" customHeight="1" x14ac:dyDescent="0.2">
      <c r="A748" s="23" t="s">
        <v>460</v>
      </c>
      <c r="B748" s="23" t="s">
        <v>2904</v>
      </c>
      <c r="C748" s="23" t="s">
        <v>4182</v>
      </c>
      <c r="D748" s="23" t="s">
        <v>1630</v>
      </c>
      <c r="E748" s="23" t="s">
        <v>2905</v>
      </c>
      <c r="F748" s="2">
        <v>12</v>
      </c>
      <c r="G748" s="21">
        <v>2010</v>
      </c>
      <c r="H748" s="4" t="s">
        <v>2919</v>
      </c>
      <c r="I748" s="4" t="s">
        <v>732</v>
      </c>
      <c r="J748" s="4" t="s">
        <v>2907</v>
      </c>
      <c r="K748" s="2" t="s">
        <v>725</v>
      </c>
      <c r="M748" s="2" t="s">
        <v>8</v>
      </c>
      <c r="P748" s="2" t="s">
        <v>1127</v>
      </c>
      <c r="Q748" s="2" t="s">
        <v>1127</v>
      </c>
    </row>
    <row r="749" spans="1:17" ht="18" customHeight="1" x14ac:dyDescent="0.2">
      <c r="A749" s="23" t="s">
        <v>460</v>
      </c>
      <c r="B749" s="23" t="s">
        <v>2904</v>
      </c>
      <c r="C749" s="23" t="s">
        <v>4182</v>
      </c>
      <c r="D749" s="23" t="s">
        <v>1630</v>
      </c>
      <c r="E749" s="23" t="s">
        <v>2905</v>
      </c>
      <c r="F749" s="2">
        <v>13</v>
      </c>
      <c r="G749" s="21">
        <v>2011</v>
      </c>
      <c r="H749" s="4" t="s">
        <v>2920</v>
      </c>
      <c r="I749" s="4" t="s">
        <v>732</v>
      </c>
      <c r="J749" s="4" t="s">
        <v>2907</v>
      </c>
      <c r="K749" s="2" t="s">
        <v>725</v>
      </c>
      <c r="M749" s="2" t="s">
        <v>8</v>
      </c>
      <c r="P749" s="2" t="s">
        <v>1127</v>
      </c>
      <c r="Q749" s="2" t="s">
        <v>1127</v>
      </c>
    </row>
    <row r="750" spans="1:17" ht="18" customHeight="1" x14ac:dyDescent="0.2">
      <c r="A750" s="23" t="s">
        <v>460</v>
      </c>
      <c r="B750" s="23" t="s">
        <v>2904</v>
      </c>
      <c r="C750" s="23" t="s">
        <v>4182</v>
      </c>
      <c r="D750" s="23" t="s">
        <v>1630</v>
      </c>
      <c r="E750" s="23" t="s">
        <v>2905</v>
      </c>
      <c r="F750" s="2">
        <v>14</v>
      </c>
      <c r="G750" s="21">
        <v>2012</v>
      </c>
      <c r="H750" s="4" t="s">
        <v>2921</v>
      </c>
      <c r="I750" s="4" t="s">
        <v>732</v>
      </c>
      <c r="J750" s="4" t="s">
        <v>2907</v>
      </c>
      <c r="K750" s="2" t="s">
        <v>725</v>
      </c>
      <c r="M750" s="2" t="s">
        <v>8</v>
      </c>
      <c r="P750" s="2" t="s">
        <v>1127</v>
      </c>
      <c r="Q750" s="2" t="s">
        <v>1127</v>
      </c>
    </row>
    <row r="751" spans="1:17" ht="18" customHeight="1" x14ac:dyDescent="0.2">
      <c r="A751" s="23" t="s">
        <v>460</v>
      </c>
      <c r="B751" s="23" t="s">
        <v>2904</v>
      </c>
      <c r="C751" s="23" t="s">
        <v>4182</v>
      </c>
      <c r="D751" s="23" t="s">
        <v>1630</v>
      </c>
      <c r="E751" s="23" t="s">
        <v>2905</v>
      </c>
      <c r="F751" s="2">
        <v>15</v>
      </c>
      <c r="G751" s="21">
        <v>2013</v>
      </c>
      <c r="H751" s="4" t="s">
        <v>2922</v>
      </c>
      <c r="I751" s="4" t="s">
        <v>732</v>
      </c>
      <c r="J751" s="4" t="s">
        <v>2907</v>
      </c>
      <c r="K751" s="2" t="s">
        <v>725</v>
      </c>
      <c r="M751" s="2" t="s">
        <v>8</v>
      </c>
      <c r="P751" s="2" t="s">
        <v>1127</v>
      </c>
      <c r="Q751" s="2" t="s">
        <v>1127</v>
      </c>
    </row>
    <row r="752" spans="1:17" ht="18" customHeight="1" x14ac:dyDescent="0.2">
      <c r="A752" s="23" t="s">
        <v>460</v>
      </c>
      <c r="B752" s="23" t="s">
        <v>2904</v>
      </c>
      <c r="C752" s="23" t="s">
        <v>4182</v>
      </c>
      <c r="D752" s="23" t="s">
        <v>1630</v>
      </c>
      <c r="E752" s="23" t="s">
        <v>2905</v>
      </c>
      <c r="F752" s="2">
        <v>16</v>
      </c>
      <c r="G752" s="21">
        <v>2014</v>
      </c>
      <c r="H752" s="4" t="s">
        <v>2923</v>
      </c>
      <c r="I752" s="4" t="s">
        <v>732</v>
      </c>
      <c r="J752" s="4" t="s">
        <v>2907</v>
      </c>
      <c r="K752" s="2" t="s">
        <v>725</v>
      </c>
      <c r="M752" s="2" t="s">
        <v>8</v>
      </c>
      <c r="P752" s="2" t="s">
        <v>1127</v>
      </c>
      <c r="Q752" s="2" t="s">
        <v>1127</v>
      </c>
    </row>
    <row r="753" spans="1:17" ht="18" customHeight="1" x14ac:dyDescent="0.2">
      <c r="A753" s="23" t="s">
        <v>460</v>
      </c>
      <c r="B753" s="23" t="s">
        <v>2904</v>
      </c>
      <c r="C753" s="23" t="s">
        <v>4182</v>
      </c>
      <c r="D753" s="23" t="s">
        <v>1630</v>
      </c>
      <c r="E753" s="23" t="s">
        <v>2905</v>
      </c>
      <c r="F753" s="2">
        <v>17</v>
      </c>
      <c r="G753" s="21">
        <v>2015</v>
      </c>
      <c r="H753" s="4" t="s">
        <v>2924</v>
      </c>
      <c r="I753" s="4" t="s">
        <v>732</v>
      </c>
      <c r="J753" s="4" t="s">
        <v>2907</v>
      </c>
      <c r="K753" s="2" t="s">
        <v>725</v>
      </c>
      <c r="M753" s="2" t="s">
        <v>8</v>
      </c>
      <c r="P753" s="2" t="s">
        <v>1127</v>
      </c>
      <c r="Q753" s="2" t="s">
        <v>1127</v>
      </c>
    </row>
    <row r="754" spans="1:17" ht="18" customHeight="1" x14ac:dyDescent="0.2">
      <c r="A754" s="23" t="s">
        <v>460</v>
      </c>
      <c r="B754" s="23" t="s">
        <v>2904</v>
      </c>
      <c r="C754" s="23" t="s">
        <v>4182</v>
      </c>
      <c r="D754" s="23" t="s">
        <v>1630</v>
      </c>
      <c r="E754" s="23" t="s">
        <v>2905</v>
      </c>
      <c r="F754" s="2">
        <v>18</v>
      </c>
      <c r="G754" s="21">
        <v>2016</v>
      </c>
      <c r="H754" s="4" t="s">
        <v>2925</v>
      </c>
      <c r="I754" s="4" t="s">
        <v>732</v>
      </c>
      <c r="J754" s="4" t="s">
        <v>2907</v>
      </c>
      <c r="K754" s="2" t="s">
        <v>725</v>
      </c>
      <c r="M754" s="2" t="s">
        <v>8</v>
      </c>
      <c r="P754" s="2" t="s">
        <v>1127</v>
      </c>
      <c r="Q754" s="2" t="s">
        <v>1127</v>
      </c>
    </row>
    <row r="755" spans="1:17" ht="18" customHeight="1" x14ac:dyDescent="0.2">
      <c r="A755" s="23" t="s">
        <v>460</v>
      </c>
      <c r="B755" s="23" t="s">
        <v>2904</v>
      </c>
      <c r="C755" s="23" t="s">
        <v>4182</v>
      </c>
      <c r="D755" s="23" t="s">
        <v>1630</v>
      </c>
      <c r="E755" s="23" t="s">
        <v>2905</v>
      </c>
      <c r="F755" s="2">
        <v>19</v>
      </c>
      <c r="G755" s="21">
        <v>2017</v>
      </c>
      <c r="H755" s="4" t="s">
        <v>2926</v>
      </c>
      <c r="I755" s="4" t="s">
        <v>732</v>
      </c>
      <c r="J755" s="4" t="s">
        <v>2907</v>
      </c>
      <c r="K755" s="2" t="s">
        <v>725</v>
      </c>
      <c r="M755" s="2" t="s">
        <v>8</v>
      </c>
      <c r="P755" s="2" t="s">
        <v>1127</v>
      </c>
      <c r="Q755" s="2" t="s">
        <v>1127</v>
      </c>
    </row>
    <row r="756" spans="1:17" ht="18" customHeight="1" x14ac:dyDescent="0.2">
      <c r="A756" s="23" t="s">
        <v>460</v>
      </c>
      <c r="B756" s="23" t="s">
        <v>2904</v>
      </c>
      <c r="C756" s="23" t="s">
        <v>4182</v>
      </c>
      <c r="D756" s="23" t="s">
        <v>1630</v>
      </c>
      <c r="E756" s="23" t="s">
        <v>2905</v>
      </c>
      <c r="F756" s="2">
        <v>20</v>
      </c>
      <c r="G756" s="21">
        <v>2018</v>
      </c>
      <c r="H756" s="4" t="s">
        <v>2927</v>
      </c>
      <c r="I756" s="4" t="s">
        <v>732</v>
      </c>
      <c r="J756" s="4" t="s">
        <v>2907</v>
      </c>
      <c r="K756" s="2" t="s">
        <v>725</v>
      </c>
      <c r="M756" s="2" t="s">
        <v>8</v>
      </c>
      <c r="P756" s="2" t="s">
        <v>1127</v>
      </c>
      <c r="Q756" s="2" t="s">
        <v>1127</v>
      </c>
    </row>
    <row r="757" spans="1:17" ht="18" customHeight="1" x14ac:dyDescent="0.2">
      <c r="A757" s="23" t="s">
        <v>460</v>
      </c>
      <c r="B757" s="23" t="s">
        <v>2904</v>
      </c>
      <c r="C757" s="23" t="s">
        <v>4182</v>
      </c>
      <c r="D757" s="23" t="s">
        <v>1630</v>
      </c>
      <c r="E757" s="23" t="s">
        <v>2905</v>
      </c>
      <c r="F757" s="2">
        <v>21</v>
      </c>
      <c r="G757" s="21">
        <v>2019</v>
      </c>
      <c r="H757" s="4" t="s">
        <v>2928</v>
      </c>
      <c r="I757" s="4" t="s">
        <v>732</v>
      </c>
      <c r="J757" s="4" t="s">
        <v>2907</v>
      </c>
      <c r="K757" s="2" t="s">
        <v>725</v>
      </c>
      <c r="M757" s="2" t="s">
        <v>8</v>
      </c>
      <c r="P757" s="2" t="s">
        <v>1127</v>
      </c>
      <c r="Q757" s="2" t="s">
        <v>1127</v>
      </c>
    </row>
    <row r="758" spans="1:17" ht="18" customHeight="1" x14ac:dyDescent="0.2">
      <c r="A758" s="20" t="s">
        <v>460</v>
      </c>
      <c r="B758" s="20" t="s">
        <v>461</v>
      </c>
      <c r="C758" s="20" t="s">
        <v>4182</v>
      </c>
      <c r="D758" s="20" t="s">
        <v>1635</v>
      </c>
      <c r="E758" s="20" t="s">
        <v>2934</v>
      </c>
      <c r="F758" s="2">
        <v>1</v>
      </c>
      <c r="G758" s="21">
        <v>1999</v>
      </c>
      <c r="H758" s="4" t="s">
        <v>2935</v>
      </c>
      <c r="I758" s="4" t="s">
        <v>2936</v>
      </c>
      <c r="J758" s="2" t="s">
        <v>2937</v>
      </c>
      <c r="K758" s="22" t="s">
        <v>2938</v>
      </c>
      <c r="M758" s="2" t="s">
        <v>8</v>
      </c>
      <c r="N758" s="2">
        <v>0</v>
      </c>
      <c r="O758" s="2">
        <v>10</v>
      </c>
      <c r="P758" s="2" t="s">
        <v>2175</v>
      </c>
      <c r="Q758" s="2" t="s">
        <v>3462</v>
      </c>
    </row>
    <row r="759" spans="1:17" ht="18" customHeight="1" x14ac:dyDescent="0.2">
      <c r="A759" s="20" t="s">
        <v>460</v>
      </c>
      <c r="B759" s="20" t="s">
        <v>461</v>
      </c>
      <c r="C759" s="20" t="s">
        <v>4182</v>
      </c>
      <c r="D759" s="20" t="s">
        <v>1635</v>
      </c>
      <c r="E759" s="20" t="s">
        <v>2934</v>
      </c>
      <c r="F759" s="2">
        <v>2</v>
      </c>
      <c r="G759" s="21">
        <v>2000</v>
      </c>
      <c r="H759" s="4" t="s">
        <v>2939</v>
      </c>
      <c r="I759" s="4" t="s">
        <v>2936</v>
      </c>
      <c r="J759" s="2" t="s">
        <v>2937</v>
      </c>
      <c r="K759" s="22" t="s">
        <v>2938</v>
      </c>
      <c r="M759" s="2" t="s">
        <v>8</v>
      </c>
      <c r="N759" s="2">
        <v>0</v>
      </c>
      <c r="O759" s="2">
        <v>10</v>
      </c>
      <c r="P759" s="2" t="s">
        <v>2175</v>
      </c>
      <c r="Q759" s="2" t="s">
        <v>3462</v>
      </c>
    </row>
    <row r="760" spans="1:17" ht="18" customHeight="1" x14ac:dyDescent="0.2">
      <c r="A760" s="20" t="s">
        <v>460</v>
      </c>
      <c r="B760" s="20" t="s">
        <v>461</v>
      </c>
      <c r="C760" s="20" t="s">
        <v>4182</v>
      </c>
      <c r="D760" s="20" t="s">
        <v>1635</v>
      </c>
      <c r="E760" s="20" t="s">
        <v>2934</v>
      </c>
      <c r="F760" s="2">
        <v>3</v>
      </c>
      <c r="G760" s="21">
        <v>2001</v>
      </c>
      <c r="H760" s="4" t="s">
        <v>2940</v>
      </c>
      <c r="I760" s="4" t="s">
        <v>2936</v>
      </c>
      <c r="J760" s="2" t="s">
        <v>2937</v>
      </c>
      <c r="K760" s="22" t="s">
        <v>2938</v>
      </c>
      <c r="M760" s="2" t="s">
        <v>8</v>
      </c>
      <c r="N760" s="2">
        <v>0</v>
      </c>
      <c r="O760" s="2">
        <v>10</v>
      </c>
      <c r="P760" s="2" t="s">
        <v>2175</v>
      </c>
      <c r="Q760" s="2" t="s">
        <v>3462</v>
      </c>
    </row>
    <row r="761" spans="1:17" ht="18" customHeight="1" x14ac:dyDescent="0.2">
      <c r="A761" s="20" t="s">
        <v>460</v>
      </c>
      <c r="B761" s="20" t="s">
        <v>461</v>
      </c>
      <c r="C761" s="20" t="s">
        <v>4182</v>
      </c>
      <c r="D761" s="20" t="s">
        <v>1635</v>
      </c>
      <c r="E761" s="20" t="s">
        <v>2934</v>
      </c>
      <c r="F761" s="2">
        <v>4</v>
      </c>
      <c r="G761" s="21">
        <v>2002</v>
      </c>
      <c r="H761" s="4" t="s">
        <v>2941</v>
      </c>
      <c r="I761" s="4" t="s">
        <v>2936</v>
      </c>
      <c r="J761" s="2" t="s">
        <v>2937</v>
      </c>
      <c r="K761" s="22" t="s">
        <v>2938</v>
      </c>
      <c r="M761" s="2" t="s">
        <v>8</v>
      </c>
      <c r="N761" s="2">
        <v>0</v>
      </c>
      <c r="O761" s="2">
        <v>10</v>
      </c>
      <c r="P761" s="2" t="s">
        <v>2175</v>
      </c>
      <c r="Q761" s="2" t="s">
        <v>3462</v>
      </c>
    </row>
    <row r="762" spans="1:17" ht="18" customHeight="1" x14ac:dyDescent="0.2">
      <c r="A762" s="20" t="s">
        <v>460</v>
      </c>
      <c r="B762" s="20" t="s">
        <v>461</v>
      </c>
      <c r="C762" s="20" t="s">
        <v>4182</v>
      </c>
      <c r="D762" s="20" t="s">
        <v>1635</v>
      </c>
      <c r="E762" s="20" t="s">
        <v>2934</v>
      </c>
      <c r="F762" s="2">
        <v>5</v>
      </c>
      <c r="G762" s="21">
        <v>2003</v>
      </c>
      <c r="H762" s="4" t="s">
        <v>2942</v>
      </c>
      <c r="I762" s="4" t="s">
        <v>2936</v>
      </c>
      <c r="J762" s="2" t="s">
        <v>2937</v>
      </c>
      <c r="K762" s="22" t="s">
        <v>2938</v>
      </c>
      <c r="M762" s="2" t="s">
        <v>8</v>
      </c>
      <c r="N762" s="2">
        <v>0</v>
      </c>
      <c r="O762" s="2">
        <v>10</v>
      </c>
      <c r="P762" s="2" t="s">
        <v>2175</v>
      </c>
      <c r="Q762" s="2" t="s">
        <v>3462</v>
      </c>
    </row>
    <row r="763" spans="1:17" ht="18" customHeight="1" x14ac:dyDescent="0.2">
      <c r="A763" s="20" t="s">
        <v>460</v>
      </c>
      <c r="B763" s="20" t="s">
        <v>461</v>
      </c>
      <c r="C763" s="20" t="s">
        <v>4182</v>
      </c>
      <c r="D763" s="20" t="s">
        <v>1635</v>
      </c>
      <c r="E763" s="20" t="s">
        <v>2934</v>
      </c>
      <c r="F763" s="2">
        <v>6</v>
      </c>
      <c r="G763" s="21">
        <v>2004</v>
      </c>
      <c r="H763" s="4" t="s">
        <v>2943</v>
      </c>
      <c r="I763" s="4" t="s">
        <v>2936</v>
      </c>
      <c r="J763" s="2" t="s">
        <v>2937</v>
      </c>
      <c r="K763" s="22" t="s">
        <v>2938</v>
      </c>
      <c r="M763" s="2" t="s">
        <v>8</v>
      </c>
      <c r="N763" s="2">
        <v>0</v>
      </c>
      <c r="O763" s="2">
        <v>10</v>
      </c>
      <c r="P763" s="2" t="s">
        <v>2175</v>
      </c>
      <c r="Q763" s="2" t="s">
        <v>3462</v>
      </c>
    </row>
    <row r="764" spans="1:17" ht="18" customHeight="1" x14ac:dyDescent="0.2">
      <c r="A764" s="20" t="s">
        <v>460</v>
      </c>
      <c r="B764" s="20" t="s">
        <v>461</v>
      </c>
      <c r="C764" s="20" t="s">
        <v>4182</v>
      </c>
      <c r="D764" s="20" t="s">
        <v>1635</v>
      </c>
      <c r="E764" s="20" t="s">
        <v>2934</v>
      </c>
      <c r="F764" s="2">
        <v>7</v>
      </c>
      <c r="G764" s="21">
        <v>2005</v>
      </c>
      <c r="H764" s="4" t="s">
        <v>2944</v>
      </c>
      <c r="I764" s="4" t="s">
        <v>2936</v>
      </c>
      <c r="J764" s="2" t="s">
        <v>2937</v>
      </c>
      <c r="K764" s="22" t="s">
        <v>2938</v>
      </c>
      <c r="M764" s="2" t="s">
        <v>8</v>
      </c>
      <c r="N764" s="2">
        <v>0</v>
      </c>
      <c r="O764" s="2">
        <v>10</v>
      </c>
      <c r="P764" s="2" t="s">
        <v>2175</v>
      </c>
      <c r="Q764" s="2" t="s">
        <v>3462</v>
      </c>
    </row>
    <row r="765" spans="1:17" ht="18" customHeight="1" x14ac:dyDescent="0.2">
      <c r="A765" s="20" t="s">
        <v>460</v>
      </c>
      <c r="B765" s="20" t="s">
        <v>461</v>
      </c>
      <c r="C765" s="20" t="s">
        <v>4182</v>
      </c>
      <c r="D765" s="20" t="s">
        <v>1635</v>
      </c>
      <c r="E765" s="20" t="s">
        <v>2934</v>
      </c>
      <c r="F765" s="2">
        <v>8</v>
      </c>
      <c r="G765" s="21">
        <v>2006</v>
      </c>
      <c r="H765" s="4" t="s">
        <v>2945</v>
      </c>
      <c r="I765" s="4" t="s">
        <v>2936</v>
      </c>
      <c r="J765" s="2" t="s">
        <v>2937</v>
      </c>
      <c r="K765" s="22" t="s">
        <v>2938</v>
      </c>
      <c r="M765" s="2" t="s">
        <v>8</v>
      </c>
      <c r="N765" s="2">
        <v>0</v>
      </c>
      <c r="O765" s="2">
        <v>10</v>
      </c>
      <c r="P765" s="2" t="s">
        <v>2175</v>
      </c>
      <c r="Q765" s="2" t="s">
        <v>3462</v>
      </c>
    </row>
    <row r="766" spans="1:17" ht="18" customHeight="1" x14ac:dyDescent="0.2">
      <c r="A766" s="20" t="s">
        <v>460</v>
      </c>
      <c r="B766" s="20" t="s">
        <v>461</v>
      </c>
      <c r="C766" s="20" t="s">
        <v>4182</v>
      </c>
      <c r="D766" s="20" t="s">
        <v>1635</v>
      </c>
      <c r="E766" s="20" t="s">
        <v>2934</v>
      </c>
      <c r="F766" s="2">
        <v>9</v>
      </c>
      <c r="G766" s="21">
        <v>2007</v>
      </c>
      <c r="H766" s="4" t="s">
        <v>2946</v>
      </c>
      <c r="I766" s="4" t="s">
        <v>2936</v>
      </c>
      <c r="J766" s="2" t="s">
        <v>2937</v>
      </c>
      <c r="K766" s="22" t="s">
        <v>2938</v>
      </c>
      <c r="M766" s="2" t="s">
        <v>8</v>
      </c>
      <c r="N766" s="2">
        <v>0</v>
      </c>
      <c r="O766" s="2">
        <v>10</v>
      </c>
      <c r="P766" s="2" t="s">
        <v>2175</v>
      </c>
      <c r="Q766" s="2" t="s">
        <v>3462</v>
      </c>
    </row>
    <row r="767" spans="1:17" ht="18" customHeight="1" x14ac:dyDescent="0.2">
      <c r="A767" s="20" t="s">
        <v>460</v>
      </c>
      <c r="B767" s="20" t="s">
        <v>461</v>
      </c>
      <c r="C767" s="20" t="s">
        <v>4182</v>
      </c>
      <c r="D767" s="20" t="s">
        <v>1635</v>
      </c>
      <c r="E767" s="20" t="s">
        <v>2934</v>
      </c>
      <c r="F767" s="2">
        <v>10</v>
      </c>
      <c r="G767" s="21">
        <v>2008</v>
      </c>
      <c r="H767" s="4" t="s">
        <v>2947</v>
      </c>
      <c r="I767" s="4" t="s">
        <v>2936</v>
      </c>
      <c r="J767" s="2" t="s">
        <v>2937</v>
      </c>
      <c r="K767" s="22" t="s">
        <v>2938</v>
      </c>
      <c r="M767" s="2" t="s">
        <v>8</v>
      </c>
      <c r="N767" s="2">
        <v>0</v>
      </c>
      <c r="O767" s="2">
        <v>10</v>
      </c>
      <c r="P767" s="2" t="s">
        <v>2175</v>
      </c>
      <c r="Q767" s="2" t="s">
        <v>3462</v>
      </c>
    </row>
    <row r="768" spans="1:17" ht="18" customHeight="1" x14ac:dyDescent="0.2">
      <c r="A768" s="20" t="s">
        <v>460</v>
      </c>
      <c r="B768" s="20" t="s">
        <v>461</v>
      </c>
      <c r="C768" s="20" t="s">
        <v>4182</v>
      </c>
      <c r="D768" s="20" t="s">
        <v>1635</v>
      </c>
      <c r="E768" s="20" t="s">
        <v>2934</v>
      </c>
      <c r="F768" s="2">
        <v>11</v>
      </c>
      <c r="G768" s="21">
        <v>2009</v>
      </c>
      <c r="H768" s="4" t="s">
        <v>2948</v>
      </c>
      <c r="I768" s="4" t="s">
        <v>2936</v>
      </c>
      <c r="J768" s="2" t="s">
        <v>2937</v>
      </c>
      <c r="K768" s="22" t="s">
        <v>2938</v>
      </c>
      <c r="M768" s="2" t="s">
        <v>8</v>
      </c>
      <c r="N768" s="2">
        <v>0</v>
      </c>
      <c r="O768" s="2">
        <v>10</v>
      </c>
      <c r="P768" s="2" t="s">
        <v>2175</v>
      </c>
      <c r="Q768" s="2" t="s">
        <v>3462</v>
      </c>
    </row>
    <row r="769" spans="1:17" ht="18" customHeight="1" x14ac:dyDescent="0.2">
      <c r="A769" s="20" t="s">
        <v>460</v>
      </c>
      <c r="B769" s="20" t="s">
        <v>461</v>
      </c>
      <c r="C769" s="20" t="s">
        <v>4182</v>
      </c>
      <c r="D769" s="20" t="s">
        <v>1635</v>
      </c>
      <c r="E769" s="20" t="s">
        <v>2934</v>
      </c>
      <c r="F769" s="2">
        <v>12</v>
      </c>
      <c r="G769" s="21">
        <v>2010</v>
      </c>
      <c r="H769" s="4" t="s">
        <v>2949</v>
      </c>
      <c r="I769" s="4" t="s">
        <v>2936</v>
      </c>
      <c r="J769" s="2" t="s">
        <v>2937</v>
      </c>
      <c r="K769" s="22" t="s">
        <v>2938</v>
      </c>
      <c r="M769" s="2" t="s">
        <v>8</v>
      </c>
      <c r="N769" s="2">
        <v>0</v>
      </c>
      <c r="O769" s="2">
        <v>10</v>
      </c>
      <c r="P769" s="2" t="s">
        <v>2175</v>
      </c>
      <c r="Q769" s="2" t="s">
        <v>3462</v>
      </c>
    </row>
    <row r="770" spans="1:17" ht="18" customHeight="1" x14ac:dyDescent="0.2">
      <c r="A770" s="20" t="s">
        <v>460</v>
      </c>
      <c r="B770" s="20" t="s">
        <v>461</v>
      </c>
      <c r="C770" s="20" t="s">
        <v>4182</v>
      </c>
      <c r="D770" s="20" t="s">
        <v>1635</v>
      </c>
      <c r="E770" s="20" t="s">
        <v>2934</v>
      </c>
      <c r="F770" s="2">
        <v>13</v>
      </c>
      <c r="G770" s="21">
        <v>2011</v>
      </c>
      <c r="H770" s="4" t="s">
        <v>2950</v>
      </c>
      <c r="I770" s="4" t="s">
        <v>2936</v>
      </c>
      <c r="J770" s="2" t="s">
        <v>2937</v>
      </c>
      <c r="K770" s="22" t="s">
        <v>2938</v>
      </c>
      <c r="M770" s="2" t="s">
        <v>8</v>
      </c>
      <c r="N770" s="2">
        <v>0</v>
      </c>
      <c r="O770" s="2">
        <v>10</v>
      </c>
      <c r="P770" s="2" t="s">
        <v>2175</v>
      </c>
      <c r="Q770" s="2" t="s">
        <v>3462</v>
      </c>
    </row>
    <row r="771" spans="1:17" ht="18" customHeight="1" x14ac:dyDescent="0.2">
      <c r="A771" s="20" t="s">
        <v>460</v>
      </c>
      <c r="B771" s="20" t="s">
        <v>461</v>
      </c>
      <c r="C771" s="20" t="s">
        <v>4182</v>
      </c>
      <c r="D771" s="20" t="s">
        <v>1635</v>
      </c>
      <c r="E771" s="20" t="s">
        <v>2934</v>
      </c>
      <c r="F771" s="2">
        <v>14</v>
      </c>
      <c r="G771" s="21">
        <v>2012</v>
      </c>
      <c r="H771" s="4" t="s">
        <v>2951</v>
      </c>
      <c r="I771" s="4" t="s">
        <v>2936</v>
      </c>
      <c r="J771" s="2" t="s">
        <v>2937</v>
      </c>
      <c r="K771" s="22" t="s">
        <v>2938</v>
      </c>
      <c r="M771" s="2" t="s">
        <v>8</v>
      </c>
      <c r="N771" s="2">
        <v>0</v>
      </c>
      <c r="O771" s="2">
        <v>10</v>
      </c>
      <c r="P771" s="2" t="s">
        <v>2175</v>
      </c>
      <c r="Q771" s="2" t="s">
        <v>3462</v>
      </c>
    </row>
    <row r="772" spans="1:17" ht="18" customHeight="1" x14ac:dyDescent="0.2">
      <c r="A772" s="20" t="s">
        <v>460</v>
      </c>
      <c r="B772" s="20" t="s">
        <v>461</v>
      </c>
      <c r="C772" s="20" t="s">
        <v>4182</v>
      </c>
      <c r="D772" s="20" t="s">
        <v>1635</v>
      </c>
      <c r="E772" s="20" t="s">
        <v>2934</v>
      </c>
      <c r="F772" s="2">
        <v>15</v>
      </c>
      <c r="G772" s="21">
        <v>2013</v>
      </c>
      <c r="H772" s="4" t="s">
        <v>2952</v>
      </c>
      <c r="I772" s="4" t="s">
        <v>2936</v>
      </c>
      <c r="J772" s="2" t="s">
        <v>2937</v>
      </c>
      <c r="K772" s="22" t="s">
        <v>2938</v>
      </c>
      <c r="M772" s="2" t="s">
        <v>8</v>
      </c>
      <c r="N772" s="2">
        <v>0</v>
      </c>
      <c r="O772" s="2">
        <v>10</v>
      </c>
      <c r="P772" s="2" t="s">
        <v>2175</v>
      </c>
      <c r="Q772" s="2" t="s">
        <v>3462</v>
      </c>
    </row>
    <row r="773" spans="1:17" ht="18" customHeight="1" x14ac:dyDescent="0.2">
      <c r="A773" s="20" t="s">
        <v>460</v>
      </c>
      <c r="B773" s="20" t="s">
        <v>461</v>
      </c>
      <c r="C773" s="20" t="s">
        <v>4182</v>
      </c>
      <c r="D773" s="20" t="s">
        <v>1635</v>
      </c>
      <c r="E773" s="20" t="s">
        <v>2934</v>
      </c>
      <c r="F773" s="2">
        <v>16</v>
      </c>
      <c r="G773" s="21">
        <v>2014</v>
      </c>
      <c r="H773" s="4" t="s">
        <v>2953</v>
      </c>
      <c r="I773" s="4" t="s">
        <v>2936</v>
      </c>
      <c r="J773" s="2" t="s">
        <v>2937</v>
      </c>
      <c r="K773" s="22" t="s">
        <v>2938</v>
      </c>
      <c r="M773" s="2" t="s">
        <v>8</v>
      </c>
      <c r="N773" s="2">
        <v>0</v>
      </c>
      <c r="O773" s="2">
        <v>10</v>
      </c>
      <c r="P773" s="2" t="s">
        <v>2175</v>
      </c>
      <c r="Q773" s="2" t="s">
        <v>3462</v>
      </c>
    </row>
    <row r="774" spans="1:17" ht="18" customHeight="1" x14ac:dyDescent="0.2">
      <c r="A774" s="20" t="s">
        <v>460</v>
      </c>
      <c r="B774" s="20" t="s">
        <v>461</v>
      </c>
      <c r="C774" s="20" t="s">
        <v>4182</v>
      </c>
      <c r="D774" s="20" t="s">
        <v>1635</v>
      </c>
      <c r="E774" s="20" t="s">
        <v>2934</v>
      </c>
      <c r="F774" s="2">
        <v>17</v>
      </c>
      <c r="G774" s="21">
        <v>2015</v>
      </c>
      <c r="H774" s="4" t="s">
        <v>2954</v>
      </c>
      <c r="I774" s="4" t="s">
        <v>2936</v>
      </c>
      <c r="J774" s="2" t="s">
        <v>2937</v>
      </c>
      <c r="K774" s="22" t="s">
        <v>2938</v>
      </c>
      <c r="M774" s="2" t="s">
        <v>8</v>
      </c>
      <c r="N774" s="2">
        <v>0</v>
      </c>
      <c r="O774" s="2">
        <v>10</v>
      </c>
      <c r="P774" s="2" t="s">
        <v>2175</v>
      </c>
      <c r="Q774" s="2" t="s">
        <v>3462</v>
      </c>
    </row>
    <row r="775" spans="1:17" ht="18" customHeight="1" x14ac:dyDescent="0.2">
      <c r="A775" s="20" t="s">
        <v>460</v>
      </c>
      <c r="B775" s="20" t="s">
        <v>461</v>
      </c>
      <c r="C775" s="20" t="s">
        <v>4182</v>
      </c>
      <c r="D775" s="20" t="s">
        <v>1635</v>
      </c>
      <c r="E775" s="20" t="s">
        <v>2934</v>
      </c>
      <c r="F775" s="2">
        <v>18</v>
      </c>
      <c r="G775" s="21">
        <v>2016</v>
      </c>
      <c r="H775" s="4" t="s">
        <v>2955</v>
      </c>
      <c r="I775" s="4" t="s">
        <v>2936</v>
      </c>
      <c r="J775" s="2" t="s">
        <v>2937</v>
      </c>
      <c r="K775" s="22" t="s">
        <v>2938</v>
      </c>
      <c r="M775" s="2" t="s">
        <v>8</v>
      </c>
      <c r="N775" s="2">
        <v>0</v>
      </c>
      <c r="O775" s="2">
        <v>10</v>
      </c>
      <c r="P775" s="2" t="s">
        <v>2175</v>
      </c>
      <c r="Q775" s="2" t="s">
        <v>3462</v>
      </c>
    </row>
    <row r="776" spans="1:17" ht="18" customHeight="1" x14ac:dyDescent="0.2">
      <c r="A776" s="20" t="s">
        <v>460</v>
      </c>
      <c r="B776" s="20" t="s">
        <v>461</v>
      </c>
      <c r="C776" s="20" t="s">
        <v>4182</v>
      </c>
      <c r="D776" s="20" t="s">
        <v>1635</v>
      </c>
      <c r="E776" s="20" t="s">
        <v>2934</v>
      </c>
      <c r="F776" s="2">
        <v>19</v>
      </c>
      <c r="G776" s="21">
        <v>2017</v>
      </c>
      <c r="H776" s="4" t="s">
        <v>2956</v>
      </c>
      <c r="I776" s="4" t="s">
        <v>2936</v>
      </c>
      <c r="J776" s="2" t="s">
        <v>2937</v>
      </c>
      <c r="K776" s="22" t="s">
        <v>2938</v>
      </c>
      <c r="M776" s="2" t="s">
        <v>8</v>
      </c>
      <c r="N776" s="2">
        <v>0</v>
      </c>
      <c r="O776" s="2">
        <v>10</v>
      </c>
      <c r="P776" s="2" t="s">
        <v>2175</v>
      </c>
      <c r="Q776" s="2" t="s">
        <v>3462</v>
      </c>
    </row>
    <row r="777" spans="1:17" ht="18" customHeight="1" x14ac:dyDescent="0.2">
      <c r="A777" s="20" t="s">
        <v>460</v>
      </c>
      <c r="B777" s="20" t="s">
        <v>461</v>
      </c>
      <c r="C777" s="20" t="s">
        <v>4182</v>
      </c>
      <c r="D777" s="20" t="s">
        <v>1635</v>
      </c>
      <c r="E777" s="20" t="s">
        <v>2934</v>
      </c>
      <c r="F777" s="2">
        <v>20</v>
      </c>
      <c r="G777" s="21">
        <v>2018</v>
      </c>
      <c r="H777" s="4" t="s">
        <v>2957</v>
      </c>
      <c r="I777" s="4" t="s">
        <v>2936</v>
      </c>
      <c r="J777" s="2" t="s">
        <v>2937</v>
      </c>
      <c r="K777" s="22" t="s">
        <v>2938</v>
      </c>
      <c r="M777" s="2" t="s">
        <v>8</v>
      </c>
      <c r="N777" s="2">
        <v>0</v>
      </c>
      <c r="O777" s="2">
        <v>10</v>
      </c>
      <c r="P777" s="2" t="s">
        <v>2175</v>
      </c>
      <c r="Q777" s="2" t="s">
        <v>3462</v>
      </c>
    </row>
    <row r="778" spans="1:17" ht="18" customHeight="1" x14ac:dyDescent="0.2">
      <c r="A778" s="20" t="s">
        <v>460</v>
      </c>
      <c r="B778" s="20" t="s">
        <v>461</v>
      </c>
      <c r="C778" s="20" t="s">
        <v>4182</v>
      </c>
      <c r="D778" s="20" t="s">
        <v>1635</v>
      </c>
      <c r="E778" s="20" t="s">
        <v>2934</v>
      </c>
      <c r="F778" s="2">
        <v>21</v>
      </c>
      <c r="G778" s="21">
        <v>2019</v>
      </c>
      <c r="H778" s="4" t="s">
        <v>2958</v>
      </c>
      <c r="I778" s="4" t="s">
        <v>2936</v>
      </c>
      <c r="J778" s="2" t="s">
        <v>2937</v>
      </c>
      <c r="K778" s="22" t="s">
        <v>2938</v>
      </c>
      <c r="M778" s="2" t="s">
        <v>8</v>
      </c>
      <c r="N778" s="2">
        <v>0</v>
      </c>
      <c r="O778" s="2">
        <v>10</v>
      </c>
      <c r="P778" s="2" t="s">
        <v>2175</v>
      </c>
      <c r="Q778" s="2" t="s">
        <v>3462</v>
      </c>
    </row>
    <row r="779" spans="1:17" ht="18" customHeight="1" x14ac:dyDescent="0.2">
      <c r="A779" s="23" t="s">
        <v>460</v>
      </c>
      <c r="B779" s="23" t="s">
        <v>461</v>
      </c>
      <c r="C779" s="23" t="s">
        <v>4182</v>
      </c>
      <c r="D779" s="23" t="s">
        <v>1637</v>
      </c>
      <c r="E779" s="23" t="s">
        <v>2959</v>
      </c>
      <c r="F779" s="2">
        <v>6</v>
      </c>
      <c r="G779" s="21">
        <v>2004</v>
      </c>
      <c r="H779" s="4" t="s">
        <v>2960</v>
      </c>
      <c r="I779" s="4" t="s">
        <v>2961</v>
      </c>
      <c r="J779" s="2" t="s">
        <v>2962</v>
      </c>
      <c r="K779" s="22" t="s">
        <v>2963</v>
      </c>
      <c r="L779" s="2" t="s">
        <v>1520</v>
      </c>
      <c r="M779" s="2" t="s">
        <v>8</v>
      </c>
      <c r="N779" s="2">
        <v>1</v>
      </c>
      <c r="O779" s="2">
        <v>5</v>
      </c>
      <c r="P779" s="2" t="s">
        <v>1527</v>
      </c>
      <c r="Q779" s="2" t="s">
        <v>3462</v>
      </c>
    </row>
    <row r="780" spans="1:17" ht="18" customHeight="1" x14ac:dyDescent="0.2">
      <c r="A780" s="23" t="s">
        <v>460</v>
      </c>
      <c r="B780" s="23" t="s">
        <v>461</v>
      </c>
      <c r="C780" s="23" t="s">
        <v>4182</v>
      </c>
      <c r="D780" s="23" t="s">
        <v>1637</v>
      </c>
      <c r="E780" s="23" t="s">
        <v>2959</v>
      </c>
      <c r="F780" s="2">
        <v>7</v>
      </c>
      <c r="G780" s="21">
        <v>2005</v>
      </c>
      <c r="H780" s="4" t="s">
        <v>2964</v>
      </c>
      <c r="I780" s="4" t="s">
        <v>2961</v>
      </c>
      <c r="J780" s="2" t="s">
        <v>2962</v>
      </c>
      <c r="K780" s="22" t="s">
        <v>2963</v>
      </c>
      <c r="L780" s="2" t="s">
        <v>1520</v>
      </c>
      <c r="M780" s="2" t="s">
        <v>8</v>
      </c>
      <c r="N780" s="2">
        <v>1</v>
      </c>
      <c r="O780" s="2">
        <v>5</v>
      </c>
      <c r="P780" s="2" t="s">
        <v>1527</v>
      </c>
      <c r="Q780" s="2" t="s">
        <v>3462</v>
      </c>
    </row>
    <row r="781" spans="1:17" ht="18" customHeight="1" x14ac:dyDescent="0.2">
      <c r="A781" s="23" t="s">
        <v>460</v>
      </c>
      <c r="B781" s="23" t="s">
        <v>461</v>
      </c>
      <c r="C781" s="23" t="s">
        <v>4182</v>
      </c>
      <c r="D781" s="23" t="s">
        <v>1637</v>
      </c>
      <c r="E781" s="23" t="s">
        <v>2965</v>
      </c>
      <c r="F781" s="2">
        <v>1</v>
      </c>
      <c r="G781" s="21">
        <v>1999</v>
      </c>
      <c r="H781" s="4" t="s">
        <v>2966</v>
      </c>
      <c r="I781" s="4" t="s">
        <v>2967</v>
      </c>
      <c r="J781" s="2" t="s">
        <v>2968</v>
      </c>
      <c r="K781" s="22" t="s">
        <v>2969</v>
      </c>
      <c r="M781" s="2" t="s">
        <v>8</v>
      </c>
      <c r="N781" s="2">
        <v>1</v>
      </c>
      <c r="O781" s="2">
        <v>5</v>
      </c>
      <c r="P781" s="2" t="s">
        <v>1527</v>
      </c>
      <c r="Q781" s="2" t="s">
        <v>3462</v>
      </c>
    </row>
    <row r="782" spans="1:17" ht="18" customHeight="1" x14ac:dyDescent="0.2">
      <c r="A782" s="23" t="s">
        <v>460</v>
      </c>
      <c r="B782" s="23" t="s">
        <v>461</v>
      </c>
      <c r="C782" s="23" t="s">
        <v>4182</v>
      </c>
      <c r="D782" s="23" t="s">
        <v>1637</v>
      </c>
      <c r="E782" s="23" t="s">
        <v>2965</v>
      </c>
      <c r="F782" s="2">
        <v>2</v>
      </c>
      <c r="G782" s="21">
        <v>2000</v>
      </c>
      <c r="H782" s="4" t="s">
        <v>2970</v>
      </c>
      <c r="I782" s="4" t="s">
        <v>2967</v>
      </c>
      <c r="J782" s="2" t="s">
        <v>2968</v>
      </c>
      <c r="K782" s="22" t="s">
        <v>2969</v>
      </c>
      <c r="M782" s="2" t="s">
        <v>8</v>
      </c>
      <c r="N782" s="2">
        <v>1</v>
      </c>
      <c r="O782" s="2">
        <v>5</v>
      </c>
      <c r="P782" s="2" t="s">
        <v>1527</v>
      </c>
      <c r="Q782" s="2" t="s">
        <v>3462</v>
      </c>
    </row>
    <row r="783" spans="1:17" ht="18" customHeight="1" x14ac:dyDescent="0.2">
      <c r="A783" s="23" t="s">
        <v>460</v>
      </c>
      <c r="B783" s="23" t="s">
        <v>461</v>
      </c>
      <c r="C783" s="23" t="s">
        <v>4182</v>
      </c>
      <c r="D783" s="23" t="s">
        <v>1637</v>
      </c>
      <c r="E783" s="23" t="s">
        <v>2965</v>
      </c>
      <c r="F783" s="2">
        <v>3</v>
      </c>
      <c r="G783" s="21">
        <v>2001</v>
      </c>
      <c r="H783" s="4" t="s">
        <v>2971</v>
      </c>
      <c r="I783" s="4" t="s">
        <v>2967</v>
      </c>
      <c r="J783" s="2" t="s">
        <v>2968</v>
      </c>
      <c r="K783" s="22" t="s">
        <v>2969</v>
      </c>
      <c r="M783" s="2" t="s">
        <v>8</v>
      </c>
      <c r="N783" s="2">
        <v>1</v>
      </c>
      <c r="O783" s="2">
        <v>5</v>
      </c>
      <c r="P783" s="2" t="s">
        <v>1527</v>
      </c>
      <c r="Q783" s="2" t="s">
        <v>3462</v>
      </c>
    </row>
    <row r="784" spans="1:17" ht="18" customHeight="1" x14ac:dyDescent="0.2">
      <c r="A784" s="23" t="s">
        <v>460</v>
      </c>
      <c r="B784" s="23" t="s">
        <v>461</v>
      </c>
      <c r="C784" s="23" t="s">
        <v>4182</v>
      </c>
      <c r="D784" s="23" t="s">
        <v>1637</v>
      </c>
      <c r="E784" s="23" t="s">
        <v>2965</v>
      </c>
      <c r="F784" s="2">
        <v>4</v>
      </c>
      <c r="G784" s="21">
        <v>2002</v>
      </c>
      <c r="H784" s="4" t="s">
        <v>2972</v>
      </c>
      <c r="I784" s="4" t="s">
        <v>2967</v>
      </c>
      <c r="J784" s="2" t="s">
        <v>2968</v>
      </c>
      <c r="K784" s="22" t="s">
        <v>2969</v>
      </c>
      <c r="M784" s="2" t="s">
        <v>8</v>
      </c>
      <c r="N784" s="2">
        <v>1</v>
      </c>
      <c r="O784" s="2">
        <v>5</v>
      </c>
      <c r="P784" s="2" t="s">
        <v>1527</v>
      </c>
      <c r="Q784" s="2" t="s">
        <v>3462</v>
      </c>
    </row>
    <row r="785" spans="1:17" ht="18" customHeight="1" x14ac:dyDescent="0.2">
      <c r="A785" s="23" t="s">
        <v>460</v>
      </c>
      <c r="B785" s="23" t="s">
        <v>461</v>
      </c>
      <c r="C785" s="23" t="s">
        <v>4182</v>
      </c>
      <c r="D785" s="23" t="s">
        <v>1637</v>
      </c>
      <c r="E785" s="23" t="s">
        <v>2965</v>
      </c>
      <c r="F785" s="2">
        <v>5</v>
      </c>
      <c r="G785" s="21">
        <v>2003</v>
      </c>
      <c r="H785" s="4" t="s">
        <v>2973</v>
      </c>
      <c r="I785" s="4" t="s">
        <v>2967</v>
      </c>
      <c r="J785" s="2" t="s">
        <v>2968</v>
      </c>
      <c r="K785" s="22" t="s">
        <v>2969</v>
      </c>
      <c r="M785" s="2" t="s">
        <v>8</v>
      </c>
      <c r="N785" s="2">
        <v>1</v>
      </c>
      <c r="O785" s="2">
        <v>5</v>
      </c>
      <c r="P785" s="2" t="s">
        <v>1527</v>
      </c>
      <c r="Q785" s="2" t="s">
        <v>3462</v>
      </c>
    </row>
    <row r="786" spans="1:17" ht="18" customHeight="1" x14ac:dyDescent="0.2">
      <c r="A786" s="23" t="s">
        <v>460</v>
      </c>
      <c r="B786" s="23" t="s">
        <v>461</v>
      </c>
      <c r="C786" s="23" t="s">
        <v>4182</v>
      </c>
      <c r="D786" s="23" t="s">
        <v>1637</v>
      </c>
      <c r="E786" s="23" t="s">
        <v>2965</v>
      </c>
      <c r="F786" s="2">
        <v>6</v>
      </c>
      <c r="G786" s="21">
        <v>2004</v>
      </c>
      <c r="H786" s="4" t="s">
        <v>2974</v>
      </c>
      <c r="I786" s="4" t="s">
        <v>2967</v>
      </c>
      <c r="J786" s="2" t="s">
        <v>2968</v>
      </c>
      <c r="K786" s="22" t="s">
        <v>2969</v>
      </c>
      <c r="M786" s="2" t="s">
        <v>8</v>
      </c>
      <c r="N786" s="2">
        <v>1</v>
      </c>
      <c r="O786" s="2">
        <v>5</v>
      </c>
      <c r="P786" s="2" t="s">
        <v>1527</v>
      </c>
      <c r="Q786" s="2" t="s">
        <v>3462</v>
      </c>
    </row>
    <row r="787" spans="1:17" ht="18" customHeight="1" x14ac:dyDescent="0.2">
      <c r="A787" s="23" t="s">
        <v>460</v>
      </c>
      <c r="B787" s="23" t="s">
        <v>461</v>
      </c>
      <c r="C787" s="23" t="s">
        <v>4182</v>
      </c>
      <c r="D787" s="23" t="s">
        <v>1637</v>
      </c>
      <c r="E787" s="23" t="s">
        <v>2965</v>
      </c>
      <c r="F787" s="2">
        <v>7</v>
      </c>
      <c r="G787" s="21">
        <v>2005</v>
      </c>
      <c r="H787" s="4" t="s">
        <v>2975</v>
      </c>
      <c r="I787" s="4" t="s">
        <v>2967</v>
      </c>
      <c r="J787" s="2" t="s">
        <v>2968</v>
      </c>
      <c r="K787" s="22" t="s">
        <v>2969</v>
      </c>
      <c r="M787" s="2" t="s">
        <v>8</v>
      </c>
      <c r="N787" s="2">
        <v>1</v>
      </c>
      <c r="O787" s="2">
        <v>5</v>
      </c>
      <c r="P787" s="2" t="s">
        <v>1527</v>
      </c>
      <c r="Q787" s="2" t="s">
        <v>3462</v>
      </c>
    </row>
    <row r="788" spans="1:17" ht="18" customHeight="1" x14ac:dyDescent="0.2">
      <c r="A788" s="23" t="s">
        <v>460</v>
      </c>
      <c r="B788" s="23" t="s">
        <v>461</v>
      </c>
      <c r="C788" s="23" t="s">
        <v>4182</v>
      </c>
      <c r="D788" s="23" t="s">
        <v>1637</v>
      </c>
      <c r="E788" s="23" t="s">
        <v>2965</v>
      </c>
      <c r="F788" s="2">
        <v>8</v>
      </c>
      <c r="G788" s="21">
        <v>2006</v>
      </c>
      <c r="H788" s="4" t="s">
        <v>2976</v>
      </c>
      <c r="I788" s="4" t="s">
        <v>2967</v>
      </c>
      <c r="J788" s="2" t="s">
        <v>2968</v>
      </c>
      <c r="K788" s="22" t="s">
        <v>2969</v>
      </c>
      <c r="M788" s="2" t="s">
        <v>8</v>
      </c>
      <c r="N788" s="2">
        <v>1</v>
      </c>
      <c r="O788" s="2">
        <v>5</v>
      </c>
      <c r="P788" s="2" t="s">
        <v>1527</v>
      </c>
      <c r="Q788" s="2" t="s">
        <v>3462</v>
      </c>
    </row>
    <row r="789" spans="1:17" ht="18" customHeight="1" x14ac:dyDescent="0.2">
      <c r="A789" s="23" t="s">
        <v>460</v>
      </c>
      <c r="B789" s="23" t="s">
        <v>461</v>
      </c>
      <c r="C789" s="23" t="s">
        <v>4182</v>
      </c>
      <c r="D789" s="23" t="s">
        <v>1637</v>
      </c>
      <c r="E789" s="23" t="s">
        <v>2965</v>
      </c>
      <c r="F789" s="2">
        <v>9</v>
      </c>
      <c r="G789" s="21">
        <v>2007</v>
      </c>
      <c r="H789" s="4" t="s">
        <v>2977</v>
      </c>
      <c r="I789" s="4" t="s">
        <v>2967</v>
      </c>
      <c r="J789" s="2" t="s">
        <v>2968</v>
      </c>
      <c r="K789" s="22" t="s">
        <v>2969</v>
      </c>
      <c r="M789" s="2" t="s">
        <v>8</v>
      </c>
      <c r="N789" s="2">
        <v>1</v>
      </c>
      <c r="O789" s="2">
        <v>5</v>
      </c>
      <c r="P789" s="2" t="s">
        <v>1527</v>
      </c>
      <c r="Q789" s="2" t="s">
        <v>3462</v>
      </c>
    </row>
    <row r="790" spans="1:17" ht="18" customHeight="1" x14ac:dyDescent="0.2">
      <c r="A790" s="23" t="s">
        <v>460</v>
      </c>
      <c r="B790" s="23" t="s">
        <v>461</v>
      </c>
      <c r="C790" s="23" t="s">
        <v>4182</v>
      </c>
      <c r="D790" s="23" t="s">
        <v>1637</v>
      </c>
      <c r="E790" s="23" t="s">
        <v>2965</v>
      </c>
      <c r="F790" s="2">
        <v>10</v>
      </c>
      <c r="G790" s="21">
        <v>2008</v>
      </c>
      <c r="H790" s="4" t="s">
        <v>2978</v>
      </c>
      <c r="I790" s="4" t="s">
        <v>2967</v>
      </c>
      <c r="J790" s="2" t="s">
        <v>2968</v>
      </c>
      <c r="K790" s="22" t="s">
        <v>2969</v>
      </c>
      <c r="M790" s="2" t="s">
        <v>8</v>
      </c>
      <c r="N790" s="2">
        <v>1</v>
      </c>
      <c r="O790" s="2">
        <v>5</v>
      </c>
      <c r="P790" s="2" t="s">
        <v>1527</v>
      </c>
      <c r="Q790" s="2" t="s">
        <v>3462</v>
      </c>
    </row>
    <row r="791" spans="1:17" ht="18" customHeight="1" x14ac:dyDescent="0.2">
      <c r="A791" s="23" t="s">
        <v>460</v>
      </c>
      <c r="B791" s="23" t="s">
        <v>461</v>
      </c>
      <c r="C791" s="23" t="s">
        <v>4182</v>
      </c>
      <c r="D791" s="23" t="s">
        <v>1637</v>
      </c>
      <c r="E791" s="23" t="s">
        <v>2965</v>
      </c>
      <c r="F791" s="2">
        <v>11</v>
      </c>
      <c r="G791" s="21">
        <v>2009</v>
      </c>
      <c r="H791" s="4" t="s">
        <v>2979</v>
      </c>
      <c r="I791" s="4" t="s">
        <v>2967</v>
      </c>
      <c r="J791" s="2" t="s">
        <v>2968</v>
      </c>
      <c r="K791" s="22" t="s">
        <v>2969</v>
      </c>
      <c r="M791" s="2" t="s">
        <v>8</v>
      </c>
      <c r="N791" s="2">
        <v>1</v>
      </c>
      <c r="O791" s="2">
        <v>5</v>
      </c>
      <c r="P791" s="2" t="s">
        <v>1527</v>
      </c>
      <c r="Q791" s="2" t="s">
        <v>3462</v>
      </c>
    </row>
    <row r="792" spans="1:17" ht="18" customHeight="1" x14ac:dyDescent="0.2">
      <c r="A792" s="23" t="s">
        <v>460</v>
      </c>
      <c r="B792" s="23" t="s">
        <v>461</v>
      </c>
      <c r="C792" s="23" t="s">
        <v>4182</v>
      </c>
      <c r="D792" s="23" t="s">
        <v>1637</v>
      </c>
      <c r="E792" s="23" t="s">
        <v>2965</v>
      </c>
      <c r="F792" s="2">
        <v>12</v>
      </c>
      <c r="G792" s="21">
        <v>2010</v>
      </c>
      <c r="H792" s="4" t="s">
        <v>2980</v>
      </c>
      <c r="I792" s="4" t="s">
        <v>2967</v>
      </c>
      <c r="J792" s="2" t="s">
        <v>2968</v>
      </c>
      <c r="K792" s="22" t="s">
        <v>2969</v>
      </c>
      <c r="M792" s="2" t="s">
        <v>8</v>
      </c>
      <c r="N792" s="2">
        <v>1</v>
      </c>
      <c r="O792" s="2">
        <v>5</v>
      </c>
      <c r="P792" s="2" t="s">
        <v>1527</v>
      </c>
      <c r="Q792" s="2" t="s">
        <v>3462</v>
      </c>
    </row>
    <row r="793" spans="1:17" ht="18" customHeight="1" x14ac:dyDescent="0.2">
      <c r="A793" s="23" t="s">
        <v>460</v>
      </c>
      <c r="B793" s="23" t="s">
        <v>461</v>
      </c>
      <c r="C793" s="23" t="s">
        <v>4182</v>
      </c>
      <c r="D793" s="23" t="s">
        <v>1637</v>
      </c>
      <c r="E793" s="23" t="s">
        <v>2965</v>
      </c>
      <c r="F793" s="2">
        <v>13</v>
      </c>
      <c r="G793" s="21">
        <v>2011</v>
      </c>
      <c r="H793" s="4" t="s">
        <v>2981</v>
      </c>
      <c r="I793" s="4" t="s">
        <v>2967</v>
      </c>
      <c r="J793" s="2" t="s">
        <v>2968</v>
      </c>
      <c r="K793" s="22" t="s">
        <v>2969</v>
      </c>
      <c r="M793" s="2" t="s">
        <v>8</v>
      </c>
      <c r="N793" s="2">
        <v>1</v>
      </c>
      <c r="O793" s="2">
        <v>5</v>
      </c>
      <c r="P793" s="2" t="s">
        <v>1527</v>
      </c>
      <c r="Q793" s="2" t="s">
        <v>3462</v>
      </c>
    </row>
    <row r="794" spans="1:17" ht="18" customHeight="1" x14ac:dyDescent="0.2">
      <c r="A794" s="23" t="s">
        <v>460</v>
      </c>
      <c r="B794" s="23" t="s">
        <v>461</v>
      </c>
      <c r="C794" s="23" t="s">
        <v>4182</v>
      </c>
      <c r="D794" s="23" t="s">
        <v>1637</v>
      </c>
      <c r="E794" s="23" t="s">
        <v>2965</v>
      </c>
      <c r="F794" s="2">
        <v>14</v>
      </c>
      <c r="G794" s="21">
        <v>2012</v>
      </c>
      <c r="H794" s="4" t="s">
        <v>2982</v>
      </c>
      <c r="I794" s="4" t="s">
        <v>2967</v>
      </c>
      <c r="J794" s="2" t="s">
        <v>2968</v>
      </c>
      <c r="K794" s="22" t="s">
        <v>2969</v>
      </c>
      <c r="M794" s="2" t="s">
        <v>8</v>
      </c>
      <c r="N794" s="2">
        <v>1</v>
      </c>
      <c r="O794" s="2">
        <v>5</v>
      </c>
      <c r="P794" s="2" t="s">
        <v>1527</v>
      </c>
      <c r="Q794" s="2" t="s">
        <v>3462</v>
      </c>
    </row>
    <row r="795" spans="1:17" ht="18" customHeight="1" x14ac:dyDescent="0.2">
      <c r="A795" s="23" t="s">
        <v>460</v>
      </c>
      <c r="B795" s="23" t="s">
        <v>461</v>
      </c>
      <c r="C795" s="23" t="s">
        <v>4182</v>
      </c>
      <c r="D795" s="23" t="s">
        <v>1637</v>
      </c>
      <c r="E795" s="23" t="s">
        <v>2965</v>
      </c>
      <c r="F795" s="2">
        <v>15</v>
      </c>
      <c r="G795" s="21">
        <v>2013</v>
      </c>
      <c r="H795" s="4" t="s">
        <v>2983</v>
      </c>
      <c r="I795" s="4" t="s">
        <v>2967</v>
      </c>
      <c r="J795" s="2" t="s">
        <v>2968</v>
      </c>
      <c r="K795" s="22" t="s">
        <v>2969</v>
      </c>
      <c r="M795" s="2" t="s">
        <v>8</v>
      </c>
      <c r="N795" s="2">
        <v>1</v>
      </c>
      <c r="O795" s="2">
        <v>5</v>
      </c>
      <c r="P795" s="2" t="s">
        <v>1527</v>
      </c>
      <c r="Q795" s="2" t="s">
        <v>3462</v>
      </c>
    </row>
    <row r="796" spans="1:17" ht="18" customHeight="1" x14ac:dyDescent="0.2">
      <c r="A796" s="23" t="s">
        <v>460</v>
      </c>
      <c r="B796" s="23" t="s">
        <v>461</v>
      </c>
      <c r="C796" s="23" t="s">
        <v>4182</v>
      </c>
      <c r="D796" s="23" t="s">
        <v>1637</v>
      </c>
      <c r="E796" s="23" t="s">
        <v>2965</v>
      </c>
      <c r="F796" s="2">
        <v>16</v>
      </c>
      <c r="G796" s="21">
        <v>2014</v>
      </c>
      <c r="H796" s="4" t="s">
        <v>2984</v>
      </c>
      <c r="I796" s="4" t="s">
        <v>2967</v>
      </c>
      <c r="J796" s="2" t="s">
        <v>2968</v>
      </c>
      <c r="K796" s="22" t="s">
        <v>2969</v>
      </c>
      <c r="M796" s="2" t="s">
        <v>8</v>
      </c>
      <c r="N796" s="2">
        <v>1</v>
      </c>
      <c r="O796" s="2">
        <v>5</v>
      </c>
      <c r="P796" s="2" t="s">
        <v>1527</v>
      </c>
      <c r="Q796" s="2" t="s">
        <v>3462</v>
      </c>
    </row>
    <row r="797" spans="1:17" ht="18" customHeight="1" x14ac:dyDescent="0.2">
      <c r="A797" s="23" t="s">
        <v>460</v>
      </c>
      <c r="B797" s="23" t="s">
        <v>461</v>
      </c>
      <c r="C797" s="23" t="s">
        <v>4182</v>
      </c>
      <c r="D797" s="23" t="s">
        <v>1637</v>
      </c>
      <c r="E797" s="23" t="s">
        <v>2965</v>
      </c>
      <c r="F797" s="2">
        <v>17</v>
      </c>
      <c r="G797" s="21">
        <v>2015</v>
      </c>
      <c r="H797" s="4" t="s">
        <v>2985</v>
      </c>
      <c r="I797" s="4" t="s">
        <v>2967</v>
      </c>
      <c r="J797" s="2" t="s">
        <v>2968</v>
      </c>
      <c r="K797" s="22" t="s">
        <v>2969</v>
      </c>
      <c r="M797" s="2" t="s">
        <v>8</v>
      </c>
      <c r="N797" s="2">
        <v>1</v>
      </c>
      <c r="O797" s="2">
        <v>5</v>
      </c>
      <c r="P797" s="2" t="s">
        <v>1527</v>
      </c>
      <c r="Q797" s="2" t="s">
        <v>3462</v>
      </c>
    </row>
    <row r="798" spans="1:17" ht="18" customHeight="1" x14ac:dyDescent="0.2">
      <c r="A798" s="23" t="s">
        <v>460</v>
      </c>
      <c r="B798" s="23" t="s">
        <v>461</v>
      </c>
      <c r="C798" s="23" t="s">
        <v>4182</v>
      </c>
      <c r="D798" s="23" t="s">
        <v>1637</v>
      </c>
      <c r="E798" s="23" t="s">
        <v>2965</v>
      </c>
      <c r="F798" s="2">
        <v>18</v>
      </c>
      <c r="G798" s="21">
        <v>2016</v>
      </c>
      <c r="H798" s="4" t="s">
        <v>2986</v>
      </c>
      <c r="I798" s="4" t="s">
        <v>2967</v>
      </c>
      <c r="J798" s="2" t="s">
        <v>2968</v>
      </c>
      <c r="K798" s="22" t="s">
        <v>2969</v>
      </c>
      <c r="M798" s="2" t="s">
        <v>8</v>
      </c>
      <c r="N798" s="2">
        <v>1</v>
      </c>
      <c r="O798" s="2">
        <v>5</v>
      </c>
      <c r="P798" s="2" t="s">
        <v>1527</v>
      </c>
      <c r="Q798" s="2" t="s">
        <v>3462</v>
      </c>
    </row>
    <row r="799" spans="1:17" ht="18" customHeight="1" x14ac:dyDescent="0.2">
      <c r="A799" s="23" t="s">
        <v>460</v>
      </c>
      <c r="B799" s="23" t="s">
        <v>461</v>
      </c>
      <c r="C799" s="23" t="s">
        <v>4182</v>
      </c>
      <c r="D799" s="23" t="s">
        <v>1637</v>
      </c>
      <c r="E799" s="23" t="s">
        <v>2965</v>
      </c>
      <c r="F799" s="2">
        <v>19</v>
      </c>
      <c r="G799" s="21">
        <v>2017</v>
      </c>
      <c r="H799" s="4" t="s">
        <v>2987</v>
      </c>
      <c r="I799" s="4" t="s">
        <v>2967</v>
      </c>
      <c r="J799" s="2" t="s">
        <v>2968</v>
      </c>
      <c r="K799" s="22" t="s">
        <v>2969</v>
      </c>
      <c r="M799" s="2" t="s">
        <v>8</v>
      </c>
      <c r="N799" s="2">
        <v>1</v>
      </c>
      <c r="O799" s="2">
        <v>5</v>
      </c>
      <c r="P799" s="2" t="s">
        <v>1527</v>
      </c>
      <c r="Q799" s="2" t="s">
        <v>3462</v>
      </c>
    </row>
    <row r="800" spans="1:17" ht="18" customHeight="1" x14ac:dyDescent="0.2">
      <c r="A800" s="23" t="s">
        <v>460</v>
      </c>
      <c r="B800" s="23" t="s">
        <v>461</v>
      </c>
      <c r="C800" s="23" t="s">
        <v>4182</v>
      </c>
      <c r="D800" s="23" t="s">
        <v>1637</v>
      </c>
      <c r="E800" s="23" t="s">
        <v>2965</v>
      </c>
      <c r="F800" s="2">
        <v>20</v>
      </c>
      <c r="G800" s="21">
        <v>2018</v>
      </c>
      <c r="H800" s="4" t="s">
        <v>2988</v>
      </c>
      <c r="I800" s="4" t="s">
        <v>2967</v>
      </c>
      <c r="J800" s="2" t="s">
        <v>2968</v>
      </c>
      <c r="K800" s="22" t="s">
        <v>2969</v>
      </c>
      <c r="M800" s="2" t="s">
        <v>8</v>
      </c>
      <c r="N800" s="2">
        <v>1</v>
      </c>
      <c r="O800" s="2">
        <v>5</v>
      </c>
      <c r="P800" s="2" t="s">
        <v>1527</v>
      </c>
      <c r="Q800" s="2" t="s">
        <v>3462</v>
      </c>
    </row>
    <row r="801" spans="1:17" ht="18" customHeight="1" x14ac:dyDescent="0.2">
      <c r="A801" s="23" t="s">
        <v>460</v>
      </c>
      <c r="B801" s="23" t="s">
        <v>461</v>
      </c>
      <c r="C801" s="23" t="s">
        <v>4182</v>
      </c>
      <c r="D801" s="23" t="s">
        <v>1637</v>
      </c>
      <c r="E801" s="23" t="s">
        <v>2965</v>
      </c>
      <c r="F801" s="2">
        <v>21</v>
      </c>
      <c r="G801" s="21">
        <v>2019</v>
      </c>
      <c r="H801" s="4" t="s">
        <v>2989</v>
      </c>
      <c r="I801" s="4" t="s">
        <v>2967</v>
      </c>
      <c r="J801" s="2" t="s">
        <v>2968</v>
      </c>
      <c r="K801" s="22" t="s">
        <v>2969</v>
      </c>
      <c r="M801" s="2" t="s">
        <v>8</v>
      </c>
      <c r="N801" s="2">
        <v>1</v>
      </c>
      <c r="O801" s="2">
        <v>5</v>
      </c>
      <c r="P801" s="2" t="s">
        <v>1527</v>
      </c>
      <c r="Q801" s="2" t="s">
        <v>3462</v>
      </c>
    </row>
    <row r="802" spans="1:17" ht="18" customHeight="1" x14ac:dyDescent="0.2">
      <c r="A802" s="23" t="s">
        <v>460</v>
      </c>
      <c r="B802" s="23" t="s">
        <v>461</v>
      </c>
      <c r="C802" s="23" t="s">
        <v>4182</v>
      </c>
      <c r="D802" s="23" t="s">
        <v>1838</v>
      </c>
      <c r="E802" s="23" t="s">
        <v>2990</v>
      </c>
      <c r="F802" s="2">
        <v>6</v>
      </c>
      <c r="G802" s="21">
        <v>2004</v>
      </c>
      <c r="H802" s="4" t="s">
        <v>2991</v>
      </c>
      <c r="I802" s="4" t="s">
        <v>2992</v>
      </c>
      <c r="J802" s="2" t="s">
        <v>2993</v>
      </c>
      <c r="K802" s="22" t="s">
        <v>2994</v>
      </c>
      <c r="M802" s="2" t="s">
        <v>2995</v>
      </c>
      <c r="P802" s="2" t="s">
        <v>1843</v>
      </c>
      <c r="Q802" s="2" t="s">
        <v>1127</v>
      </c>
    </row>
    <row r="803" spans="1:17" ht="18" customHeight="1" x14ac:dyDescent="0.2">
      <c r="A803" s="23" t="s">
        <v>460</v>
      </c>
      <c r="B803" s="23" t="s">
        <v>461</v>
      </c>
      <c r="C803" s="23" t="s">
        <v>4182</v>
      </c>
      <c r="D803" s="23" t="s">
        <v>1838</v>
      </c>
      <c r="E803" s="23" t="s">
        <v>2990</v>
      </c>
      <c r="F803" s="2">
        <v>7</v>
      </c>
      <c r="G803" s="21">
        <v>2005</v>
      </c>
      <c r="H803" s="4" t="s">
        <v>2996</v>
      </c>
      <c r="I803" s="4" t="s">
        <v>2992</v>
      </c>
      <c r="J803" s="2" t="s">
        <v>2993</v>
      </c>
      <c r="K803" s="22" t="s">
        <v>2994</v>
      </c>
      <c r="M803" s="2" t="s">
        <v>2995</v>
      </c>
      <c r="P803" s="2" t="s">
        <v>1843</v>
      </c>
      <c r="Q803" s="2" t="s">
        <v>1127</v>
      </c>
    </row>
    <row r="804" spans="1:17" ht="18" customHeight="1" x14ac:dyDescent="0.2">
      <c r="A804" s="23" t="s">
        <v>460</v>
      </c>
      <c r="B804" s="23" t="s">
        <v>461</v>
      </c>
      <c r="C804" s="23" t="s">
        <v>4182</v>
      </c>
      <c r="D804" s="23" t="s">
        <v>1838</v>
      </c>
      <c r="E804" s="23" t="s">
        <v>2990</v>
      </c>
      <c r="F804" s="2">
        <v>8</v>
      </c>
      <c r="G804" s="21">
        <v>2006</v>
      </c>
      <c r="H804" s="4" t="s">
        <v>2997</v>
      </c>
      <c r="I804" s="4" t="s">
        <v>2992</v>
      </c>
      <c r="J804" s="2" t="s">
        <v>2993</v>
      </c>
      <c r="K804" s="22" t="s">
        <v>2994</v>
      </c>
      <c r="M804" s="2" t="s">
        <v>2995</v>
      </c>
      <c r="P804" s="2" t="s">
        <v>1843</v>
      </c>
      <c r="Q804" s="2" t="s">
        <v>1127</v>
      </c>
    </row>
    <row r="805" spans="1:17" ht="18" customHeight="1" x14ac:dyDescent="0.2">
      <c r="A805" s="23" t="s">
        <v>460</v>
      </c>
      <c r="B805" s="23" t="s">
        <v>461</v>
      </c>
      <c r="C805" s="23" t="s">
        <v>4182</v>
      </c>
      <c r="D805" s="23" t="s">
        <v>1838</v>
      </c>
      <c r="E805" s="23" t="s">
        <v>2990</v>
      </c>
      <c r="F805" s="2">
        <v>9</v>
      </c>
      <c r="G805" s="21">
        <v>2007</v>
      </c>
      <c r="H805" s="4" t="s">
        <v>2998</v>
      </c>
      <c r="I805" s="4" t="s">
        <v>2992</v>
      </c>
      <c r="J805" s="2" t="s">
        <v>2993</v>
      </c>
      <c r="K805" s="22" t="s">
        <v>2994</v>
      </c>
      <c r="M805" s="2" t="s">
        <v>2995</v>
      </c>
      <c r="P805" s="2" t="s">
        <v>1843</v>
      </c>
      <c r="Q805" s="2" t="s">
        <v>1127</v>
      </c>
    </row>
    <row r="806" spans="1:17" ht="18" customHeight="1" x14ac:dyDescent="0.2">
      <c r="A806" s="23" t="s">
        <v>460</v>
      </c>
      <c r="B806" s="23" t="s">
        <v>461</v>
      </c>
      <c r="C806" s="23" t="s">
        <v>4182</v>
      </c>
      <c r="D806" s="23" t="s">
        <v>1838</v>
      </c>
      <c r="E806" s="23" t="s">
        <v>2990</v>
      </c>
      <c r="F806" s="2">
        <v>10</v>
      </c>
      <c r="G806" s="21">
        <v>2008</v>
      </c>
      <c r="H806" s="4" t="s">
        <v>2999</v>
      </c>
      <c r="I806" s="4" t="s">
        <v>2992</v>
      </c>
      <c r="J806" s="2" t="s">
        <v>2993</v>
      </c>
      <c r="K806" s="22" t="s">
        <v>2994</v>
      </c>
      <c r="M806" s="2" t="s">
        <v>2995</v>
      </c>
      <c r="P806" s="2" t="s">
        <v>1843</v>
      </c>
      <c r="Q806" s="2" t="s">
        <v>1127</v>
      </c>
    </row>
    <row r="807" spans="1:17" ht="18" customHeight="1" x14ac:dyDescent="0.2">
      <c r="A807" s="23" t="s">
        <v>460</v>
      </c>
      <c r="B807" s="23" t="s">
        <v>461</v>
      </c>
      <c r="C807" s="23" t="s">
        <v>4182</v>
      </c>
      <c r="D807" s="23" t="s">
        <v>1838</v>
      </c>
      <c r="E807" s="23" t="s">
        <v>2990</v>
      </c>
      <c r="F807" s="2">
        <v>11</v>
      </c>
      <c r="G807" s="21">
        <v>2009</v>
      </c>
      <c r="H807" s="4" t="s">
        <v>3000</v>
      </c>
      <c r="I807" s="4" t="s">
        <v>2992</v>
      </c>
      <c r="J807" s="2" t="s">
        <v>2993</v>
      </c>
      <c r="K807" s="22" t="s">
        <v>2994</v>
      </c>
      <c r="M807" s="2" t="s">
        <v>2995</v>
      </c>
      <c r="P807" s="2" t="s">
        <v>1843</v>
      </c>
      <c r="Q807" s="2" t="s">
        <v>1127</v>
      </c>
    </row>
    <row r="808" spans="1:17" ht="18" customHeight="1" x14ac:dyDescent="0.2">
      <c r="A808" s="23" t="s">
        <v>460</v>
      </c>
      <c r="B808" s="23" t="s">
        <v>461</v>
      </c>
      <c r="C808" s="23" t="s">
        <v>4182</v>
      </c>
      <c r="D808" s="23" t="s">
        <v>1838</v>
      </c>
      <c r="E808" s="23" t="s">
        <v>2990</v>
      </c>
      <c r="F808" s="2">
        <v>12</v>
      </c>
      <c r="G808" s="21">
        <v>2010</v>
      </c>
      <c r="H808" s="4" t="s">
        <v>3001</v>
      </c>
      <c r="I808" s="4" t="s">
        <v>2992</v>
      </c>
      <c r="J808" s="2" t="s">
        <v>2993</v>
      </c>
      <c r="K808" s="22" t="s">
        <v>2994</v>
      </c>
      <c r="M808" s="2" t="s">
        <v>2995</v>
      </c>
      <c r="P808" s="2" t="s">
        <v>1843</v>
      </c>
      <c r="Q808" s="2" t="s">
        <v>1127</v>
      </c>
    </row>
    <row r="809" spans="1:17" ht="18" customHeight="1" x14ac:dyDescent="0.2">
      <c r="A809" s="23" t="s">
        <v>460</v>
      </c>
      <c r="B809" s="23" t="s">
        <v>461</v>
      </c>
      <c r="C809" s="23" t="s">
        <v>4182</v>
      </c>
      <c r="D809" s="23" t="s">
        <v>1838</v>
      </c>
      <c r="E809" s="23" t="s">
        <v>2990</v>
      </c>
      <c r="F809" s="2">
        <v>13</v>
      </c>
      <c r="G809" s="21">
        <v>2011</v>
      </c>
      <c r="H809" s="4" t="s">
        <v>3002</v>
      </c>
      <c r="I809" s="4" t="s">
        <v>2992</v>
      </c>
      <c r="J809" s="2" t="s">
        <v>2993</v>
      </c>
      <c r="K809" s="22" t="s">
        <v>2994</v>
      </c>
      <c r="M809" s="2" t="s">
        <v>2995</v>
      </c>
      <c r="P809" s="2" t="s">
        <v>1843</v>
      </c>
      <c r="Q809" s="2" t="s">
        <v>1127</v>
      </c>
    </row>
    <row r="810" spans="1:17" ht="18" customHeight="1" x14ac:dyDescent="0.2">
      <c r="A810" s="23" t="s">
        <v>460</v>
      </c>
      <c r="B810" s="23" t="s">
        <v>461</v>
      </c>
      <c r="C810" s="23" t="s">
        <v>4182</v>
      </c>
      <c r="D810" s="23" t="s">
        <v>1838</v>
      </c>
      <c r="E810" s="23" t="s">
        <v>2990</v>
      </c>
      <c r="F810" s="2">
        <v>14</v>
      </c>
      <c r="G810" s="21">
        <v>2012</v>
      </c>
      <c r="H810" s="4" t="s">
        <v>3003</v>
      </c>
      <c r="I810" s="4" t="s">
        <v>2992</v>
      </c>
      <c r="J810" s="2" t="s">
        <v>2993</v>
      </c>
      <c r="K810" s="22" t="s">
        <v>2994</v>
      </c>
      <c r="M810" s="2" t="s">
        <v>2995</v>
      </c>
      <c r="P810" s="2" t="s">
        <v>1843</v>
      </c>
      <c r="Q810" s="2" t="s">
        <v>1127</v>
      </c>
    </row>
    <row r="811" spans="1:17" ht="18" customHeight="1" x14ac:dyDescent="0.2">
      <c r="A811" s="23" t="s">
        <v>460</v>
      </c>
      <c r="B811" s="23" t="s">
        <v>461</v>
      </c>
      <c r="C811" s="23" t="s">
        <v>4182</v>
      </c>
      <c r="D811" s="23" t="s">
        <v>1838</v>
      </c>
      <c r="E811" s="23" t="s">
        <v>2990</v>
      </c>
      <c r="F811" s="2">
        <v>15</v>
      </c>
      <c r="G811" s="21">
        <v>2013</v>
      </c>
      <c r="H811" s="4" t="s">
        <v>3004</v>
      </c>
      <c r="I811" s="4" t="s">
        <v>2992</v>
      </c>
      <c r="J811" s="2" t="s">
        <v>2993</v>
      </c>
      <c r="K811" s="22" t="s">
        <v>2994</v>
      </c>
      <c r="M811" s="2" t="s">
        <v>2995</v>
      </c>
      <c r="P811" s="2" t="s">
        <v>1843</v>
      </c>
      <c r="Q811" s="2" t="s">
        <v>1127</v>
      </c>
    </row>
    <row r="812" spans="1:17" ht="18" customHeight="1" x14ac:dyDescent="0.2">
      <c r="A812" s="23" t="s">
        <v>460</v>
      </c>
      <c r="B812" s="23" t="s">
        <v>461</v>
      </c>
      <c r="C812" s="23" t="s">
        <v>4182</v>
      </c>
      <c r="D812" s="23" t="s">
        <v>1838</v>
      </c>
      <c r="E812" s="23" t="s">
        <v>2990</v>
      </c>
      <c r="F812" s="2">
        <v>16</v>
      </c>
      <c r="G812" s="21">
        <v>2014</v>
      </c>
      <c r="H812" s="4" t="s">
        <v>3005</v>
      </c>
      <c r="I812" s="4" t="s">
        <v>2992</v>
      </c>
      <c r="J812" s="2" t="s">
        <v>2993</v>
      </c>
      <c r="K812" s="22" t="s">
        <v>2994</v>
      </c>
      <c r="M812" s="2" t="s">
        <v>2995</v>
      </c>
      <c r="P812" s="2" t="s">
        <v>1843</v>
      </c>
      <c r="Q812" s="2" t="s">
        <v>1127</v>
      </c>
    </row>
    <row r="813" spans="1:17" ht="18" customHeight="1" x14ac:dyDescent="0.2">
      <c r="A813" s="23" t="s">
        <v>460</v>
      </c>
      <c r="B813" s="23" t="s">
        <v>461</v>
      </c>
      <c r="C813" s="23" t="s">
        <v>4182</v>
      </c>
      <c r="D813" s="23" t="s">
        <v>1838</v>
      </c>
      <c r="E813" s="23" t="s">
        <v>2990</v>
      </c>
      <c r="F813" s="2">
        <v>17</v>
      </c>
      <c r="G813" s="21">
        <v>2015</v>
      </c>
      <c r="H813" s="4" t="s">
        <v>3006</v>
      </c>
      <c r="I813" s="4" t="s">
        <v>2992</v>
      </c>
      <c r="J813" s="2" t="s">
        <v>2993</v>
      </c>
      <c r="K813" s="22" t="s">
        <v>2994</v>
      </c>
      <c r="M813" s="2" t="s">
        <v>2995</v>
      </c>
      <c r="P813" s="2" t="s">
        <v>1843</v>
      </c>
      <c r="Q813" s="2" t="s">
        <v>1127</v>
      </c>
    </row>
    <row r="814" spans="1:17" ht="18" customHeight="1" x14ac:dyDescent="0.2">
      <c r="A814" s="23" t="s">
        <v>460</v>
      </c>
      <c r="B814" s="23" t="s">
        <v>461</v>
      </c>
      <c r="C814" s="23" t="s">
        <v>4182</v>
      </c>
      <c r="D814" s="23" t="s">
        <v>1838</v>
      </c>
      <c r="E814" s="23" t="s">
        <v>2990</v>
      </c>
      <c r="F814" s="2">
        <v>18</v>
      </c>
      <c r="G814" s="21">
        <v>2016</v>
      </c>
      <c r="H814" s="4" t="s">
        <v>3007</v>
      </c>
      <c r="I814" s="4" t="s">
        <v>2992</v>
      </c>
      <c r="J814" s="2" t="s">
        <v>2993</v>
      </c>
      <c r="K814" s="22" t="s">
        <v>2994</v>
      </c>
      <c r="M814" s="2" t="s">
        <v>2995</v>
      </c>
      <c r="P814" s="2" t="s">
        <v>1843</v>
      </c>
      <c r="Q814" s="2" t="s">
        <v>1127</v>
      </c>
    </row>
    <row r="815" spans="1:17" ht="18" customHeight="1" x14ac:dyDescent="0.2">
      <c r="A815" s="23" t="s">
        <v>460</v>
      </c>
      <c r="B815" s="23" t="s">
        <v>461</v>
      </c>
      <c r="C815" s="23" t="s">
        <v>4182</v>
      </c>
      <c r="D815" s="23" t="s">
        <v>1838</v>
      </c>
      <c r="E815" s="23" t="s">
        <v>2990</v>
      </c>
      <c r="F815" s="2">
        <v>19</v>
      </c>
      <c r="G815" s="21">
        <v>2017</v>
      </c>
      <c r="H815" s="4" t="s">
        <v>3008</v>
      </c>
      <c r="I815" s="4" t="s">
        <v>2992</v>
      </c>
      <c r="J815" s="2" t="s">
        <v>2993</v>
      </c>
      <c r="K815" s="22" t="s">
        <v>2994</v>
      </c>
      <c r="M815" s="2" t="s">
        <v>2995</v>
      </c>
      <c r="P815" s="2" t="s">
        <v>1843</v>
      </c>
      <c r="Q815" s="2" t="s">
        <v>1127</v>
      </c>
    </row>
    <row r="816" spans="1:17" ht="18" customHeight="1" x14ac:dyDescent="0.2">
      <c r="A816" s="23" t="s">
        <v>460</v>
      </c>
      <c r="B816" s="23" t="s">
        <v>461</v>
      </c>
      <c r="C816" s="23" t="s">
        <v>4182</v>
      </c>
      <c r="D816" s="23" t="s">
        <v>1838</v>
      </c>
      <c r="E816" s="23" t="s">
        <v>2990</v>
      </c>
      <c r="F816" s="2">
        <v>20</v>
      </c>
      <c r="G816" s="21">
        <v>2018</v>
      </c>
      <c r="H816" s="4" t="s">
        <v>3009</v>
      </c>
      <c r="I816" s="4" t="s">
        <v>2992</v>
      </c>
      <c r="J816" s="2" t="s">
        <v>2993</v>
      </c>
      <c r="K816" s="22" t="s">
        <v>2994</v>
      </c>
      <c r="M816" s="2" t="s">
        <v>2995</v>
      </c>
      <c r="P816" s="2" t="s">
        <v>1843</v>
      </c>
      <c r="Q816" s="2" t="s">
        <v>1127</v>
      </c>
    </row>
    <row r="817" spans="1:17" ht="18" customHeight="1" x14ac:dyDescent="0.2">
      <c r="A817" s="23" t="s">
        <v>460</v>
      </c>
      <c r="B817" s="23" t="s">
        <v>461</v>
      </c>
      <c r="C817" s="23" t="s">
        <v>4182</v>
      </c>
      <c r="D817" s="23" t="s">
        <v>1838</v>
      </c>
      <c r="E817" s="23" t="s">
        <v>2990</v>
      </c>
      <c r="F817" s="2">
        <v>21</v>
      </c>
      <c r="G817" s="21">
        <v>2019</v>
      </c>
      <c r="H817" s="4" t="s">
        <v>3010</v>
      </c>
      <c r="I817" s="4" t="s">
        <v>2992</v>
      </c>
      <c r="J817" s="2" t="s">
        <v>2993</v>
      </c>
      <c r="K817" s="22" t="s">
        <v>2994</v>
      </c>
      <c r="M817" s="2" t="s">
        <v>2995</v>
      </c>
      <c r="P817" s="2" t="s">
        <v>1843</v>
      </c>
      <c r="Q817" s="2" t="s">
        <v>1127</v>
      </c>
    </row>
    <row r="818" spans="1:17" ht="18" customHeight="1" x14ac:dyDescent="0.2">
      <c r="A818" s="23" t="s">
        <v>460</v>
      </c>
      <c r="B818" s="23" t="s">
        <v>461</v>
      </c>
      <c r="C818" s="23" t="s">
        <v>4182</v>
      </c>
      <c r="D818" s="23" t="s">
        <v>1838</v>
      </c>
      <c r="E818" s="23" t="s">
        <v>3011</v>
      </c>
      <c r="F818" s="2">
        <v>1</v>
      </c>
      <c r="G818" s="21">
        <v>1999</v>
      </c>
      <c r="H818" s="4" t="s">
        <v>3012</v>
      </c>
      <c r="I818" s="4" t="s">
        <v>3013</v>
      </c>
      <c r="J818" s="2" t="s">
        <v>3014</v>
      </c>
      <c r="K818" s="22" t="s">
        <v>2814</v>
      </c>
      <c r="M818" s="2" t="s">
        <v>1414</v>
      </c>
      <c r="P818" s="2" t="s">
        <v>1843</v>
      </c>
      <c r="Q818" s="2" t="s">
        <v>1127</v>
      </c>
    </row>
    <row r="819" spans="1:17" ht="18" customHeight="1" x14ac:dyDescent="0.2">
      <c r="A819" s="23" t="s">
        <v>460</v>
      </c>
      <c r="B819" s="23" t="s">
        <v>461</v>
      </c>
      <c r="C819" s="23" t="s">
        <v>4182</v>
      </c>
      <c r="D819" s="23" t="s">
        <v>1838</v>
      </c>
      <c r="E819" s="23" t="s">
        <v>3011</v>
      </c>
      <c r="F819" s="2">
        <v>2</v>
      </c>
      <c r="G819" s="21">
        <v>2000</v>
      </c>
      <c r="H819" s="4" t="s">
        <v>3015</v>
      </c>
      <c r="I819" s="4" t="s">
        <v>3013</v>
      </c>
      <c r="J819" s="2" t="s">
        <v>3014</v>
      </c>
      <c r="K819" s="22" t="s">
        <v>2814</v>
      </c>
      <c r="M819" s="2" t="s">
        <v>1414</v>
      </c>
      <c r="P819" s="2" t="s">
        <v>1843</v>
      </c>
      <c r="Q819" s="2" t="s">
        <v>1127</v>
      </c>
    </row>
    <row r="820" spans="1:17" ht="18" customHeight="1" x14ac:dyDescent="0.2">
      <c r="A820" s="23" t="s">
        <v>460</v>
      </c>
      <c r="B820" s="23" t="s">
        <v>461</v>
      </c>
      <c r="C820" s="23" t="s">
        <v>4182</v>
      </c>
      <c r="D820" s="23" t="s">
        <v>1838</v>
      </c>
      <c r="E820" s="23" t="s">
        <v>3011</v>
      </c>
      <c r="F820" s="2">
        <v>3</v>
      </c>
      <c r="G820" s="21">
        <v>2001</v>
      </c>
      <c r="H820" s="4" t="s">
        <v>3016</v>
      </c>
      <c r="I820" s="4" t="s">
        <v>3013</v>
      </c>
      <c r="J820" s="2" t="s">
        <v>3014</v>
      </c>
      <c r="K820" s="22" t="s">
        <v>2814</v>
      </c>
      <c r="M820" s="2" t="s">
        <v>1414</v>
      </c>
      <c r="P820" s="2" t="s">
        <v>1843</v>
      </c>
      <c r="Q820" s="2" t="s">
        <v>1127</v>
      </c>
    </row>
    <row r="821" spans="1:17" ht="18" customHeight="1" x14ac:dyDescent="0.2">
      <c r="A821" s="23" t="s">
        <v>460</v>
      </c>
      <c r="B821" s="23" t="s">
        <v>461</v>
      </c>
      <c r="C821" s="23" t="s">
        <v>4182</v>
      </c>
      <c r="D821" s="23" t="s">
        <v>1838</v>
      </c>
      <c r="E821" s="23" t="s">
        <v>3011</v>
      </c>
      <c r="F821" s="2">
        <v>4</v>
      </c>
      <c r="G821" s="21">
        <v>2002</v>
      </c>
      <c r="H821" s="4" t="s">
        <v>3017</v>
      </c>
      <c r="I821" s="4" t="s">
        <v>3013</v>
      </c>
      <c r="J821" s="2" t="s">
        <v>3014</v>
      </c>
      <c r="K821" s="22" t="s">
        <v>2814</v>
      </c>
      <c r="M821" s="2" t="s">
        <v>1414</v>
      </c>
      <c r="P821" s="2" t="s">
        <v>1843</v>
      </c>
      <c r="Q821" s="2" t="s">
        <v>1127</v>
      </c>
    </row>
    <row r="822" spans="1:17" ht="18" customHeight="1" x14ac:dyDescent="0.2">
      <c r="A822" s="23" t="s">
        <v>460</v>
      </c>
      <c r="B822" s="23" t="s">
        <v>461</v>
      </c>
      <c r="C822" s="23" t="s">
        <v>4182</v>
      </c>
      <c r="D822" s="23" t="s">
        <v>1838</v>
      </c>
      <c r="E822" s="23" t="s">
        <v>3011</v>
      </c>
      <c r="F822" s="2">
        <v>5</v>
      </c>
      <c r="G822" s="21">
        <v>2003</v>
      </c>
      <c r="H822" s="4" t="s">
        <v>3018</v>
      </c>
      <c r="I822" s="4" t="s">
        <v>3013</v>
      </c>
      <c r="J822" s="2" t="s">
        <v>3014</v>
      </c>
      <c r="K822" s="22" t="s">
        <v>2814</v>
      </c>
      <c r="M822" s="2" t="s">
        <v>1414</v>
      </c>
      <c r="P822" s="2" t="s">
        <v>1843</v>
      </c>
      <c r="Q822" s="2" t="s">
        <v>1127</v>
      </c>
    </row>
    <row r="823" spans="1:17" ht="18" customHeight="1" x14ac:dyDescent="0.2">
      <c r="A823" s="23" t="s">
        <v>460</v>
      </c>
      <c r="B823" s="23" t="s">
        <v>461</v>
      </c>
      <c r="C823" s="23" t="s">
        <v>4182</v>
      </c>
      <c r="D823" s="23" t="s">
        <v>1838</v>
      </c>
      <c r="E823" s="23" t="s">
        <v>3019</v>
      </c>
      <c r="F823" s="2">
        <v>1</v>
      </c>
      <c r="G823" s="21">
        <v>1999</v>
      </c>
      <c r="H823" s="4" t="s">
        <v>3020</v>
      </c>
      <c r="I823" s="4" t="s">
        <v>3021</v>
      </c>
      <c r="J823" s="2" t="s">
        <v>3022</v>
      </c>
      <c r="K823" s="22" t="s">
        <v>3023</v>
      </c>
      <c r="M823" s="2" t="s">
        <v>2024</v>
      </c>
      <c r="P823" s="2" t="s">
        <v>1843</v>
      </c>
      <c r="Q823" s="2" t="s">
        <v>1127</v>
      </c>
    </row>
    <row r="824" spans="1:17" ht="18" customHeight="1" x14ac:dyDescent="0.2">
      <c r="A824" s="23" t="s">
        <v>460</v>
      </c>
      <c r="B824" s="23" t="s">
        <v>461</v>
      </c>
      <c r="C824" s="23" t="s">
        <v>4182</v>
      </c>
      <c r="D824" s="23" t="s">
        <v>1838</v>
      </c>
      <c r="E824" s="23" t="s">
        <v>3019</v>
      </c>
      <c r="F824" s="2">
        <v>2</v>
      </c>
      <c r="G824" s="21">
        <v>2000</v>
      </c>
      <c r="H824" s="4" t="s">
        <v>3024</v>
      </c>
      <c r="I824" s="4" t="s">
        <v>3021</v>
      </c>
      <c r="J824" s="2" t="s">
        <v>3022</v>
      </c>
      <c r="K824" s="22" t="s">
        <v>3023</v>
      </c>
      <c r="M824" s="2" t="s">
        <v>2024</v>
      </c>
      <c r="P824" s="2" t="s">
        <v>1843</v>
      </c>
      <c r="Q824" s="2" t="s">
        <v>1127</v>
      </c>
    </row>
    <row r="825" spans="1:17" ht="18" customHeight="1" x14ac:dyDescent="0.2">
      <c r="A825" s="23" t="s">
        <v>460</v>
      </c>
      <c r="B825" s="23" t="s">
        <v>461</v>
      </c>
      <c r="C825" s="23" t="s">
        <v>4182</v>
      </c>
      <c r="D825" s="23" t="s">
        <v>1838</v>
      </c>
      <c r="E825" s="23" t="s">
        <v>3019</v>
      </c>
      <c r="F825" s="2">
        <v>3</v>
      </c>
      <c r="G825" s="21">
        <v>2001</v>
      </c>
      <c r="H825" s="4" t="s">
        <v>3025</v>
      </c>
      <c r="I825" s="4" t="s">
        <v>3021</v>
      </c>
      <c r="J825" s="2" t="s">
        <v>3022</v>
      </c>
      <c r="K825" s="22" t="s">
        <v>3023</v>
      </c>
      <c r="M825" s="2" t="s">
        <v>2024</v>
      </c>
      <c r="P825" s="2" t="s">
        <v>1843</v>
      </c>
      <c r="Q825" s="2" t="s">
        <v>1127</v>
      </c>
    </row>
    <row r="826" spans="1:17" ht="18" customHeight="1" x14ac:dyDescent="0.2">
      <c r="A826" s="23" t="s">
        <v>460</v>
      </c>
      <c r="B826" s="23" t="s">
        <v>461</v>
      </c>
      <c r="C826" s="23" t="s">
        <v>4182</v>
      </c>
      <c r="D826" s="23" t="s">
        <v>1838</v>
      </c>
      <c r="E826" s="23" t="s">
        <v>3019</v>
      </c>
      <c r="F826" s="2">
        <v>4</v>
      </c>
      <c r="G826" s="21">
        <v>2002</v>
      </c>
      <c r="H826" s="4" t="s">
        <v>3026</v>
      </c>
      <c r="I826" s="4" t="s">
        <v>3021</v>
      </c>
      <c r="J826" s="2" t="s">
        <v>3022</v>
      </c>
      <c r="K826" s="22" t="s">
        <v>3023</v>
      </c>
      <c r="M826" s="2" t="s">
        <v>2024</v>
      </c>
      <c r="P826" s="2" t="s">
        <v>1843</v>
      </c>
      <c r="Q826" s="2" t="s">
        <v>1127</v>
      </c>
    </row>
    <row r="827" spans="1:17" ht="18" customHeight="1" x14ac:dyDescent="0.2">
      <c r="A827" s="23" t="s">
        <v>460</v>
      </c>
      <c r="B827" s="23" t="s">
        <v>461</v>
      </c>
      <c r="C827" s="23" t="s">
        <v>4182</v>
      </c>
      <c r="D827" s="23" t="s">
        <v>1838</v>
      </c>
      <c r="E827" s="23" t="s">
        <v>3019</v>
      </c>
      <c r="F827" s="2">
        <v>5</v>
      </c>
      <c r="G827" s="21">
        <v>2003</v>
      </c>
      <c r="H827" s="4" t="s">
        <v>3027</v>
      </c>
      <c r="I827" s="4" t="s">
        <v>3021</v>
      </c>
      <c r="J827" s="2" t="s">
        <v>3022</v>
      </c>
      <c r="K827" s="22" t="s">
        <v>3023</v>
      </c>
      <c r="M827" s="2" t="s">
        <v>2024</v>
      </c>
      <c r="P827" s="2" t="s">
        <v>1843</v>
      </c>
      <c r="Q827" s="2" t="s">
        <v>1127</v>
      </c>
    </row>
    <row r="828" spans="1:17" ht="18" customHeight="1" x14ac:dyDescent="0.2">
      <c r="A828" s="23" t="s">
        <v>460</v>
      </c>
      <c r="B828" s="23" t="s">
        <v>461</v>
      </c>
      <c r="C828" s="23" t="s">
        <v>4182</v>
      </c>
      <c r="D828" s="23" t="s">
        <v>1838</v>
      </c>
      <c r="E828" s="23" t="s">
        <v>3019</v>
      </c>
      <c r="F828" s="2">
        <v>6</v>
      </c>
      <c r="G828" s="21">
        <v>2004</v>
      </c>
      <c r="H828" s="4" t="s">
        <v>3028</v>
      </c>
      <c r="I828" s="4" t="s">
        <v>3021</v>
      </c>
      <c r="J828" s="2" t="s">
        <v>3022</v>
      </c>
      <c r="K828" s="22" t="s">
        <v>3023</v>
      </c>
      <c r="M828" s="2" t="s">
        <v>2024</v>
      </c>
      <c r="P828" s="2" t="s">
        <v>1843</v>
      </c>
      <c r="Q828" s="2" t="s">
        <v>1127</v>
      </c>
    </row>
    <row r="829" spans="1:17" ht="18" customHeight="1" x14ac:dyDescent="0.2">
      <c r="A829" s="23" t="s">
        <v>460</v>
      </c>
      <c r="B829" s="23" t="s">
        <v>461</v>
      </c>
      <c r="C829" s="23" t="s">
        <v>4182</v>
      </c>
      <c r="D829" s="23" t="s">
        <v>1838</v>
      </c>
      <c r="E829" s="23" t="s">
        <v>3019</v>
      </c>
      <c r="F829" s="2">
        <v>7</v>
      </c>
      <c r="G829" s="21">
        <v>2005</v>
      </c>
      <c r="H829" s="4" t="s">
        <v>3029</v>
      </c>
      <c r="I829" s="4" t="s">
        <v>3021</v>
      </c>
      <c r="J829" s="2" t="s">
        <v>3022</v>
      </c>
      <c r="K829" s="22" t="s">
        <v>3023</v>
      </c>
      <c r="M829" s="2" t="s">
        <v>2024</v>
      </c>
      <c r="P829" s="2" t="s">
        <v>1843</v>
      </c>
      <c r="Q829" s="2" t="s">
        <v>1127</v>
      </c>
    </row>
    <row r="830" spans="1:17" ht="18" customHeight="1" x14ac:dyDescent="0.2">
      <c r="A830" s="23" t="s">
        <v>460</v>
      </c>
      <c r="B830" s="23" t="s">
        <v>461</v>
      </c>
      <c r="C830" s="23" t="s">
        <v>4182</v>
      </c>
      <c r="D830" s="23" t="s">
        <v>1838</v>
      </c>
      <c r="E830" s="23" t="s">
        <v>3019</v>
      </c>
      <c r="F830" s="2">
        <v>8</v>
      </c>
      <c r="G830" s="21">
        <v>2006</v>
      </c>
      <c r="H830" s="4" t="s">
        <v>3030</v>
      </c>
      <c r="I830" s="4" t="s">
        <v>3021</v>
      </c>
      <c r="J830" s="2" t="s">
        <v>3022</v>
      </c>
      <c r="K830" s="22" t="s">
        <v>3023</v>
      </c>
      <c r="M830" s="2" t="s">
        <v>2024</v>
      </c>
      <c r="P830" s="2" t="s">
        <v>1843</v>
      </c>
      <c r="Q830" s="2" t="s">
        <v>1127</v>
      </c>
    </row>
    <row r="831" spans="1:17" ht="18" customHeight="1" x14ac:dyDescent="0.2">
      <c r="A831" s="23" t="s">
        <v>460</v>
      </c>
      <c r="B831" s="23" t="s">
        <v>461</v>
      </c>
      <c r="C831" s="23" t="s">
        <v>4182</v>
      </c>
      <c r="D831" s="23" t="s">
        <v>1838</v>
      </c>
      <c r="E831" s="23" t="s">
        <v>3019</v>
      </c>
      <c r="F831" s="2">
        <v>9</v>
      </c>
      <c r="G831" s="21">
        <v>2007</v>
      </c>
      <c r="H831" s="4" t="s">
        <v>3031</v>
      </c>
      <c r="I831" s="4" t="s">
        <v>3021</v>
      </c>
      <c r="J831" s="2" t="s">
        <v>3022</v>
      </c>
      <c r="K831" s="22" t="s">
        <v>3023</v>
      </c>
      <c r="M831" s="2" t="s">
        <v>2024</v>
      </c>
      <c r="P831" s="2" t="s">
        <v>1843</v>
      </c>
      <c r="Q831" s="2" t="s">
        <v>1127</v>
      </c>
    </row>
    <row r="832" spans="1:17" ht="18" customHeight="1" x14ac:dyDescent="0.2">
      <c r="A832" s="23" t="s">
        <v>460</v>
      </c>
      <c r="B832" s="23" t="s">
        <v>461</v>
      </c>
      <c r="C832" s="23" t="s">
        <v>4182</v>
      </c>
      <c r="D832" s="23" t="s">
        <v>1838</v>
      </c>
      <c r="E832" s="23" t="s">
        <v>3019</v>
      </c>
      <c r="F832" s="2">
        <v>10</v>
      </c>
      <c r="G832" s="21">
        <v>2008</v>
      </c>
      <c r="H832" s="4" t="s">
        <v>3032</v>
      </c>
      <c r="I832" s="4" t="s">
        <v>3021</v>
      </c>
      <c r="J832" s="2" t="s">
        <v>3022</v>
      </c>
      <c r="K832" s="22" t="s">
        <v>3023</v>
      </c>
      <c r="M832" s="2" t="s">
        <v>2024</v>
      </c>
      <c r="P832" s="2" t="s">
        <v>1843</v>
      </c>
      <c r="Q832" s="2" t="s">
        <v>1127</v>
      </c>
    </row>
    <row r="833" spans="1:17" ht="18" customHeight="1" x14ac:dyDescent="0.2">
      <c r="A833" s="23" t="s">
        <v>460</v>
      </c>
      <c r="B833" s="23" t="s">
        <v>461</v>
      </c>
      <c r="C833" s="23" t="s">
        <v>4182</v>
      </c>
      <c r="D833" s="23" t="s">
        <v>1838</v>
      </c>
      <c r="E833" s="23" t="s">
        <v>3019</v>
      </c>
      <c r="F833" s="2">
        <v>11</v>
      </c>
      <c r="G833" s="21">
        <v>2009</v>
      </c>
      <c r="H833" s="4" t="s">
        <v>3033</v>
      </c>
      <c r="I833" s="4" t="s">
        <v>3021</v>
      </c>
      <c r="J833" s="2" t="s">
        <v>3022</v>
      </c>
      <c r="K833" s="22" t="s">
        <v>3023</v>
      </c>
      <c r="M833" s="2" t="s">
        <v>2024</v>
      </c>
      <c r="P833" s="2" t="s">
        <v>1843</v>
      </c>
      <c r="Q833" s="2" t="s">
        <v>1127</v>
      </c>
    </row>
    <row r="834" spans="1:17" ht="18" customHeight="1" x14ac:dyDescent="0.2">
      <c r="A834" s="23" t="s">
        <v>460</v>
      </c>
      <c r="B834" s="23" t="s">
        <v>461</v>
      </c>
      <c r="C834" s="23" t="s">
        <v>4182</v>
      </c>
      <c r="D834" s="23" t="s">
        <v>1838</v>
      </c>
      <c r="E834" s="23" t="s">
        <v>3019</v>
      </c>
      <c r="F834" s="2">
        <v>12</v>
      </c>
      <c r="G834" s="21">
        <v>2010</v>
      </c>
      <c r="H834" s="4" t="s">
        <v>3034</v>
      </c>
      <c r="I834" s="4" t="s">
        <v>3021</v>
      </c>
      <c r="J834" s="2" t="s">
        <v>3022</v>
      </c>
      <c r="K834" s="22" t="s">
        <v>3023</v>
      </c>
      <c r="M834" s="2" t="s">
        <v>2024</v>
      </c>
      <c r="P834" s="2" t="s">
        <v>1843</v>
      </c>
      <c r="Q834" s="2" t="s">
        <v>1127</v>
      </c>
    </row>
    <row r="835" spans="1:17" ht="18" customHeight="1" x14ac:dyDescent="0.2">
      <c r="A835" s="23" t="s">
        <v>460</v>
      </c>
      <c r="B835" s="23" t="s">
        <v>461</v>
      </c>
      <c r="C835" s="23" t="s">
        <v>4182</v>
      </c>
      <c r="D835" s="23" t="s">
        <v>1838</v>
      </c>
      <c r="E835" s="23" t="s">
        <v>3019</v>
      </c>
      <c r="F835" s="2">
        <v>13</v>
      </c>
      <c r="G835" s="21">
        <v>2011</v>
      </c>
      <c r="H835" s="4" t="s">
        <v>3035</v>
      </c>
      <c r="I835" s="4" t="s">
        <v>3021</v>
      </c>
      <c r="J835" s="2" t="s">
        <v>3022</v>
      </c>
      <c r="K835" s="22" t="s">
        <v>3023</v>
      </c>
      <c r="M835" s="2" t="s">
        <v>2024</v>
      </c>
      <c r="P835" s="2" t="s">
        <v>1843</v>
      </c>
      <c r="Q835" s="2" t="s">
        <v>1127</v>
      </c>
    </row>
    <row r="836" spans="1:17" ht="18" customHeight="1" x14ac:dyDescent="0.2">
      <c r="A836" s="23" t="s">
        <v>460</v>
      </c>
      <c r="B836" s="23" t="s">
        <v>461</v>
      </c>
      <c r="C836" s="23" t="s">
        <v>4182</v>
      </c>
      <c r="D836" s="23" t="s">
        <v>1838</v>
      </c>
      <c r="E836" s="23" t="s">
        <v>3019</v>
      </c>
      <c r="F836" s="2">
        <v>14</v>
      </c>
      <c r="G836" s="21">
        <v>2012</v>
      </c>
      <c r="H836" s="4" t="s">
        <v>3036</v>
      </c>
      <c r="I836" s="4" t="s">
        <v>3021</v>
      </c>
      <c r="J836" s="2" t="s">
        <v>3022</v>
      </c>
      <c r="K836" s="22" t="s">
        <v>3023</v>
      </c>
      <c r="M836" s="2" t="s">
        <v>2024</v>
      </c>
      <c r="P836" s="2" t="s">
        <v>1843</v>
      </c>
      <c r="Q836" s="2" t="s">
        <v>1127</v>
      </c>
    </row>
    <row r="837" spans="1:17" ht="18" customHeight="1" x14ac:dyDescent="0.2">
      <c r="A837" s="23" t="s">
        <v>460</v>
      </c>
      <c r="B837" s="23" t="s">
        <v>461</v>
      </c>
      <c r="C837" s="23" t="s">
        <v>4182</v>
      </c>
      <c r="D837" s="23" t="s">
        <v>1838</v>
      </c>
      <c r="E837" s="23" t="s">
        <v>3019</v>
      </c>
      <c r="F837" s="2">
        <v>15</v>
      </c>
      <c r="G837" s="21">
        <v>2013</v>
      </c>
      <c r="H837" s="4" t="s">
        <v>3037</v>
      </c>
      <c r="I837" s="4" t="s">
        <v>3021</v>
      </c>
      <c r="J837" s="2" t="s">
        <v>3022</v>
      </c>
      <c r="K837" s="22" t="s">
        <v>3023</v>
      </c>
      <c r="M837" s="2" t="s">
        <v>2024</v>
      </c>
      <c r="P837" s="2" t="s">
        <v>1843</v>
      </c>
      <c r="Q837" s="2" t="s">
        <v>1127</v>
      </c>
    </row>
    <row r="838" spans="1:17" ht="18" customHeight="1" x14ac:dyDescent="0.2">
      <c r="A838" s="23" t="s">
        <v>460</v>
      </c>
      <c r="B838" s="23" t="s">
        <v>461</v>
      </c>
      <c r="C838" s="23" t="s">
        <v>4182</v>
      </c>
      <c r="D838" s="23" t="s">
        <v>1838</v>
      </c>
      <c r="E838" s="23" t="s">
        <v>3019</v>
      </c>
      <c r="F838" s="2">
        <v>16</v>
      </c>
      <c r="G838" s="21">
        <v>2014</v>
      </c>
      <c r="H838" s="4" t="s">
        <v>3038</v>
      </c>
      <c r="I838" s="4" t="s">
        <v>3021</v>
      </c>
      <c r="J838" s="2" t="s">
        <v>3022</v>
      </c>
      <c r="K838" s="22" t="s">
        <v>3023</v>
      </c>
      <c r="M838" s="2" t="s">
        <v>2024</v>
      </c>
      <c r="P838" s="2" t="s">
        <v>1843</v>
      </c>
      <c r="Q838" s="2" t="s">
        <v>1127</v>
      </c>
    </row>
    <row r="839" spans="1:17" ht="18" customHeight="1" x14ac:dyDescent="0.2">
      <c r="A839" s="23" t="s">
        <v>460</v>
      </c>
      <c r="B839" s="23" t="s">
        <v>461</v>
      </c>
      <c r="C839" s="23" t="s">
        <v>4182</v>
      </c>
      <c r="D839" s="23" t="s">
        <v>1838</v>
      </c>
      <c r="E839" s="23" t="s">
        <v>3019</v>
      </c>
      <c r="F839" s="2">
        <v>17</v>
      </c>
      <c r="G839" s="21">
        <v>2015</v>
      </c>
      <c r="H839" s="4" t="s">
        <v>3039</v>
      </c>
      <c r="I839" s="4" t="s">
        <v>3021</v>
      </c>
      <c r="J839" s="2" t="s">
        <v>3022</v>
      </c>
      <c r="K839" s="22" t="s">
        <v>3023</v>
      </c>
      <c r="M839" s="2" t="s">
        <v>2024</v>
      </c>
      <c r="P839" s="2" t="s">
        <v>1843</v>
      </c>
      <c r="Q839" s="2" t="s">
        <v>1127</v>
      </c>
    </row>
    <row r="840" spans="1:17" ht="18" customHeight="1" x14ac:dyDescent="0.2">
      <c r="A840" s="23" t="s">
        <v>460</v>
      </c>
      <c r="B840" s="23" t="s">
        <v>461</v>
      </c>
      <c r="C840" s="23" t="s">
        <v>4182</v>
      </c>
      <c r="D840" s="23" t="s">
        <v>1838</v>
      </c>
      <c r="E840" s="23" t="s">
        <v>3019</v>
      </c>
      <c r="F840" s="2">
        <v>18</v>
      </c>
      <c r="G840" s="21">
        <v>2016</v>
      </c>
      <c r="H840" s="4" t="s">
        <v>3040</v>
      </c>
      <c r="I840" s="4" t="s">
        <v>3021</v>
      </c>
      <c r="J840" s="2" t="s">
        <v>3022</v>
      </c>
      <c r="K840" s="22" t="s">
        <v>3023</v>
      </c>
      <c r="M840" s="2" t="s">
        <v>2024</v>
      </c>
      <c r="P840" s="2" t="s">
        <v>1843</v>
      </c>
      <c r="Q840" s="2" t="s">
        <v>1127</v>
      </c>
    </row>
    <row r="841" spans="1:17" ht="18" customHeight="1" x14ac:dyDescent="0.2">
      <c r="A841" s="23" t="s">
        <v>460</v>
      </c>
      <c r="B841" s="23" t="s">
        <v>461</v>
      </c>
      <c r="C841" s="23" t="s">
        <v>4182</v>
      </c>
      <c r="D841" s="23" t="s">
        <v>1838</v>
      </c>
      <c r="E841" s="23" t="s">
        <v>3019</v>
      </c>
      <c r="F841" s="2">
        <v>19</v>
      </c>
      <c r="G841" s="21">
        <v>2017</v>
      </c>
      <c r="H841" s="4" t="s">
        <v>3041</v>
      </c>
      <c r="I841" s="4" t="s">
        <v>3021</v>
      </c>
      <c r="J841" s="2" t="s">
        <v>3022</v>
      </c>
      <c r="K841" s="22" t="s">
        <v>3023</v>
      </c>
      <c r="M841" s="2" t="s">
        <v>2024</v>
      </c>
      <c r="P841" s="2" t="s">
        <v>1843</v>
      </c>
      <c r="Q841" s="2" t="s">
        <v>1127</v>
      </c>
    </row>
    <row r="842" spans="1:17" ht="18" customHeight="1" x14ac:dyDescent="0.2">
      <c r="A842" s="23" t="s">
        <v>460</v>
      </c>
      <c r="B842" s="23" t="s">
        <v>461</v>
      </c>
      <c r="C842" s="23" t="s">
        <v>4182</v>
      </c>
      <c r="D842" s="23" t="s">
        <v>1838</v>
      </c>
      <c r="E842" s="23" t="s">
        <v>3019</v>
      </c>
      <c r="F842" s="2">
        <v>20</v>
      </c>
      <c r="G842" s="21">
        <v>2018</v>
      </c>
      <c r="H842" s="4" t="s">
        <v>3042</v>
      </c>
      <c r="I842" s="4" t="s">
        <v>3021</v>
      </c>
      <c r="J842" s="2" t="s">
        <v>3022</v>
      </c>
      <c r="K842" s="22" t="s">
        <v>3023</v>
      </c>
      <c r="M842" s="2" t="s">
        <v>2024</v>
      </c>
      <c r="P842" s="2" t="s">
        <v>1843</v>
      </c>
      <c r="Q842" s="2" t="s">
        <v>1127</v>
      </c>
    </row>
    <row r="843" spans="1:17" ht="18" customHeight="1" x14ac:dyDescent="0.2">
      <c r="A843" s="23" t="s">
        <v>460</v>
      </c>
      <c r="B843" s="23" t="s">
        <v>461</v>
      </c>
      <c r="C843" s="23" t="s">
        <v>4182</v>
      </c>
      <c r="D843" s="23" t="s">
        <v>1838</v>
      </c>
      <c r="E843" s="23" t="s">
        <v>3043</v>
      </c>
      <c r="F843" s="2">
        <v>6</v>
      </c>
      <c r="G843" s="21">
        <v>2004</v>
      </c>
      <c r="H843" s="4" t="s">
        <v>3044</v>
      </c>
      <c r="I843" s="4" t="s">
        <v>3045</v>
      </c>
      <c r="J843" s="2" t="s">
        <v>3046</v>
      </c>
      <c r="K843" s="22" t="s">
        <v>2994</v>
      </c>
      <c r="M843" s="2" t="s">
        <v>2024</v>
      </c>
      <c r="P843" s="2" t="s">
        <v>1843</v>
      </c>
      <c r="Q843" s="2" t="s">
        <v>1127</v>
      </c>
    </row>
    <row r="844" spans="1:17" ht="18" customHeight="1" x14ac:dyDescent="0.2">
      <c r="A844" s="23" t="s">
        <v>460</v>
      </c>
      <c r="B844" s="23" t="s">
        <v>461</v>
      </c>
      <c r="C844" s="23" t="s">
        <v>4182</v>
      </c>
      <c r="D844" s="23" t="s">
        <v>1838</v>
      </c>
      <c r="E844" s="23" t="s">
        <v>3043</v>
      </c>
      <c r="F844" s="2">
        <v>7</v>
      </c>
      <c r="G844" s="21">
        <v>2005</v>
      </c>
      <c r="H844" s="4" t="s">
        <v>3047</v>
      </c>
      <c r="I844" s="4" t="s">
        <v>3045</v>
      </c>
      <c r="J844" s="2" t="s">
        <v>3046</v>
      </c>
      <c r="K844" s="22" t="s">
        <v>2994</v>
      </c>
      <c r="M844" s="2" t="s">
        <v>2024</v>
      </c>
      <c r="P844" s="2" t="s">
        <v>1843</v>
      </c>
      <c r="Q844" s="2" t="s">
        <v>1127</v>
      </c>
    </row>
    <row r="845" spans="1:17" ht="18" customHeight="1" x14ac:dyDescent="0.2">
      <c r="A845" s="23" t="s">
        <v>460</v>
      </c>
      <c r="B845" s="23" t="s">
        <v>461</v>
      </c>
      <c r="C845" s="23" t="s">
        <v>4182</v>
      </c>
      <c r="D845" s="23" t="s">
        <v>1838</v>
      </c>
      <c r="E845" s="23" t="s">
        <v>3043</v>
      </c>
      <c r="F845" s="2">
        <v>8</v>
      </c>
      <c r="G845" s="21">
        <v>2006</v>
      </c>
      <c r="H845" s="4" t="s">
        <v>3048</v>
      </c>
      <c r="I845" s="4" t="s">
        <v>3045</v>
      </c>
      <c r="J845" s="2" t="s">
        <v>3046</v>
      </c>
      <c r="K845" s="22" t="s">
        <v>2994</v>
      </c>
      <c r="M845" s="2" t="s">
        <v>2024</v>
      </c>
      <c r="P845" s="2" t="s">
        <v>1843</v>
      </c>
      <c r="Q845" s="2" t="s">
        <v>1127</v>
      </c>
    </row>
    <row r="846" spans="1:17" ht="18" customHeight="1" x14ac:dyDescent="0.2">
      <c r="A846" s="23" t="s">
        <v>460</v>
      </c>
      <c r="B846" s="23" t="s">
        <v>461</v>
      </c>
      <c r="C846" s="23" t="s">
        <v>4182</v>
      </c>
      <c r="D846" s="23" t="s">
        <v>1838</v>
      </c>
      <c r="E846" s="23" t="s">
        <v>3043</v>
      </c>
      <c r="F846" s="2">
        <v>9</v>
      </c>
      <c r="G846" s="21">
        <v>2007</v>
      </c>
      <c r="H846" s="4" t="s">
        <v>3049</v>
      </c>
      <c r="I846" s="4" t="s">
        <v>3045</v>
      </c>
      <c r="J846" s="2" t="s">
        <v>3046</v>
      </c>
      <c r="K846" s="22" t="s">
        <v>2994</v>
      </c>
      <c r="M846" s="2" t="s">
        <v>2024</v>
      </c>
      <c r="P846" s="2" t="s">
        <v>1843</v>
      </c>
      <c r="Q846" s="2" t="s">
        <v>1127</v>
      </c>
    </row>
    <row r="847" spans="1:17" ht="18" customHeight="1" x14ac:dyDescent="0.2">
      <c r="A847" s="23" t="s">
        <v>460</v>
      </c>
      <c r="B847" s="23" t="s">
        <v>461</v>
      </c>
      <c r="C847" s="23" t="s">
        <v>4182</v>
      </c>
      <c r="D847" s="23" t="s">
        <v>1838</v>
      </c>
      <c r="E847" s="23" t="s">
        <v>3043</v>
      </c>
      <c r="F847" s="2">
        <v>10</v>
      </c>
      <c r="G847" s="21">
        <v>2008</v>
      </c>
      <c r="H847" s="4" t="s">
        <v>3050</v>
      </c>
      <c r="I847" s="4" t="s">
        <v>3045</v>
      </c>
      <c r="J847" s="2" t="s">
        <v>3046</v>
      </c>
      <c r="K847" s="22" t="s">
        <v>2994</v>
      </c>
      <c r="M847" s="2" t="s">
        <v>2024</v>
      </c>
      <c r="P847" s="2" t="s">
        <v>1843</v>
      </c>
      <c r="Q847" s="2" t="s">
        <v>1127</v>
      </c>
    </row>
    <row r="848" spans="1:17" ht="18" customHeight="1" x14ac:dyDescent="0.2">
      <c r="A848" s="23" t="s">
        <v>460</v>
      </c>
      <c r="B848" s="23" t="s">
        <v>461</v>
      </c>
      <c r="C848" s="23" t="s">
        <v>4182</v>
      </c>
      <c r="D848" s="23" t="s">
        <v>1838</v>
      </c>
      <c r="E848" s="23" t="s">
        <v>3043</v>
      </c>
      <c r="F848" s="2">
        <v>11</v>
      </c>
      <c r="G848" s="21">
        <v>2009</v>
      </c>
      <c r="H848" s="4" t="s">
        <v>3051</v>
      </c>
      <c r="I848" s="4" t="s">
        <v>3045</v>
      </c>
      <c r="J848" s="2" t="s">
        <v>3046</v>
      </c>
      <c r="K848" s="22" t="s">
        <v>2994</v>
      </c>
      <c r="M848" s="2" t="s">
        <v>2024</v>
      </c>
      <c r="P848" s="2" t="s">
        <v>1843</v>
      </c>
      <c r="Q848" s="2" t="s">
        <v>1127</v>
      </c>
    </row>
    <row r="849" spans="1:17" ht="18" customHeight="1" x14ac:dyDescent="0.2">
      <c r="A849" s="23" t="s">
        <v>460</v>
      </c>
      <c r="B849" s="23" t="s">
        <v>461</v>
      </c>
      <c r="C849" s="23" t="s">
        <v>4182</v>
      </c>
      <c r="D849" s="23" t="s">
        <v>1838</v>
      </c>
      <c r="E849" s="23" t="s">
        <v>3043</v>
      </c>
      <c r="F849" s="2">
        <v>12</v>
      </c>
      <c r="G849" s="21">
        <v>2010</v>
      </c>
      <c r="H849" s="4" t="s">
        <v>3052</v>
      </c>
      <c r="I849" s="4" t="s">
        <v>3045</v>
      </c>
      <c r="J849" s="2" t="s">
        <v>3046</v>
      </c>
      <c r="K849" s="22" t="s">
        <v>2994</v>
      </c>
      <c r="M849" s="2" t="s">
        <v>2024</v>
      </c>
      <c r="P849" s="2" t="s">
        <v>1843</v>
      </c>
      <c r="Q849" s="2" t="s">
        <v>1127</v>
      </c>
    </row>
    <row r="850" spans="1:17" ht="18" customHeight="1" x14ac:dyDescent="0.2">
      <c r="A850" s="23" t="s">
        <v>460</v>
      </c>
      <c r="B850" s="23" t="s">
        <v>461</v>
      </c>
      <c r="C850" s="23" t="s">
        <v>4182</v>
      </c>
      <c r="D850" s="23" t="s">
        <v>1838</v>
      </c>
      <c r="E850" s="23" t="s">
        <v>3043</v>
      </c>
      <c r="F850" s="2">
        <v>13</v>
      </c>
      <c r="G850" s="21">
        <v>2011</v>
      </c>
      <c r="H850" s="4" t="s">
        <v>3053</v>
      </c>
      <c r="I850" s="4" t="s">
        <v>3045</v>
      </c>
      <c r="J850" s="2" t="s">
        <v>3046</v>
      </c>
      <c r="K850" s="22" t="s">
        <v>2994</v>
      </c>
      <c r="M850" s="2" t="s">
        <v>2024</v>
      </c>
      <c r="P850" s="2" t="s">
        <v>1843</v>
      </c>
      <c r="Q850" s="2" t="s">
        <v>1127</v>
      </c>
    </row>
    <row r="851" spans="1:17" ht="18" customHeight="1" x14ac:dyDescent="0.2">
      <c r="A851" s="23" t="s">
        <v>460</v>
      </c>
      <c r="B851" s="23" t="s">
        <v>461</v>
      </c>
      <c r="C851" s="23" t="s">
        <v>4182</v>
      </c>
      <c r="D851" s="23" t="s">
        <v>1838</v>
      </c>
      <c r="E851" s="23" t="s">
        <v>3043</v>
      </c>
      <c r="F851" s="2">
        <v>14</v>
      </c>
      <c r="G851" s="21">
        <v>2012</v>
      </c>
      <c r="H851" s="4" t="s">
        <v>3054</v>
      </c>
      <c r="I851" s="4" t="s">
        <v>3045</v>
      </c>
      <c r="J851" s="2" t="s">
        <v>3046</v>
      </c>
      <c r="K851" s="22" t="s">
        <v>2994</v>
      </c>
      <c r="M851" s="2" t="s">
        <v>2024</v>
      </c>
      <c r="P851" s="2" t="s">
        <v>1843</v>
      </c>
      <c r="Q851" s="2" t="s">
        <v>1127</v>
      </c>
    </row>
    <row r="852" spans="1:17" ht="18" customHeight="1" x14ac:dyDescent="0.2">
      <c r="A852" s="23" t="s">
        <v>460</v>
      </c>
      <c r="B852" s="23" t="s">
        <v>461</v>
      </c>
      <c r="C852" s="23" t="s">
        <v>4182</v>
      </c>
      <c r="D852" s="23" t="s">
        <v>1838</v>
      </c>
      <c r="E852" s="23" t="s">
        <v>3043</v>
      </c>
      <c r="F852" s="2">
        <v>15</v>
      </c>
      <c r="G852" s="21">
        <v>2013</v>
      </c>
      <c r="H852" s="4" t="s">
        <v>3055</v>
      </c>
      <c r="I852" s="4" t="s">
        <v>3045</v>
      </c>
      <c r="J852" s="2" t="s">
        <v>3046</v>
      </c>
      <c r="K852" s="22" t="s">
        <v>2994</v>
      </c>
      <c r="M852" s="2" t="s">
        <v>2024</v>
      </c>
      <c r="P852" s="2" t="s">
        <v>1843</v>
      </c>
      <c r="Q852" s="2" t="s">
        <v>1127</v>
      </c>
    </row>
    <row r="853" spans="1:17" ht="18" customHeight="1" x14ac:dyDescent="0.2">
      <c r="A853" s="23" t="s">
        <v>460</v>
      </c>
      <c r="B853" s="23" t="s">
        <v>461</v>
      </c>
      <c r="C853" s="23" t="s">
        <v>4182</v>
      </c>
      <c r="D853" s="23" t="s">
        <v>1838</v>
      </c>
      <c r="E853" s="23" t="s">
        <v>3043</v>
      </c>
      <c r="F853" s="2">
        <v>16</v>
      </c>
      <c r="G853" s="21">
        <v>2014</v>
      </c>
      <c r="H853" s="4" t="s">
        <v>3056</v>
      </c>
      <c r="I853" s="4" t="s">
        <v>3045</v>
      </c>
      <c r="J853" s="2" t="s">
        <v>3046</v>
      </c>
      <c r="K853" s="22" t="s">
        <v>2994</v>
      </c>
      <c r="M853" s="2" t="s">
        <v>2024</v>
      </c>
      <c r="P853" s="2" t="s">
        <v>1843</v>
      </c>
      <c r="Q853" s="2" t="s">
        <v>1127</v>
      </c>
    </row>
    <row r="854" spans="1:17" ht="18" customHeight="1" x14ac:dyDescent="0.2">
      <c r="A854" s="23" t="s">
        <v>460</v>
      </c>
      <c r="B854" s="23" t="s">
        <v>461</v>
      </c>
      <c r="C854" s="23" t="s">
        <v>4182</v>
      </c>
      <c r="D854" s="23" t="s">
        <v>1838</v>
      </c>
      <c r="E854" s="23" t="s">
        <v>3043</v>
      </c>
      <c r="F854" s="2">
        <v>17</v>
      </c>
      <c r="G854" s="21">
        <v>2015</v>
      </c>
      <c r="H854" s="4" t="s">
        <v>3057</v>
      </c>
      <c r="I854" s="4" t="s">
        <v>3045</v>
      </c>
      <c r="J854" s="2" t="s">
        <v>3046</v>
      </c>
      <c r="K854" s="22" t="s">
        <v>2994</v>
      </c>
      <c r="M854" s="2" t="s">
        <v>2024</v>
      </c>
      <c r="P854" s="2" t="s">
        <v>1843</v>
      </c>
      <c r="Q854" s="2" t="s">
        <v>1127</v>
      </c>
    </row>
    <row r="855" spans="1:17" ht="18" customHeight="1" x14ac:dyDescent="0.2">
      <c r="A855" s="23" t="s">
        <v>460</v>
      </c>
      <c r="B855" s="23" t="s">
        <v>461</v>
      </c>
      <c r="C855" s="23" t="s">
        <v>4182</v>
      </c>
      <c r="D855" s="23" t="s">
        <v>1838</v>
      </c>
      <c r="E855" s="23" t="s">
        <v>3043</v>
      </c>
      <c r="F855" s="2">
        <v>18</v>
      </c>
      <c r="G855" s="21">
        <v>2016</v>
      </c>
      <c r="H855" s="4" t="s">
        <v>3058</v>
      </c>
      <c r="I855" s="4" t="s">
        <v>3045</v>
      </c>
      <c r="J855" s="2" t="s">
        <v>3046</v>
      </c>
      <c r="K855" s="22" t="s">
        <v>2994</v>
      </c>
      <c r="M855" s="2" t="s">
        <v>2024</v>
      </c>
      <c r="P855" s="2" t="s">
        <v>1843</v>
      </c>
      <c r="Q855" s="2" t="s">
        <v>1127</v>
      </c>
    </row>
    <row r="856" spans="1:17" ht="18" customHeight="1" x14ac:dyDescent="0.2">
      <c r="A856" s="23" t="s">
        <v>460</v>
      </c>
      <c r="B856" s="23" t="s">
        <v>461</v>
      </c>
      <c r="C856" s="23" t="s">
        <v>4182</v>
      </c>
      <c r="D856" s="23" t="s">
        <v>1838</v>
      </c>
      <c r="E856" s="23" t="s">
        <v>3043</v>
      </c>
      <c r="F856" s="2">
        <v>19</v>
      </c>
      <c r="G856" s="21">
        <v>2017</v>
      </c>
      <c r="H856" s="4" t="s">
        <v>3059</v>
      </c>
      <c r="I856" s="4" t="s">
        <v>3045</v>
      </c>
      <c r="J856" s="2" t="s">
        <v>3046</v>
      </c>
      <c r="K856" s="22" t="s">
        <v>2994</v>
      </c>
      <c r="M856" s="2" t="s">
        <v>2024</v>
      </c>
      <c r="P856" s="2" t="s">
        <v>1843</v>
      </c>
      <c r="Q856" s="2" t="s">
        <v>1127</v>
      </c>
    </row>
    <row r="857" spans="1:17" ht="18" customHeight="1" x14ac:dyDescent="0.2">
      <c r="A857" s="23" t="s">
        <v>460</v>
      </c>
      <c r="B857" s="23" t="s">
        <v>461</v>
      </c>
      <c r="C857" s="23" t="s">
        <v>4182</v>
      </c>
      <c r="D857" s="23" t="s">
        <v>1838</v>
      </c>
      <c r="E857" s="23" t="s">
        <v>3043</v>
      </c>
      <c r="F857" s="2">
        <v>20</v>
      </c>
      <c r="G857" s="21">
        <v>2018</v>
      </c>
      <c r="H857" s="4" t="s">
        <v>3060</v>
      </c>
      <c r="I857" s="4" t="s">
        <v>3045</v>
      </c>
      <c r="J857" s="2" t="s">
        <v>3046</v>
      </c>
      <c r="K857" s="22" t="s">
        <v>2994</v>
      </c>
      <c r="M857" s="2" t="s">
        <v>2024</v>
      </c>
      <c r="P857" s="2" t="s">
        <v>1843</v>
      </c>
      <c r="Q857" s="2" t="s">
        <v>1127</v>
      </c>
    </row>
    <row r="858" spans="1:17" ht="18" customHeight="1" x14ac:dyDescent="0.2">
      <c r="A858" s="23" t="s">
        <v>460</v>
      </c>
      <c r="B858" s="23" t="s">
        <v>461</v>
      </c>
      <c r="C858" s="23" t="s">
        <v>4182</v>
      </c>
      <c r="D858" s="23" t="s">
        <v>1838</v>
      </c>
      <c r="E858" s="23" t="s">
        <v>3043</v>
      </c>
      <c r="F858" s="2">
        <v>21</v>
      </c>
      <c r="G858" s="21">
        <v>2019</v>
      </c>
      <c r="H858" s="4" t="s">
        <v>3061</v>
      </c>
      <c r="I858" s="4" t="s">
        <v>3045</v>
      </c>
      <c r="J858" s="2" t="s">
        <v>3046</v>
      </c>
      <c r="K858" s="22" t="s">
        <v>2994</v>
      </c>
      <c r="M858" s="2" t="s">
        <v>2024</v>
      </c>
      <c r="P858" s="2" t="s">
        <v>1843</v>
      </c>
      <c r="Q858" s="2" t="s">
        <v>1127</v>
      </c>
    </row>
    <row r="859" spans="1:17" ht="18" customHeight="1" x14ac:dyDescent="0.2">
      <c r="A859" s="23" t="s">
        <v>460</v>
      </c>
      <c r="B859" s="23" t="s">
        <v>461</v>
      </c>
      <c r="C859" s="23" t="s">
        <v>4182</v>
      </c>
      <c r="D859" s="23" t="s">
        <v>1838</v>
      </c>
      <c r="E859" s="23" t="s">
        <v>3062</v>
      </c>
      <c r="F859" s="2">
        <v>1</v>
      </c>
      <c r="G859" s="21">
        <v>1999</v>
      </c>
      <c r="H859" s="4" t="s">
        <v>3063</v>
      </c>
      <c r="I859" s="4" t="s">
        <v>3064</v>
      </c>
      <c r="J859" s="2" t="s">
        <v>3065</v>
      </c>
      <c r="K859" s="22" t="s">
        <v>2814</v>
      </c>
      <c r="M859" s="2" t="s">
        <v>1414</v>
      </c>
      <c r="P859" s="2" t="s">
        <v>1843</v>
      </c>
      <c r="Q859" s="2" t="s">
        <v>1127</v>
      </c>
    </row>
    <row r="860" spans="1:17" ht="18" customHeight="1" x14ac:dyDescent="0.2">
      <c r="A860" s="23" t="s">
        <v>460</v>
      </c>
      <c r="B860" s="23" t="s">
        <v>461</v>
      </c>
      <c r="C860" s="23" t="s">
        <v>4182</v>
      </c>
      <c r="D860" s="23" t="s">
        <v>1838</v>
      </c>
      <c r="E860" s="23" t="s">
        <v>3062</v>
      </c>
      <c r="F860" s="2">
        <v>2</v>
      </c>
      <c r="G860" s="21">
        <v>2000</v>
      </c>
      <c r="H860" s="4" t="s">
        <v>3066</v>
      </c>
      <c r="I860" s="4" t="s">
        <v>3064</v>
      </c>
      <c r="J860" s="2" t="s">
        <v>3065</v>
      </c>
      <c r="K860" s="22" t="s">
        <v>2814</v>
      </c>
      <c r="M860" s="2" t="s">
        <v>1414</v>
      </c>
      <c r="P860" s="2" t="s">
        <v>1843</v>
      </c>
      <c r="Q860" s="2" t="s">
        <v>1127</v>
      </c>
    </row>
    <row r="861" spans="1:17" ht="18" customHeight="1" x14ac:dyDescent="0.2">
      <c r="A861" s="23" t="s">
        <v>460</v>
      </c>
      <c r="B861" s="23" t="s">
        <v>461</v>
      </c>
      <c r="C861" s="23" t="s">
        <v>4182</v>
      </c>
      <c r="D861" s="23" t="s">
        <v>1838</v>
      </c>
      <c r="E861" s="23" t="s">
        <v>3062</v>
      </c>
      <c r="F861" s="2">
        <v>3</v>
      </c>
      <c r="G861" s="21">
        <v>2001</v>
      </c>
      <c r="H861" s="4" t="s">
        <v>3067</v>
      </c>
      <c r="I861" s="4" t="s">
        <v>3064</v>
      </c>
      <c r="J861" s="2" t="s">
        <v>3065</v>
      </c>
      <c r="K861" s="22" t="s">
        <v>2814</v>
      </c>
      <c r="M861" s="2" t="s">
        <v>1414</v>
      </c>
      <c r="P861" s="2" t="s">
        <v>1843</v>
      </c>
      <c r="Q861" s="2" t="s">
        <v>1127</v>
      </c>
    </row>
    <row r="862" spans="1:17" ht="18" customHeight="1" x14ac:dyDescent="0.2">
      <c r="A862" s="23" t="s">
        <v>460</v>
      </c>
      <c r="B862" s="23" t="s">
        <v>461</v>
      </c>
      <c r="C862" s="23" t="s">
        <v>4182</v>
      </c>
      <c r="D862" s="23" t="s">
        <v>1838</v>
      </c>
      <c r="E862" s="23" t="s">
        <v>3062</v>
      </c>
      <c r="F862" s="2">
        <v>4</v>
      </c>
      <c r="G862" s="21">
        <v>2002</v>
      </c>
      <c r="H862" s="4" t="s">
        <v>3068</v>
      </c>
      <c r="I862" s="4" t="s">
        <v>3064</v>
      </c>
      <c r="J862" s="2" t="s">
        <v>3065</v>
      </c>
      <c r="K862" s="22" t="s">
        <v>2814</v>
      </c>
      <c r="M862" s="2" t="s">
        <v>1414</v>
      </c>
      <c r="P862" s="2" t="s">
        <v>1843</v>
      </c>
      <c r="Q862" s="2" t="s">
        <v>1127</v>
      </c>
    </row>
    <row r="863" spans="1:17" ht="18" customHeight="1" x14ac:dyDescent="0.2">
      <c r="A863" s="23" t="s">
        <v>460</v>
      </c>
      <c r="B863" s="23" t="s">
        <v>461</v>
      </c>
      <c r="C863" s="23" t="s">
        <v>4182</v>
      </c>
      <c r="D863" s="23" t="s">
        <v>1838</v>
      </c>
      <c r="E863" s="23" t="s">
        <v>3062</v>
      </c>
      <c r="F863" s="2">
        <v>5</v>
      </c>
      <c r="G863" s="21">
        <v>2003</v>
      </c>
      <c r="H863" s="4" t="s">
        <v>3069</v>
      </c>
      <c r="I863" s="4" t="s">
        <v>3064</v>
      </c>
      <c r="J863" s="2" t="s">
        <v>3065</v>
      </c>
      <c r="K863" s="22" t="s">
        <v>2814</v>
      </c>
      <c r="M863" s="2" t="s">
        <v>1414</v>
      </c>
      <c r="P863" s="2" t="s">
        <v>1843</v>
      </c>
      <c r="Q863" s="2" t="s">
        <v>1127</v>
      </c>
    </row>
    <row r="864" spans="1:17" ht="18" customHeight="1" x14ac:dyDescent="0.2">
      <c r="A864" s="23" t="s">
        <v>460</v>
      </c>
      <c r="B864" s="23" t="s">
        <v>461</v>
      </c>
      <c r="C864" s="23" t="s">
        <v>4182</v>
      </c>
      <c r="D864" s="23" t="s">
        <v>1838</v>
      </c>
      <c r="E864" s="23" t="s">
        <v>3070</v>
      </c>
      <c r="F864" s="2">
        <v>1</v>
      </c>
      <c r="G864" s="21">
        <v>1999</v>
      </c>
      <c r="H864" s="4" t="s">
        <v>3071</v>
      </c>
      <c r="I864" s="4" t="s">
        <v>3072</v>
      </c>
      <c r="J864" s="2" t="s">
        <v>3014</v>
      </c>
      <c r="K864" s="22" t="s">
        <v>2814</v>
      </c>
      <c r="M864" s="2" t="s">
        <v>1414</v>
      </c>
      <c r="P864" s="2" t="s">
        <v>1843</v>
      </c>
      <c r="Q864" s="2" t="s">
        <v>1127</v>
      </c>
    </row>
    <row r="865" spans="1:17" ht="18" customHeight="1" x14ac:dyDescent="0.2">
      <c r="A865" s="23" t="s">
        <v>460</v>
      </c>
      <c r="B865" s="23" t="s">
        <v>461</v>
      </c>
      <c r="C865" s="23" t="s">
        <v>4182</v>
      </c>
      <c r="D865" s="23" t="s">
        <v>1838</v>
      </c>
      <c r="E865" s="23" t="s">
        <v>3073</v>
      </c>
      <c r="F865" s="2">
        <v>1</v>
      </c>
      <c r="G865" s="21">
        <v>1999</v>
      </c>
      <c r="H865" s="4" t="s">
        <v>3074</v>
      </c>
      <c r="I865" s="4" t="s">
        <v>3075</v>
      </c>
      <c r="J865" s="4" t="s">
        <v>3076</v>
      </c>
      <c r="K865" s="22" t="s">
        <v>2814</v>
      </c>
      <c r="M865" s="2" t="s">
        <v>1414</v>
      </c>
      <c r="P865" s="2" t="s">
        <v>1843</v>
      </c>
      <c r="Q865" s="2" t="s">
        <v>1127</v>
      </c>
    </row>
    <row r="866" spans="1:17" ht="18" customHeight="1" x14ac:dyDescent="0.2">
      <c r="A866" s="17" t="s">
        <v>460</v>
      </c>
      <c r="B866" s="17" t="s">
        <v>461</v>
      </c>
      <c r="C866" s="17" t="s">
        <v>4182</v>
      </c>
      <c r="D866" s="17" t="s">
        <v>1639</v>
      </c>
      <c r="E866" s="17" t="s">
        <v>3077</v>
      </c>
      <c r="F866" s="4">
        <v>15</v>
      </c>
      <c r="G866" s="21">
        <v>2013</v>
      </c>
      <c r="H866" s="4" t="s">
        <v>3078</v>
      </c>
      <c r="I866" s="4" t="s">
        <v>3079</v>
      </c>
      <c r="J866" s="2" t="s">
        <v>3080</v>
      </c>
      <c r="K866" s="22" t="s">
        <v>3081</v>
      </c>
      <c r="M866" s="2" t="s">
        <v>8</v>
      </c>
      <c r="N866" s="2">
        <v>0</v>
      </c>
      <c r="O866" s="2">
        <v>10</v>
      </c>
      <c r="P866" s="2" t="s">
        <v>1527</v>
      </c>
      <c r="Q866" s="2" t="s">
        <v>3462</v>
      </c>
    </row>
    <row r="867" spans="1:17" ht="18" customHeight="1" x14ac:dyDescent="0.2">
      <c r="A867" s="17" t="s">
        <v>460</v>
      </c>
      <c r="B867" s="17" t="s">
        <v>461</v>
      </c>
      <c r="C867" s="17" t="s">
        <v>4182</v>
      </c>
      <c r="D867" s="17" t="s">
        <v>1639</v>
      </c>
      <c r="E867" s="17" t="s">
        <v>3077</v>
      </c>
      <c r="F867" s="4">
        <v>18</v>
      </c>
      <c r="G867" s="21">
        <v>2016</v>
      </c>
      <c r="H867" s="4" t="s">
        <v>3082</v>
      </c>
      <c r="I867" s="4" t="s">
        <v>3079</v>
      </c>
      <c r="J867" s="2" t="s">
        <v>3080</v>
      </c>
      <c r="K867" s="22" t="s">
        <v>3081</v>
      </c>
      <c r="M867" s="2" t="s">
        <v>8</v>
      </c>
      <c r="N867" s="2">
        <v>0</v>
      </c>
      <c r="O867" s="2">
        <v>10</v>
      </c>
      <c r="P867" s="2" t="s">
        <v>1527</v>
      </c>
      <c r="Q867" s="2" t="s">
        <v>3462</v>
      </c>
    </row>
    <row r="868" spans="1:17" ht="18" customHeight="1" x14ac:dyDescent="0.2">
      <c r="A868" s="17" t="s">
        <v>460</v>
      </c>
      <c r="B868" s="17" t="s">
        <v>461</v>
      </c>
      <c r="C868" s="17" t="s">
        <v>4182</v>
      </c>
      <c r="D868" s="17" t="s">
        <v>1639</v>
      </c>
      <c r="E868" s="17" t="s">
        <v>3077</v>
      </c>
      <c r="F868" s="4">
        <v>21</v>
      </c>
      <c r="G868" s="21">
        <v>2019</v>
      </c>
      <c r="H868" s="4" t="s">
        <v>3083</v>
      </c>
      <c r="I868" s="4" t="s">
        <v>3079</v>
      </c>
      <c r="J868" s="2" t="s">
        <v>3080</v>
      </c>
      <c r="K868" s="22" t="s">
        <v>3081</v>
      </c>
      <c r="M868" s="2" t="s">
        <v>8</v>
      </c>
      <c r="N868" s="2">
        <v>0</v>
      </c>
      <c r="O868" s="2">
        <v>10</v>
      </c>
      <c r="P868" s="2" t="s">
        <v>1527</v>
      </c>
      <c r="Q868" s="2" t="s">
        <v>3462</v>
      </c>
    </row>
    <row r="869" spans="1:17" ht="18" customHeight="1" x14ac:dyDescent="0.2">
      <c r="A869" s="17" t="s">
        <v>460</v>
      </c>
      <c r="B869" s="17" t="s">
        <v>461</v>
      </c>
      <c r="C869" s="17" t="s">
        <v>4182</v>
      </c>
      <c r="D869" s="17" t="s">
        <v>1639</v>
      </c>
      <c r="E869" s="17" t="s">
        <v>3084</v>
      </c>
      <c r="F869" s="4">
        <v>15</v>
      </c>
      <c r="G869" s="21">
        <v>2013</v>
      </c>
      <c r="H869" s="4" t="s">
        <v>3085</v>
      </c>
      <c r="I869" s="4" t="s">
        <v>3086</v>
      </c>
      <c r="J869" s="2" t="s">
        <v>3087</v>
      </c>
      <c r="K869" s="22" t="s">
        <v>3081</v>
      </c>
      <c r="M869" s="2" t="s">
        <v>8</v>
      </c>
      <c r="N869" s="2">
        <v>0</v>
      </c>
      <c r="O869" s="2">
        <v>10</v>
      </c>
      <c r="P869" s="2" t="s">
        <v>1527</v>
      </c>
      <c r="Q869" s="2" t="s">
        <v>3462</v>
      </c>
    </row>
    <row r="870" spans="1:17" ht="18" customHeight="1" x14ac:dyDescent="0.2">
      <c r="A870" s="17" t="s">
        <v>460</v>
      </c>
      <c r="B870" s="17" t="s">
        <v>461</v>
      </c>
      <c r="C870" s="17" t="s">
        <v>4182</v>
      </c>
      <c r="D870" s="17" t="s">
        <v>1639</v>
      </c>
      <c r="E870" s="17" t="s">
        <v>3084</v>
      </c>
      <c r="F870" s="4">
        <v>18</v>
      </c>
      <c r="G870" s="21">
        <v>2016</v>
      </c>
      <c r="H870" s="4" t="s">
        <v>3088</v>
      </c>
      <c r="I870" s="4" t="s">
        <v>3086</v>
      </c>
      <c r="J870" s="2" t="s">
        <v>3087</v>
      </c>
      <c r="K870" s="22" t="s">
        <v>3081</v>
      </c>
      <c r="M870" s="2" t="s">
        <v>8</v>
      </c>
      <c r="N870" s="2">
        <v>0</v>
      </c>
      <c r="O870" s="2">
        <v>10</v>
      </c>
      <c r="P870" s="2" t="s">
        <v>1527</v>
      </c>
      <c r="Q870" s="2" t="s">
        <v>3462</v>
      </c>
    </row>
    <row r="871" spans="1:17" ht="18" customHeight="1" x14ac:dyDescent="0.2">
      <c r="A871" s="17" t="s">
        <v>460</v>
      </c>
      <c r="B871" s="17" t="s">
        <v>461</v>
      </c>
      <c r="C871" s="17" t="s">
        <v>4182</v>
      </c>
      <c r="D871" s="17" t="s">
        <v>1639</v>
      </c>
      <c r="E871" s="17" t="s">
        <v>3084</v>
      </c>
      <c r="F871" s="4">
        <v>21</v>
      </c>
      <c r="G871" s="21">
        <v>2019</v>
      </c>
      <c r="H871" s="4" t="s">
        <v>3089</v>
      </c>
      <c r="I871" s="4" t="s">
        <v>3086</v>
      </c>
      <c r="J871" s="2" t="s">
        <v>3087</v>
      </c>
      <c r="K871" s="22" t="s">
        <v>3081</v>
      </c>
      <c r="M871" s="2" t="s">
        <v>8</v>
      </c>
      <c r="N871" s="2">
        <v>0</v>
      </c>
      <c r="O871" s="2">
        <v>10</v>
      </c>
      <c r="P871" s="2" t="s">
        <v>1527</v>
      </c>
      <c r="Q871" s="2" t="s">
        <v>3462</v>
      </c>
    </row>
    <row r="872" spans="1:17" ht="18" customHeight="1" x14ac:dyDescent="0.2">
      <c r="A872" s="17" t="s">
        <v>460</v>
      </c>
      <c r="B872" s="17" t="s">
        <v>461</v>
      </c>
      <c r="C872" s="17" t="s">
        <v>4182</v>
      </c>
      <c r="D872" s="17" t="s">
        <v>1639</v>
      </c>
      <c r="E872" s="17" t="s">
        <v>3090</v>
      </c>
      <c r="F872" s="4">
        <v>1</v>
      </c>
      <c r="G872" s="21">
        <v>1999</v>
      </c>
      <c r="H872" s="4" t="s">
        <v>3091</v>
      </c>
      <c r="I872" s="4" t="s">
        <v>3092</v>
      </c>
      <c r="J872" s="2" t="s">
        <v>3093</v>
      </c>
      <c r="K872" s="22" t="s">
        <v>3081</v>
      </c>
      <c r="M872" s="2" t="s">
        <v>8</v>
      </c>
      <c r="N872" s="2">
        <v>0</v>
      </c>
      <c r="O872" s="2">
        <v>10</v>
      </c>
      <c r="P872" s="2" t="s">
        <v>1527</v>
      </c>
      <c r="Q872" s="2" t="s">
        <v>3462</v>
      </c>
    </row>
    <row r="873" spans="1:17" ht="18" customHeight="1" x14ac:dyDescent="0.2">
      <c r="A873" s="17" t="s">
        <v>460</v>
      </c>
      <c r="B873" s="17" t="s">
        <v>461</v>
      </c>
      <c r="C873" s="17" t="s">
        <v>4182</v>
      </c>
      <c r="D873" s="17" t="s">
        <v>1639</v>
      </c>
      <c r="E873" s="17" t="s">
        <v>3090</v>
      </c>
      <c r="F873" s="4">
        <v>2</v>
      </c>
      <c r="G873" s="21">
        <v>2000</v>
      </c>
      <c r="H873" s="4" t="s">
        <v>3094</v>
      </c>
      <c r="I873" s="4" t="s">
        <v>3092</v>
      </c>
      <c r="J873" s="2" t="s">
        <v>3093</v>
      </c>
      <c r="K873" s="22" t="s">
        <v>3081</v>
      </c>
      <c r="M873" s="2" t="s">
        <v>8</v>
      </c>
      <c r="N873" s="2">
        <v>0</v>
      </c>
      <c r="O873" s="2">
        <v>10</v>
      </c>
      <c r="P873" s="2" t="s">
        <v>1527</v>
      </c>
      <c r="Q873" s="2" t="s">
        <v>3462</v>
      </c>
    </row>
    <row r="874" spans="1:17" ht="18" customHeight="1" x14ac:dyDescent="0.2">
      <c r="A874" s="17" t="s">
        <v>460</v>
      </c>
      <c r="B874" s="17" t="s">
        <v>461</v>
      </c>
      <c r="C874" s="17" t="s">
        <v>4182</v>
      </c>
      <c r="D874" s="17" t="s">
        <v>1639</v>
      </c>
      <c r="E874" s="17" t="s">
        <v>3090</v>
      </c>
      <c r="F874" s="4">
        <v>3</v>
      </c>
      <c r="G874" s="21">
        <v>2001</v>
      </c>
      <c r="H874" s="4" t="s">
        <v>3095</v>
      </c>
      <c r="I874" s="4" t="s">
        <v>3092</v>
      </c>
      <c r="J874" s="2" t="s">
        <v>3093</v>
      </c>
      <c r="K874" s="22" t="s">
        <v>3081</v>
      </c>
      <c r="M874" s="2" t="s">
        <v>8</v>
      </c>
      <c r="N874" s="2">
        <v>0</v>
      </c>
      <c r="O874" s="2">
        <v>10</v>
      </c>
      <c r="P874" s="2" t="s">
        <v>1527</v>
      </c>
      <c r="Q874" s="2" t="s">
        <v>3462</v>
      </c>
    </row>
    <row r="875" spans="1:17" ht="18" customHeight="1" x14ac:dyDescent="0.2">
      <c r="A875" s="17" t="s">
        <v>460</v>
      </c>
      <c r="B875" s="17" t="s">
        <v>461</v>
      </c>
      <c r="C875" s="17" t="s">
        <v>4182</v>
      </c>
      <c r="D875" s="17" t="s">
        <v>1639</v>
      </c>
      <c r="E875" s="17" t="s">
        <v>3090</v>
      </c>
      <c r="F875" s="4">
        <v>4</v>
      </c>
      <c r="G875" s="21">
        <v>2002</v>
      </c>
      <c r="H875" s="4" t="s">
        <v>3096</v>
      </c>
      <c r="I875" s="4" t="s">
        <v>3092</v>
      </c>
      <c r="J875" s="2" t="s">
        <v>3093</v>
      </c>
      <c r="K875" s="22" t="s">
        <v>3081</v>
      </c>
      <c r="M875" s="2" t="s">
        <v>8</v>
      </c>
      <c r="N875" s="2">
        <v>0</v>
      </c>
      <c r="O875" s="2">
        <v>10</v>
      </c>
      <c r="P875" s="2" t="s">
        <v>1527</v>
      </c>
      <c r="Q875" s="2" t="s">
        <v>3462</v>
      </c>
    </row>
    <row r="876" spans="1:17" ht="18" customHeight="1" x14ac:dyDescent="0.2">
      <c r="A876" s="17" t="s">
        <v>460</v>
      </c>
      <c r="B876" s="17" t="s">
        <v>461</v>
      </c>
      <c r="C876" s="17" t="s">
        <v>4182</v>
      </c>
      <c r="D876" s="17" t="s">
        <v>1639</v>
      </c>
      <c r="E876" s="17" t="s">
        <v>3090</v>
      </c>
      <c r="F876" s="4">
        <v>5</v>
      </c>
      <c r="G876" s="21">
        <v>2003</v>
      </c>
      <c r="H876" s="4" t="s">
        <v>3097</v>
      </c>
      <c r="I876" s="4" t="s">
        <v>3092</v>
      </c>
      <c r="J876" s="2" t="s">
        <v>3093</v>
      </c>
      <c r="K876" s="22" t="s">
        <v>3081</v>
      </c>
      <c r="M876" s="2" t="s">
        <v>8</v>
      </c>
      <c r="N876" s="2">
        <v>0</v>
      </c>
      <c r="O876" s="2">
        <v>10</v>
      </c>
      <c r="P876" s="2" t="s">
        <v>1527</v>
      </c>
      <c r="Q876" s="2" t="s">
        <v>3462</v>
      </c>
    </row>
    <row r="877" spans="1:17" ht="18" customHeight="1" x14ac:dyDescent="0.2">
      <c r="A877" s="17" t="s">
        <v>460</v>
      </c>
      <c r="B877" s="17" t="s">
        <v>461</v>
      </c>
      <c r="C877" s="17" t="s">
        <v>4182</v>
      </c>
      <c r="D877" s="17" t="s">
        <v>1639</v>
      </c>
      <c r="E877" s="17" t="s">
        <v>3090</v>
      </c>
      <c r="F877" s="4">
        <v>6</v>
      </c>
      <c r="G877" s="21">
        <v>2004</v>
      </c>
      <c r="H877" s="4" t="s">
        <v>3098</v>
      </c>
      <c r="I877" s="4" t="s">
        <v>3092</v>
      </c>
      <c r="J877" s="2" t="s">
        <v>3093</v>
      </c>
      <c r="K877" s="22" t="s">
        <v>3081</v>
      </c>
      <c r="M877" s="2" t="s">
        <v>8</v>
      </c>
      <c r="N877" s="2">
        <v>0</v>
      </c>
      <c r="O877" s="2">
        <v>10</v>
      </c>
      <c r="P877" s="2" t="s">
        <v>1527</v>
      </c>
      <c r="Q877" s="2" t="s">
        <v>3462</v>
      </c>
    </row>
    <row r="878" spans="1:17" ht="18" customHeight="1" x14ac:dyDescent="0.2">
      <c r="A878" s="17" t="s">
        <v>460</v>
      </c>
      <c r="B878" s="17" t="s">
        <v>461</v>
      </c>
      <c r="C878" s="17" t="s">
        <v>4182</v>
      </c>
      <c r="D878" s="17" t="s">
        <v>1639</v>
      </c>
      <c r="E878" s="17" t="s">
        <v>3090</v>
      </c>
      <c r="F878" s="4">
        <v>7</v>
      </c>
      <c r="G878" s="21">
        <v>2005</v>
      </c>
      <c r="H878" s="4" t="s">
        <v>3099</v>
      </c>
      <c r="I878" s="4" t="s">
        <v>3092</v>
      </c>
      <c r="J878" s="2" t="s">
        <v>3093</v>
      </c>
      <c r="K878" s="22" t="s">
        <v>3081</v>
      </c>
      <c r="M878" s="2" t="s">
        <v>8</v>
      </c>
      <c r="N878" s="2">
        <v>0</v>
      </c>
      <c r="O878" s="2">
        <v>10</v>
      </c>
      <c r="P878" s="2" t="s">
        <v>1527</v>
      </c>
      <c r="Q878" s="2" t="s">
        <v>3462</v>
      </c>
    </row>
    <row r="879" spans="1:17" ht="18" customHeight="1" x14ac:dyDescent="0.2">
      <c r="A879" s="17" t="s">
        <v>460</v>
      </c>
      <c r="B879" s="17" t="s">
        <v>461</v>
      </c>
      <c r="C879" s="17" t="s">
        <v>4182</v>
      </c>
      <c r="D879" s="17" t="s">
        <v>1639</v>
      </c>
      <c r="E879" s="17" t="s">
        <v>3090</v>
      </c>
      <c r="F879" s="4">
        <v>8</v>
      </c>
      <c r="G879" s="21">
        <v>2006</v>
      </c>
      <c r="H879" s="4" t="s">
        <v>3100</v>
      </c>
      <c r="I879" s="4" t="s">
        <v>3092</v>
      </c>
      <c r="J879" s="2" t="s">
        <v>3093</v>
      </c>
      <c r="K879" s="22" t="s">
        <v>3081</v>
      </c>
      <c r="M879" s="2" t="s">
        <v>8</v>
      </c>
      <c r="N879" s="2">
        <v>0</v>
      </c>
      <c r="O879" s="2">
        <v>10</v>
      </c>
      <c r="P879" s="2" t="s">
        <v>1527</v>
      </c>
      <c r="Q879" s="2" t="s">
        <v>3462</v>
      </c>
    </row>
    <row r="880" spans="1:17" ht="18" customHeight="1" x14ac:dyDescent="0.2">
      <c r="A880" s="17" t="s">
        <v>460</v>
      </c>
      <c r="B880" s="17" t="s">
        <v>461</v>
      </c>
      <c r="C880" s="17" t="s">
        <v>4182</v>
      </c>
      <c r="D880" s="17" t="s">
        <v>1639</v>
      </c>
      <c r="E880" s="17" t="s">
        <v>3090</v>
      </c>
      <c r="F880" s="4">
        <v>9</v>
      </c>
      <c r="G880" s="21">
        <v>2007</v>
      </c>
      <c r="H880" s="4" t="s">
        <v>3101</v>
      </c>
      <c r="I880" s="4" t="s">
        <v>3092</v>
      </c>
      <c r="J880" s="2" t="s">
        <v>3093</v>
      </c>
      <c r="K880" s="22" t="s">
        <v>3081</v>
      </c>
      <c r="M880" s="2" t="s">
        <v>8</v>
      </c>
      <c r="N880" s="2">
        <v>0</v>
      </c>
      <c r="O880" s="2">
        <v>10</v>
      </c>
      <c r="P880" s="2" t="s">
        <v>1527</v>
      </c>
      <c r="Q880" s="2" t="s">
        <v>3462</v>
      </c>
    </row>
    <row r="881" spans="1:17" ht="18" customHeight="1" x14ac:dyDescent="0.2">
      <c r="A881" s="17" t="s">
        <v>460</v>
      </c>
      <c r="B881" s="17" t="s">
        <v>461</v>
      </c>
      <c r="C881" s="17" t="s">
        <v>4182</v>
      </c>
      <c r="D881" s="17" t="s">
        <v>1639</v>
      </c>
      <c r="E881" s="17" t="s">
        <v>3090</v>
      </c>
      <c r="F881" s="4">
        <v>10</v>
      </c>
      <c r="G881" s="21">
        <v>2008</v>
      </c>
      <c r="H881" s="4" t="s">
        <v>3102</v>
      </c>
      <c r="I881" s="4" t="s">
        <v>3092</v>
      </c>
      <c r="J881" s="2" t="s">
        <v>3093</v>
      </c>
      <c r="K881" s="22" t="s">
        <v>3081</v>
      </c>
      <c r="M881" s="2" t="s">
        <v>8</v>
      </c>
      <c r="N881" s="2">
        <v>0</v>
      </c>
      <c r="O881" s="2">
        <v>10</v>
      </c>
      <c r="P881" s="2" t="s">
        <v>1527</v>
      </c>
      <c r="Q881" s="2" t="s">
        <v>3462</v>
      </c>
    </row>
    <row r="882" spans="1:17" ht="18" customHeight="1" x14ac:dyDescent="0.2">
      <c r="A882" s="17" t="s">
        <v>460</v>
      </c>
      <c r="B882" s="17" t="s">
        <v>461</v>
      </c>
      <c r="C882" s="17" t="s">
        <v>4182</v>
      </c>
      <c r="D882" s="17" t="s">
        <v>1639</v>
      </c>
      <c r="E882" s="17" t="s">
        <v>3090</v>
      </c>
      <c r="F882" s="4">
        <v>11</v>
      </c>
      <c r="G882" s="21">
        <v>2009</v>
      </c>
      <c r="H882" s="4" t="s">
        <v>3103</v>
      </c>
      <c r="I882" s="4" t="s">
        <v>3092</v>
      </c>
      <c r="J882" s="2" t="s">
        <v>3093</v>
      </c>
      <c r="K882" s="22" t="s">
        <v>3081</v>
      </c>
      <c r="M882" s="2" t="s">
        <v>8</v>
      </c>
      <c r="N882" s="2">
        <v>0</v>
      </c>
      <c r="O882" s="2">
        <v>10</v>
      </c>
      <c r="P882" s="2" t="s">
        <v>1527</v>
      </c>
      <c r="Q882" s="2" t="s">
        <v>3462</v>
      </c>
    </row>
    <row r="883" spans="1:17" ht="18" customHeight="1" x14ac:dyDescent="0.2">
      <c r="A883" s="17" t="s">
        <v>460</v>
      </c>
      <c r="B883" s="17" t="s">
        <v>461</v>
      </c>
      <c r="C883" s="17" t="s">
        <v>4182</v>
      </c>
      <c r="D883" s="17" t="s">
        <v>1639</v>
      </c>
      <c r="E883" s="17" t="s">
        <v>3090</v>
      </c>
      <c r="F883" s="4">
        <v>12</v>
      </c>
      <c r="G883" s="21">
        <v>2010</v>
      </c>
      <c r="H883" s="4" t="s">
        <v>3104</v>
      </c>
      <c r="I883" s="4" t="s">
        <v>3092</v>
      </c>
      <c r="J883" s="2" t="s">
        <v>3093</v>
      </c>
      <c r="K883" s="22" t="s">
        <v>3081</v>
      </c>
      <c r="M883" s="2" t="s">
        <v>8</v>
      </c>
      <c r="N883" s="2">
        <v>0</v>
      </c>
      <c r="O883" s="2">
        <v>10</v>
      </c>
      <c r="P883" s="2" t="s">
        <v>1527</v>
      </c>
      <c r="Q883" s="2" t="s">
        <v>3462</v>
      </c>
    </row>
    <row r="884" spans="1:17" ht="18" customHeight="1" x14ac:dyDescent="0.2">
      <c r="A884" s="17" t="s">
        <v>460</v>
      </c>
      <c r="B884" s="17" t="s">
        <v>461</v>
      </c>
      <c r="C884" s="17" t="s">
        <v>4182</v>
      </c>
      <c r="D884" s="17" t="s">
        <v>1639</v>
      </c>
      <c r="E884" s="17" t="s">
        <v>3090</v>
      </c>
      <c r="F884" s="4">
        <v>15</v>
      </c>
      <c r="G884" s="21">
        <v>2013</v>
      </c>
      <c r="H884" s="4" t="s">
        <v>3105</v>
      </c>
      <c r="I884" s="4" t="s">
        <v>3092</v>
      </c>
      <c r="J884" s="2" t="s">
        <v>3093</v>
      </c>
      <c r="K884" s="22" t="s">
        <v>3081</v>
      </c>
      <c r="M884" s="2" t="s">
        <v>8</v>
      </c>
      <c r="N884" s="2">
        <v>0</v>
      </c>
      <c r="O884" s="2">
        <v>10</v>
      </c>
      <c r="P884" s="2" t="s">
        <v>1527</v>
      </c>
      <c r="Q884" s="2" t="s">
        <v>3462</v>
      </c>
    </row>
    <row r="885" spans="1:17" ht="18" customHeight="1" x14ac:dyDescent="0.2">
      <c r="A885" s="17" t="s">
        <v>460</v>
      </c>
      <c r="B885" s="17" t="s">
        <v>461</v>
      </c>
      <c r="C885" s="17" t="s">
        <v>4182</v>
      </c>
      <c r="D885" s="17" t="s">
        <v>1639</v>
      </c>
      <c r="E885" s="17" t="s">
        <v>3090</v>
      </c>
      <c r="F885" s="4">
        <v>18</v>
      </c>
      <c r="G885" s="21">
        <v>2016</v>
      </c>
      <c r="H885" s="4" t="s">
        <v>3106</v>
      </c>
      <c r="I885" s="4" t="s">
        <v>3092</v>
      </c>
      <c r="J885" s="2" t="s">
        <v>3093</v>
      </c>
      <c r="K885" s="22" t="s">
        <v>3081</v>
      </c>
      <c r="M885" s="2" t="s">
        <v>8</v>
      </c>
      <c r="N885" s="2">
        <v>0</v>
      </c>
      <c r="O885" s="2">
        <v>10</v>
      </c>
      <c r="P885" s="2" t="s">
        <v>1527</v>
      </c>
      <c r="Q885" s="2" t="s">
        <v>3462</v>
      </c>
    </row>
    <row r="886" spans="1:17" ht="18" customHeight="1" x14ac:dyDescent="0.2">
      <c r="A886" s="17" t="s">
        <v>460</v>
      </c>
      <c r="B886" s="17" t="s">
        <v>461</v>
      </c>
      <c r="C886" s="17" t="s">
        <v>4182</v>
      </c>
      <c r="D886" s="17" t="s">
        <v>1639</v>
      </c>
      <c r="E886" s="17" t="s">
        <v>3090</v>
      </c>
      <c r="F886" s="4">
        <v>21</v>
      </c>
      <c r="G886" s="21">
        <v>2019</v>
      </c>
      <c r="H886" s="4" t="s">
        <v>3107</v>
      </c>
      <c r="I886" s="4" t="s">
        <v>3092</v>
      </c>
      <c r="J886" s="2" t="s">
        <v>3093</v>
      </c>
      <c r="K886" s="22" t="s">
        <v>3081</v>
      </c>
      <c r="M886" s="2" t="s">
        <v>8</v>
      </c>
      <c r="N886" s="2">
        <v>0</v>
      </c>
      <c r="O886" s="2">
        <v>10</v>
      </c>
      <c r="P886" s="2" t="s">
        <v>1527</v>
      </c>
      <c r="Q886" s="2" t="s">
        <v>3462</v>
      </c>
    </row>
    <row r="887" spans="1:17" ht="18" customHeight="1" x14ac:dyDescent="0.2">
      <c r="A887" s="17" t="s">
        <v>460</v>
      </c>
      <c r="B887" s="17" t="s">
        <v>461</v>
      </c>
      <c r="C887" s="17" t="s">
        <v>4182</v>
      </c>
      <c r="D887" s="17" t="s">
        <v>1639</v>
      </c>
      <c r="E887" s="17" t="s">
        <v>3108</v>
      </c>
      <c r="F887" s="4">
        <v>1</v>
      </c>
      <c r="G887" s="21">
        <v>1999</v>
      </c>
      <c r="H887" s="4" t="s">
        <v>3109</v>
      </c>
      <c r="I887" s="4" t="s">
        <v>3110</v>
      </c>
      <c r="J887" s="2" t="s">
        <v>3111</v>
      </c>
      <c r="K887" s="22" t="s">
        <v>3081</v>
      </c>
      <c r="M887" s="2" t="s">
        <v>8</v>
      </c>
      <c r="N887" s="2">
        <v>0</v>
      </c>
      <c r="O887" s="2">
        <v>10</v>
      </c>
      <c r="P887" s="2" t="s">
        <v>1527</v>
      </c>
      <c r="Q887" s="2" t="s">
        <v>3462</v>
      </c>
    </row>
    <row r="888" spans="1:17" ht="18" customHeight="1" x14ac:dyDescent="0.2">
      <c r="A888" s="17" t="s">
        <v>460</v>
      </c>
      <c r="B888" s="17" t="s">
        <v>461</v>
      </c>
      <c r="C888" s="17" t="s">
        <v>4182</v>
      </c>
      <c r="D888" s="17" t="s">
        <v>1639</v>
      </c>
      <c r="E888" s="17" t="s">
        <v>3108</v>
      </c>
      <c r="F888" s="4">
        <v>2</v>
      </c>
      <c r="G888" s="21">
        <v>2000</v>
      </c>
      <c r="H888" s="4" t="s">
        <v>3112</v>
      </c>
      <c r="I888" s="4" t="s">
        <v>3110</v>
      </c>
      <c r="J888" s="2" t="s">
        <v>3111</v>
      </c>
      <c r="K888" s="22" t="s">
        <v>3081</v>
      </c>
      <c r="M888" s="2" t="s">
        <v>8</v>
      </c>
      <c r="N888" s="2">
        <v>0</v>
      </c>
      <c r="O888" s="2">
        <v>10</v>
      </c>
      <c r="P888" s="2" t="s">
        <v>1527</v>
      </c>
      <c r="Q888" s="2" t="s">
        <v>3462</v>
      </c>
    </row>
    <row r="889" spans="1:17" ht="18" customHeight="1" x14ac:dyDescent="0.2">
      <c r="A889" s="17" t="s">
        <v>460</v>
      </c>
      <c r="B889" s="17" t="s">
        <v>461</v>
      </c>
      <c r="C889" s="17" t="s">
        <v>4182</v>
      </c>
      <c r="D889" s="17" t="s">
        <v>1639</v>
      </c>
      <c r="E889" s="17" t="s">
        <v>3108</v>
      </c>
      <c r="F889" s="4">
        <v>3</v>
      </c>
      <c r="G889" s="21">
        <v>2001</v>
      </c>
      <c r="H889" s="4" t="s">
        <v>3113</v>
      </c>
      <c r="I889" s="4" t="s">
        <v>3110</v>
      </c>
      <c r="J889" s="2" t="s">
        <v>3111</v>
      </c>
      <c r="K889" s="22" t="s">
        <v>3081</v>
      </c>
      <c r="M889" s="2" t="s">
        <v>8</v>
      </c>
      <c r="N889" s="2">
        <v>0</v>
      </c>
      <c r="O889" s="2">
        <v>10</v>
      </c>
      <c r="P889" s="2" t="s">
        <v>1527</v>
      </c>
      <c r="Q889" s="2" t="s">
        <v>3462</v>
      </c>
    </row>
    <row r="890" spans="1:17" ht="18" customHeight="1" x14ac:dyDescent="0.2">
      <c r="A890" s="17" t="s">
        <v>460</v>
      </c>
      <c r="B890" s="17" t="s">
        <v>461</v>
      </c>
      <c r="C890" s="17" t="s">
        <v>4182</v>
      </c>
      <c r="D890" s="17" t="s">
        <v>1639</v>
      </c>
      <c r="E890" s="17" t="s">
        <v>3108</v>
      </c>
      <c r="F890" s="4">
        <v>4</v>
      </c>
      <c r="G890" s="21">
        <v>2002</v>
      </c>
      <c r="H890" s="4" t="s">
        <v>3114</v>
      </c>
      <c r="I890" s="4" t="s">
        <v>3110</v>
      </c>
      <c r="J890" s="2" t="s">
        <v>3111</v>
      </c>
      <c r="K890" s="22" t="s">
        <v>3081</v>
      </c>
      <c r="M890" s="2" t="s">
        <v>8</v>
      </c>
      <c r="N890" s="2">
        <v>0</v>
      </c>
      <c r="O890" s="2">
        <v>10</v>
      </c>
      <c r="P890" s="2" t="s">
        <v>1527</v>
      </c>
      <c r="Q890" s="2" t="s">
        <v>3462</v>
      </c>
    </row>
    <row r="891" spans="1:17" ht="18" customHeight="1" x14ac:dyDescent="0.2">
      <c r="A891" s="17" t="s">
        <v>460</v>
      </c>
      <c r="B891" s="17" t="s">
        <v>461</v>
      </c>
      <c r="C891" s="17" t="s">
        <v>4182</v>
      </c>
      <c r="D891" s="17" t="s">
        <v>1639</v>
      </c>
      <c r="E891" s="17" t="s">
        <v>3108</v>
      </c>
      <c r="F891" s="4">
        <v>5</v>
      </c>
      <c r="G891" s="21">
        <v>2003</v>
      </c>
      <c r="H891" s="4" t="s">
        <v>3115</v>
      </c>
      <c r="I891" s="4" t="s">
        <v>3110</v>
      </c>
      <c r="J891" s="2" t="s">
        <v>3111</v>
      </c>
      <c r="K891" s="22" t="s">
        <v>3081</v>
      </c>
      <c r="M891" s="2" t="s">
        <v>8</v>
      </c>
      <c r="N891" s="2">
        <v>0</v>
      </c>
      <c r="O891" s="2">
        <v>10</v>
      </c>
      <c r="P891" s="2" t="s">
        <v>1527</v>
      </c>
      <c r="Q891" s="2" t="s">
        <v>3462</v>
      </c>
    </row>
    <row r="892" spans="1:17" ht="18" customHeight="1" x14ac:dyDescent="0.2">
      <c r="A892" s="17" t="s">
        <v>460</v>
      </c>
      <c r="B892" s="17" t="s">
        <v>461</v>
      </c>
      <c r="C892" s="17" t="s">
        <v>4182</v>
      </c>
      <c r="D892" s="17" t="s">
        <v>1639</v>
      </c>
      <c r="E892" s="17" t="s">
        <v>3108</v>
      </c>
      <c r="F892" s="4">
        <v>6</v>
      </c>
      <c r="G892" s="21">
        <v>2004</v>
      </c>
      <c r="H892" s="4" t="s">
        <v>3116</v>
      </c>
      <c r="I892" s="4" t="s">
        <v>3110</v>
      </c>
      <c r="J892" s="2" t="s">
        <v>3111</v>
      </c>
      <c r="K892" s="22" t="s">
        <v>3081</v>
      </c>
      <c r="M892" s="2" t="s">
        <v>8</v>
      </c>
      <c r="N892" s="2">
        <v>0</v>
      </c>
      <c r="O892" s="2">
        <v>10</v>
      </c>
      <c r="P892" s="2" t="s">
        <v>1527</v>
      </c>
      <c r="Q892" s="2" t="s">
        <v>3462</v>
      </c>
    </row>
    <row r="893" spans="1:17" ht="18" customHeight="1" x14ac:dyDescent="0.2">
      <c r="A893" s="17" t="s">
        <v>460</v>
      </c>
      <c r="B893" s="17" t="s">
        <v>461</v>
      </c>
      <c r="C893" s="17" t="s">
        <v>4182</v>
      </c>
      <c r="D893" s="17" t="s">
        <v>1639</v>
      </c>
      <c r="E893" s="17" t="s">
        <v>3108</v>
      </c>
      <c r="F893" s="4">
        <v>7</v>
      </c>
      <c r="G893" s="21">
        <v>2005</v>
      </c>
      <c r="H893" s="4" t="s">
        <v>3117</v>
      </c>
      <c r="I893" s="4" t="s">
        <v>3110</v>
      </c>
      <c r="J893" s="2" t="s">
        <v>3111</v>
      </c>
      <c r="K893" s="22" t="s">
        <v>3081</v>
      </c>
      <c r="M893" s="2" t="s">
        <v>8</v>
      </c>
      <c r="N893" s="2">
        <v>0</v>
      </c>
      <c r="O893" s="2">
        <v>10</v>
      </c>
      <c r="P893" s="2" t="s">
        <v>1527</v>
      </c>
      <c r="Q893" s="2" t="s">
        <v>3462</v>
      </c>
    </row>
    <row r="894" spans="1:17" ht="18" customHeight="1" x14ac:dyDescent="0.2">
      <c r="A894" s="17" t="s">
        <v>460</v>
      </c>
      <c r="B894" s="17" t="s">
        <v>461</v>
      </c>
      <c r="C894" s="17" t="s">
        <v>4182</v>
      </c>
      <c r="D894" s="17" t="s">
        <v>1639</v>
      </c>
      <c r="E894" s="17" t="s">
        <v>3108</v>
      </c>
      <c r="F894" s="4">
        <v>8</v>
      </c>
      <c r="G894" s="21">
        <v>2006</v>
      </c>
      <c r="H894" s="4" t="s">
        <v>3118</v>
      </c>
      <c r="I894" s="4" t="s">
        <v>3110</v>
      </c>
      <c r="J894" s="2" t="s">
        <v>3111</v>
      </c>
      <c r="K894" s="22" t="s">
        <v>3081</v>
      </c>
      <c r="M894" s="2" t="s">
        <v>8</v>
      </c>
      <c r="N894" s="2">
        <v>0</v>
      </c>
      <c r="O894" s="2">
        <v>10</v>
      </c>
      <c r="P894" s="2" t="s">
        <v>1527</v>
      </c>
      <c r="Q894" s="2" t="s">
        <v>3462</v>
      </c>
    </row>
    <row r="895" spans="1:17" ht="18" customHeight="1" x14ac:dyDescent="0.2">
      <c r="A895" s="17" t="s">
        <v>460</v>
      </c>
      <c r="B895" s="17" t="s">
        <v>461</v>
      </c>
      <c r="C895" s="17" t="s">
        <v>4182</v>
      </c>
      <c r="D895" s="17" t="s">
        <v>1639</v>
      </c>
      <c r="E895" s="17" t="s">
        <v>3108</v>
      </c>
      <c r="F895" s="4">
        <v>9</v>
      </c>
      <c r="G895" s="21">
        <v>2007</v>
      </c>
      <c r="H895" s="4" t="s">
        <v>3119</v>
      </c>
      <c r="I895" s="4" t="s">
        <v>3110</v>
      </c>
      <c r="J895" s="2" t="s">
        <v>3111</v>
      </c>
      <c r="K895" s="22" t="s">
        <v>3081</v>
      </c>
      <c r="M895" s="2" t="s">
        <v>8</v>
      </c>
      <c r="N895" s="2">
        <v>0</v>
      </c>
      <c r="O895" s="2">
        <v>10</v>
      </c>
      <c r="P895" s="2" t="s">
        <v>1527</v>
      </c>
      <c r="Q895" s="2" t="s">
        <v>3462</v>
      </c>
    </row>
    <row r="896" spans="1:17" ht="18" customHeight="1" x14ac:dyDescent="0.2">
      <c r="A896" s="17" t="s">
        <v>460</v>
      </c>
      <c r="B896" s="17" t="s">
        <v>461</v>
      </c>
      <c r="C896" s="17" t="s">
        <v>4182</v>
      </c>
      <c r="D896" s="17" t="s">
        <v>1639</v>
      </c>
      <c r="E896" s="17" t="s">
        <v>3108</v>
      </c>
      <c r="F896" s="4">
        <v>10</v>
      </c>
      <c r="G896" s="21">
        <v>2008</v>
      </c>
      <c r="H896" s="4" t="s">
        <v>3120</v>
      </c>
      <c r="I896" s="4" t="s">
        <v>3110</v>
      </c>
      <c r="J896" s="2" t="s">
        <v>3111</v>
      </c>
      <c r="K896" s="22" t="s">
        <v>3081</v>
      </c>
      <c r="M896" s="2" t="s">
        <v>8</v>
      </c>
      <c r="N896" s="2">
        <v>0</v>
      </c>
      <c r="O896" s="2">
        <v>10</v>
      </c>
      <c r="P896" s="2" t="s">
        <v>1527</v>
      </c>
      <c r="Q896" s="2" t="s">
        <v>3462</v>
      </c>
    </row>
    <row r="897" spans="1:17" ht="18" customHeight="1" x14ac:dyDescent="0.2">
      <c r="A897" s="17" t="s">
        <v>460</v>
      </c>
      <c r="B897" s="17" t="s">
        <v>461</v>
      </c>
      <c r="C897" s="17" t="s">
        <v>4182</v>
      </c>
      <c r="D897" s="17" t="s">
        <v>1639</v>
      </c>
      <c r="E897" s="17" t="s">
        <v>3108</v>
      </c>
      <c r="F897" s="4">
        <v>11</v>
      </c>
      <c r="G897" s="21">
        <v>2009</v>
      </c>
      <c r="H897" s="4" t="s">
        <v>3121</v>
      </c>
      <c r="I897" s="4" t="s">
        <v>3110</v>
      </c>
      <c r="J897" s="2" t="s">
        <v>3111</v>
      </c>
      <c r="K897" s="22" t="s">
        <v>3081</v>
      </c>
      <c r="M897" s="2" t="s">
        <v>8</v>
      </c>
      <c r="N897" s="2">
        <v>0</v>
      </c>
      <c r="O897" s="2">
        <v>10</v>
      </c>
      <c r="P897" s="2" t="s">
        <v>1527</v>
      </c>
      <c r="Q897" s="2" t="s">
        <v>3462</v>
      </c>
    </row>
    <row r="898" spans="1:17" ht="18" customHeight="1" x14ac:dyDescent="0.2">
      <c r="A898" s="17" t="s">
        <v>460</v>
      </c>
      <c r="B898" s="17" t="s">
        <v>461</v>
      </c>
      <c r="C898" s="17" t="s">
        <v>4182</v>
      </c>
      <c r="D898" s="17" t="s">
        <v>1639</v>
      </c>
      <c r="E898" s="17" t="s">
        <v>3108</v>
      </c>
      <c r="F898" s="4">
        <v>12</v>
      </c>
      <c r="G898" s="21">
        <v>2010</v>
      </c>
      <c r="H898" s="4" t="s">
        <v>3122</v>
      </c>
      <c r="I898" s="4" t="s">
        <v>3110</v>
      </c>
      <c r="J898" s="2" t="s">
        <v>3111</v>
      </c>
      <c r="K898" s="22" t="s">
        <v>3081</v>
      </c>
      <c r="M898" s="2" t="s">
        <v>8</v>
      </c>
      <c r="N898" s="2">
        <v>0</v>
      </c>
      <c r="O898" s="2">
        <v>10</v>
      </c>
      <c r="P898" s="2" t="s">
        <v>1527</v>
      </c>
      <c r="Q898" s="2" t="s">
        <v>3462</v>
      </c>
    </row>
    <row r="899" spans="1:17" ht="18" customHeight="1" x14ac:dyDescent="0.2">
      <c r="A899" s="17" t="s">
        <v>460</v>
      </c>
      <c r="B899" s="17" t="s">
        <v>461</v>
      </c>
      <c r="C899" s="17" t="s">
        <v>4182</v>
      </c>
      <c r="D899" s="17" t="s">
        <v>1639</v>
      </c>
      <c r="E899" s="17" t="s">
        <v>3108</v>
      </c>
      <c r="F899" s="4">
        <v>15</v>
      </c>
      <c r="G899" s="21">
        <v>2013</v>
      </c>
      <c r="H899" s="4" t="s">
        <v>3123</v>
      </c>
      <c r="I899" s="4" t="s">
        <v>3110</v>
      </c>
      <c r="J899" s="2" t="s">
        <v>3111</v>
      </c>
      <c r="K899" s="22" t="s">
        <v>3081</v>
      </c>
      <c r="M899" s="2" t="s">
        <v>8</v>
      </c>
      <c r="N899" s="2">
        <v>0</v>
      </c>
      <c r="O899" s="2">
        <v>10</v>
      </c>
      <c r="P899" s="2" t="s">
        <v>1527</v>
      </c>
      <c r="Q899" s="2" t="s">
        <v>3462</v>
      </c>
    </row>
    <row r="900" spans="1:17" ht="18" customHeight="1" x14ac:dyDescent="0.2">
      <c r="A900" s="17" t="s">
        <v>460</v>
      </c>
      <c r="B900" s="17" t="s">
        <v>461</v>
      </c>
      <c r="C900" s="17" t="s">
        <v>4182</v>
      </c>
      <c r="D900" s="17" t="s">
        <v>1639</v>
      </c>
      <c r="E900" s="17" t="s">
        <v>3108</v>
      </c>
      <c r="F900" s="4">
        <v>18</v>
      </c>
      <c r="G900" s="21">
        <v>2016</v>
      </c>
      <c r="H900" s="4" t="s">
        <v>3124</v>
      </c>
      <c r="I900" s="4" t="s">
        <v>3110</v>
      </c>
      <c r="J900" s="2" t="s">
        <v>3111</v>
      </c>
      <c r="K900" s="22" t="s">
        <v>3081</v>
      </c>
      <c r="M900" s="2" t="s">
        <v>8</v>
      </c>
      <c r="N900" s="2">
        <v>0</v>
      </c>
      <c r="O900" s="2">
        <v>10</v>
      </c>
      <c r="P900" s="2" t="s">
        <v>1527</v>
      </c>
      <c r="Q900" s="2" t="s">
        <v>3462</v>
      </c>
    </row>
    <row r="901" spans="1:17" ht="18" customHeight="1" x14ac:dyDescent="0.2">
      <c r="A901" s="17" t="s">
        <v>460</v>
      </c>
      <c r="B901" s="17" t="s">
        <v>461</v>
      </c>
      <c r="C901" s="17" t="s">
        <v>4182</v>
      </c>
      <c r="D901" s="17" t="s">
        <v>1639</v>
      </c>
      <c r="E901" s="17" t="s">
        <v>3108</v>
      </c>
      <c r="F901" s="4">
        <v>21</v>
      </c>
      <c r="G901" s="21">
        <v>2019</v>
      </c>
      <c r="H901" s="4" t="s">
        <v>3125</v>
      </c>
      <c r="I901" s="4" t="s">
        <v>3110</v>
      </c>
      <c r="J901" s="2" t="s">
        <v>3111</v>
      </c>
      <c r="K901" s="22" t="s">
        <v>3081</v>
      </c>
      <c r="M901" s="2" t="s">
        <v>8</v>
      </c>
      <c r="N901" s="2">
        <v>0</v>
      </c>
      <c r="O901" s="2">
        <v>10</v>
      </c>
      <c r="P901" s="2" t="s">
        <v>1527</v>
      </c>
      <c r="Q901" s="2" t="s">
        <v>3462</v>
      </c>
    </row>
    <row r="902" spans="1:17" ht="18" customHeight="1" x14ac:dyDescent="0.2">
      <c r="A902" s="17" t="s">
        <v>460</v>
      </c>
      <c r="B902" s="17" t="s">
        <v>461</v>
      </c>
      <c r="C902" s="17" t="s">
        <v>4182</v>
      </c>
      <c r="D902" s="17" t="s">
        <v>1639</v>
      </c>
      <c r="E902" s="17" t="s">
        <v>3126</v>
      </c>
      <c r="F902" s="4">
        <v>1</v>
      </c>
      <c r="G902" s="21">
        <v>1999</v>
      </c>
      <c r="H902" s="4" t="s">
        <v>3127</v>
      </c>
      <c r="I902" s="4" t="s">
        <v>3128</v>
      </c>
      <c r="J902" s="2" t="s">
        <v>3129</v>
      </c>
      <c r="K902" s="22" t="s">
        <v>3081</v>
      </c>
      <c r="M902" s="2" t="s">
        <v>8</v>
      </c>
      <c r="N902" s="2">
        <v>0</v>
      </c>
      <c r="O902" s="2">
        <v>10</v>
      </c>
      <c r="P902" s="2" t="s">
        <v>1527</v>
      </c>
      <c r="Q902" s="2" t="s">
        <v>3462</v>
      </c>
    </row>
    <row r="903" spans="1:17" ht="18" customHeight="1" x14ac:dyDescent="0.2">
      <c r="A903" s="17" t="s">
        <v>460</v>
      </c>
      <c r="B903" s="17" t="s">
        <v>461</v>
      </c>
      <c r="C903" s="17" t="s">
        <v>4182</v>
      </c>
      <c r="D903" s="17" t="s">
        <v>1639</v>
      </c>
      <c r="E903" s="17" t="s">
        <v>3126</v>
      </c>
      <c r="F903" s="4">
        <v>2</v>
      </c>
      <c r="G903" s="21">
        <v>2000</v>
      </c>
      <c r="H903" s="4" t="s">
        <v>3130</v>
      </c>
      <c r="I903" s="4" t="s">
        <v>3128</v>
      </c>
      <c r="J903" s="2" t="s">
        <v>3129</v>
      </c>
      <c r="K903" s="22" t="s">
        <v>3081</v>
      </c>
      <c r="M903" s="2" t="s">
        <v>8</v>
      </c>
      <c r="N903" s="2">
        <v>0</v>
      </c>
      <c r="O903" s="2">
        <v>10</v>
      </c>
      <c r="P903" s="2" t="s">
        <v>1527</v>
      </c>
      <c r="Q903" s="2" t="s">
        <v>3462</v>
      </c>
    </row>
    <row r="904" spans="1:17" ht="18" customHeight="1" x14ac:dyDescent="0.2">
      <c r="A904" s="17" t="s">
        <v>460</v>
      </c>
      <c r="B904" s="17" t="s">
        <v>461</v>
      </c>
      <c r="C904" s="17" t="s">
        <v>4182</v>
      </c>
      <c r="D904" s="17" t="s">
        <v>1639</v>
      </c>
      <c r="E904" s="17" t="s">
        <v>3126</v>
      </c>
      <c r="F904" s="4">
        <v>3</v>
      </c>
      <c r="G904" s="21">
        <v>2001</v>
      </c>
      <c r="H904" s="4" t="s">
        <v>3131</v>
      </c>
      <c r="I904" s="4" t="s">
        <v>3128</v>
      </c>
      <c r="J904" s="2" t="s">
        <v>3129</v>
      </c>
      <c r="K904" s="22" t="s">
        <v>3081</v>
      </c>
      <c r="M904" s="2" t="s">
        <v>8</v>
      </c>
      <c r="N904" s="2">
        <v>0</v>
      </c>
      <c r="O904" s="2">
        <v>10</v>
      </c>
      <c r="P904" s="2" t="s">
        <v>1527</v>
      </c>
      <c r="Q904" s="2" t="s">
        <v>3462</v>
      </c>
    </row>
    <row r="905" spans="1:17" ht="18" customHeight="1" x14ac:dyDescent="0.2">
      <c r="A905" s="17" t="s">
        <v>460</v>
      </c>
      <c r="B905" s="17" t="s">
        <v>461</v>
      </c>
      <c r="C905" s="17" t="s">
        <v>4182</v>
      </c>
      <c r="D905" s="17" t="s">
        <v>1639</v>
      </c>
      <c r="E905" s="17" t="s">
        <v>3126</v>
      </c>
      <c r="F905" s="4">
        <v>4</v>
      </c>
      <c r="G905" s="21">
        <v>2002</v>
      </c>
      <c r="H905" s="4" t="s">
        <v>3132</v>
      </c>
      <c r="I905" s="4" t="s">
        <v>3128</v>
      </c>
      <c r="J905" s="2" t="s">
        <v>3129</v>
      </c>
      <c r="K905" s="22" t="s">
        <v>3081</v>
      </c>
      <c r="M905" s="2" t="s">
        <v>8</v>
      </c>
      <c r="N905" s="2">
        <v>0</v>
      </c>
      <c r="O905" s="2">
        <v>10</v>
      </c>
      <c r="P905" s="2" t="s">
        <v>1527</v>
      </c>
      <c r="Q905" s="2" t="s">
        <v>3462</v>
      </c>
    </row>
    <row r="906" spans="1:17" ht="18" customHeight="1" x14ac:dyDescent="0.2">
      <c r="A906" s="17" t="s">
        <v>460</v>
      </c>
      <c r="B906" s="17" t="s">
        <v>461</v>
      </c>
      <c r="C906" s="17" t="s">
        <v>4182</v>
      </c>
      <c r="D906" s="17" t="s">
        <v>1639</v>
      </c>
      <c r="E906" s="17" t="s">
        <v>3126</v>
      </c>
      <c r="F906" s="4">
        <v>5</v>
      </c>
      <c r="G906" s="21">
        <v>2003</v>
      </c>
      <c r="H906" s="4" t="s">
        <v>3133</v>
      </c>
      <c r="I906" s="4" t="s">
        <v>3128</v>
      </c>
      <c r="J906" s="2" t="s">
        <v>3129</v>
      </c>
      <c r="K906" s="22" t="s">
        <v>3081</v>
      </c>
      <c r="M906" s="2" t="s">
        <v>8</v>
      </c>
      <c r="N906" s="2">
        <v>0</v>
      </c>
      <c r="O906" s="2">
        <v>10</v>
      </c>
      <c r="P906" s="2" t="s">
        <v>1527</v>
      </c>
      <c r="Q906" s="2" t="s">
        <v>3462</v>
      </c>
    </row>
    <row r="907" spans="1:17" ht="18" customHeight="1" x14ac:dyDescent="0.2">
      <c r="A907" s="17" t="s">
        <v>460</v>
      </c>
      <c r="B907" s="17" t="s">
        <v>461</v>
      </c>
      <c r="C907" s="17" t="s">
        <v>4182</v>
      </c>
      <c r="D907" s="17" t="s">
        <v>1639</v>
      </c>
      <c r="E907" s="17" t="s">
        <v>3126</v>
      </c>
      <c r="F907" s="4">
        <v>6</v>
      </c>
      <c r="G907" s="21">
        <v>2004</v>
      </c>
      <c r="H907" s="4" t="s">
        <v>3134</v>
      </c>
      <c r="I907" s="4" t="s">
        <v>3128</v>
      </c>
      <c r="J907" s="2" t="s">
        <v>3129</v>
      </c>
      <c r="K907" s="22" t="s">
        <v>3081</v>
      </c>
      <c r="M907" s="2" t="s">
        <v>8</v>
      </c>
      <c r="N907" s="2">
        <v>0</v>
      </c>
      <c r="O907" s="2">
        <v>10</v>
      </c>
      <c r="P907" s="2" t="s">
        <v>1527</v>
      </c>
      <c r="Q907" s="2" t="s">
        <v>3462</v>
      </c>
    </row>
    <row r="908" spans="1:17" ht="18" customHeight="1" x14ac:dyDescent="0.2">
      <c r="A908" s="17" t="s">
        <v>460</v>
      </c>
      <c r="B908" s="17" t="s">
        <v>461</v>
      </c>
      <c r="C908" s="17" t="s">
        <v>4182</v>
      </c>
      <c r="D908" s="17" t="s">
        <v>1639</v>
      </c>
      <c r="E908" s="17" t="s">
        <v>3126</v>
      </c>
      <c r="F908" s="4">
        <v>7</v>
      </c>
      <c r="G908" s="21">
        <v>2005</v>
      </c>
      <c r="H908" s="4" t="s">
        <v>3135</v>
      </c>
      <c r="I908" s="4" t="s">
        <v>3128</v>
      </c>
      <c r="J908" s="2" t="s">
        <v>3129</v>
      </c>
      <c r="K908" s="22" t="s">
        <v>3081</v>
      </c>
      <c r="M908" s="2" t="s">
        <v>8</v>
      </c>
      <c r="N908" s="2">
        <v>0</v>
      </c>
      <c r="O908" s="2">
        <v>10</v>
      </c>
      <c r="P908" s="2" t="s">
        <v>1527</v>
      </c>
      <c r="Q908" s="2" t="s">
        <v>3462</v>
      </c>
    </row>
    <row r="909" spans="1:17" ht="18" customHeight="1" x14ac:dyDescent="0.2">
      <c r="A909" s="17" t="s">
        <v>460</v>
      </c>
      <c r="B909" s="17" t="s">
        <v>461</v>
      </c>
      <c r="C909" s="17" t="s">
        <v>4182</v>
      </c>
      <c r="D909" s="17" t="s">
        <v>1639</v>
      </c>
      <c r="E909" s="17" t="s">
        <v>3126</v>
      </c>
      <c r="F909" s="4">
        <v>8</v>
      </c>
      <c r="G909" s="21">
        <v>2006</v>
      </c>
      <c r="H909" s="4" t="s">
        <v>3136</v>
      </c>
      <c r="I909" s="4" t="s">
        <v>3128</v>
      </c>
      <c r="J909" s="2" t="s">
        <v>3129</v>
      </c>
      <c r="K909" s="22" t="s">
        <v>3081</v>
      </c>
      <c r="M909" s="2" t="s">
        <v>8</v>
      </c>
      <c r="N909" s="2">
        <v>0</v>
      </c>
      <c r="O909" s="2">
        <v>10</v>
      </c>
      <c r="P909" s="2" t="s">
        <v>1527</v>
      </c>
      <c r="Q909" s="2" t="s">
        <v>3462</v>
      </c>
    </row>
    <row r="910" spans="1:17" ht="18" customHeight="1" x14ac:dyDescent="0.2">
      <c r="A910" s="17" t="s">
        <v>460</v>
      </c>
      <c r="B910" s="17" t="s">
        <v>461</v>
      </c>
      <c r="C910" s="17" t="s">
        <v>4182</v>
      </c>
      <c r="D910" s="17" t="s">
        <v>1639</v>
      </c>
      <c r="E910" s="17" t="s">
        <v>3126</v>
      </c>
      <c r="F910" s="4">
        <v>9</v>
      </c>
      <c r="G910" s="21">
        <v>2007</v>
      </c>
      <c r="H910" s="4" t="s">
        <v>3137</v>
      </c>
      <c r="I910" s="4" t="s">
        <v>3128</v>
      </c>
      <c r="J910" s="2" t="s">
        <v>3129</v>
      </c>
      <c r="K910" s="22" t="s">
        <v>3081</v>
      </c>
      <c r="M910" s="2" t="s">
        <v>8</v>
      </c>
      <c r="N910" s="2">
        <v>0</v>
      </c>
      <c r="O910" s="2">
        <v>10</v>
      </c>
      <c r="P910" s="2" t="s">
        <v>1527</v>
      </c>
      <c r="Q910" s="2" t="s">
        <v>3462</v>
      </c>
    </row>
    <row r="911" spans="1:17" ht="18" customHeight="1" x14ac:dyDescent="0.2">
      <c r="A911" s="17" t="s">
        <v>460</v>
      </c>
      <c r="B911" s="17" t="s">
        <v>461</v>
      </c>
      <c r="C911" s="17" t="s">
        <v>4182</v>
      </c>
      <c r="D911" s="17" t="s">
        <v>1639</v>
      </c>
      <c r="E911" s="17" t="s">
        <v>3126</v>
      </c>
      <c r="F911" s="4">
        <v>10</v>
      </c>
      <c r="G911" s="21">
        <v>2008</v>
      </c>
      <c r="H911" s="4" t="s">
        <v>3138</v>
      </c>
      <c r="I911" s="4" t="s">
        <v>3128</v>
      </c>
      <c r="J911" s="2" t="s">
        <v>3129</v>
      </c>
      <c r="K911" s="22" t="s">
        <v>3081</v>
      </c>
      <c r="M911" s="2" t="s">
        <v>8</v>
      </c>
      <c r="N911" s="2">
        <v>0</v>
      </c>
      <c r="O911" s="2">
        <v>10</v>
      </c>
      <c r="P911" s="2" t="s">
        <v>1527</v>
      </c>
      <c r="Q911" s="2" t="s">
        <v>3462</v>
      </c>
    </row>
    <row r="912" spans="1:17" ht="18" customHeight="1" x14ac:dyDescent="0.2">
      <c r="A912" s="17" t="s">
        <v>460</v>
      </c>
      <c r="B912" s="17" t="s">
        <v>461</v>
      </c>
      <c r="C912" s="17" t="s">
        <v>4182</v>
      </c>
      <c r="D912" s="17" t="s">
        <v>1639</v>
      </c>
      <c r="E912" s="17" t="s">
        <v>3126</v>
      </c>
      <c r="F912" s="4">
        <v>11</v>
      </c>
      <c r="G912" s="21">
        <v>2009</v>
      </c>
      <c r="H912" s="4" t="s">
        <v>3139</v>
      </c>
      <c r="I912" s="4" t="s">
        <v>3128</v>
      </c>
      <c r="J912" s="2" t="s">
        <v>3129</v>
      </c>
      <c r="K912" s="22" t="s">
        <v>3081</v>
      </c>
      <c r="M912" s="2" t="s">
        <v>8</v>
      </c>
      <c r="N912" s="2">
        <v>0</v>
      </c>
      <c r="O912" s="2">
        <v>10</v>
      </c>
      <c r="P912" s="2" t="s">
        <v>1527</v>
      </c>
      <c r="Q912" s="2" t="s">
        <v>3462</v>
      </c>
    </row>
    <row r="913" spans="1:17" ht="18" customHeight="1" x14ac:dyDescent="0.2">
      <c r="A913" s="17" t="s">
        <v>460</v>
      </c>
      <c r="B913" s="17" t="s">
        <v>461</v>
      </c>
      <c r="C913" s="17" t="s">
        <v>4182</v>
      </c>
      <c r="D913" s="17" t="s">
        <v>1639</v>
      </c>
      <c r="E913" s="17" t="s">
        <v>3126</v>
      </c>
      <c r="F913" s="4">
        <v>12</v>
      </c>
      <c r="G913" s="21">
        <v>2010</v>
      </c>
      <c r="H913" s="4" t="s">
        <v>3140</v>
      </c>
      <c r="I913" s="4" t="s">
        <v>3128</v>
      </c>
      <c r="J913" s="2" t="s">
        <v>3129</v>
      </c>
      <c r="K913" s="22" t="s">
        <v>3081</v>
      </c>
      <c r="M913" s="2" t="s">
        <v>8</v>
      </c>
      <c r="N913" s="2">
        <v>0</v>
      </c>
      <c r="O913" s="2">
        <v>10</v>
      </c>
      <c r="P913" s="2" t="s">
        <v>1527</v>
      </c>
      <c r="Q913" s="2" t="s">
        <v>3462</v>
      </c>
    </row>
    <row r="914" spans="1:17" ht="18" customHeight="1" x14ac:dyDescent="0.2">
      <c r="A914" s="17" t="s">
        <v>460</v>
      </c>
      <c r="B914" s="17" t="s">
        <v>461</v>
      </c>
      <c r="C914" s="17" t="s">
        <v>4182</v>
      </c>
      <c r="D914" s="17" t="s">
        <v>1639</v>
      </c>
      <c r="E914" s="17" t="s">
        <v>3126</v>
      </c>
      <c r="F914" s="4">
        <v>15</v>
      </c>
      <c r="G914" s="21">
        <v>2013</v>
      </c>
      <c r="H914" s="4" t="s">
        <v>3141</v>
      </c>
      <c r="I914" s="4" t="s">
        <v>3128</v>
      </c>
      <c r="J914" s="2" t="s">
        <v>3129</v>
      </c>
      <c r="K914" s="22" t="s">
        <v>3081</v>
      </c>
      <c r="M914" s="2" t="s">
        <v>8</v>
      </c>
      <c r="N914" s="2">
        <v>0</v>
      </c>
      <c r="O914" s="2">
        <v>10</v>
      </c>
      <c r="P914" s="2" t="s">
        <v>1527</v>
      </c>
      <c r="Q914" s="2" t="s">
        <v>3462</v>
      </c>
    </row>
    <row r="915" spans="1:17" ht="18" customHeight="1" x14ac:dyDescent="0.2">
      <c r="A915" s="17" t="s">
        <v>460</v>
      </c>
      <c r="B915" s="17" t="s">
        <v>461</v>
      </c>
      <c r="C915" s="17" t="s">
        <v>4182</v>
      </c>
      <c r="D915" s="17" t="s">
        <v>1639</v>
      </c>
      <c r="E915" s="17" t="s">
        <v>3126</v>
      </c>
      <c r="F915" s="4">
        <v>18</v>
      </c>
      <c r="G915" s="21">
        <v>2016</v>
      </c>
      <c r="H915" s="4" t="s">
        <v>3142</v>
      </c>
      <c r="I915" s="4" t="s">
        <v>3128</v>
      </c>
      <c r="J915" s="2" t="s">
        <v>3129</v>
      </c>
      <c r="K915" s="22" t="s">
        <v>3081</v>
      </c>
      <c r="M915" s="2" t="s">
        <v>8</v>
      </c>
      <c r="N915" s="2">
        <v>0</v>
      </c>
      <c r="O915" s="2">
        <v>10</v>
      </c>
      <c r="P915" s="2" t="s">
        <v>1527</v>
      </c>
      <c r="Q915" s="2" t="s">
        <v>3462</v>
      </c>
    </row>
    <row r="916" spans="1:17" ht="18" customHeight="1" x14ac:dyDescent="0.2">
      <c r="A916" s="17" t="s">
        <v>460</v>
      </c>
      <c r="B916" s="17" t="s">
        <v>461</v>
      </c>
      <c r="C916" s="17" t="s">
        <v>4182</v>
      </c>
      <c r="D916" s="17" t="s">
        <v>1639</v>
      </c>
      <c r="E916" s="17" t="s">
        <v>3126</v>
      </c>
      <c r="F916" s="4">
        <v>21</v>
      </c>
      <c r="G916" s="21">
        <v>2019</v>
      </c>
      <c r="H916" s="4" t="s">
        <v>3143</v>
      </c>
      <c r="I916" s="4" t="s">
        <v>3128</v>
      </c>
      <c r="J916" s="2" t="s">
        <v>3129</v>
      </c>
      <c r="K916" s="22" t="s">
        <v>3081</v>
      </c>
      <c r="M916" s="2" t="s">
        <v>8</v>
      </c>
      <c r="N916" s="2">
        <v>0</v>
      </c>
      <c r="O916" s="2">
        <v>10</v>
      </c>
      <c r="P916" s="2" t="s">
        <v>1527</v>
      </c>
      <c r="Q916" s="2" t="s">
        <v>3462</v>
      </c>
    </row>
    <row r="917" spans="1:17" ht="18" customHeight="1" x14ac:dyDescent="0.2">
      <c r="A917" s="17" t="s">
        <v>460</v>
      </c>
      <c r="B917" s="17" t="s">
        <v>461</v>
      </c>
      <c r="C917" s="17" t="s">
        <v>4182</v>
      </c>
      <c r="D917" s="17" t="s">
        <v>1639</v>
      </c>
      <c r="E917" s="17" t="s">
        <v>3144</v>
      </c>
      <c r="F917" s="4">
        <v>1</v>
      </c>
      <c r="G917" s="21">
        <v>1999</v>
      </c>
      <c r="H917" s="4" t="s">
        <v>3145</v>
      </c>
      <c r="I917" s="4" t="s">
        <v>3146</v>
      </c>
      <c r="J917" s="2" t="s">
        <v>3147</v>
      </c>
      <c r="K917" s="22" t="s">
        <v>3081</v>
      </c>
      <c r="M917" s="2" t="s">
        <v>8</v>
      </c>
      <c r="N917" s="2">
        <v>0</v>
      </c>
      <c r="O917" s="2">
        <v>10</v>
      </c>
      <c r="P917" s="2" t="s">
        <v>1527</v>
      </c>
      <c r="Q917" s="2" t="s">
        <v>3462</v>
      </c>
    </row>
    <row r="918" spans="1:17" ht="18" customHeight="1" x14ac:dyDescent="0.2">
      <c r="A918" s="17" t="s">
        <v>460</v>
      </c>
      <c r="B918" s="17" t="s">
        <v>461</v>
      </c>
      <c r="C918" s="17" t="s">
        <v>4182</v>
      </c>
      <c r="D918" s="17" t="s">
        <v>1639</v>
      </c>
      <c r="E918" s="17" t="s">
        <v>3144</v>
      </c>
      <c r="F918" s="4">
        <v>2</v>
      </c>
      <c r="G918" s="21">
        <v>2000</v>
      </c>
      <c r="H918" s="4" t="s">
        <v>3148</v>
      </c>
      <c r="I918" s="4" t="s">
        <v>3146</v>
      </c>
      <c r="J918" s="2" t="s">
        <v>3147</v>
      </c>
      <c r="K918" s="22" t="s">
        <v>3081</v>
      </c>
      <c r="M918" s="2" t="s">
        <v>8</v>
      </c>
      <c r="N918" s="2">
        <v>0</v>
      </c>
      <c r="O918" s="2">
        <v>10</v>
      </c>
      <c r="P918" s="2" t="s">
        <v>1527</v>
      </c>
      <c r="Q918" s="2" t="s">
        <v>3462</v>
      </c>
    </row>
    <row r="919" spans="1:17" ht="18" customHeight="1" x14ac:dyDescent="0.2">
      <c r="A919" s="17" t="s">
        <v>460</v>
      </c>
      <c r="B919" s="17" t="s">
        <v>461</v>
      </c>
      <c r="C919" s="17" t="s">
        <v>4182</v>
      </c>
      <c r="D919" s="17" t="s">
        <v>1639</v>
      </c>
      <c r="E919" s="17" t="s">
        <v>3144</v>
      </c>
      <c r="F919" s="4">
        <v>3</v>
      </c>
      <c r="G919" s="21">
        <v>2001</v>
      </c>
      <c r="H919" s="4" t="s">
        <v>3149</v>
      </c>
      <c r="I919" s="4" t="s">
        <v>3146</v>
      </c>
      <c r="J919" s="2" t="s">
        <v>3147</v>
      </c>
      <c r="K919" s="22" t="s">
        <v>3081</v>
      </c>
      <c r="M919" s="2" t="s">
        <v>8</v>
      </c>
      <c r="N919" s="2">
        <v>0</v>
      </c>
      <c r="O919" s="2">
        <v>10</v>
      </c>
      <c r="P919" s="2" t="s">
        <v>1527</v>
      </c>
      <c r="Q919" s="2" t="s">
        <v>3462</v>
      </c>
    </row>
    <row r="920" spans="1:17" ht="18" customHeight="1" x14ac:dyDescent="0.2">
      <c r="A920" s="17" t="s">
        <v>460</v>
      </c>
      <c r="B920" s="17" t="s">
        <v>461</v>
      </c>
      <c r="C920" s="17" t="s">
        <v>4182</v>
      </c>
      <c r="D920" s="17" t="s">
        <v>1639</v>
      </c>
      <c r="E920" s="17" t="s">
        <v>3144</v>
      </c>
      <c r="F920" s="4">
        <v>4</v>
      </c>
      <c r="G920" s="21">
        <v>2002</v>
      </c>
      <c r="H920" s="4" t="s">
        <v>3150</v>
      </c>
      <c r="I920" s="4" t="s">
        <v>3146</v>
      </c>
      <c r="J920" s="2" t="s">
        <v>3147</v>
      </c>
      <c r="K920" s="22" t="s">
        <v>3081</v>
      </c>
      <c r="M920" s="2" t="s">
        <v>8</v>
      </c>
      <c r="N920" s="2">
        <v>0</v>
      </c>
      <c r="O920" s="2">
        <v>10</v>
      </c>
      <c r="P920" s="2" t="s">
        <v>1527</v>
      </c>
      <c r="Q920" s="2" t="s">
        <v>3462</v>
      </c>
    </row>
    <row r="921" spans="1:17" ht="18" customHeight="1" x14ac:dyDescent="0.2">
      <c r="A921" s="17" t="s">
        <v>460</v>
      </c>
      <c r="B921" s="17" t="s">
        <v>461</v>
      </c>
      <c r="C921" s="17" t="s">
        <v>4182</v>
      </c>
      <c r="D921" s="17" t="s">
        <v>1639</v>
      </c>
      <c r="E921" s="17" t="s">
        <v>3144</v>
      </c>
      <c r="F921" s="4">
        <v>5</v>
      </c>
      <c r="G921" s="21">
        <v>2003</v>
      </c>
      <c r="H921" s="4" t="s">
        <v>3151</v>
      </c>
      <c r="I921" s="4" t="s">
        <v>3146</v>
      </c>
      <c r="J921" s="2" t="s">
        <v>3147</v>
      </c>
      <c r="K921" s="22" t="s">
        <v>3081</v>
      </c>
      <c r="M921" s="2" t="s">
        <v>8</v>
      </c>
      <c r="N921" s="2">
        <v>0</v>
      </c>
      <c r="O921" s="2">
        <v>10</v>
      </c>
      <c r="P921" s="2" t="s">
        <v>1527</v>
      </c>
      <c r="Q921" s="2" t="s">
        <v>3462</v>
      </c>
    </row>
    <row r="922" spans="1:17" ht="18" customHeight="1" x14ac:dyDescent="0.2">
      <c r="A922" s="17" t="s">
        <v>460</v>
      </c>
      <c r="B922" s="17" t="s">
        <v>461</v>
      </c>
      <c r="C922" s="17" t="s">
        <v>4182</v>
      </c>
      <c r="D922" s="17" t="s">
        <v>1639</v>
      </c>
      <c r="E922" s="17" t="s">
        <v>3144</v>
      </c>
      <c r="F922" s="4">
        <v>6</v>
      </c>
      <c r="G922" s="21">
        <v>2004</v>
      </c>
      <c r="H922" s="4" t="s">
        <v>3152</v>
      </c>
      <c r="I922" s="4" t="s">
        <v>3146</v>
      </c>
      <c r="J922" s="2" t="s">
        <v>3147</v>
      </c>
      <c r="K922" s="22" t="s">
        <v>3081</v>
      </c>
      <c r="M922" s="2" t="s">
        <v>8</v>
      </c>
      <c r="N922" s="2">
        <v>0</v>
      </c>
      <c r="O922" s="2">
        <v>10</v>
      </c>
      <c r="P922" s="2" t="s">
        <v>1527</v>
      </c>
      <c r="Q922" s="2" t="s">
        <v>3462</v>
      </c>
    </row>
    <row r="923" spans="1:17" ht="18" customHeight="1" x14ac:dyDescent="0.2">
      <c r="A923" s="17" t="s">
        <v>460</v>
      </c>
      <c r="B923" s="17" t="s">
        <v>461</v>
      </c>
      <c r="C923" s="17" t="s">
        <v>4182</v>
      </c>
      <c r="D923" s="17" t="s">
        <v>1639</v>
      </c>
      <c r="E923" s="17" t="s">
        <v>3144</v>
      </c>
      <c r="F923" s="4">
        <v>7</v>
      </c>
      <c r="G923" s="21">
        <v>2005</v>
      </c>
      <c r="H923" s="4" t="s">
        <v>3153</v>
      </c>
      <c r="I923" s="4" t="s">
        <v>3146</v>
      </c>
      <c r="J923" s="2" t="s">
        <v>3147</v>
      </c>
      <c r="K923" s="22" t="s">
        <v>3081</v>
      </c>
      <c r="M923" s="2" t="s">
        <v>8</v>
      </c>
      <c r="N923" s="2">
        <v>0</v>
      </c>
      <c r="O923" s="2">
        <v>10</v>
      </c>
      <c r="P923" s="2" t="s">
        <v>1527</v>
      </c>
      <c r="Q923" s="2" t="s">
        <v>3462</v>
      </c>
    </row>
    <row r="924" spans="1:17" ht="18" customHeight="1" x14ac:dyDescent="0.2">
      <c r="A924" s="17" t="s">
        <v>460</v>
      </c>
      <c r="B924" s="17" t="s">
        <v>461</v>
      </c>
      <c r="C924" s="17" t="s">
        <v>4182</v>
      </c>
      <c r="D924" s="17" t="s">
        <v>1639</v>
      </c>
      <c r="E924" s="17" t="s">
        <v>3144</v>
      </c>
      <c r="F924" s="4">
        <v>8</v>
      </c>
      <c r="G924" s="21">
        <v>2006</v>
      </c>
      <c r="H924" s="4" t="s">
        <v>3154</v>
      </c>
      <c r="I924" s="4" t="s">
        <v>3146</v>
      </c>
      <c r="J924" s="2" t="s">
        <v>3147</v>
      </c>
      <c r="K924" s="22" t="s">
        <v>3081</v>
      </c>
      <c r="M924" s="2" t="s">
        <v>8</v>
      </c>
      <c r="N924" s="2">
        <v>0</v>
      </c>
      <c r="O924" s="2">
        <v>10</v>
      </c>
      <c r="P924" s="2" t="s">
        <v>1527</v>
      </c>
      <c r="Q924" s="2" t="s">
        <v>3462</v>
      </c>
    </row>
    <row r="925" spans="1:17" ht="18" customHeight="1" x14ac:dyDescent="0.2">
      <c r="A925" s="17" t="s">
        <v>460</v>
      </c>
      <c r="B925" s="17" t="s">
        <v>461</v>
      </c>
      <c r="C925" s="17" t="s">
        <v>4182</v>
      </c>
      <c r="D925" s="17" t="s">
        <v>1639</v>
      </c>
      <c r="E925" s="17" t="s">
        <v>3144</v>
      </c>
      <c r="F925" s="4">
        <v>9</v>
      </c>
      <c r="G925" s="21">
        <v>2007</v>
      </c>
      <c r="H925" s="4" t="s">
        <v>3155</v>
      </c>
      <c r="I925" s="4" t="s">
        <v>3146</v>
      </c>
      <c r="J925" s="2" t="s">
        <v>3147</v>
      </c>
      <c r="K925" s="22" t="s">
        <v>3081</v>
      </c>
      <c r="M925" s="2" t="s">
        <v>8</v>
      </c>
      <c r="N925" s="2">
        <v>0</v>
      </c>
      <c r="O925" s="2">
        <v>10</v>
      </c>
      <c r="P925" s="2" t="s">
        <v>1527</v>
      </c>
      <c r="Q925" s="2" t="s">
        <v>3462</v>
      </c>
    </row>
    <row r="926" spans="1:17" ht="18" customHeight="1" x14ac:dyDescent="0.2">
      <c r="A926" s="17" t="s">
        <v>460</v>
      </c>
      <c r="B926" s="17" t="s">
        <v>461</v>
      </c>
      <c r="C926" s="17" t="s">
        <v>4182</v>
      </c>
      <c r="D926" s="17" t="s">
        <v>1639</v>
      </c>
      <c r="E926" s="17" t="s">
        <v>3144</v>
      </c>
      <c r="F926" s="4">
        <v>10</v>
      </c>
      <c r="G926" s="21">
        <v>2008</v>
      </c>
      <c r="H926" s="4" t="s">
        <v>3156</v>
      </c>
      <c r="I926" s="4" t="s">
        <v>3146</v>
      </c>
      <c r="J926" s="2" t="s">
        <v>3147</v>
      </c>
      <c r="K926" s="22" t="s">
        <v>3081</v>
      </c>
      <c r="M926" s="2" t="s">
        <v>8</v>
      </c>
      <c r="N926" s="2">
        <v>0</v>
      </c>
      <c r="O926" s="2">
        <v>10</v>
      </c>
      <c r="P926" s="2" t="s">
        <v>1527</v>
      </c>
      <c r="Q926" s="2" t="s">
        <v>3462</v>
      </c>
    </row>
    <row r="927" spans="1:17" ht="18" customHeight="1" x14ac:dyDescent="0.2">
      <c r="A927" s="17" t="s">
        <v>460</v>
      </c>
      <c r="B927" s="17" t="s">
        <v>461</v>
      </c>
      <c r="C927" s="17" t="s">
        <v>4182</v>
      </c>
      <c r="D927" s="17" t="s">
        <v>1639</v>
      </c>
      <c r="E927" s="17" t="s">
        <v>3144</v>
      </c>
      <c r="F927" s="4">
        <v>11</v>
      </c>
      <c r="G927" s="21">
        <v>2009</v>
      </c>
      <c r="H927" s="4" t="s">
        <v>3157</v>
      </c>
      <c r="I927" s="4" t="s">
        <v>3146</v>
      </c>
      <c r="J927" s="2" t="s">
        <v>3147</v>
      </c>
      <c r="K927" s="22" t="s">
        <v>3081</v>
      </c>
      <c r="M927" s="2" t="s">
        <v>8</v>
      </c>
      <c r="N927" s="2">
        <v>0</v>
      </c>
      <c r="O927" s="2">
        <v>10</v>
      </c>
      <c r="P927" s="2" t="s">
        <v>1527</v>
      </c>
      <c r="Q927" s="2" t="s">
        <v>3462</v>
      </c>
    </row>
    <row r="928" spans="1:17" ht="18" customHeight="1" x14ac:dyDescent="0.2">
      <c r="A928" s="17" t="s">
        <v>460</v>
      </c>
      <c r="B928" s="17" t="s">
        <v>461</v>
      </c>
      <c r="C928" s="17" t="s">
        <v>4182</v>
      </c>
      <c r="D928" s="17" t="s">
        <v>1639</v>
      </c>
      <c r="E928" s="17" t="s">
        <v>3144</v>
      </c>
      <c r="F928" s="4">
        <v>12</v>
      </c>
      <c r="G928" s="21">
        <v>2010</v>
      </c>
      <c r="H928" s="4" t="s">
        <v>3158</v>
      </c>
      <c r="I928" s="4" t="s">
        <v>3146</v>
      </c>
      <c r="J928" s="2" t="s">
        <v>3147</v>
      </c>
      <c r="K928" s="22" t="s">
        <v>3081</v>
      </c>
      <c r="M928" s="2" t="s">
        <v>8</v>
      </c>
      <c r="N928" s="2">
        <v>0</v>
      </c>
      <c r="O928" s="2">
        <v>10</v>
      </c>
      <c r="P928" s="2" t="s">
        <v>1527</v>
      </c>
      <c r="Q928" s="2" t="s">
        <v>3462</v>
      </c>
    </row>
    <row r="929" spans="1:17" ht="18" customHeight="1" x14ac:dyDescent="0.2">
      <c r="A929" s="17" t="s">
        <v>460</v>
      </c>
      <c r="B929" s="17" t="s">
        <v>461</v>
      </c>
      <c r="C929" s="17" t="s">
        <v>4182</v>
      </c>
      <c r="D929" s="17" t="s">
        <v>1639</v>
      </c>
      <c r="E929" s="17" t="s">
        <v>3144</v>
      </c>
      <c r="F929" s="4">
        <v>15</v>
      </c>
      <c r="G929" s="21">
        <v>2013</v>
      </c>
      <c r="H929" s="4" t="s">
        <v>3159</v>
      </c>
      <c r="I929" s="4" t="s">
        <v>3146</v>
      </c>
      <c r="J929" s="2" t="s">
        <v>3147</v>
      </c>
      <c r="K929" s="22" t="s">
        <v>3081</v>
      </c>
      <c r="M929" s="2" t="s">
        <v>8</v>
      </c>
      <c r="N929" s="2">
        <v>0</v>
      </c>
      <c r="O929" s="2">
        <v>10</v>
      </c>
      <c r="P929" s="2" t="s">
        <v>1527</v>
      </c>
      <c r="Q929" s="2" t="s">
        <v>3462</v>
      </c>
    </row>
    <row r="930" spans="1:17" ht="18" customHeight="1" x14ac:dyDescent="0.2">
      <c r="A930" s="17" t="s">
        <v>460</v>
      </c>
      <c r="B930" s="17" t="s">
        <v>461</v>
      </c>
      <c r="C930" s="17" t="s">
        <v>4182</v>
      </c>
      <c r="D930" s="17" t="s">
        <v>1639</v>
      </c>
      <c r="E930" s="17" t="s">
        <v>3144</v>
      </c>
      <c r="F930" s="4">
        <v>18</v>
      </c>
      <c r="G930" s="21">
        <v>2016</v>
      </c>
      <c r="H930" s="4" t="s">
        <v>3160</v>
      </c>
      <c r="I930" s="4" t="s">
        <v>3146</v>
      </c>
      <c r="J930" s="2" t="s">
        <v>3147</v>
      </c>
      <c r="K930" s="22" t="s">
        <v>3081</v>
      </c>
      <c r="M930" s="2" t="s">
        <v>8</v>
      </c>
      <c r="N930" s="2">
        <v>0</v>
      </c>
      <c r="O930" s="2">
        <v>10</v>
      </c>
      <c r="P930" s="2" t="s">
        <v>1527</v>
      </c>
      <c r="Q930" s="2" t="s">
        <v>3462</v>
      </c>
    </row>
    <row r="931" spans="1:17" ht="18" customHeight="1" x14ac:dyDescent="0.2">
      <c r="A931" s="17" t="s">
        <v>460</v>
      </c>
      <c r="B931" s="17" t="s">
        <v>461</v>
      </c>
      <c r="C931" s="17" t="s">
        <v>4182</v>
      </c>
      <c r="D931" s="17" t="s">
        <v>1639</v>
      </c>
      <c r="E931" s="17" t="s">
        <v>3144</v>
      </c>
      <c r="F931" s="4">
        <v>21</v>
      </c>
      <c r="G931" s="21">
        <v>2019</v>
      </c>
      <c r="H931" s="4" t="s">
        <v>3161</v>
      </c>
      <c r="I931" s="4" t="s">
        <v>3146</v>
      </c>
      <c r="J931" s="2" t="s">
        <v>3147</v>
      </c>
      <c r="K931" s="22" t="s">
        <v>3081</v>
      </c>
      <c r="M931" s="2" t="s">
        <v>8</v>
      </c>
      <c r="N931" s="2">
        <v>0</v>
      </c>
      <c r="O931" s="2">
        <v>10</v>
      </c>
      <c r="P931" s="2" t="s">
        <v>1527</v>
      </c>
      <c r="Q931" s="2" t="s">
        <v>3462</v>
      </c>
    </row>
    <row r="932" spans="1:17" ht="18" customHeight="1" x14ac:dyDescent="0.2">
      <c r="A932" s="17" t="s">
        <v>460</v>
      </c>
      <c r="B932" s="17" t="s">
        <v>461</v>
      </c>
      <c r="C932" s="17" t="s">
        <v>4182</v>
      </c>
      <c r="D932" s="17" t="s">
        <v>1639</v>
      </c>
      <c r="E932" s="17" t="s">
        <v>3162</v>
      </c>
      <c r="F932" s="4">
        <v>15</v>
      </c>
      <c r="G932" s="21">
        <v>2013</v>
      </c>
      <c r="H932" s="4" t="s">
        <v>3163</v>
      </c>
      <c r="I932" s="4" t="s">
        <v>3164</v>
      </c>
      <c r="J932" s="2" t="s">
        <v>3165</v>
      </c>
      <c r="K932" s="22" t="s">
        <v>3081</v>
      </c>
      <c r="M932" s="2" t="s">
        <v>8</v>
      </c>
      <c r="N932" s="2">
        <v>0</v>
      </c>
      <c r="O932" s="2">
        <v>10</v>
      </c>
      <c r="P932" s="2" t="s">
        <v>1527</v>
      </c>
      <c r="Q932" s="2" t="s">
        <v>3462</v>
      </c>
    </row>
    <row r="933" spans="1:17" ht="18" customHeight="1" x14ac:dyDescent="0.2">
      <c r="A933" s="17" t="s">
        <v>460</v>
      </c>
      <c r="B933" s="17" t="s">
        <v>461</v>
      </c>
      <c r="C933" s="17" t="s">
        <v>4182</v>
      </c>
      <c r="D933" s="17" t="s">
        <v>1639</v>
      </c>
      <c r="E933" s="17" t="s">
        <v>3162</v>
      </c>
      <c r="F933" s="4">
        <v>18</v>
      </c>
      <c r="G933" s="21">
        <v>2016</v>
      </c>
      <c r="H933" s="4" t="s">
        <v>3166</v>
      </c>
      <c r="I933" s="4" t="s">
        <v>3164</v>
      </c>
      <c r="J933" s="2" t="s">
        <v>3165</v>
      </c>
      <c r="K933" s="22" t="s">
        <v>3081</v>
      </c>
      <c r="M933" s="2" t="s">
        <v>8</v>
      </c>
      <c r="N933" s="2">
        <v>0</v>
      </c>
      <c r="O933" s="2">
        <v>10</v>
      </c>
      <c r="P933" s="2" t="s">
        <v>1527</v>
      </c>
      <c r="Q933" s="2" t="s">
        <v>3462</v>
      </c>
    </row>
    <row r="934" spans="1:17" ht="18" customHeight="1" x14ac:dyDescent="0.2">
      <c r="A934" s="17" t="s">
        <v>460</v>
      </c>
      <c r="B934" s="17" t="s">
        <v>461</v>
      </c>
      <c r="C934" s="17" t="s">
        <v>4182</v>
      </c>
      <c r="D934" s="17" t="s">
        <v>1639</v>
      </c>
      <c r="E934" s="17" t="s">
        <v>3162</v>
      </c>
      <c r="F934" s="4">
        <v>21</v>
      </c>
      <c r="G934" s="21">
        <v>2019</v>
      </c>
      <c r="H934" s="4" t="s">
        <v>3167</v>
      </c>
      <c r="I934" s="4" t="s">
        <v>3164</v>
      </c>
      <c r="J934" s="2" t="s">
        <v>3165</v>
      </c>
      <c r="K934" s="22" t="s">
        <v>3081</v>
      </c>
      <c r="M934" s="2" t="s">
        <v>8</v>
      </c>
      <c r="N934" s="2">
        <v>0</v>
      </c>
      <c r="O934" s="2">
        <v>10</v>
      </c>
      <c r="P934" s="2" t="s">
        <v>1527</v>
      </c>
      <c r="Q934" s="2" t="s">
        <v>3462</v>
      </c>
    </row>
    <row r="935" spans="1:17" ht="18" customHeight="1" x14ac:dyDescent="0.2">
      <c r="A935" s="17" t="s">
        <v>460</v>
      </c>
      <c r="B935" s="17" t="s">
        <v>461</v>
      </c>
      <c r="C935" s="17" t="s">
        <v>4182</v>
      </c>
      <c r="D935" s="17" t="s">
        <v>1639</v>
      </c>
      <c r="E935" s="17" t="s">
        <v>3168</v>
      </c>
      <c r="F935" s="4">
        <v>15</v>
      </c>
      <c r="G935" s="21">
        <v>2013</v>
      </c>
      <c r="H935" s="4" t="s">
        <v>3169</v>
      </c>
      <c r="I935" s="4" t="s">
        <v>3170</v>
      </c>
      <c r="J935" s="2" t="s">
        <v>3171</v>
      </c>
      <c r="K935" s="22" t="s">
        <v>3081</v>
      </c>
      <c r="M935" s="2" t="s">
        <v>8</v>
      </c>
      <c r="N935" s="2">
        <v>0</v>
      </c>
      <c r="O935" s="2">
        <v>10</v>
      </c>
      <c r="P935" s="2" t="s">
        <v>1527</v>
      </c>
      <c r="Q935" s="2" t="s">
        <v>3462</v>
      </c>
    </row>
    <row r="936" spans="1:17" ht="18" customHeight="1" x14ac:dyDescent="0.2">
      <c r="A936" s="17" t="s">
        <v>460</v>
      </c>
      <c r="B936" s="17" t="s">
        <v>461</v>
      </c>
      <c r="C936" s="17" t="s">
        <v>4182</v>
      </c>
      <c r="D936" s="17" t="s">
        <v>1639</v>
      </c>
      <c r="E936" s="17" t="s">
        <v>3168</v>
      </c>
      <c r="F936" s="4">
        <v>18</v>
      </c>
      <c r="G936" s="21">
        <v>2016</v>
      </c>
      <c r="H936" s="4" t="s">
        <v>3172</v>
      </c>
      <c r="I936" s="4" t="s">
        <v>3170</v>
      </c>
      <c r="J936" s="2" t="s">
        <v>3171</v>
      </c>
      <c r="K936" s="22" t="s">
        <v>3081</v>
      </c>
      <c r="M936" s="2" t="s">
        <v>8</v>
      </c>
      <c r="N936" s="2">
        <v>0</v>
      </c>
      <c r="O936" s="2">
        <v>10</v>
      </c>
      <c r="P936" s="2" t="s">
        <v>1527</v>
      </c>
      <c r="Q936" s="2" t="s">
        <v>3462</v>
      </c>
    </row>
    <row r="937" spans="1:17" ht="18" customHeight="1" x14ac:dyDescent="0.2">
      <c r="A937" s="17" t="s">
        <v>460</v>
      </c>
      <c r="B937" s="17" t="s">
        <v>461</v>
      </c>
      <c r="C937" s="17" t="s">
        <v>4182</v>
      </c>
      <c r="D937" s="17" t="s">
        <v>1639</v>
      </c>
      <c r="E937" s="17" t="s">
        <v>3168</v>
      </c>
      <c r="F937" s="4">
        <v>21</v>
      </c>
      <c r="G937" s="21">
        <v>2019</v>
      </c>
      <c r="H937" s="4" t="s">
        <v>3173</v>
      </c>
      <c r="I937" s="4" t="s">
        <v>3170</v>
      </c>
      <c r="J937" s="2" t="s">
        <v>3171</v>
      </c>
      <c r="K937" s="22" t="s">
        <v>3081</v>
      </c>
      <c r="M937" s="2" t="s">
        <v>8</v>
      </c>
      <c r="N937" s="2">
        <v>0</v>
      </c>
      <c r="O937" s="2">
        <v>10</v>
      </c>
      <c r="P937" s="2" t="s">
        <v>1527</v>
      </c>
      <c r="Q937" s="2" t="s">
        <v>3462</v>
      </c>
    </row>
    <row r="938" spans="1:17" ht="18" customHeight="1" x14ac:dyDescent="0.2">
      <c r="A938" s="17" t="s">
        <v>460</v>
      </c>
      <c r="B938" s="17" t="s">
        <v>461</v>
      </c>
      <c r="C938" s="17" t="s">
        <v>4182</v>
      </c>
      <c r="D938" s="17" t="s">
        <v>1639</v>
      </c>
      <c r="E938" s="17" t="s">
        <v>3174</v>
      </c>
      <c r="F938" s="4">
        <v>15</v>
      </c>
      <c r="G938" s="21">
        <v>2013</v>
      </c>
      <c r="H938" s="4" t="s">
        <v>3175</v>
      </c>
      <c r="I938" s="4" t="s">
        <v>3176</v>
      </c>
      <c r="J938" s="2" t="s">
        <v>3177</v>
      </c>
      <c r="K938" s="22" t="s">
        <v>3081</v>
      </c>
      <c r="M938" s="2" t="s">
        <v>8</v>
      </c>
      <c r="N938" s="2">
        <v>0</v>
      </c>
      <c r="O938" s="2">
        <v>10</v>
      </c>
      <c r="P938" s="2" t="s">
        <v>1527</v>
      </c>
      <c r="Q938" s="2" t="s">
        <v>3462</v>
      </c>
    </row>
    <row r="939" spans="1:17" ht="18" customHeight="1" x14ac:dyDescent="0.2">
      <c r="A939" s="17" t="s">
        <v>460</v>
      </c>
      <c r="B939" s="17" t="s">
        <v>461</v>
      </c>
      <c r="C939" s="17" t="s">
        <v>4182</v>
      </c>
      <c r="D939" s="17" t="s">
        <v>1639</v>
      </c>
      <c r="E939" s="17" t="s">
        <v>3174</v>
      </c>
      <c r="F939" s="4">
        <v>18</v>
      </c>
      <c r="G939" s="21">
        <v>2016</v>
      </c>
      <c r="H939" s="4" t="s">
        <v>3178</v>
      </c>
      <c r="I939" s="4" t="s">
        <v>3176</v>
      </c>
      <c r="J939" s="2" t="s">
        <v>3177</v>
      </c>
      <c r="K939" s="22" t="s">
        <v>3081</v>
      </c>
      <c r="M939" s="2" t="s">
        <v>8</v>
      </c>
      <c r="N939" s="2">
        <v>0</v>
      </c>
      <c r="O939" s="2">
        <v>10</v>
      </c>
      <c r="P939" s="2" t="s">
        <v>1527</v>
      </c>
      <c r="Q939" s="2" t="s">
        <v>3462</v>
      </c>
    </row>
    <row r="940" spans="1:17" ht="18" customHeight="1" x14ac:dyDescent="0.2">
      <c r="A940" s="17" t="s">
        <v>460</v>
      </c>
      <c r="B940" s="17" t="s">
        <v>461</v>
      </c>
      <c r="C940" s="17" t="s">
        <v>4182</v>
      </c>
      <c r="D940" s="17" t="s">
        <v>1639</v>
      </c>
      <c r="E940" s="17" t="s">
        <v>3174</v>
      </c>
      <c r="F940" s="4">
        <v>21</v>
      </c>
      <c r="G940" s="21">
        <v>2019</v>
      </c>
      <c r="H940" s="4" t="s">
        <v>3179</v>
      </c>
      <c r="I940" s="4" t="s">
        <v>3176</v>
      </c>
      <c r="J940" s="2" t="s">
        <v>3177</v>
      </c>
      <c r="K940" s="22" t="s">
        <v>3081</v>
      </c>
      <c r="M940" s="2" t="s">
        <v>8</v>
      </c>
      <c r="N940" s="2">
        <v>0</v>
      </c>
      <c r="O940" s="2">
        <v>10</v>
      </c>
      <c r="P940" s="2" t="s">
        <v>1527</v>
      </c>
      <c r="Q940" s="2" t="s">
        <v>3462</v>
      </c>
    </row>
    <row r="941" spans="1:17" ht="18" customHeight="1" x14ac:dyDescent="0.2">
      <c r="A941" s="17" t="s">
        <v>460</v>
      </c>
      <c r="B941" s="17" t="s">
        <v>461</v>
      </c>
      <c r="C941" s="17" t="s">
        <v>4182</v>
      </c>
      <c r="D941" s="17" t="s">
        <v>1639</v>
      </c>
      <c r="E941" s="17" t="s">
        <v>3180</v>
      </c>
      <c r="F941" s="4">
        <v>15</v>
      </c>
      <c r="G941" s="21">
        <v>2013</v>
      </c>
      <c r="H941" s="4" t="s">
        <v>3181</v>
      </c>
      <c r="I941" s="4" t="s">
        <v>3182</v>
      </c>
      <c r="J941" s="2" t="s">
        <v>3183</v>
      </c>
      <c r="K941" s="22" t="s">
        <v>3081</v>
      </c>
      <c r="M941" s="2" t="s">
        <v>8</v>
      </c>
      <c r="N941" s="2">
        <v>0</v>
      </c>
      <c r="O941" s="2">
        <v>10</v>
      </c>
      <c r="P941" s="2" t="s">
        <v>1527</v>
      </c>
      <c r="Q941" s="2" t="s">
        <v>3462</v>
      </c>
    </row>
    <row r="942" spans="1:17" ht="18" customHeight="1" x14ac:dyDescent="0.2">
      <c r="A942" s="17" t="s">
        <v>460</v>
      </c>
      <c r="B942" s="17" t="s">
        <v>461</v>
      </c>
      <c r="C942" s="17" t="s">
        <v>4182</v>
      </c>
      <c r="D942" s="17" t="s">
        <v>1639</v>
      </c>
      <c r="E942" s="17" t="s">
        <v>3180</v>
      </c>
      <c r="F942" s="4">
        <v>18</v>
      </c>
      <c r="G942" s="21">
        <v>2016</v>
      </c>
      <c r="H942" s="4" t="s">
        <v>3184</v>
      </c>
      <c r="I942" s="4" t="s">
        <v>3182</v>
      </c>
      <c r="J942" s="2" t="s">
        <v>3183</v>
      </c>
      <c r="K942" s="22" t="s">
        <v>3081</v>
      </c>
      <c r="M942" s="2" t="s">
        <v>8</v>
      </c>
      <c r="N942" s="2">
        <v>0</v>
      </c>
      <c r="O942" s="2">
        <v>10</v>
      </c>
      <c r="P942" s="2" t="s">
        <v>1527</v>
      </c>
      <c r="Q942" s="2" t="s">
        <v>3462</v>
      </c>
    </row>
    <row r="943" spans="1:17" ht="18" customHeight="1" x14ac:dyDescent="0.2">
      <c r="A943" s="17" t="s">
        <v>460</v>
      </c>
      <c r="B943" s="17" t="s">
        <v>461</v>
      </c>
      <c r="C943" s="17" t="s">
        <v>4182</v>
      </c>
      <c r="D943" s="17" t="s">
        <v>1639</v>
      </c>
      <c r="E943" s="17" t="s">
        <v>3180</v>
      </c>
      <c r="F943" s="4">
        <v>21</v>
      </c>
      <c r="G943" s="21">
        <v>2019</v>
      </c>
      <c r="H943" s="4" t="s">
        <v>3185</v>
      </c>
      <c r="I943" s="4" t="s">
        <v>3182</v>
      </c>
      <c r="J943" s="2" t="s">
        <v>3183</v>
      </c>
      <c r="K943" s="22" t="s">
        <v>3081</v>
      </c>
      <c r="M943" s="2" t="s">
        <v>8</v>
      </c>
      <c r="N943" s="2">
        <v>0</v>
      </c>
      <c r="O943" s="2">
        <v>10</v>
      </c>
      <c r="P943" s="2" t="s">
        <v>1527</v>
      </c>
      <c r="Q943" s="2" t="s">
        <v>3462</v>
      </c>
    </row>
    <row r="944" spans="1:17" ht="18" customHeight="1" x14ac:dyDescent="0.2">
      <c r="A944" s="17" t="s">
        <v>460</v>
      </c>
      <c r="B944" s="17" t="s">
        <v>461</v>
      </c>
      <c r="C944" s="17" t="s">
        <v>4182</v>
      </c>
      <c r="D944" s="17" t="s">
        <v>1639</v>
      </c>
      <c r="E944" s="17" t="s">
        <v>3186</v>
      </c>
      <c r="F944" s="4">
        <v>15</v>
      </c>
      <c r="G944" s="21">
        <v>2013</v>
      </c>
      <c r="H944" s="4" t="s">
        <v>3187</v>
      </c>
      <c r="I944" s="4" t="s">
        <v>3188</v>
      </c>
      <c r="J944" s="2" t="s">
        <v>3189</v>
      </c>
      <c r="K944" s="22" t="s">
        <v>3081</v>
      </c>
      <c r="M944" s="2" t="s">
        <v>8</v>
      </c>
      <c r="N944" s="2">
        <v>0</v>
      </c>
      <c r="O944" s="2">
        <v>10</v>
      </c>
      <c r="P944" s="2" t="s">
        <v>1527</v>
      </c>
      <c r="Q944" s="2" t="s">
        <v>3462</v>
      </c>
    </row>
    <row r="945" spans="1:17" ht="18" customHeight="1" x14ac:dyDescent="0.2">
      <c r="A945" s="17" t="s">
        <v>460</v>
      </c>
      <c r="B945" s="17" t="s">
        <v>461</v>
      </c>
      <c r="C945" s="17" t="s">
        <v>4182</v>
      </c>
      <c r="D945" s="17" t="s">
        <v>1639</v>
      </c>
      <c r="E945" s="17" t="s">
        <v>3186</v>
      </c>
      <c r="F945" s="4">
        <v>18</v>
      </c>
      <c r="G945" s="21">
        <v>2016</v>
      </c>
      <c r="H945" s="4" t="s">
        <v>3190</v>
      </c>
      <c r="I945" s="4" t="s">
        <v>3188</v>
      </c>
      <c r="J945" s="2" t="s">
        <v>3189</v>
      </c>
      <c r="K945" s="22" t="s">
        <v>3081</v>
      </c>
      <c r="M945" s="2" t="s">
        <v>8</v>
      </c>
      <c r="N945" s="2">
        <v>0</v>
      </c>
      <c r="O945" s="2">
        <v>10</v>
      </c>
      <c r="P945" s="2" t="s">
        <v>1527</v>
      </c>
      <c r="Q945" s="2" t="s">
        <v>3462</v>
      </c>
    </row>
    <row r="946" spans="1:17" ht="18" customHeight="1" x14ac:dyDescent="0.2">
      <c r="A946" s="17" t="s">
        <v>460</v>
      </c>
      <c r="B946" s="17" t="s">
        <v>461</v>
      </c>
      <c r="C946" s="17" t="s">
        <v>4182</v>
      </c>
      <c r="D946" s="17" t="s">
        <v>1639</v>
      </c>
      <c r="E946" s="17" t="s">
        <v>3186</v>
      </c>
      <c r="F946" s="4">
        <v>21</v>
      </c>
      <c r="G946" s="21">
        <v>2019</v>
      </c>
      <c r="H946" s="4" t="s">
        <v>3191</v>
      </c>
      <c r="I946" s="4" t="s">
        <v>3188</v>
      </c>
      <c r="J946" s="2" t="s">
        <v>3189</v>
      </c>
      <c r="K946" s="22" t="s">
        <v>3081</v>
      </c>
      <c r="M946" s="2" t="s">
        <v>8</v>
      </c>
      <c r="N946" s="2">
        <v>0</v>
      </c>
      <c r="O946" s="2">
        <v>10</v>
      </c>
      <c r="P946" s="2" t="s">
        <v>1527</v>
      </c>
      <c r="Q946" s="2" t="s">
        <v>3462</v>
      </c>
    </row>
    <row r="947" spans="1:17" ht="18" customHeight="1" x14ac:dyDescent="0.2">
      <c r="A947" s="17" t="s">
        <v>460</v>
      </c>
      <c r="B947" s="17" t="s">
        <v>461</v>
      </c>
      <c r="C947" s="17" t="s">
        <v>4182</v>
      </c>
      <c r="D947" s="17" t="s">
        <v>1639</v>
      </c>
      <c r="E947" s="17" t="s">
        <v>3192</v>
      </c>
      <c r="F947" s="4">
        <v>1</v>
      </c>
      <c r="G947" s="21">
        <v>1999</v>
      </c>
      <c r="H947" s="4" t="s">
        <v>3193</v>
      </c>
      <c r="I947" s="4" t="s">
        <v>3194</v>
      </c>
      <c r="J947" s="2" t="s">
        <v>3195</v>
      </c>
      <c r="K947" s="22" t="s">
        <v>3081</v>
      </c>
      <c r="M947" s="2" t="s">
        <v>8</v>
      </c>
      <c r="N947" s="2">
        <v>0</v>
      </c>
      <c r="O947" s="2">
        <v>10</v>
      </c>
      <c r="P947" s="2" t="s">
        <v>1527</v>
      </c>
      <c r="Q947" s="2" t="s">
        <v>3462</v>
      </c>
    </row>
    <row r="948" spans="1:17" ht="18" customHeight="1" x14ac:dyDescent="0.2">
      <c r="A948" s="17" t="s">
        <v>460</v>
      </c>
      <c r="B948" s="17" t="s">
        <v>461</v>
      </c>
      <c r="C948" s="17" t="s">
        <v>4182</v>
      </c>
      <c r="D948" s="17" t="s">
        <v>1639</v>
      </c>
      <c r="E948" s="17" t="s">
        <v>3192</v>
      </c>
      <c r="F948" s="4">
        <v>2</v>
      </c>
      <c r="G948" s="21">
        <v>2000</v>
      </c>
      <c r="H948" s="4" t="s">
        <v>3196</v>
      </c>
      <c r="I948" s="4" t="s">
        <v>3194</v>
      </c>
      <c r="J948" s="2" t="s">
        <v>3195</v>
      </c>
      <c r="K948" s="22" t="s">
        <v>3081</v>
      </c>
      <c r="M948" s="2" t="s">
        <v>8</v>
      </c>
      <c r="N948" s="2">
        <v>0</v>
      </c>
      <c r="O948" s="2">
        <v>10</v>
      </c>
      <c r="P948" s="2" t="s">
        <v>1527</v>
      </c>
      <c r="Q948" s="2" t="s">
        <v>3462</v>
      </c>
    </row>
    <row r="949" spans="1:17" ht="18" customHeight="1" x14ac:dyDescent="0.2">
      <c r="A949" s="17" t="s">
        <v>460</v>
      </c>
      <c r="B949" s="17" t="s">
        <v>461</v>
      </c>
      <c r="C949" s="17" t="s">
        <v>4182</v>
      </c>
      <c r="D949" s="17" t="s">
        <v>1639</v>
      </c>
      <c r="E949" s="17" t="s">
        <v>3192</v>
      </c>
      <c r="F949" s="4">
        <v>3</v>
      </c>
      <c r="G949" s="21">
        <v>2001</v>
      </c>
      <c r="H949" s="4" t="s">
        <v>3197</v>
      </c>
      <c r="I949" s="4" t="s">
        <v>3194</v>
      </c>
      <c r="J949" s="2" t="s">
        <v>3195</v>
      </c>
      <c r="K949" s="22" t="s">
        <v>3081</v>
      </c>
      <c r="M949" s="2" t="s">
        <v>8</v>
      </c>
      <c r="N949" s="2">
        <v>0</v>
      </c>
      <c r="O949" s="2">
        <v>10</v>
      </c>
      <c r="P949" s="2" t="s">
        <v>1527</v>
      </c>
      <c r="Q949" s="2" t="s">
        <v>3462</v>
      </c>
    </row>
    <row r="950" spans="1:17" ht="18" customHeight="1" x14ac:dyDescent="0.2">
      <c r="A950" s="17" t="s">
        <v>460</v>
      </c>
      <c r="B950" s="17" t="s">
        <v>461</v>
      </c>
      <c r="C950" s="17" t="s">
        <v>4182</v>
      </c>
      <c r="D950" s="17" t="s">
        <v>1639</v>
      </c>
      <c r="E950" s="17" t="s">
        <v>3192</v>
      </c>
      <c r="F950" s="4">
        <v>4</v>
      </c>
      <c r="G950" s="21">
        <v>2002</v>
      </c>
      <c r="H950" s="4" t="s">
        <v>3198</v>
      </c>
      <c r="I950" s="4" t="s">
        <v>3194</v>
      </c>
      <c r="J950" s="2" t="s">
        <v>3195</v>
      </c>
      <c r="K950" s="22" t="s">
        <v>3081</v>
      </c>
      <c r="M950" s="2" t="s">
        <v>8</v>
      </c>
      <c r="N950" s="2">
        <v>0</v>
      </c>
      <c r="O950" s="2">
        <v>10</v>
      </c>
      <c r="P950" s="2" t="s">
        <v>1527</v>
      </c>
      <c r="Q950" s="2" t="s">
        <v>3462</v>
      </c>
    </row>
    <row r="951" spans="1:17" ht="18" customHeight="1" x14ac:dyDescent="0.2">
      <c r="A951" s="17" t="s">
        <v>460</v>
      </c>
      <c r="B951" s="17" t="s">
        <v>461</v>
      </c>
      <c r="C951" s="17" t="s">
        <v>4182</v>
      </c>
      <c r="D951" s="17" t="s">
        <v>1639</v>
      </c>
      <c r="E951" s="17" t="s">
        <v>3192</v>
      </c>
      <c r="F951" s="4">
        <v>5</v>
      </c>
      <c r="G951" s="21">
        <v>2003</v>
      </c>
      <c r="H951" s="4" t="s">
        <v>3199</v>
      </c>
      <c r="I951" s="4" t="s">
        <v>3194</v>
      </c>
      <c r="J951" s="2" t="s">
        <v>3195</v>
      </c>
      <c r="K951" s="22" t="s">
        <v>3081</v>
      </c>
      <c r="M951" s="2" t="s">
        <v>8</v>
      </c>
      <c r="N951" s="2">
        <v>0</v>
      </c>
      <c r="O951" s="2">
        <v>10</v>
      </c>
      <c r="P951" s="2" t="s">
        <v>1527</v>
      </c>
      <c r="Q951" s="2" t="s">
        <v>3462</v>
      </c>
    </row>
    <row r="952" spans="1:17" ht="18" customHeight="1" x14ac:dyDescent="0.2">
      <c r="A952" s="17" t="s">
        <v>460</v>
      </c>
      <c r="B952" s="17" t="s">
        <v>461</v>
      </c>
      <c r="C952" s="17" t="s">
        <v>4182</v>
      </c>
      <c r="D952" s="17" t="s">
        <v>1639</v>
      </c>
      <c r="E952" s="17" t="s">
        <v>3192</v>
      </c>
      <c r="F952" s="4">
        <v>6</v>
      </c>
      <c r="G952" s="21">
        <v>2004</v>
      </c>
      <c r="H952" s="4" t="s">
        <v>3200</v>
      </c>
      <c r="I952" s="4" t="s">
        <v>3194</v>
      </c>
      <c r="J952" s="2" t="s">
        <v>3195</v>
      </c>
      <c r="K952" s="22" t="s">
        <v>3081</v>
      </c>
      <c r="M952" s="2" t="s">
        <v>8</v>
      </c>
      <c r="N952" s="2">
        <v>0</v>
      </c>
      <c r="O952" s="2">
        <v>10</v>
      </c>
      <c r="P952" s="2" t="s">
        <v>1527</v>
      </c>
      <c r="Q952" s="2" t="s">
        <v>3462</v>
      </c>
    </row>
    <row r="953" spans="1:17" ht="18" customHeight="1" x14ac:dyDescent="0.2">
      <c r="A953" s="17" t="s">
        <v>460</v>
      </c>
      <c r="B953" s="17" t="s">
        <v>461</v>
      </c>
      <c r="C953" s="17" t="s">
        <v>4182</v>
      </c>
      <c r="D953" s="17" t="s">
        <v>1639</v>
      </c>
      <c r="E953" s="17" t="s">
        <v>3192</v>
      </c>
      <c r="F953" s="4">
        <v>7</v>
      </c>
      <c r="G953" s="21">
        <v>2005</v>
      </c>
      <c r="H953" s="4" t="s">
        <v>3201</v>
      </c>
      <c r="I953" s="4" t="s">
        <v>3194</v>
      </c>
      <c r="J953" s="2" t="s">
        <v>3195</v>
      </c>
      <c r="K953" s="22" t="s">
        <v>3081</v>
      </c>
      <c r="M953" s="2" t="s">
        <v>8</v>
      </c>
      <c r="N953" s="2">
        <v>0</v>
      </c>
      <c r="O953" s="2">
        <v>10</v>
      </c>
      <c r="P953" s="2" t="s">
        <v>1527</v>
      </c>
      <c r="Q953" s="2" t="s">
        <v>3462</v>
      </c>
    </row>
    <row r="954" spans="1:17" ht="18" customHeight="1" x14ac:dyDescent="0.2">
      <c r="A954" s="17" t="s">
        <v>460</v>
      </c>
      <c r="B954" s="17" t="s">
        <v>461</v>
      </c>
      <c r="C954" s="17" t="s">
        <v>4182</v>
      </c>
      <c r="D954" s="17" t="s">
        <v>1639</v>
      </c>
      <c r="E954" s="17" t="s">
        <v>3192</v>
      </c>
      <c r="F954" s="4">
        <v>8</v>
      </c>
      <c r="G954" s="21">
        <v>2006</v>
      </c>
      <c r="H954" s="4" t="s">
        <v>3202</v>
      </c>
      <c r="I954" s="4" t="s">
        <v>3194</v>
      </c>
      <c r="J954" s="2" t="s">
        <v>3195</v>
      </c>
      <c r="K954" s="22" t="s">
        <v>3081</v>
      </c>
      <c r="M954" s="2" t="s">
        <v>8</v>
      </c>
      <c r="N954" s="2">
        <v>0</v>
      </c>
      <c r="O954" s="2">
        <v>10</v>
      </c>
      <c r="P954" s="2" t="s">
        <v>1527</v>
      </c>
      <c r="Q954" s="2" t="s">
        <v>3462</v>
      </c>
    </row>
    <row r="955" spans="1:17" ht="18" customHeight="1" x14ac:dyDescent="0.2">
      <c r="A955" s="17" t="s">
        <v>460</v>
      </c>
      <c r="B955" s="17" t="s">
        <v>461</v>
      </c>
      <c r="C955" s="17" t="s">
        <v>4182</v>
      </c>
      <c r="D955" s="17" t="s">
        <v>1639</v>
      </c>
      <c r="E955" s="17" t="s">
        <v>3192</v>
      </c>
      <c r="F955" s="4">
        <v>9</v>
      </c>
      <c r="G955" s="21">
        <v>2007</v>
      </c>
      <c r="H955" s="4" t="s">
        <v>3203</v>
      </c>
      <c r="I955" s="4" t="s">
        <v>3194</v>
      </c>
      <c r="J955" s="2" t="s">
        <v>3195</v>
      </c>
      <c r="K955" s="22" t="s">
        <v>3081</v>
      </c>
      <c r="M955" s="2" t="s">
        <v>8</v>
      </c>
      <c r="N955" s="2">
        <v>0</v>
      </c>
      <c r="O955" s="2">
        <v>10</v>
      </c>
      <c r="P955" s="2" t="s">
        <v>1527</v>
      </c>
      <c r="Q955" s="2" t="s">
        <v>3462</v>
      </c>
    </row>
    <row r="956" spans="1:17" ht="18" customHeight="1" x14ac:dyDescent="0.2">
      <c r="A956" s="17" t="s">
        <v>460</v>
      </c>
      <c r="B956" s="17" t="s">
        <v>461</v>
      </c>
      <c r="C956" s="17" t="s">
        <v>4182</v>
      </c>
      <c r="D956" s="17" t="s">
        <v>1639</v>
      </c>
      <c r="E956" s="17" t="s">
        <v>3192</v>
      </c>
      <c r="F956" s="4">
        <v>10</v>
      </c>
      <c r="G956" s="21">
        <v>2008</v>
      </c>
      <c r="H956" s="4" t="s">
        <v>3204</v>
      </c>
      <c r="I956" s="4" t="s">
        <v>3194</v>
      </c>
      <c r="J956" s="2" t="s">
        <v>3195</v>
      </c>
      <c r="K956" s="22" t="s">
        <v>3081</v>
      </c>
      <c r="M956" s="2" t="s">
        <v>8</v>
      </c>
      <c r="N956" s="2">
        <v>0</v>
      </c>
      <c r="O956" s="2">
        <v>10</v>
      </c>
      <c r="P956" s="2" t="s">
        <v>1527</v>
      </c>
      <c r="Q956" s="2" t="s">
        <v>3462</v>
      </c>
    </row>
    <row r="957" spans="1:17" ht="18" customHeight="1" x14ac:dyDescent="0.2">
      <c r="A957" s="17" t="s">
        <v>460</v>
      </c>
      <c r="B957" s="17" t="s">
        <v>461</v>
      </c>
      <c r="C957" s="17" t="s">
        <v>4182</v>
      </c>
      <c r="D957" s="17" t="s">
        <v>1639</v>
      </c>
      <c r="E957" s="17" t="s">
        <v>3192</v>
      </c>
      <c r="F957" s="4">
        <v>11</v>
      </c>
      <c r="G957" s="21">
        <v>2009</v>
      </c>
      <c r="H957" s="4" t="s">
        <v>3205</v>
      </c>
      <c r="I957" s="4" t="s">
        <v>3194</v>
      </c>
      <c r="J957" s="2" t="s">
        <v>3195</v>
      </c>
      <c r="K957" s="22" t="s">
        <v>3081</v>
      </c>
      <c r="M957" s="2" t="s">
        <v>8</v>
      </c>
      <c r="N957" s="2">
        <v>0</v>
      </c>
      <c r="O957" s="2">
        <v>10</v>
      </c>
      <c r="P957" s="2" t="s">
        <v>1527</v>
      </c>
      <c r="Q957" s="2" t="s">
        <v>3462</v>
      </c>
    </row>
    <row r="958" spans="1:17" ht="18" customHeight="1" x14ac:dyDescent="0.2">
      <c r="A958" s="17" t="s">
        <v>460</v>
      </c>
      <c r="B958" s="17" t="s">
        <v>461</v>
      </c>
      <c r="C958" s="17" t="s">
        <v>4182</v>
      </c>
      <c r="D958" s="17" t="s">
        <v>1639</v>
      </c>
      <c r="E958" s="17" t="s">
        <v>3192</v>
      </c>
      <c r="F958" s="4">
        <v>12</v>
      </c>
      <c r="G958" s="21">
        <v>2010</v>
      </c>
      <c r="H958" s="4" t="s">
        <v>3206</v>
      </c>
      <c r="I958" s="4" t="s">
        <v>3194</v>
      </c>
      <c r="J958" s="2" t="s">
        <v>3195</v>
      </c>
      <c r="K958" s="22" t="s">
        <v>3081</v>
      </c>
      <c r="M958" s="2" t="s">
        <v>8</v>
      </c>
      <c r="N958" s="2">
        <v>0</v>
      </c>
      <c r="O958" s="2">
        <v>10</v>
      </c>
      <c r="P958" s="2" t="s">
        <v>1527</v>
      </c>
      <c r="Q958" s="2" t="s">
        <v>3462</v>
      </c>
    </row>
    <row r="959" spans="1:17" ht="18" customHeight="1" x14ac:dyDescent="0.2">
      <c r="A959" s="17" t="s">
        <v>460</v>
      </c>
      <c r="B959" s="17" t="s">
        <v>461</v>
      </c>
      <c r="C959" s="17" t="s">
        <v>4182</v>
      </c>
      <c r="D959" s="17" t="s">
        <v>1639</v>
      </c>
      <c r="E959" s="17" t="s">
        <v>3192</v>
      </c>
      <c r="F959" s="4">
        <v>15</v>
      </c>
      <c r="G959" s="21">
        <v>2013</v>
      </c>
      <c r="H959" s="4" t="s">
        <v>3207</v>
      </c>
      <c r="I959" s="4" t="s">
        <v>3194</v>
      </c>
      <c r="J959" s="2" t="s">
        <v>3195</v>
      </c>
      <c r="K959" s="22" t="s">
        <v>3081</v>
      </c>
      <c r="M959" s="2" t="s">
        <v>8</v>
      </c>
      <c r="N959" s="2">
        <v>0</v>
      </c>
      <c r="O959" s="2">
        <v>10</v>
      </c>
      <c r="P959" s="2" t="s">
        <v>1527</v>
      </c>
      <c r="Q959" s="2" t="s">
        <v>3462</v>
      </c>
    </row>
    <row r="960" spans="1:17" ht="18" customHeight="1" x14ac:dyDescent="0.2">
      <c r="A960" s="17" t="s">
        <v>460</v>
      </c>
      <c r="B960" s="17" t="s">
        <v>461</v>
      </c>
      <c r="C960" s="17" t="s">
        <v>4182</v>
      </c>
      <c r="D960" s="17" t="s">
        <v>1639</v>
      </c>
      <c r="E960" s="17" t="s">
        <v>3192</v>
      </c>
      <c r="F960" s="4">
        <v>18</v>
      </c>
      <c r="G960" s="21">
        <v>2016</v>
      </c>
      <c r="H960" s="4" t="s">
        <v>3208</v>
      </c>
      <c r="I960" s="4" t="s">
        <v>3194</v>
      </c>
      <c r="J960" s="2" t="s">
        <v>3195</v>
      </c>
      <c r="K960" s="22" t="s">
        <v>3081</v>
      </c>
      <c r="M960" s="2" t="s">
        <v>8</v>
      </c>
      <c r="N960" s="2">
        <v>0</v>
      </c>
      <c r="O960" s="2">
        <v>10</v>
      </c>
      <c r="P960" s="2" t="s">
        <v>1527</v>
      </c>
      <c r="Q960" s="2" t="s">
        <v>3462</v>
      </c>
    </row>
    <row r="961" spans="1:17" ht="18" customHeight="1" x14ac:dyDescent="0.2">
      <c r="A961" s="17" t="s">
        <v>460</v>
      </c>
      <c r="B961" s="17" t="s">
        <v>461</v>
      </c>
      <c r="C961" s="17" t="s">
        <v>4182</v>
      </c>
      <c r="D961" s="17" t="s">
        <v>1639</v>
      </c>
      <c r="E961" s="17" t="s">
        <v>3192</v>
      </c>
      <c r="F961" s="4">
        <v>21</v>
      </c>
      <c r="G961" s="21">
        <v>2019</v>
      </c>
      <c r="H961" s="4" t="s">
        <v>3209</v>
      </c>
      <c r="I961" s="4" t="s">
        <v>3194</v>
      </c>
      <c r="J961" s="2" t="s">
        <v>3195</v>
      </c>
      <c r="K961" s="22" t="s">
        <v>3081</v>
      </c>
      <c r="M961" s="2" t="s">
        <v>8</v>
      </c>
      <c r="N961" s="2">
        <v>0</v>
      </c>
      <c r="O961" s="2">
        <v>10</v>
      </c>
      <c r="P961" s="2" t="s">
        <v>1527</v>
      </c>
      <c r="Q961" s="2" t="s">
        <v>3462</v>
      </c>
    </row>
    <row r="962" spans="1:17" ht="18" customHeight="1" x14ac:dyDescent="0.2">
      <c r="A962" s="17" t="s">
        <v>460</v>
      </c>
      <c r="B962" s="17" t="s">
        <v>461</v>
      </c>
      <c r="C962" s="17" t="s">
        <v>4182</v>
      </c>
      <c r="D962" s="17" t="s">
        <v>1639</v>
      </c>
      <c r="E962" s="17" t="s">
        <v>3210</v>
      </c>
      <c r="F962" s="4">
        <v>1</v>
      </c>
      <c r="G962" s="21">
        <v>1999</v>
      </c>
      <c r="H962" s="4" t="s">
        <v>3211</v>
      </c>
      <c r="I962" s="4" t="s">
        <v>3212</v>
      </c>
      <c r="J962" s="2" t="s">
        <v>3213</v>
      </c>
      <c r="K962" s="22" t="s">
        <v>3081</v>
      </c>
      <c r="M962" s="2" t="s">
        <v>8</v>
      </c>
      <c r="N962" s="2">
        <v>0</v>
      </c>
      <c r="O962" s="2">
        <v>10</v>
      </c>
      <c r="P962" s="2" t="s">
        <v>1527</v>
      </c>
      <c r="Q962" s="2" t="s">
        <v>3462</v>
      </c>
    </row>
    <row r="963" spans="1:17" ht="18" customHeight="1" x14ac:dyDescent="0.2">
      <c r="A963" s="17" t="s">
        <v>460</v>
      </c>
      <c r="B963" s="17" t="s">
        <v>461</v>
      </c>
      <c r="C963" s="17" t="s">
        <v>4182</v>
      </c>
      <c r="D963" s="17" t="s">
        <v>1639</v>
      </c>
      <c r="E963" s="17" t="s">
        <v>3210</v>
      </c>
      <c r="F963" s="4">
        <v>2</v>
      </c>
      <c r="G963" s="21">
        <v>2000</v>
      </c>
      <c r="H963" s="4" t="s">
        <v>3214</v>
      </c>
      <c r="I963" s="4" t="s">
        <v>3212</v>
      </c>
      <c r="J963" s="2" t="s">
        <v>3213</v>
      </c>
      <c r="K963" s="22" t="s">
        <v>3081</v>
      </c>
      <c r="M963" s="2" t="s">
        <v>8</v>
      </c>
      <c r="N963" s="2">
        <v>0</v>
      </c>
      <c r="O963" s="2">
        <v>10</v>
      </c>
      <c r="P963" s="2" t="s">
        <v>1527</v>
      </c>
      <c r="Q963" s="2" t="s">
        <v>3462</v>
      </c>
    </row>
    <row r="964" spans="1:17" ht="18" customHeight="1" x14ac:dyDescent="0.2">
      <c r="A964" s="17" t="s">
        <v>460</v>
      </c>
      <c r="B964" s="17" t="s">
        <v>461</v>
      </c>
      <c r="C964" s="17" t="s">
        <v>4182</v>
      </c>
      <c r="D964" s="17" t="s">
        <v>1639</v>
      </c>
      <c r="E964" s="17" t="s">
        <v>3210</v>
      </c>
      <c r="F964" s="4">
        <v>3</v>
      </c>
      <c r="G964" s="21">
        <v>2001</v>
      </c>
      <c r="H964" s="4" t="s">
        <v>3215</v>
      </c>
      <c r="I964" s="4" t="s">
        <v>3212</v>
      </c>
      <c r="J964" s="2" t="s">
        <v>3213</v>
      </c>
      <c r="K964" s="22" t="s">
        <v>3081</v>
      </c>
      <c r="M964" s="2" t="s">
        <v>8</v>
      </c>
      <c r="N964" s="2">
        <v>0</v>
      </c>
      <c r="O964" s="2">
        <v>10</v>
      </c>
      <c r="P964" s="2" t="s">
        <v>1527</v>
      </c>
      <c r="Q964" s="2" t="s">
        <v>3462</v>
      </c>
    </row>
    <row r="965" spans="1:17" ht="18" customHeight="1" x14ac:dyDescent="0.2">
      <c r="A965" s="17" t="s">
        <v>460</v>
      </c>
      <c r="B965" s="17" t="s">
        <v>461</v>
      </c>
      <c r="C965" s="17" t="s">
        <v>4182</v>
      </c>
      <c r="D965" s="17" t="s">
        <v>1639</v>
      </c>
      <c r="E965" s="17" t="s">
        <v>3210</v>
      </c>
      <c r="F965" s="4">
        <v>4</v>
      </c>
      <c r="G965" s="21">
        <v>2002</v>
      </c>
      <c r="H965" s="4" t="s">
        <v>3216</v>
      </c>
      <c r="I965" s="4" t="s">
        <v>3212</v>
      </c>
      <c r="J965" s="2" t="s">
        <v>3213</v>
      </c>
      <c r="K965" s="22" t="s">
        <v>3081</v>
      </c>
      <c r="M965" s="2" t="s">
        <v>8</v>
      </c>
      <c r="N965" s="2">
        <v>0</v>
      </c>
      <c r="O965" s="2">
        <v>10</v>
      </c>
      <c r="P965" s="2" t="s">
        <v>1527</v>
      </c>
      <c r="Q965" s="2" t="s">
        <v>3462</v>
      </c>
    </row>
    <row r="966" spans="1:17" ht="18" customHeight="1" x14ac:dyDescent="0.2">
      <c r="A966" s="17" t="s">
        <v>460</v>
      </c>
      <c r="B966" s="17" t="s">
        <v>461</v>
      </c>
      <c r="C966" s="17" t="s">
        <v>4182</v>
      </c>
      <c r="D966" s="17" t="s">
        <v>1639</v>
      </c>
      <c r="E966" s="17" t="s">
        <v>3210</v>
      </c>
      <c r="F966" s="4">
        <v>5</v>
      </c>
      <c r="G966" s="21">
        <v>2003</v>
      </c>
      <c r="H966" s="4" t="s">
        <v>3217</v>
      </c>
      <c r="I966" s="4" t="s">
        <v>3212</v>
      </c>
      <c r="J966" s="2" t="s">
        <v>3213</v>
      </c>
      <c r="K966" s="22" t="s">
        <v>3081</v>
      </c>
      <c r="M966" s="2" t="s">
        <v>8</v>
      </c>
      <c r="N966" s="2">
        <v>0</v>
      </c>
      <c r="O966" s="2">
        <v>10</v>
      </c>
      <c r="P966" s="2" t="s">
        <v>1527</v>
      </c>
      <c r="Q966" s="2" t="s">
        <v>3462</v>
      </c>
    </row>
    <row r="967" spans="1:17" ht="18" customHeight="1" x14ac:dyDescent="0.2">
      <c r="A967" s="17" t="s">
        <v>460</v>
      </c>
      <c r="B967" s="17" t="s">
        <v>461</v>
      </c>
      <c r="C967" s="17" t="s">
        <v>4182</v>
      </c>
      <c r="D967" s="17" t="s">
        <v>1639</v>
      </c>
      <c r="E967" s="17" t="s">
        <v>3210</v>
      </c>
      <c r="F967" s="4">
        <v>6</v>
      </c>
      <c r="G967" s="21">
        <v>2004</v>
      </c>
      <c r="H967" s="4" t="s">
        <v>3218</v>
      </c>
      <c r="I967" s="4" t="s">
        <v>3212</v>
      </c>
      <c r="J967" s="2" t="s">
        <v>3213</v>
      </c>
      <c r="K967" s="22" t="s">
        <v>3081</v>
      </c>
      <c r="M967" s="2" t="s">
        <v>8</v>
      </c>
      <c r="N967" s="2">
        <v>0</v>
      </c>
      <c r="O967" s="2">
        <v>10</v>
      </c>
      <c r="P967" s="2" t="s">
        <v>1527</v>
      </c>
      <c r="Q967" s="2" t="s">
        <v>3462</v>
      </c>
    </row>
    <row r="968" spans="1:17" ht="18" customHeight="1" x14ac:dyDescent="0.2">
      <c r="A968" s="17" t="s">
        <v>460</v>
      </c>
      <c r="B968" s="17" t="s">
        <v>461</v>
      </c>
      <c r="C968" s="17" t="s">
        <v>4182</v>
      </c>
      <c r="D968" s="17" t="s">
        <v>1639</v>
      </c>
      <c r="E968" s="17" t="s">
        <v>3210</v>
      </c>
      <c r="F968" s="4">
        <v>7</v>
      </c>
      <c r="G968" s="21">
        <v>2005</v>
      </c>
      <c r="H968" s="4" t="s">
        <v>3219</v>
      </c>
      <c r="I968" s="4" t="s">
        <v>3212</v>
      </c>
      <c r="J968" s="2" t="s">
        <v>3213</v>
      </c>
      <c r="K968" s="22" t="s">
        <v>3081</v>
      </c>
      <c r="M968" s="2" t="s">
        <v>8</v>
      </c>
      <c r="N968" s="2">
        <v>0</v>
      </c>
      <c r="O968" s="2">
        <v>10</v>
      </c>
      <c r="P968" s="2" t="s">
        <v>1527</v>
      </c>
      <c r="Q968" s="2" t="s">
        <v>3462</v>
      </c>
    </row>
    <row r="969" spans="1:17" ht="18" customHeight="1" x14ac:dyDescent="0.2">
      <c r="A969" s="17" t="s">
        <v>460</v>
      </c>
      <c r="B969" s="17" t="s">
        <v>461</v>
      </c>
      <c r="C969" s="17" t="s">
        <v>4182</v>
      </c>
      <c r="D969" s="17" t="s">
        <v>1639</v>
      </c>
      <c r="E969" s="17" t="s">
        <v>3210</v>
      </c>
      <c r="F969" s="4">
        <v>8</v>
      </c>
      <c r="G969" s="21">
        <v>2006</v>
      </c>
      <c r="H969" s="4" t="s">
        <v>3220</v>
      </c>
      <c r="I969" s="4" t="s">
        <v>3212</v>
      </c>
      <c r="J969" s="2" t="s">
        <v>3213</v>
      </c>
      <c r="K969" s="22" t="s">
        <v>3081</v>
      </c>
      <c r="M969" s="2" t="s">
        <v>8</v>
      </c>
      <c r="N969" s="2">
        <v>0</v>
      </c>
      <c r="O969" s="2">
        <v>10</v>
      </c>
      <c r="P969" s="2" t="s">
        <v>1527</v>
      </c>
      <c r="Q969" s="2" t="s">
        <v>3462</v>
      </c>
    </row>
    <row r="970" spans="1:17" ht="18" customHeight="1" x14ac:dyDescent="0.2">
      <c r="A970" s="17" t="s">
        <v>460</v>
      </c>
      <c r="B970" s="17" t="s">
        <v>461</v>
      </c>
      <c r="C970" s="17" t="s">
        <v>4182</v>
      </c>
      <c r="D970" s="17" t="s">
        <v>1639</v>
      </c>
      <c r="E970" s="17" t="s">
        <v>3210</v>
      </c>
      <c r="F970" s="4">
        <v>9</v>
      </c>
      <c r="G970" s="21">
        <v>2007</v>
      </c>
      <c r="H970" s="4" t="s">
        <v>3221</v>
      </c>
      <c r="I970" s="4" t="s">
        <v>3212</v>
      </c>
      <c r="J970" s="2" t="s">
        <v>3213</v>
      </c>
      <c r="K970" s="22" t="s">
        <v>3081</v>
      </c>
      <c r="M970" s="2" t="s">
        <v>8</v>
      </c>
      <c r="N970" s="2">
        <v>0</v>
      </c>
      <c r="O970" s="2">
        <v>10</v>
      </c>
      <c r="P970" s="2" t="s">
        <v>1527</v>
      </c>
      <c r="Q970" s="2" t="s">
        <v>3462</v>
      </c>
    </row>
    <row r="971" spans="1:17" ht="18" customHeight="1" x14ac:dyDescent="0.2">
      <c r="A971" s="17" t="s">
        <v>460</v>
      </c>
      <c r="B971" s="17" t="s">
        <v>461</v>
      </c>
      <c r="C971" s="17" t="s">
        <v>4182</v>
      </c>
      <c r="D971" s="17" t="s">
        <v>1639</v>
      </c>
      <c r="E971" s="17" t="s">
        <v>3210</v>
      </c>
      <c r="F971" s="4">
        <v>10</v>
      </c>
      <c r="G971" s="21">
        <v>2008</v>
      </c>
      <c r="H971" s="4" t="s">
        <v>3222</v>
      </c>
      <c r="I971" s="4" t="s">
        <v>3212</v>
      </c>
      <c r="J971" s="2" t="s">
        <v>3213</v>
      </c>
      <c r="K971" s="22" t="s">
        <v>3081</v>
      </c>
      <c r="M971" s="2" t="s">
        <v>8</v>
      </c>
      <c r="N971" s="2">
        <v>0</v>
      </c>
      <c r="O971" s="2">
        <v>10</v>
      </c>
      <c r="P971" s="2" t="s">
        <v>1527</v>
      </c>
      <c r="Q971" s="2" t="s">
        <v>3462</v>
      </c>
    </row>
    <row r="972" spans="1:17" ht="18" customHeight="1" x14ac:dyDescent="0.2">
      <c r="A972" s="17" t="s">
        <v>460</v>
      </c>
      <c r="B972" s="17" t="s">
        <v>461</v>
      </c>
      <c r="C972" s="17" t="s">
        <v>4182</v>
      </c>
      <c r="D972" s="17" t="s">
        <v>1639</v>
      </c>
      <c r="E972" s="17" t="s">
        <v>3210</v>
      </c>
      <c r="F972" s="4">
        <v>11</v>
      </c>
      <c r="G972" s="21">
        <v>2009</v>
      </c>
      <c r="H972" s="4" t="s">
        <v>3223</v>
      </c>
      <c r="I972" s="4" t="s">
        <v>3212</v>
      </c>
      <c r="J972" s="2" t="s">
        <v>3213</v>
      </c>
      <c r="K972" s="22" t="s">
        <v>3081</v>
      </c>
      <c r="M972" s="2" t="s">
        <v>8</v>
      </c>
      <c r="N972" s="2">
        <v>0</v>
      </c>
      <c r="O972" s="2">
        <v>10</v>
      </c>
      <c r="P972" s="2" t="s">
        <v>1527</v>
      </c>
      <c r="Q972" s="2" t="s">
        <v>3462</v>
      </c>
    </row>
    <row r="973" spans="1:17" ht="18" customHeight="1" x14ac:dyDescent="0.2">
      <c r="A973" s="17" t="s">
        <v>460</v>
      </c>
      <c r="B973" s="17" t="s">
        <v>461</v>
      </c>
      <c r="C973" s="17" t="s">
        <v>4182</v>
      </c>
      <c r="D973" s="17" t="s">
        <v>1639</v>
      </c>
      <c r="E973" s="17" t="s">
        <v>3210</v>
      </c>
      <c r="F973" s="4">
        <v>12</v>
      </c>
      <c r="G973" s="21">
        <v>2010</v>
      </c>
      <c r="H973" s="4" t="s">
        <v>3224</v>
      </c>
      <c r="I973" s="4" t="s">
        <v>3212</v>
      </c>
      <c r="J973" s="2" t="s">
        <v>3213</v>
      </c>
      <c r="K973" s="22" t="s">
        <v>3081</v>
      </c>
      <c r="M973" s="2" t="s">
        <v>8</v>
      </c>
      <c r="N973" s="2">
        <v>0</v>
      </c>
      <c r="O973" s="2">
        <v>10</v>
      </c>
      <c r="P973" s="2" t="s">
        <v>1527</v>
      </c>
      <c r="Q973" s="2" t="s">
        <v>3462</v>
      </c>
    </row>
    <row r="974" spans="1:17" ht="18" customHeight="1" x14ac:dyDescent="0.2">
      <c r="A974" s="17" t="s">
        <v>460</v>
      </c>
      <c r="B974" s="17" t="s">
        <v>461</v>
      </c>
      <c r="C974" s="17" t="s">
        <v>4182</v>
      </c>
      <c r="D974" s="17" t="s">
        <v>1639</v>
      </c>
      <c r="E974" s="17" t="s">
        <v>3210</v>
      </c>
      <c r="F974" s="4">
        <v>15</v>
      </c>
      <c r="G974" s="21">
        <v>2013</v>
      </c>
      <c r="H974" s="4" t="s">
        <v>3225</v>
      </c>
      <c r="I974" s="4" t="s">
        <v>3212</v>
      </c>
      <c r="J974" s="2" t="s">
        <v>3213</v>
      </c>
      <c r="K974" s="22" t="s">
        <v>3081</v>
      </c>
      <c r="M974" s="2" t="s">
        <v>8</v>
      </c>
      <c r="N974" s="2">
        <v>0</v>
      </c>
      <c r="O974" s="2">
        <v>10</v>
      </c>
      <c r="P974" s="2" t="s">
        <v>1527</v>
      </c>
      <c r="Q974" s="2" t="s">
        <v>3462</v>
      </c>
    </row>
    <row r="975" spans="1:17" ht="18" customHeight="1" x14ac:dyDescent="0.2">
      <c r="A975" s="17" t="s">
        <v>460</v>
      </c>
      <c r="B975" s="17" t="s">
        <v>461</v>
      </c>
      <c r="C975" s="17" t="s">
        <v>4182</v>
      </c>
      <c r="D975" s="17" t="s">
        <v>1639</v>
      </c>
      <c r="E975" s="17" t="s">
        <v>3210</v>
      </c>
      <c r="F975" s="4">
        <v>18</v>
      </c>
      <c r="G975" s="21">
        <v>2016</v>
      </c>
      <c r="H975" s="4" t="s">
        <v>3226</v>
      </c>
      <c r="I975" s="4" t="s">
        <v>3212</v>
      </c>
      <c r="J975" s="2" t="s">
        <v>3213</v>
      </c>
      <c r="K975" s="22" t="s">
        <v>3081</v>
      </c>
      <c r="M975" s="2" t="s">
        <v>8</v>
      </c>
      <c r="N975" s="2">
        <v>0</v>
      </c>
      <c r="O975" s="2">
        <v>10</v>
      </c>
      <c r="P975" s="2" t="s">
        <v>1527</v>
      </c>
      <c r="Q975" s="2" t="s">
        <v>3462</v>
      </c>
    </row>
    <row r="976" spans="1:17" ht="18" customHeight="1" x14ac:dyDescent="0.2">
      <c r="A976" s="17" t="s">
        <v>460</v>
      </c>
      <c r="B976" s="17" t="s">
        <v>461</v>
      </c>
      <c r="C976" s="17" t="s">
        <v>4182</v>
      </c>
      <c r="D976" s="17" t="s">
        <v>1639</v>
      </c>
      <c r="E976" s="17" t="s">
        <v>3210</v>
      </c>
      <c r="F976" s="4">
        <v>21</v>
      </c>
      <c r="G976" s="21">
        <v>2019</v>
      </c>
      <c r="H976" s="4" t="s">
        <v>3227</v>
      </c>
      <c r="I976" s="4" t="s">
        <v>3212</v>
      </c>
      <c r="J976" s="2" t="s">
        <v>3213</v>
      </c>
      <c r="K976" s="22" t="s">
        <v>3081</v>
      </c>
      <c r="M976" s="2" t="s">
        <v>8</v>
      </c>
      <c r="N976" s="2">
        <v>0</v>
      </c>
      <c r="O976" s="2">
        <v>10</v>
      </c>
      <c r="P976" s="2" t="s">
        <v>1527</v>
      </c>
      <c r="Q976" s="2" t="s">
        <v>3462</v>
      </c>
    </row>
    <row r="977" spans="1:17" ht="18" customHeight="1" x14ac:dyDescent="0.2">
      <c r="A977" s="17" t="s">
        <v>460</v>
      </c>
      <c r="B977" s="17" t="s">
        <v>461</v>
      </c>
      <c r="C977" s="17" t="s">
        <v>4182</v>
      </c>
      <c r="D977" s="17" t="s">
        <v>1639</v>
      </c>
      <c r="E977" s="17" t="s">
        <v>3228</v>
      </c>
      <c r="F977" s="4">
        <v>1</v>
      </c>
      <c r="G977" s="21">
        <v>1999</v>
      </c>
      <c r="H977" s="4" t="s">
        <v>3229</v>
      </c>
      <c r="I977" s="4" t="s">
        <v>3230</v>
      </c>
      <c r="J977" s="2" t="s">
        <v>3231</v>
      </c>
      <c r="K977" s="22" t="s">
        <v>3081</v>
      </c>
      <c r="M977" s="2" t="s">
        <v>8</v>
      </c>
      <c r="N977" s="2">
        <v>0</v>
      </c>
      <c r="O977" s="2">
        <v>10</v>
      </c>
      <c r="P977" s="2" t="s">
        <v>1527</v>
      </c>
      <c r="Q977" s="2" t="s">
        <v>3462</v>
      </c>
    </row>
    <row r="978" spans="1:17" ht="18" customHeight="1" x14ac:dyDescent="0.2">
      <c r="A978" s="17" t="s">
        <v>460</v>
      </c>
      <c r="B978" s="17" t="s">
        <v>461</v>
      </c>
      <c r="C978" s="17" t="s">
        <v>4182</v>
      </c>
      <c r="D978" s="17" t="s">
        <v>1639</v>
      </c>
      <c r="E978" s="17" t="s">
        <v>3232</v>
      </c>
      <c r="F978" s="4">
        <v>1</v>
      </c>
      <c r="G978" s="21">
        <v>1999</v>
      </c>
      <c r="H978" s="4" t="s">
        <v>3233</v>
      </c>
      <c r="I978" s="4" t="s">
        <v>3234</v>
      </c>
      <c r="J978" s="2" t="s">
        <v>3235</v>
      </c>
      <c r="K978" s="22" t="s">
        <v>3081</v>
      </c>
      <c r="M978" s="2" t="s">
        <v>8</v>
      </c>
      <c r="N978" s="2">
        <v>0</v>
      </c>
      <c r="O978" s="2">
        <v>10</v>
      </c>
      <c r="P978" s="2" t="s">
        <v>1527</v>
      </c>
      <c r="Q978" s="2" t="s">
        <v>3462</v>
      </c>
    </row>
    <row r="979" spans="1:17" ht="18" customHeight="1" x14ac:dyDescent="0.2">
      <c r="A979" s="17" t="s">
        <v>460</v>
      </c>
      <c r="B979" s="17" t="s">
        <v>461</v>
      </c>
      <c r="C979" s="17" t="s">
        <v>4182</v>
      </c>
      <c r="D979" s="17" t="s">
        <v>1639</v>
      </c>
      <c r="E979" s="17" t="s">
        <v>3236</v>
      </c>
      <c r="F979" s="4">
        <v>1</v>
      </c>
      <c r="G979" s="21">
        <v>1999</v>
      </c>
      <c r="H979" s="4" t="s">
        <v>3237</v>
      </c>
      <c r="I979" s="4" t="s">
        <v>3238</v>
      </c>
      <c r="J979" s="2" t="s">
        <v>3239</v>
      </c>
      <c r="K979" s="22" t="s">
        <v>3081</v>
      </c>
      <c r="M979" s="2" t="s">
        <v>8</v>
      </c>
      <c r="N979" s="2">
        <v>0</v>
      </c>
      <c r="O979" s="2">
        <v>10</v>
      </c>
      <c r="P979" s="2" t="s">
        <v>1527</v>
      </c>
      <c r="Q979" s="2" t="s">
        <v>3462</v>
      </c>
    </row>
    <row r="980" spans="1:17" ht="18" customHeight="1" x14ac:dyDescent="0.2">
      <c r="A980" s="17" t="s">
        <v>460</v>
      </c>
      <c r="B980" s="17" t="s">
        <v>461</v>
      </c>
      <c r="C980" s="17" t="s">
        <v>4182</v>
      </c>
      <c r="D980" s="17" t="s">
        <v>1639</v>
      </c>
      <c r="E980" s="17" t="s">
        <v>3236</v>
      </c>
      <c r="F980" s="4">
        <v>2</v>
      </c>
      <c r="G980" s="21">
        <v>2000</v>
      </c>
      <c r="H980" s="4" t="s">
        <v>3240</v>
      </c>
      <c r="I980" s="4" t="s">
        <v>3238</v>
      </c>
      <c r="J980" s="2" t="s">
        <v>3239</v>
      </c>
      <c r="K980" s="22" t="s">
        <v>3081</v>
      </c>
      <c r="M980" s="2" t="s">
        <v>8</v>
      </c>
      <c r="N980" s="2">
        <v>0</v>
      </c>
      <c r="O980" s="2">
        <v>10</v>
      </c>
      <c r="P980" s="2" t="s">
        <v>1527</v>
      </c>
      <c r="Q980" s="2" t="s">
        <v>3462</v>
      </c>
    </row>
    <row r="981" spans="1:17" ht="18" customHeight="1" x14ac:dyDescent="0.2">
      <c r="A981" s="17" t="s">
        <v>460</v>
      </c>
      <c r="B981" s="17" t="s">
        <v>461</v>
      </c>
      <c r="C981" s="17" t="s">
        <v>4182</v>
      </c>
      <c r="D981" s="17" t="s">
        <v>1639</v>
      </c>
      <c r="E981" s="17" t="s">
        <v>3236</v>
      </c>
      <c r="F981" s="4">
        <v>3</v>
      </c>
      <c r="G981" s="21">
        <v>2001</v>
      </c>
      <c r="H981" s="4" t="s">
        <v>3241</v>
      </c>
      <c r="I981" s="4" t="s">
        <v>3238</v>
      </c>
      <c r="J981" s="2" t="s">
        <v>3239</v>
      </c>
      <c r="K981" s="22" t="s">
        <v>3081</v>
      </c>
      <c r="M981" s="2" t="s">
        <v>8</v>
      </c>
      <c r="N981" s="2">
        <v>0</v>
      </c>
      <c r="O981" s="2">
        <v>10</v>
      </c>
      <c r="P981" s="2" t="s">
        <v>1527</v>
      </c>
      <c r="Q981" s="2" t="s">
        <v>3462</v>
      </c>
    </row>
    <row r="982" spans="1:17" ht="18" customHeight="1" x14ac:dyDescent="0.2">
      <c r="A982" s="17" t="s">
        <v>460</v>
      </c>
      <c r="B982" s="17" t="s">
        <v>461</v>
      </c>
      <c r="C982" s="17" t="s">
        <v>4182</v>
      </c>
      <c r="D982" s="17" t="s">
        <v>1639</v>
      </c>
      <c r="E982" s="17" t="s">
        <v>3236</v>
      </c>
      <c r="F982" s="4">
        <v>4</v>
      </c>
      <c r="G982" s="21">
        <v>2002</v>
      </c>
      <c r="H982" s="4" t="s">
        <v>3242</v>
      </c>
      <c r="I982" s="4" t="s">
        <v>3238</v>
      </c>
      <c r="J982" s="2" t="s">
        <v>3239</v>
      </c>
      <c r="K982" s="22" t="s">
        <v>3081</v>
      </c>
      <c r="M982" s="2" t="s">
        <v>8</v>
      </c>
      <c r="N982" s="2">
        <v>0</v>
      </c>
      <c r="O982" s="2">
        <v>10</v>
      </c>
      <c r="P982" s="2" t="s">
        <v>1527</v>
      </c>
      <c r="Q982" s="2" t="s">
        <v>3462</v>
      </c>
    </row>
    <row r="983" spans="1:17" ht="18" customHeight="1" x14ac:dyDescent="0.2">
      <c r="A983" s="17" t="s">
        <v>460</v>
      </c>
      <c r="B983" s="17" t="s">
        <v>461</v>
      </c>
      <c r="C983" s="17" t="s">
        <v>4182</v>
      </c>
      <c r="D983" s="17" t="s">
        <v>1639</v>
      </c>
      <c r="E983" s="17" t="s">
        <v>3236</v>
      </c>
      <c r="F983" s="4">
        <v>5</v>
      </c>
      <c r="G983" s="21">
        <v>2003</v>
      </c>
      <c r="H983" s="4" t="s">
        <v>3243</v>
      </c>
      <c r="I983" s="4" t="s">
        <v>3238</v>
      </c>
      <c r="J983" s="2" t="s">
        <v>3239</v>
      </c>
      <c r="K983" s="22" t="s">
        <v>3081</v>
      </c>
      <c r="M983" s="2" t="s">
        <v>8</v>
      </c>
      <c r="N983" s="2">
        <v>0</v>
      </c>
      <c r="O983" s="2">
        <v>10</v>
      </c>
      <c r="P983" s="2" t="s">
        <v>1527</v>
      </c>
      <c r="Q983" s="2" t="s">
        <v>3462</v>
      </c>
    </row>
    <row r="984" spans="1:17" ht="18" customHeight="1" x14ac:dyDescent="0.2">
      <c r="A984" s="17" t="s">
        <v>460</v>
      </c>
      <c r="B984" s="17" t="s">
        <v>461</v>
      </c>
      <c r="C984" s="17" t="s">
        <v>4182</v>
      </c>
      <c r="D984" s="17" t="s">
        <v>1639</v>
      </c>
      <c r="E984" s="17" t="s">
        <v>3236</v>
      </c>
      <c r="F984" s="4">
        <v>6</v>
      </c>
      <c r="G984" s="21">
        <v>2004</v>
      </c>
      <c r="H984" s="4" t="s">
        <v>3244</v>
      </c>
      <c r="I984" s="4" t="s">
        <v>3238</v>
      </c>
      <c r="J984" s="2" t="s">
        <v>3239</v>
      </c>
      <c r="K984" s="22" t="s">
        <v>3081</v>
      </c>
      <c r="M984" s="2" t="s">
        <v>8</v>
      </c>
      <c r="N984" s="2">
        <v>0</v>
      </c>
      <c r="O984" s="2">
        <v>10</v>
      </c>
      <c r="P984" s="2" t="s">
        <v>1527</v>
      </c>
      <c r="Q984" s="2" t="s">
        <v>3462</v>
      </c>
    </row>
    <row r="985" spans="1:17" ht="18" customHeight="1" x14ac:dyDescent="0.2">
      <c r="A985" s="17" t="s">
        <v>460</v>
      </c>
      <c r="B985" s="17" t="s">
        <v>461</v>
      </c>
      <c r="C985" s="17" t="s">
        <v>4182</v>
      </c>
      <c r="D985" s="17" t="s">
        <v>1639</v>
      </c>
      <c r="E985" s="17" t="s">
        <v>3236</v>
      </c>
      <c r="F985" s="4">
        <v>7</v>
      </c>
      <c r="G985" s="21">
        <v>2005</v>
      </c>
      <c r="H985" s="4" t="s">
        <v>3245</v>
      </c>
      <c r="I985" s="4" t="s">
        <v>3238</v>
      </c>
      <c r="J985" s="2" t="s">
        <v>3239</v>
      </c>
      <c r="K985" s="22" t="s">
        <v>3081</v>
      </c>
      <c r="M985" s="2" t="s">
        <v>8</v>
      </c>
      <c r="N985" s="2">
        <v>0</v>
      </c>
      <c r="O985" s="2">
        <v>10</v>
      </c>
      <c r="P985" s="2" t="s">
        <v>1527</v>
      </c>
      <c r="Q985" s="2" t="s">
        <v>3462</v>
      </c>
    </row>
    <row r="986" spans="1:17" ht="18" customHeight="1" x14ac:dyDescent="0.2">
      <c r="A986" s="17" t="s">
        <v>460</v>
      </c>
      <c r="B986" s="17" t="s">
        <v>461</v>
      </c>
      <c r="C986" s="17" t="s">
        <v>4182</v>
      </c>
      <c r="D986" s="17" t="s">
        <v>1639</v>
      </c>
      <c r="E986" s="17" t="s">
        <v>3236</v>
      </c>
      <c r="F986" s="4">
        <v>8</v>
      </c>
      <c r="G986" s="21">
        <v>2006</v>
      </c>
      <c r="H986" s="4" t="s">
        <v>3246</v>
      </c>
      <c r="I986" s="4" t="s">
        <v>3238</v>
      </c>
      <c r="J986" s="2" t="s">
        <v>3239</v>
      </c>
      <c r="K986" s="22" t="s">
        <v>3081</v>
      </c>
      <c r="M986" s="2" t="s">
        <v>8</v>
      </c>
      <c r="N986" s="2">
        <v>0</v>
      </c>
      <c r="O986" s="2">
        <v>10</v>
      </c>
      <c r="P986" s="2" t="s">
        <v>1527</v>
      </c>
      <c r="Q986" s="2" t="s">
        <v>3462</v>
      </c>
    </row>
    <row r="987" spans="1:17" ht="18" customHeight="1" x14ac:dyDescent="0.2">
      <c r="A987" s="17" t="s">
        <v>460</v>
      </c>
      <c r="B987" s="17" t="s">
        <v>461</v>
      </c>
      <c r="C987" s="17" t="s">
        <v>4182</v>
      </c>
      <c r="D987" s="17" t="s">
        <v>1639</v>
      </c>
      <c r="E987" s="17" t="s">
        <v>3236</v>
      </c>
      <c r="F987" s="4">
        <v>9</v>
      </c>
      <c r="G987" s="21">
        <v>2007</v>
      </c>
      <c r="H987" s="4" t="s">
        <v>3247</v>
      </c>
      <c r="I987" s="4" t="s">
        <v>3238</v>
      </c>
      <c r="J987" s="2" t="s">
        <v>3239</v>
      </c>
      <c r="K987" s="22" t="s">
        <v>3081</v>
      </c>
      <c r="M987" s="2" t="s">
        <v>8</v>
      </c>
      <c r="N987" s="2">
        <v>0</v>
      </c>
      <c r="O987" s="2">
        <v>10</v>
      </c>
      <c r="P987" s="2" t="s">
        <v>1527</v>
      </c>
      <c r="Q987" s="2" t="s">
        <v>3462</v>
      </c>
    </row>
    <row r="988" spans="1:17" ht="18" customHeight="1" x14ac:dyDescent="0.2">
      <c r="A988" s="17" t="s">
        <v>460</v>
      </c>
      <c r="B988" s="17" t="s">
        <v>461</v>
      </c>
      <c r="C988" s="17" t="s">
        <v>4182</v>
      </c>
      <c r="D988" s="17" t="s">
        <v>1639</v>
      </c>
      <c r="E988" s="17" t="s">
        <v>3236</v>
      </c>
      <c r="F988" s="4">
        <v>10</v>
      </c>
      <c r="G988" s="21">
        <v>2008</v>
      </c>
      <c r="H988" s="4" t="s">
        <v>3248</v>
      </c>
      <c r="I988" s="4" t="s">
        <v>3238</v>
      </c>
      <c r="J988" s="2" t="s">
        <v>3239</v>
      </c>
      <c r="K988" s="22" t="s">
        <v>3081</v>
      </c>
      <c r="M988" s="2" t="s">
        <v>8</v>
      </c>
      <c r="N988" s="2">
        <v>0</v>
      </c>
      <c r="O988" s="2">
        <v>10</v>
      </c>
      <c r="P988" s="2" t="s">
        <v>1527</v>
      </c>
      <c r="Q988" s="2" t="s">
        <v>3462</v>
      </c>
    </row>
    <row r="989" spans="1:17" ht="18" customHeight="1" x14ac:dyDescent="0.2">
      <c r="A989" s="17" t="s">
        <v>460</v>
      </c>
      <c r="B989" s="17" t="s">
        <v>461</v>
      </c>
      <c r="C989" s="17" t="s">
        <v>4182</v>
      </c>
      <c r="D989" s="17" t="s">
        <v>1639</v>
      </c>
      <c r="E989" s="17" t="s">
        <v>3236</v>
      </c>
      <c r="F989" s="4">
        <v>11</v>
      </c>
      <c r="G989" s="21">
        <v>2009</v>
      </c>
      <c r="H989" s="4" t="s">
        <v>3249</v>
      </c>
      <c r="I989" s="4" t="s">
        <v>3238</v>
      </c>
      <c r="J989" s="2" t="s">
        <v>3239</v>
      </c>
      <c r="K989" s="22" t="s">
        <v>3081</v>
      </c>
      <c r="M989" s="2" t="s">
        <v>8</v>
      </c>
      <c r="N989" s="2">
        <v>0</v>
      </c>
      <c r="O989" s="2">
        <v>10</v>
      </c>
      <c r="P989" s="2" t="s">
        <v>1527</v>
      </c>
      <c r="Q989" s="2" t="s">
        <v>3462</v>
      </c>
    </row>
    <row r="990" spans="1:17" ht="18" customHeight="1" x14ac:dyDescent="0.2">
      <c r="A990" s="17" t="s">
        <v>460</v>
      </c>
      <c r="B990" s="17" t="s">
        <v>461</v>
      </c>
      <c r="C990" s="17" t="s">
        <v>4182</v>
      </c>
      <c r="D990" s="17" t="s">
        <v>1639</v>
      </c>
      <c r="E990" s="17" t="s">
        <v>3236</v>
      </c>
      <c r="F990" s="4">
        <v>12</v>
      </c>
      <c r="G990" s="21">
        <v>2010</v>
      </c>
      <c r="H990" s="4" t="s">
        <v>3250</v>
      </c>
      <c r="I990" s="4" t="s">
        <v>3238</v>
      </c>
      <c r="J990" s="2" t="s">
        <v>3239</v>
      </c>
      <c r="K990" s="22" t="s">
        <v>3081</v>
      </c>
      <c r="M990" s="2" t="s">
        <v>8</v>
      </c>
      <c r="N990" s="2">
        <v>0</v>
      </c>
      <c r="O990" s="2">
        <v>10</v>
      </c>
      <c r="P990" s="2" t="s">
        <v>1527</v>
      </c>
      <c r="Q990" s="2" t="s">
        <v>3462</v>
      </c>
    </row>
    <row r="991" spans="1:17" ht="18" customHeight="1" x14ac:dyDescent="0.2">
      <c r="A991" s="17" t="s">
        <v>460</v>
      </c>
      <c r="B991" s="17" t="s">
        <v>461</v>
      </c>
      <c r="C991" s="17" t="s">
        <v>4182</v>
      </c>
      <c r="D991" s="17" t="s">
        <v>1639</v>
      </c>
      <c r="E991" s="17" t="s">
        <v>3236</v>
      </c>
      <c r="F991" s="4">
        <v>15</v>
      </c>
      <c r="G991" s="21">
        <v>2013</v>
      </c>
      <c r="H991" s="4" t="s">
        <v>3251</v>
      </c>
      <c r="I991" s="4" t="s">
        <v>3238</v>
      </c>
      <c r="J991" s="2" t="s">
        <v>3239</v>
      </c>
      <c r="K991" s="22" t="s">
        <v>3081</v>
      </c>
      <c r="M991" s="2" t="s">
        <v>8</v>
      </c>
      <c r="N991" s="2">
        <v>0</v>
      </c>
      <c r="O991" s="2">
        <v>10</v>
      </c>
      <c r="P991" s="2" t="s">
        <v>1527</v>
      </c>
      <c r="Q991" s="2" t="s">
        <v>3462</v>
      </c>
    </row>
    <row r="992" spans="1:17" ht="18" customHeight="1" x14ac:dyDescent="0.2">
      <c r="A992" s="17" t="s">
        <v>460</v>
      </c>
      <c r="B992" s="17" t="s">
        <v>461</v>
      </c>
      <c r="C992" s="17" t="s">
        <v>4182</v>
      </c>
      <c r="D992" s="17" t="s">
        <v>1639</v>
      </c>
      <c r="E992" s="17" t="s">
        <v>3236</v>
      </c>
      <c r="F992" s="4">
        <v>18</v>
      </c>
      <c r="G992" s="21">
        <v>2016</v>
      </c>
      <c r="H992" s="4" t="s">
        <v>3252</v>
      </c>
      <c r="I992" s="4" t="s">
        <v>3238</v>
      </c>
      <c r="J992" s="2" t="s">
        <v>3239</v>
      </c>
      <c r="K992" s="22" t="s">
        <v>3081</v>
      </c>
      <c r="M992" s="2" t="s">
        <v>8</v>
      </c>
      <c r="N992" s="2">
        <v>0</v>
      </c>
      <c r="O992" s="2">
        <v>10</v>
      </c>
      <c r="P992" s="2" t="s">
        <v>1527</v>
      </c>
      <c r="Q992" s="2" t="s">
        <v>3462</v>
      </c>
    </row>
    <row r="993" spans="1:17" ht="18" customHeight="1" x14ac:dyDescent="0.2">
      <c r="A993" s="17" t="s">
        <v>460</v>
      </c>
      <c r="B993" s="17" t="s">
        <v>461</v>
      </c>
      <c r="C993" s="17" t="s">
        <v>4182</v>
      </c>
      <c r="D993" s="17" t="s">
        <v>1639</v>
      </c>
      <c r="E993" s="17" t="s">
        <v>3236</v>
      </c>
      <c r="F993" s="4">
        <v>21</v>
      </c>
      <c r="G993" s="21">
        <v>2019</v>
      </c>
      <c r="H993" s="4" t="s">
        <v>3253</v>
      </c>
      <c r="I993" s="4" t="s">
        <v>3238</v>
      </c>
      <c r="J993" s="2" t="s">
        <v>3239</v>
      </c>
      <c r="K993" s="22" t="s">
        <v>3081</v>
      </c>
      <c r="M993" s="2" t="s">
        <v>8</v>
      </c>
      <c r="N993" s="2">
        <v>0</v>
      </c>
      <c r="O993" s="2">
        <v>10</v>
      </c>
      <c r="P993" s="2" t="s">
        <v>1527</v>
      </c>
      <c r="Q993" s="2" t="s">
        <v>3462</v>
      </c>
    </row>
    <row r="994" spans="1:17" ht="18" customHeight="1" x14ac:dyDescent="0.2">
      <c r="A994" s="17" t="s">
        <v>460</v>
      </c>
      <c r="B994" s="17" t="s">
        <v>461</v>
      </c>
      <c r="C994" s="17" t="s">
        <v>4182</v>
      </c>
      <c r="D994" s="17" t="s">
        <v>1639</v>
      </c>
      <c r="E994" s="17" t="s">
        <v>3254</v>
      </c>
      <c r="F994" s="4">
        <v>1</v>
      </c>
      <c r="G994" s="21">
        <v>1999</v>
      </c>
      <c r="H994" s="4" t="s">
        <v>3255</v>
      </c>
      <c r="I994" s="4" t="s">
        <v>3256</v>
      </c>
      <c r="J994" s="2" t="s">
        <v>3257</v>
      </c>
      <c r="K994" s="22" t="s">
        <v>3081</v>
      </c>
      <c r="M994" s="2" t="s">
        <v>8</v>
      </c>
      <c r="N994" s="2">
        <v>0</v>
      </c>
      <c r="O994" s="2">
        <v>10</v>
      </c>
      <c r="P994" s="2" t="s">
        <v>1527</v>
      </c>
      <c r="Q994" s="2" t="s">
        <v>3462</v>
      </c>
    </row>
    <row r="995" spans="1:17" ht="18" customHeight="1" x14ac:dyDescent="0.2">
      <c r="A995" s="17" t="s">
        <v>460</v>
      </c>
      <c r="B995" s="17" t="s">
        <v>461</v>
      </c>
      <c r="C995" s="17" t="s">
        <v>4182</v>
      </c>
      <c r="D995" s="17" t="s">
        <v>1639</v>
      </c>
      <c r="E995" s="17" t="s">
        <v>3254</v>
      </c>
      <c r="F995" s="4">
        <v>2</v>
      </c>
      <c r="G995" s="21">
        <v>2000</v>
      </c>
      <c r="H995" s="4" t="s">
        <v>3258</v>
      </c>
      <c r="I995" s="4" t="s">
        <v>3256</v>
      </c>
      <c r="J995" s="2" t="s">
        <v>3257</v>
      </c>
      <c r="K995" s="22" t="s">
        <v>3081</v>
      </c>
      <c r="M995" s="2" t="s">
        <v>8</v>
      </c>
      <c r="N995" s="2">
        <v>0</v>
      </c>
      <c r="O995" s="2">
        <v>10</v>
      </c>
      <c r="P995" s="2" t="s">
        <v>1527</v>
      </c>
      <c r="Q995" s="2" t="s">
        <v>3462</v>
      </c>
    </row>
    <row r="996" spans="1:17" ht="18" customHeight="1" x14ac:dyDescent="0.2">
      <c r="A996" s="17" t="s">
        <v>460</v>
      </c>
      <c r="B996" s="17" t="s">
        <v>461</v>
      </c>
      <c r="C996" s="17" t="s">
        <v>4182</v>
      </c>
      <c r="D996" s="17" t="s">
        <v>1639</v>
      </c>
      <c r="E996" s="17" t="s">
        <v>3254</v>
      </c>
      <c r="F996" s="4">
        <v>3</v>
      </c>
      <c r="G996" s="21">
        <v>2001</v>
      </c>
      <c r="H996" s="4" t="s">
        <v>3259</v>
      </c>
      <c r="I996" s="4" t="s">
        <v>3256</v>
      </c>
      <c r="J996" s="2" t="s">
        <v>3257</v>
      </c>
      <c r="K996" s="22" t="s">
        <v>3081</v>
      </c>
      <c r="M996" s="2" t="s">
        <v>8</v>
      </c>
      <c r="N996" s="2">
        <v>0</v>
      </c>
      <c r="O996" s="2">
        <v>10</v>
      </c>
      <c r="P996" s="2" t="s">
        <v>1527</v>
      </c>
      <c r="Q996" s="2" t="s">
        <v>3462</v>
      </c>
    </row>
    <row r="997" spans="1:17" ht="18" customHeight="1" x14ac:dyDescent="0.2">
      <c r="A997" s="17" t="s">
        <v>460</v>
      </c>
      <c r="B997" s="17" t="s">
        <v>461</v>
      </c>
      <c r="C997" s="17" t="s">
        <v>4182</v>
      </c>
      <c r="D997" s="17" t="s">
        <v>1639</v>
      </c>
      <c r="E997" s="17" t="s">
        <v>3254</v>
      </c>
      <c r="F997" s="4">
        <v>4</v>
      </c>
      <c r="G997" s="21">
        <v>2002</v>
      </c>
      <c r="H997" s="4" t="s">
        <v>3260</v>
      </c>
      <c r="I997" s="4" t="s">
        <v>3256</v>
      </c>
      <c r="J997" s="2" t="s">
        <v>3257</v>
      </c>
      <c r="K997" s="22" t="s">
        <v>3081</v>
      </c>
      <c r="M997" s="2" t="s">
        <v>8</v>
      </c>
      <c r="N997" s="2">
        <v>0</v>
      </c>
      <c r="O997" s="2">
        <v>10</v>
      </c>
      <c r="P997" s="2" t="s">
        <v>1527</v>
      </c>
      <c r="Q997" s="2" t="s">
        <v>3462</v>
      </c>
    </row>
    <row r="998" spans="1:17" ht="18" customHeight="1" x14ac:dyDescent="0.2">
      <c r="A998" s="17" t="s">
        <v>460</v>
      </c>
      <c r="B998" s="17" t="s">
        <v>461</v>
      </c>
      <c r="C998" s="17" t="s">
        <v>4182</v>
      </c>
      <c r="D998" s="17" t="s">
        <v>1639</v>
      </c>
      <c r="E998" s="17" t="s">
        <v>3254</v>
      </c>
      <c r="F998" s="4">
        <v>5</v>
      </c>
      <c r="G998" s="21">
        <v>2003</v>
      </c>
      <c r="H998" s="4" t="s">
        <v>3261</v>
      </c>
      <c r="I998" s="4" t="s">
        <v>3256</v>
      </c>
      <c r="J998" s="2" t="s">
        <v>3257</v>
      </c>
      <c r="K998" s="22" t="s">
        <v>3081</v>
      </c>
      <c r="M998" s="2" t="s">
        <v>8</v>
      </c>
      <c r="N998" s="2">
        <v>0</v>
      </c>
      <c r="O998" s="2">
        <v>10</v>
      </c>
      <c r="P998" s="2" t="s">
        <v>1527</v>
      </c>
      <c r="Q998" s="2" t="s">
        <v>3462</v>
      </c>
    </row>
    <row r="999" spans="1:17" ht="18" customHeight="1" x14ac:dyDescent="0.2">
      <c r="A999" s="17" t="s">
        <v>460</v>
      </c>
      <c r="B999" s="17" t="s">
        <v>461</v>
      </c>
      <c r="C999" s="17" t="s">
        <v>4182</v>
      </c>
      <c r="D999" s="17" t="s">
        <v>1639</v>
      </c>
      <c r="E999" s="17" t="s">
        <v>3254</v>
      </c>
      <c r="F999" s="4">
        <v>6</v>
      </c>
      <c r="G999" s="21">
        <v>2004</v>
      </c>
      <c r="H999" s="4" t="s">
        <v>3262</v>
      </c>
      <c r="I999" s="4" t="s">
        <v>3256</v>
      </c>
      <c r="J999" s="2" t="s">
        <v>3257</v>
      </c>
      <c r="K999" s="22" t="s">
        <v>3081</v>
      </c>
      <c r="M999" s="2" t="s">
        <v>8</v>
      </c>
      <c r="N999" s="2">
        <v>0</v>
      </c>
      <c r="O999" s="2">
        <v>10</v>
      </c>
      <c r="P999" s="2" t="s">
        <v>1527</v>
      </c>
      <c r="Q999" s="2" t="s">
        <v>3462</v>
      </c>
    </row>
    <row r="1000" spans="1:17" ht="18" customHeight="1" x14ac:dyDescent="0.2">
      <c r="A1000" s="17" t="s">
        <v>460</v>
      </c>
      <c r="B1000" s="17" t="s">
        <v>461</v>
      </c>
      <c r="C1000" s="17" t="s">
        <v>4182</v>
      </c>
      <c r="D1000" s="17" t="s">
        <v>1639</v>
      </c>
      <c r="E1000" s="17" t="s">
        <v>3254</v>
      </c>
      <c r="F1000" s="4">
        <v>7</v>
      </c>
      <c r="G1000" s="21">
        <v>2005</v>
      </c>
      <c r="H1000" s="4" t="s">
        <v>3263</v>
      </c>
      <c r="I1000" s="4" t="s">
        <v>3256</v>
      </c>
      <c r="J1000" s="2" t="s">
        <v>3257</v>
      </c>
      <c r="K1000" s="22" t="s">
        <v>3081</v>
      </c>
      <c r="M1000" s="2" t="s">
        <v>8</v>
      </c>
      <c r="N1000" s="2">
        <v>0</v>
      </c>
      <c r="O1000" s="2">
        <v>10</v>
      </c>
      <c r="P1000" s="2" t="s">
        <v>1527</v>
      </c>
      <c r="Q1000" s="2" t="s">
        <v>3462</v>
      </c>
    </row>
    <row r="1001" spans="1:17" ht="18" customHeight="1" x14ac:dyDescent="0.2">
      <c r="A1001" s="17" t="s">
        <v>460</v>
      </c>
      <c r="B1001" s="17" t="s">
        <v>461</v>
      </c>
      <c r="C1001" s="17" t="s">
        <v>4182</v>
      </c>
      <c r="D1001" s="17" t="s">
        <v>1639</v>
      </c>
      <c r="E1001" s="17" t="s">
        <v>3254</v>
      </c>
      <c r="F1001" s="4">
        <v>8</v>
      </c>
      <c r="G1001" s="21">
        <v>2006</v>
      </c>
      <c r="H1001" s="4" t="s">
        <v>3264</v>
      </c>
      <c r="I1001" s="4" t="s">
        <v>3256</v>
      </c>
      <c r="J1001" s="2" t="s">
        <v>3257</v>
      </c>
      <c r="K1001" s="22" t="s">
        <v>3081</v>
      </c>
      <c r="M1001" s="2" t="s">
        <v>8</v>
      </c>
      <c r="N1001" s="2">
        <v>0</v>
      </c>
      <c r="O1001" s="2">
        <v>10</v>
      </c>
      <c r="P1001" s="2" t="s">
        <v>1527</v>
      </c>
      <c r="Q1001" s="2" t="s">
        <v>3462</v>
      </c>
    </row>
    <row r="1002" spans="1:17" ht="18" customHeight="1" x14ac:dyDescent="0.2">
      <c r="A1002" s="17" t="s">
        <v>460</v>
      </c>
      <c r="B1002" s="17" t="s">
        <v>461</v>
      </c>
      <c r="C1002" s="17" t="s">
        <v>4182</v>
      </c>
      <c r="D1002" s="17" t="s">
        <v>1639</v>
      </c>
      <c r="E1002" s="17" t="s">
        <v>3254</v>
      </c>
      <c r="F1002" s="4">
        <v>9</v>
      </c>
      <c r="G1002" s="21">
        <v>2007</v>
      </c>
      <c r="H1002" s="4" t="s">
        <v>3265</v>
      </c>
      <c r="I1002" s="4" t="s">
        <v>3256</v>
      </c>
      <c r="J1002" s="2" t="s">
        <v>3257</v>
      </c>
      <c r="K1002" s="22" t="s">
        <v>3081</v>
      </c>
      <c r="M1002" s="2" t="s">
        <v>8</v>
      </c>
      <c r="N1002" s="2">
        <v>0</v>
      </c>
      <c r="O1002" s="2">
        <v>10</v>
      </c>
      <c r="P1002" s="2" t="s">
        <v>1527</v>
      </c>
      <c r="Q1002" s="2" t="s">
        <v>3462</v>
      </c>
    </row>
    <row r="1003" spans="1:17" ht="18" customHeight="1" x14ac:dyDescent="0.2">
      <c r="A1003" s="17" t="s">
        <v>460</v>
      </c>
      <c r="B1003" s="17" t="s">
        <v>461</v>
      </c>
      <c r="C1003" s="17" t="s">
        <v>4182</v>
      </c>
      <c r="D1003" s="17" t="s">
        <v>1639</v>
      </c>
      <c r="E1003" s="17" t="s">
        <v>3254</v>
      </c>
      <c r="F1003" s="4">
        <v>10</v>
      </c>
      <c r="G1003" s="21">
        <v>2008</v>
      </c>
      <c r="H1003" s="4" t="s">
        <v>3266</v>
      </c>
      <c r="I1003" s="4" t="s">
        <v>3256</v>
      </c>
      <c r="J1003" s="2" t="s">
        <v>3257</v>
      </c>
      <c r="K1003" s="22" t="s">
        <v>3081</v>
      </c>
      <c r="M1003" s="2" t="s">
        <v>8</v>
      </c>
      <c r="N1003" s="2">
        <v>0</v>
      </c>
      <c r="O1003" s="2">
        <v>10</v>
      </c>
      <c r="P1003" s="2" t="s">
        <v>1527</v>
      </c>
      <c r="Q1003" s="2" t="s">
        <v>3462</v>
      </c>
    </row>
    <row r="1004" spans="1:17" ht="18" customHeight="1" x14ac:dyDescent="0.2">
      <c r="A1004" s="17" t="s">
        <v>460</v>
      </c>
      <c r="B1004" s="17" t="s">
        <v>461</v>
      </c>
      <c r="C1004" s="17" t="s">
        <v>4182</v>
      </c>
      <c r="D1004" s="17" t="s">
        <v>1639</v>
      </c>
      <c r="E1004" s="17" t="s">
        <v>3254</v>
      </c>
      <c r="F1004" s="4">
        <v>11</v>
      </c>
      <c r="G1004" s="21">
        <v>2009</v>
      </c>
      <c r="H1004" s="4" t="s">
        <v>3267</v>
      </c>
      <c r="I1004" s="4" t="s">
        <v>3256</v>
      </c>
      <c r="J1004" s="2" t="s">
        <v>3257</v>
      </c>
      <c r="K1004" s="22" t="s">
        <v>3081</v>
      </c>
      <c r="M1004" s="2" t="s">
        <v>8</v>
      </c>
      <c r="N1004" s="2">
        <v>0</v>
      </c>
      <c r="O1004" s="2">
        <v>10</v>
      </c>
      <c r="P1004" s="2" t="s">
        <v>1527</v>
      </c>
      <c r="Q1004" s="2" t="s">
        <v>3462</v>
      </c>
    </row>
    <row r="1005" spans="1:17" ht="18" customHeight="1" x14ac:dyDescent="0.2">
      <c r="A1005" s="17" t="s">
        <v>460</v>
      </c>
      <c r="B1005" s="17" t="s">
        <v>461</v>
      </c>
      <c r="C1005" s="17" t="s">
        <v>4182</v>
      </c>
      <c r="D1005" s="17" t="s">
        <v>1639</v>
      </c>
      <c r="E1005" s="17" t="s">
        <v>3254</v>
      </c>
      <c r="F1005" s="4">
        <v>12</v>
      </c>
      <c r="G1005" s="21">
        <v>2010</v>
      </c>
      <c r="H1005" s="4" t="s">
        <v>3268</v>
      </c>
      <c r="I1005" s="4" t="s">
        <v>3256</v>
      </c>
      <c r="J1005" s="2" t="s">
        <v>3257</v>
      </c>
      <c r="K1005" s="22" t="s">
        <v>3081</v>
      </c>
      <c r="M1005" s="2" t="s">
        <v>8</v>
      </c>
      <c r="N1005" s="2">
        <v>0</v>
      </c>
      <c r="O1005" s="2">
        <v>10</v>
      </c>
      <c r="P1005" s="2" t="s">
        <v>1527</v>
      </c>
      <c r="Q1005" s="2" t="s">
        <v>3462</v>
      </c>
    </row>
    <row r="1006" spans="1:17" ht="18" customHeight="1" x14ac:dyDescent="0.2">
      <c r="A1006" s="17" t="s">
        <v>460</v>
      </c>
      <c r="B1006" s="17" t="s">
        <v>461</v>
      </c>
      <c r="C1006" s="17" t="s">
        <v>4182</v>
      </c>
      <c r="D1006" s="17" t="s">
        <v>1639</v>
      </c>
      <c r="E1006" s="17" t="s">
        <v>3254</v>
      </c>
      <c r="F1006" s="4">
        <v>15</v>
      </c>
      <c r="G1006" s="21">
        <v>2013</v>
      </c>
      <c r="H1006" s="4" t="s">
        <v>3269</v>
      </c>
      <c r="I1006" s="4" t="s">
        <v>3256</v>
      </c>
      <c r="J1006" s="2" t="s">
        <v>3257</v>
      </c>
      <c r="K1006" s="22" t="s">
        <v>3081</v>
      </c>
      <c r="M1006" s="2" t="s">
        <v>8</v>
      </c>
      <c r="N1006" s="2">
        <v>0</v>
      </c>
      <c r="O1006" s="2">
        <v>10</v>
      </c>
      <c r="P1006" s="2" t="s">
        <v>1527</v>
      </c>
      <c r="Q1006" s="2" t="s">
        <v>3462</v>
      </c>
    </row>
    <row r="1007" spans="1:17" ht="18" customHeight="1" x14ac:dyDescent="0.2">
      <c r="A1007" s="17" t="s">
        <v>460</v>
      </c>
      <c r="B1007" s="17" t="s">
        <v>461</v>
      </c>
      <c r="C1007" s="17" t="s">
        <v>4182</v>
      </c>
      <c r="D1007" s="17" t="s">
        <v>1639</v>
      </c>
      <c r="E1007" s="17" t="s">
        <v>3254</v>
      </c>
      <c r="F1007" s="4">
        <v>18</v>
      </c>
      <c r="G1007" s="21">
        <v>2016</v>
      </c>
      <c r="H1007" s="4" t="s">
        <v>3270</v>
      </c>
      <c r="I1007" s="4" t="s">
        <v>3256</v>
      </c>
      <c r="J1007" s="2" t="s">
        <v>3257</v>
      </c>
      <c r="K1007" s="22" t="s">
        <v>3081</v>
      </c>
      <c r="M1007" s="2" t="s">
        <v>8</v>
      </c>
      <c r="N1007" s="2">
        <v>0</v>
      </c>
      <c r="O1007" s="2">
        <v>10</v>
      </c>
      <c r="P1007" s="2" t="s">
        <v>1527</v>
      </c>
      <c r="Q1007" s="2" t="s">
        <v>3462</v>
      </c>
    </row>
    <row r="1008" spans="1:17" ht="18" customHeight="1" x14ac:dyDescent="0.2">
      <c r="A1008" s="17" t="s">
        <v>460</v>
      </c>
      <c r="B1008" s="17" t="s">
        <v>461</v>
      </c>
      <c r="C1008" s="17" t="s">
        <v>4182</v>
      </c>
      <c r="D1008" s="17" t="s">
        <v>1639</v>
      </c>
      <c r="E1008" s="17" t="s">
        <v>3254</v>
      </c>
      <c r="F1008" s="4">
        <v>21</v>
      </c>
      <c r="G1008" s="21">
        <v>2019</v>
      </c>
      <c r="H1008" s="4" t="s">
        <v>3271</v>
      </c>
      <c r="I1008" s="4" t="s">
        <v>3256</v>
      </c>
      <c r="J1008" s="2" t="s">
        <v>3257</v>
      </c>
      <c r="K1008" s="22" t="s">
        <v>3081</v>
      </c>
      <c r="M1008" s="2" t="s">
        <v>8</v>
      </c>
      <c r="N1008" s="2">
        <v>0</v>
      </c>
      <c r="O1008" s="2">
        <v>10</v>
      </c>
      <c r="P1008" s="2" t="s">
        <v>1527</v>
      </c>
      <c r="Q1008" s="2" t="s">
        <v>3462</v>
      </c>
    </row>
    <row r="1009" spans="1:17" ht="18" customHeight="1" x14ac:dyDescent="0.2">
      <c r="A1009" s="17" t="s">
        <v>460</v>
      </c>
      <c r="B1009" s="17" t="s">
        <v>461</v>
      </c>
      <c r="C1009" s="17" t="s">
        <v>4182</v>
      </c>
      <c r="D1009" s="17" t="s">
        <v>1639</v>
      </c>
      <c r="E1009" s="17" t="s">
        <v>3272</v>
      </c>
      <c r="F1009" s="4">
        <v>1</v>
      </c>
      <c r="G1009" s="21">
        <v>1999</v>
      </c>
      <c r="H1009" s="4" t="s">
        <v>3273</v>
      </c>
      <c r="I1009" s="4" t="s">
        <v>3274</v>
      </c>
      <c r="J1009" s="2" t="s">
        <v>3275</v>
      </c>
      <c r="K1009" s="22" t="s">
        <v>3081</v>
      </c>
      <c r="M1009" s="2" t="s">
        <v>8</v>
      </c>
      <c r="N1009" s="2">
        <v>0</v>
      </c>
      <c r="O1009" s="2">
        <v>10</v>
      </c>
      <c r="P1009" s="2" t="s">
        <v>1527</v>
      </c>
      <c r="Q1009" s="2" t="s">
        <v>3462</v>
      </c>
    </row>
    <row r="1010" spans="1:17" ht="18" customHeight="1" x14ac:dyDescent="0.2">
      <c r="A1010" s="17" t="s">
        <v>460</v>
      </c>
      <c r="B1010" s="17" t="s">
        <v>461</v>
      </c>
      <c r="C1010" s="17" t="s">
        <v>4182</v>
      </c>
      <c r="D1010" s="17" t="s">
        <v>1639</v>
      </c>
      <c r="E1010" s="17" t="s">
        <v>3272</v>
      </c>
      <c r="F1010" s="4">
        <v>2</v>
      </c>
      <c r="G1010" s="21">
        <v>2000</v>
      </c>
      <c r="H1010" s="4" t="s">
        <v>3276</v>
      </c>
      <c r="I1010" s="4" t="s">
        <v>3274</v>
      </c>
      <c r="J1010" s="2" t="s">
        <v>3275</v>
      </c>
      <c r="K1010" s="22" t="s">
        <v>3081</v>
      </c>
      <c r="M1010" s="2" t="s">
        <v>8</v>
      </c>
      <c r="N1010" s="2">
        <v>0</v>
      </c>
      <c r="O1010" s="2">
        <v>10</v>
      </c>
      <c r="P1010" s="2" t="s">
        <v>1527</v>
      </c>
      <c r="Q1010" s="2" t="s">
        <v>3462</v>
      </c>
    </row>
    <row r="1011" spans="1:17" ht="18" customHeight="1" x14ac:dyDescent="0.2">
      <c r="A1011" s="17" t="s">
        <v>460</v>
      </c>
      <c r="B1011" s="17" t="s">
        <v>461</v>
      </c>
      <c r="C1011" s="17" t="s">
        <v>4182</v>
      </c>
      <c r="D1011" s="17" t="s">
        <v>1639</v>
      </c>
      <c r="E1011" s="17" t="s">
        <v>3272</v>
      </c>
      <c r="F1011" s="4">
        <v>3</v>
      </c>
      <c r="G1011" s="21">
        <v>2001</v>
      </c>
      <c r="H1011" s="4" t="s">
        <v>3277</v>
      </c>
      <c r="I1011" s="4" t="s">
        <v>3274</v>
      </c>
      <c r="J1011" s="2" t="s">
        <v>3275</v>
      </c>
      <c r="K1011" s="22" t="s">
        <v>3081</v>
      </c>
      <c r="M1011" s="2" t="s">
        <v>8</v>
      </c>
      <c r="N1011" s="2">
        <v>0</v>
      </c>
      <c r="O1011" s="2">
        <v>10</v>
      </c>
      <c r="P1011" s="2" t="s">
        <v>1527</v>
      </c>
      <c r="Q1011" s="2" t="s">
        <v>3462</v>
      </c>
    </row>
    <row r="1012" spans="1:17" ht="18" customHeight="1" x14ac:dyDescent="0.2">
      <c r="A1012" s="17" t="s">
        <v>460</v>
      </c>
      <c r="B1012" s="17" t="s">
        <v>461</v>
      </c>
      <c r="C1012" s="17" t="s">
        <v>4182</v>
      </c>
      <c r="D1012" s="17" t="s">
        <v>1639</v>
      </c>
      <c r="E1012" s="17" t="s">
        <v>3272</v>
      </c>
      <c r="F1012" s="4">
        <v>4</v>
      </c>
      <c r="G1012" s="21">
        <v>2002</v>
      </c>
      <c r="H1012" s="4" t="s">
        <v>3278</v>
      </c>
      <c r="I1012" s="4" t="s">
        <v>3274</v>
      </c>
      <c r="J1012" s="2" t="s">
        <v>3275</v>
      </c>
      <c r="K1012" s="22" t="s">
        <v>3081</v>
      </c>
      <c r="M1012" s="2" t="s">
        <v>8</v>
      </c>
      <c r="N1012" s="2">
        <v>0</v>
      </c>
      <c r="O1012" s="2">
        <v>10</v>
      </c>
      <c r="P1012" s="2" t="s">
        <v>1527</v>
      </c>
      <c r="Q1012" s="2" t="s">
        <v>3462</v>
      </c>
    </row>
    <row r="1013" spans="1:17" ht="18" customHeight="1" x14ac:dyDescent="0.2">
      <c r="A1013" s="17" t="s">
        <v>460</v>
      </c>
      <c r="B1013" s="17" t="s">
        <v>461</v>
      </c>
      <c r="C1013" s="17" t="s">
        <v>4182</v>
      </c>
      <c r="D1013" s="17" t="s">
        <v>1639</v>
      </c>
      <c r="E1013" s="17" t="s">
        <v>3272</v>
      </c>
      <c r="F1013" s="4">
        <v>5</v>
      </c>
      <c r="G1013" s="21">
        <v>2003</v>
      </c>
      <c r="H1013" s="4" t="s">
        <v>3279</v>
      </c>
      <c r="I1013" s="4" t="s">
        <v>3274</v>
      </c>
      <c r="J1013" s="2" t="s">
        <v>3275</v>
      </c>
      <c r="K1013" s="22" t="s">
        <v>3081</v>
      </c>
      <c r="M1013" s="2" t="s">
        <v>8</v>
      </c>
      <c r="N1013" s="2">
        <v>0</v>
      </c>
      <c r="O1013" s="2">
        <v>10</v>
      </c>
      <c r="P1013" s="2" t="s">
        <v>1527</v>
      </c>
      <c r="Q1013" s="2" t="s">
        <v>3462</v>
      </c>
    </row>
    <row r="1014" spans="1:17" ht="18" customHeight="1" x14ac:dyDescent="0.2">
      <c r="A1014" s="17" t="s">
        <v>460</v>
      </c>
      <c r="B1014" s="17" t="s">
        <v>461</v>
      </c>
      <c r="C1014" s="17" t="s">
        <v>4182</v>
      </c>
      <c r="D1014" s="17" t="s">
        <v>1639</v>
      </c>
      <c r="E1014" s="17" t="s">
        <v>3272</v>
      </c>
      <c r="F1014" s="4">
        <v>6</v>
      </c>
      <c r="G1014" s="21">
        <v>2004</v>
      </c>
      <c r="H1014" s="4" t="s">
        <v>3280</v>
      </c>
      <c r="I1014" s="4" t="s">
        <v>3274</v>
      </c>
      <c r="J1014" s="2" t="s">
        <v>3275</v>
      </c>
      <c r="K1014" s="22" t="s">
        <v>3081</v>
      </c>
      <c r="M1014" s="2" t="s">
        <v>8</v>
      </c>
      <c r="N1014" s="2">
        <v>0</v>
      </c>
      <c r="O1014" s="2">
        <v>10</v>
      </c>
      <c r="P1014" s="2" t="s">
        <v>1527</v>
      </c>
      <c r="Q1014" s="2" t="s">
        <v>3462</v>
      </c>
    </row>
    <row r="1015" spans="1:17" ht="18" customHeight="1" x14ac:dyDescent="0.2">
      <c r="A1015" s="17" t="s">
        <v>460</v>
      </c>
      <c r="B1015" s="17" t="s">
        <v>461</v>
      </c>
      <c r="C1015" s="17" t="s">
        <v>4182</v>
      </c>
      <c r="D1015" s="17" t="s">
        <v>1639</v>
      </c>
      <c r="E1015" s="17" t="s">
        <v>3272</v>
      </c>
      <c r="F1015" s="4">
        <v>7</v>
      </c>
      <c r="G1015" s="21">
        <v>2005</v>
      </c>
      <c r="H1015" s="4" t="s">
        <v>3281</v>
      </c>
      <c r="I1015" s="4" t="s">
        <v>3274</v>
      </c>
      <c r="J1015" s="2" t="s">
        <v>3275</v>
      </c>
      <c r="K1015" s="22" t="s">
        <v>3081</v>
      </c>
      <c r="M1015" s="2" t="s">
        <v>8</v>
      </c>
      <c r="N1015" s="2">
        <v>0</v>
      </c>
      <c r="O1015" s="2">
        <v>10</v>
      </c>
      <c r="P1015" s="2" t="s">
        <v>1527</v>
      </c>
      <c r="Q1015" s="2" t="s">
        <v>3462</v>
      </c>
    </row>
    <row r="1016" spans="1:17" ht="18" customHeight="1" x14ac:dyDescent="0.2">
      <c r="A1016" s="17" t="s">
        <v>460</v>
      </c>
      <c r="B1016" s="17" t="s">
        <v>461</v>
      </c>
      <c r="C1016" s="17" t="s">
        <v>4182</v>
      </c>
      <c r="D1016" s="17" t="s">
        <v>1639</v>
      </c>
      <c r="E1016" s="17" t="s">
        <v>3272</v>
      </c>
      <c r="F1016" s="4">
        <v>8</v>
      </c>
      <c r="G1016" s="21">
        <v>2006</v>
      </c>
      <c r="H1016" s="4" t="s">
        <v>3282</v>
      </c>
      <c r="I1016" s="4" t="s">
        <v>3274</v>
      </c>
      <c r="J1016" s="2" t="s">
        <v>3275</v>
      </c>
      <c r="K1016" s="22" t="s">
        <v>3081</v>
      </c>
      <c r="M1016" s="2" t="s">
        <v>8</v>
      </c>
      <c r="N1016" s="2">
        <v>0</v>
      </c>
      <c r="O1016" s="2">
        <v>10</v>
      </c>
      <c r="P1016" s="2" t="s">
        <v>1527</v>
      </c>
      <c r="Q1016" s="2" t="s">
        <v>3462</v>
      </c>
    </row>
    <row r="1017" spans="1:17" ht="18" customHeight="1" x14ac:dyDescent="0.2">
      <c r="A1017" s="17" t="s">
        <v>460</v>
      </c>
      <c r="B1017" s="17" t="s">
        <v>461</v>
      </c>
      <c r="C1017" s="17" t="s">
        <v>4182</v>
      </c>
      <c r="D1017" s="17" t="s">
        <v>1639</v>
      </c>
      <c r="E1017" s="17" t="s">
        <v>3272</v>
      </c>
      <c r="F1017" s="4">
        <v>9</v>
      </c>
      <c r="G1017" s="21">
        <v>2007</v>
      </c>
      <c r="H1017" s="4" t="s">
        <v>3283</v>
      </c>
      <c r="I1017" s="4" t="s">
        <v>3274</v>
      </c>
      <c r="J1017" s="2" t="s">
        <v>3275</v>
      </c>
      <c r="K1017" s="22" t="s">
        <v>3081</v>
      </c>
      <c r="M1017" s="2" t="s">
        <v>8</v>
      </c>
      <c r="N1017" s="2">
        <v>0</v>
      </c>
      <c r="O1017" s="2">
        <v>10</v>
      </c>
      <c r="P1017" s="2" t="s">
        <v>1527</v>
      </c>
      <c r="Q1017" s="2" t="s">
        <v>3462</v>
      </c>
    </row>
    <row r="1018" spans="1:17" ht="18" customHeight="1" x14ac:dyDescent="0.2">
      <c r="A1018" s="17" t="s">
        <v>460</v>
      </c>
      <c r="B1018" s="17" t="s">
        <v>461</v>
      </c>
      <c r="C1018" s="17" t="s">
        <v>4182</v>
      </c>
      <c r="D1018" s="17" t="s">
        <v>1639</v>
      </c>
      <c r="E1018" s="17" t="s">
        <v>3272</v>
      </c>
      <c r="F1018" s="4">
        <v>10</v>
      </c>
      <c r="G1018" s="21">
        <v>2008</v>
      </c>
      <c r="H1018" s="4" t="s">
        <v>3284</v>
      </c>
      <c r="I1018" s="4" t="s">
        <v>3274</v>
      </c>
      <c r="J1018" s="2" t="s">
        <v>3275</v>
      </c>
      <c r="K1018" s="22" t="s">
        <v>3081</v>
      </c>
      <c r="M1018" s="2" t="s">
        <v>8</v>
      </c>
      <c r="N1018" s="2">
        <v>0</v>
      </c>
      <c r="O1018" s="2">
        <v>10</v>
      </c>
      <c r="P1018" s="2" t="s">
        <v>1527</v>
      </c>
      <c r="Q1018" s="2" t="s">
        <v>3462</v>
      </c>
    </row>
    <row r="1019" spans="1:17" ht="18" customHeight="1" x14ac:dyDescent="0.2">
      <c r="A1019" s="17" t="s">
        <v>460</v>
      </c>
      <c r="B1019" s="17" t="s">
        <v>461</v>
      </c>
      <c r="C1019" s="17" t="s">
        <v>4182</v>
      </c>
      <c r="D1019" s="17" t="s">
        <v>1639</v>
      </c>
      <c r="E1019" s="17" t="s">
        <v>3272</v>
      </c>
      <c r="F1019" s="4">
        <v>11</v>
      </c>
      <c r="G1019" s="21">
        <v>2009</v>
      </c>
      <c r="H1019" s="4" t="s">
        <v>3285</v>
      </c>
      <c r="I1019" s="4" t="s">
        <v>3274</v>
      </c>
      <c r="J1019" s="2" t="s">
        <v>3275</v>
      </c>
      <c r="K1019" s="22" t="s">
        <v>3081</v>
      </c>
      <c r="M1019" s="2" t="s">
        <v>8</v>
      </c>
      <c r="N1019" s="2">
        <v>0</v>
      </c>
      <c r="O1019" s="2">
        <v>10</v>
      </c>
      <c r="P1019" s="2" t="s">
        <v>1527</v>
      </c>
      <c r="Q1019" s="2" t="s">
        <v>3462</v>
      </c>
    </row>
    <row r="1020" spans="1:17" ht="18" customHeight="1" x14ac:dyDescent="0.2">
      <c r="A1020" s="17" t="s">
        <v>460</v>
      </c>
      <c r="B1020" s="17" t="s">
        <v>461</v>
      </c>
      <c r="C1020" s="17" t="s">
        <v>4182</v>
      </c>
      <c r="D1020" s="17" t="s">
        <v>1639</v>
      </c>
      <c r="E1020" s="17" t="s">
        <v>3272</v>
      </c>
      <c r="F1020" s="4">
        <v>12</v>
      </c>
      <c r="G1020" s="21">
        <v>2010</v>
      </c>
      <c r="H1020" s="4" t="s">
        <v>3286</v>
      </c>
      <c r="I1020" s="4" t="s">
        <v>3274</v>
      </c>
      <c r="J1020" s="2" t="s">
        <v>3275</v>
      </c>
      <c r="K1020" s="22" t="s">
        <v>3081</v>
      </c>
      <c r="M1020" s="2" t="s">
        <v>8</v>
      </c>
      <c r="N1020" s="2">
        <v>0</v>
      </c>
      <c r="O1020" s="2">
        <v>10</v>
      </c>
      <c r="P1020" s="2" t="s">
        <v>1527</v>
      </c>
      <c r="Q1020" s="2" t="s">
        <v>3462</v>
      </c>
    </row>
    <row r="1021" spans="1:17" ht="18" customHeight="1" x14ac:dyDescent="0.2">
      <c r="A1021" s="17" t="s">
        <v>460</v>
      </c>
      <c r="B1021" s="17" t="s">
        <v>461</v>
      </c>
      <c r="C1021" s="17" t="s">
        <v>4182</v>
      </c>
      <c r="D1021" s="17" t="s">
        <v>1639</v>
      </c>
      <c r="E1021" s="17" t="s">
        <v>3272</v>
      </c>
      <c r="F1021" s="4">
        <v>18</v>
      </c>
      <c r="G1021" s="21">
        <v>2016</v>
      </c>
      <c r="H1021" s="4" t="s">
        <v>3287</v>
      </c>
      <c r="I1021" s="4" t="s">
        <v>3274</v>
      </c>
      <c r="J1021" s="2" t="s">
        <v>3275</v>
      </c>
      <c r="K1021" s="22" t="s">
        <v>3081</v>
      </c>
      <c r="M1021" s="2" t="s">
        <v>8</v>
      </c>
      <c r="N1021" s="2">
        <v>0</v>
      </c>
      <c r="O1021" s="2">
        <v>10</v>
      </c>
      <c r="P1021" s="2" t="s">
        <v>1527</v>
      </c>
      <c r="Q1021" s="2" t="s">
        <v>3462</v>
      </c>
    </row>
    <row r="1022" spans="1:17" ht="18" customHeight="1" x14ac:dyDescent="0.2">
      <c r="A1022" s="17" t="s">
        <v>460</v>
      </c>
      <c r="B1022" s="17" t="s">
        <v>461</v>
      </c>
      <c r="C1022" s="17" t="s">
        <v>4182</v>
      </c>
      <c r="D1022" s="17" t="s">
        <v>1639</v>
      </c>
      <c r="E1022" s="17" t="s">
        <v>3272</v>
      </c>
      <c r="F1022" s="4">
        <v>21</v>
      </c>
      <c r="G1022" s="21">
        <v>2019</v>
      </c>
      <c r="H1022" s="4" t="s">
        <v>3288</v>
      </c>
      <c r="I1022" s="4" t="s">
        <v>3274</v>
      </c>
      <c r="J1022" s="2" t="s">
        <v>3275</v>
      </c>
      <c r="K1022" s="22" t="s">
        <v>3081</v>
      </c>
      <c r="M1022" s="2" t="s">
        <v>8</v>
      </c>
      <c r="N1022" s="2">
        <v>0</v>
      </c>
      <c r="O1022" s="2">
        <v>10</v>
      </c>
      <c r="P1022" s="2" t="s">
        <v>1527</v>
      </c>
      <c r="Q1022" s="2" t="s">
        <v>3462</v>
      </c>
    </row>
    <row r="1023" spans="1:17" ht="18" customHeight="1" x14ac:dyDescent="0.2">
      <c r="A1023" s="17" t="s">
        <v>460</v>
      </c>
      <c r="B1023" s="17" t="s">
        <v>461</v>
      </c>
      <c r="C1023" s="17" t="s">
        <v>4182</v>
      </c>
      <c r="D1023" s="17" t="s">
        <v>1639</v>
      </c>
      <c r="E1023" s="17" t="s">
        <v>3289</v>
      </c>
      <c r="F1023" s="4">
        <v>1</v>
      </c>
      <c r="G1023" s="21">
        <v>1999</v>
      </c>
      <c r="H1023" s="4" t="s">
        <v>3290</v>
      </c>
      <c r="I1023" s="4" t="s">
        <v>3291</v>
      </c>
      <c r="J1023" s="2" t="s">
        <v>3292</v>
      </c>
      <c r="K1023" s="22" t="s">
        <v>3081</v>
      </c>
      <c r="M1023" s="2" t="s">
        <v>8</v>
      </c>
      <c r="N1023" s="2">
        <v>0</v>
      </c>
      <c r="O1023" s="2">
        <v>10</v>
      </c>
      <c r="P1023" s="2" t="s">
        <v>1527</v>
      </c>
      <c r="Q1023" s="2" t="s">
        <v>3462</v>
      </c>
    </row>
    <row r="1024" spans="1:17" ht="18" customHeight="1" x14ac:dyDescent="0.2">
      <c r="A1024" s="17" t="s">
        <v>460</v>
      </c>
      <c r="B1024" s="17" t="s">
        <v>461</v>
      </c>
      <c r="C1024" s="17" t="s">
        <v>4182</v>
      </c>
      <c r="D1024" s="17" t="s">
        <v>1639</v>
      </c>
      <c r="E1024" s="17" t="s">
        <v>3289</v>
      </c>
      <c r="F1024" s="4">
        <v>2</v>
      </c>
      <c r="G1024" s="21">
        <v>2000</v>
      </c>
      <c r="H1024" s="4" t="s">
        <v>3293</v>
      </c>
      <c r="I1024" s="4" t="s">
        <v>3291</v>
      </c>
      <c r="J1024" s="2" t="s">
        <v>3292</v>
      </c>
      <c r="K1024" s="22" t="s">
        <v>3081</v>
      </c>
      <c r="M1024" s="2" t="s">
        <v>8</v>
      </c>
      <c r="N1024" s="2">
        <v>0</v>
      </c>
      <c r="O1024" s="2">
        <v>10</v>
      </c>
      <c r="P1024" s="2" t="s">
        <v>1527</v>
      </c>
      <c r="Q1024" s="2" t="s">
        <v>3462</v>
      </c>
    </row>
    <row r="1025" spans="1:17" ht="18" customHeight="1" x14ac:dyDescent="0.2">
      <c r="A1025" s="17" t="s">
        <v>460</v>
      </c>
      <c r="B1025" s="17" t="s">
        <v>461</v>
      </c>
      <c r="C1025" s="17" t="s">
        <v>4182</v>
      </c>
      <c r="D1025" s="17" t="s">
        <v>1639</v>
      </c>
      <c r="E1025" s="17" t="s">
        <v>3289</v>
      </c>
      <c r="F1025" s="4">
        <v>3</v>
      </c>
      <c r="G1025" s="21">
        <v>2001</v>
      </c>
      <c r="H1025" s="4" t="s">
        <v>3294</v>
      </c>
      <c r="I1025" s="4" t="s">
        <v>3291</v>
      </c>
      <c r="J1025" s="2" t="s">
        <v>3292</v>
      </c>
      <c r="K1025" s="22" t="s">
        <v>3081</v>
      </c>
      <c r="M1025" s="2" t="s">
        <v>8</v>
      </c>
      <c r="N1025" s="2">
        <v>0</v>
      </c>
      <c r="O1025" s="2">
        <v>10</v>
      </c>
      <c r="P1025" s="2" t="s">
        <v>1527</v>
      </c>
      <c r="Q1025" s="2" t="s">
        <v>3462</v>
      </c>
    </row>
    <row r="1026" spans="1:17" ht="18" customHeight="1" x14ac:dyDescent="0.2">
      <c r="A1026" s="17" t="s">
        <v>460</v>
      </c>
      <c r="B1026" s="17" t="s">
        <v>461</v>
      </c>
      <c r="C1026" s="17" t="s">
        <v>4182</v>
      </c>
      <c r="D1026" s="17" t="s">
        <v>1639</v>
      </c>
      <c r="E1026" s="17" t="s">
        <v>3289</v>
      </c>
      <c r="F1026" s="4">
        <v>4</v>
      </c>
      <c r="G1026" s="21">
        <v>2002</v>
      </c>
      <c r="H1026" s="4" t="s">
        <v>3295</v>
      </c>
      <c r="I1026" s="4" t="s">
        <v>3291</v>
      </c>
      <c r="J1026" s="2" t="s">
        <v>3292</v>
      </c>
      <c r="K1026" s="22" t="s">
        <v>3081</v>
      </c>
      <c r="M1026" s="2" t="s">
        <v>8</v>
      </c>
      <c r="N1026" s="2">
        <v>0</v>
      </c>
      <c r="O1026" s="2">
        <v>10</v>
      </c>
      <c r="P1026" s="2" t="s">
        <v>1527</v>
      </c>
      <c r="Q1026" s="2" t="s">
        <v>3462</v>
      </c>
    </row>
    <row r="1027" spans="1:17" ht="18" customHeight="1" x14ac:dyDescent="0.2">
      <c r="A1027" s="17" t="s">
        <v>460</v>
      </c>
      <c r="B1027" s="17" t="s">
        <v>461</v>
      </c>
      <c r="C1027" s="17" t="s">
        <v>4182</v>
      </c>
      <c r="D1027" s="17" t="s">
        <v>1639</v>
      </c>
      <c r="E1027" s="17" t="s">
        <v>3289</v>
      </c>
      <c r="F1027" s="4">
        <v>5</v>
      </c>
      <c r="G1027" s="21">
        <v>2003</v>
      </c>
      <c r="H1027" s="4" t="s">
        <v>3296</v>
      </c>
      <c r="I1027" s="4" t="s">
        <v>3291</v>
      </c>
      <c r="J1027" s="2" t="s">
        <v>3292</v>
      </c>
      <c r="K1027" s="22" t="s">
        <v>3081</v>
      </c>
      <c r="M1027" s="2" t="s">
        <v>8</v>
      </c>
      <c r="N1027" s="2">
        <v>0</v>
      </c>
      <c r="O1027" s="2">
        <v>10</v>
      </c>
      <c r="P1027" s="2" t="s">
        <v>1527</v>
      </c>
      <c r="Q1027" s="2" t="s">
        <v>3462</v>
      </c>
    </row>
    <row r="1028" spans="1:17" ht="18" customHeight="1" x14ac:dyDescent="0.2">
      <c r="A1028" s="17" t="s">
        <v>460</v>
      </c>
      <c r="B1028" s="17" t="s">
        <v>461</v>
      </c>
      <c r="C1028" s="17" t="s">
        <v>4182</v>
      </c>
      <c r="D1028" s="17" t="s">
        <v>1639</v>
      </c>
      <c r="E1028" s="17" t="s">
        <v>3289</v>
      </c>
      <c r="F1028" s="4">
        <v>6</v>
      </c>
      <c r="G1028" s="21">
        <v>2004</v>
      </c>
      <c r="H1028" s="4" t="s">
        <v>3297</v>
      </c>
      <c r="I1028" s="4" t="s">
        <v>3291</v>
      </c>
      <c r="J1028" s="2" t="s">
        <v>3292</v>
      </c>
      <c r="K1028" s="22" t="s">
        <v>3081</v>
      </c>
      <c r="M1028" s="2" t="s">
        <v>8</v>
      </c>
      <c r="N1028" s="2">
        <v>0</v>
      </c>
      <c r="O1028" s="2">
        <v>10</v>
      </c>
      <c r="P1028" s="2" t="s">
        <v>1527</v>
      </c>
      <c r="Q1028" s="2" t="s">
        <v>3462</v>
      </c>
    </row>
    <row r="1029" spans="1:17" ht="18" customHeight="1" x14ac:dyDescent="0.2">
      <c r="A1029" s="17" t="s">
        <v>460</v>
      </c>
      <c r="B1029" s="17" t="s">
        <v>461</v>
      </c>
      <c r="C1029" s="17" t="s">
        <v>4182</v>
      </c>
      <c r="D1029" s="17" t="s">
        <v>1639</v>
      </c>
      <c r="E1029" s="17" t="s">
        <v>3289</v>
      </c>
      <c r="F1029" s="4">
        <v>7</v>
      </c>
      <c r="G1029" s="21">
        <v>2005</v>
      </c>
      <c r="H1029" s="4" t="s">
        <v>3298</v>
      </c>
      <c r="I1029" s="4" t="s">
        <v>3291</v>
      </c>
      <c r="J1029" s="2" t="s">
        <v>3292</v>
      </c>
      <c r="K1029" s="22" t="s">
        <v>3081</v>
      </c>
      <c r="M1029" s="2" t="s">
        <v>8</v>
      </c>
      <c r="N1029" s="2">
        <v>0</v>
      </c>
      <c r="O1029" s="2">
        <v>10</v>
      </c>
      <c r="P1029" s="2" t="s">
        <v>1527</v>
      </c>
      <c r="Q1029" s="2" t="s">
        <v>3462</v>
      </c>
    </row>
    <row r="1030" spans="1:17" ht="18" customHeight="1" x14ac:dyDescent="0.2">
      <c r="A1030" s="17" t="s">
        <v>460</v>
      </c>
      <c r="B1030" s="17" t="s">
        <v>461</v>
      </c>
      <c r="C1030" s="17" t="s">
        <v>4182</v>
      </c>
      <c r="D1030" s="17" t="s">
        <v>1639</v>
      </c>
      <c r="E1030" s="17" t="s">
        <v>3289</v>
      </c>
      <c r="F1030" s="4">
        <v>8</v>
      </c>
      <c r="G1030" s="21">
        <v>2006</v>
      </c>
      <c r="H1030" s="4" t="s">
        <v>3299</v>
      </c>
      <c r="I1030" s="4" t="s">
        <v>3291</v>
      </c>
      <c r="J1030" s="2" t="s">
        <v>3292</v>
      </c>
      <c r="K1030" s="22" t="s">
        <v>3081</v>
      </c>
      <c r="M1030" s="2" t="s">
        <v>8</v>
      </c>
      <c r="N1030" s="2">
        <v>0</v>
      </c>
      <c r="O1030" s="2">
        <v>10</v>
      </c>
      <c r="P1030" s="2" t="s">
        <v>1527</v>
      </c>
      <c r="Q1030" s="2" t="s">
        <v>3462</v>
      </c>
    </row>
    <row r="1031" spans="1:17" ht="18" customHeight="1" x14ac:dyDescent="0.2">
      <c r="A1031" s="17" t="s">
        <v>460</v>
      </c>
      <c r="B1031" s="17" t="s">
        <v>461</v>
      </c>
      <c r="C1031" s="17" t="s">
        <v>4182</v>
      </c>
      <c r="D1031" s="17" t="s">
        <v>1639</v>
      </c>
      <c r="E1031" s="17" t="s">
        <v>3289</v>
      </c>
      <c r="F1031" s="4">
        <v>9</v>
      </c>
      <c r="G1031" s="21">
        <v>2007</v>
      </c>
      <c r="H1031" s="4" t="s">
        <v>3300</v>
      </c>
      <c r="I1031" s="4" t="s">
        <v>3291</v>
      </c>
      <c r="J1031" s="2" t="s">
        <v>3292</v>
      </c>
      <c r="K1031" s="22" t="s">
        <v>3081</v>
      </c>
      <c r="M1031" s="2" t="s">
        <v>8</v>
      </c>
      <c r="N1031" s="2">
        <v>0</v>
      </c>
      <c r="O1031" s="2">
        <v>10</v>
      </c>
      <c r="P1031" s="2" t="s">
        <v>1527</v>
      </c>
      <c r="Q1031" s="2" t="s">
        <v>3462</v>
      </c>
    </row>
    <row r="1032" spans="1:17" ht="18" customHeight="1" x14ac:dyDescent="0.2">
      <c r="A1032" s="17" t="s">
        <v>460</v>
      </c>
      <c r="B1032" s="17" t="s">
        <v>461</v>
      </c>
      <c r="C1032" s="17" t="s">
        <v>4182</v>
      </c>
      <c r="D1032" s="17" t="s">
        <v>1639</v>
      </c>
      <c r="E1032" s="17" t="s">
        <v>3289</v>
      </c>
      <c r="F1032" s="4">
        <v>10</v>
      </c>
      <c r="G1032" s="21">
        <v>2008</v>
      </c>
      <c r="H1032" s="4" t="s">
        <v>3301</v>
      </c>
      <c r="I1032" s="4" t="s">
        <v>3291</v>
      </c>
      <c r="J1032" s="2" t="s">
        <v>3292</v>
      </c>
      <c r="K1032" s="22" t="s">
        <v>3081</v>
      </c>
      <c r="M1032" s="2" t="s">
        <v>8</v>
      </c>
      <c r="N1032" s="2">
        <v>0</v>
      </c>
      <c r="O1032" s="2">
        <v>10</v>
      </c>
      <c r="P1032" s="2" t="s">
        <v>1527</v>
      </c>
      <c r="Q1032" s="2" t="s">
        <v>3462</v>
      </c>
    </row>
    <row r="1033" spans="1:17" ht="18" customHeight="1" x14ac:dyDescent="0.2">
      <c r="A1033" s="17" t="s">
        <v>460</v>
      </c>
      <c r="B1033" s="17" t="s">
        <v>461</v>
      </c>
      <c r="C1033" s="17" t="s">
        <v>4182</v>
      </c>
      <c r="D1033" s="17" t="s">
        <v>1639</v>
      </c>
      <c r="E1033" s="17" t="s">
        <v>3289</v>
      </c>
      <c r="F1033" s="4">
        <v>11</v>
      </c>
      <c r="G1033" s="21">
        <v>2009</v>
      </c>
      <c r="H1033" s="4" t="s">
        <v>3302</v>
      </c>
      <c r="I1033" s="4" t="s">
        <v>3291</v>
      </c>
      <c r="J1033" s="2" t="s">
        <v>3292</v>
      </c>
      <c r="K1033" s="22" t="s">
        <v>3081</v>
      </c>
      <c r="M1033" s="2" t="s">
        <v>8</v>
      </c>
      <c r="N1033" s="2">
        <v>0</v>
      </c>
      <c r="O1033" s="2">
        <v>10</v>
      </c>
      <c r="P1033" s="2" t="s">
        <v>1527</v>
      </c>
      <c r="Q1033" s="2" t="s">
        <v>3462</v>
      </c>
    </row>
    <row r="1034" spans="1:17" ht="18" customHeight="1" x14ac:dyDescent="0.2">
      <c r="A1034" s="17" t="s">
        <v>460</v>
      </c>
      <c r="B1034" s="17" t="s">
        <v>461</v>
      </c>
      <c r="C1034" s="17" t="s">
        <v>4182</v>
      </c>
      <c r="D1034" s="17" t="s">
        <v>1639</v>
      </c>
      <c r="E1034" s="17" t="s">
        <v>3289</v>
      </c>
      <c r="F1034" s="4">
        <v>12</v>
      </c>
      <c r="G1034" s="21">
        <v>2010</v>
      </c>
      <c r="H1034" s="4" t="s">
        <v>3303</v>
      </c>
      <c r="I1034" s="4" t="s">
        <v>3291</v>
      </c>
      <c r="J1034" s="2" t="s">
        <v>3292</v>
      </c>
      <c r="K1034" s="22" t="s">
        <v>3081</v>
      </c>
      <c r="M1034" s="2" t="s">
        <v>8</v>
      </c>
      <c r="N1034" s="2">
        <v>0</v>
      </c>
      <c r="O1034" s="2">
        <v>10</v>
      </c>
      <c r="P1034" s="2" t="s">
        <v>1527</v>
      </c>
      <c r="Q1034" s="2" t="s">
        <v>3462</v>
      </c>
    </row>
    <row r="1035" spans="1:17" ht="18" customHeight="1" x14ac:dyDescent="0.2">
      <c r="A1035" s="17" t="s">
        <v>460</v>
      </c>
      <c r="B1035" s="17" t="s">
        <v>461</v>
      </c>
      <c r="C1035" s="17" t="s">
        <v>4182</v>
      </c>
      <c r="D1035" s="17" t="s">
        <v>1639</v>
      </c>
      <c r="E1035" s="17" t="s">
        <v>3289</v>
      </c>
      <c r="F1035" s="4">
        <v>18</v>
      </c>
      <c r="G1035" s="21">
        <v>2016</v>
      </c>
      <c r="H1035" s="4" t="s">
        <v>3304</v>
      </c>
      <c r="I1035" s="4" t="s">
        <v>3291</v>
      </c>
      <c r="J1035" s="2" t="s">
        <v>3292</v>
      </c>
      <c r="K1035" s="22" t="s">
        <v>3081</v>
      </c>
      <c r="M1035" s="2" t="s">
        <v>8</v>
      </c>
      <c r="N1035" s="2">
        <v>0</v>
      </c>
      <c r="O1035" s="2">
        <v>10</v>
      </c>
      <c r="P1035" s="2" t="s">
        <v>1527</v>
      </c>
      <c r="Q1035" s="2" t="s">
        <v>3462</v>
      </c>
    </row>
    <row r="1036" spans="1:17" ht="18" customHeight="1" x14ac:dyDescent="0.2">
      <c r="A1036" s="17" t="s">
        <v>460</v>
      </c>
      <c r="B1036" s="17" t="s">
        <v>461</v>
      </c>
      <c r="C1036" s="17" t="s">
        <v>4182</v>
      </c>
      <c r="D1036" s="17" t="s">
        <v>1639</v>
      </c>
      <c r="E1036" s="17" t="s">
        <v>3289</v>
      </c>
      <c r="F1036" s="4">
        <v>21</v>
      </c>
      <c r="G1036" s="21">
        <v>2019</v>
      </c>
      <c r="H1036" s="4" t="s">
        <v>3305</v>
      </c>
      <c r="I1036" s="4" t="s">
        <v>3291</v>
      </c>
      <c r="J1036" s="2" t="s">
        <v>3292</v>
      </c>
      <c r="K1036" s="22" t="s">
        <v>3081</v>
      </c>
      <c r="M1036" s="2" t="s">
        <v>8</v>
      </c>
      <c r="N1036" s="2">
        <v>0</v>
      </c>
      <c r="O1036" s="2">
        <v>10</v>
      </c>
      <c r="P1036" s="2" t="s">
        <v>1527</v>
      </c>
      <c r="Q1036" s="2" t="s">
        <v>3462</v>
      </c>
    </row>
    <row r="1037" spans="1:17" ht="18" customHeight="1" x14ac:dyDescent="0.2">
      <c r="A1037" s="17" t="s">
        <v>460</v>
      </c>
      <c r="B1037" s="17" t="s">
        <v>461</v>
      </c>
      <c r="C1037" s="17" t="s">
        <v>4182</v>
      </c>
      <c r="D1037" s="17" t="s">
        <v>1639</v>
      </c>
      <c r="E1037" s="17" t="s">
        <v>3306</v>
      </c>
      <c r="F1037" s="4">
        <v>15</v>
      </c>
      <c r="G1037" s="21">
        <v>2013</v>
      </c>
      <c r="H1037" s="4" t="s">
        <v>3307</v>
      </c>
      <c r="I1037" s="4" t="s">
        <v>3308</v>
      </c>
      <c r="J1037" s="2" t="s">
        <v>3309</v>
      </c>
      <c r="K1037" s="22" t="s">
        <v>3081</v>
      </c>
      <c r="M1037" s="2" t="s">
        <v>8</v>
      </c>
      <c r="N1037" s="2">
        <v>0</v>
      </c>
      <c r="O1037" s="2">
        <v>10</v>
      </c>
      <c r="P1037" s="2" t="s">
        <v>1527</v>
      </c>
      <c r="Q1037" s="2" t="s">
        <v>3462</v>
      </c>
    </row>
    <row r="1038" spans="1:17" ht="18" customHeight="1" x14ac:dyDescent="0.2">
      <c r="A1038" s="17" t="s">
        <v>460</v>
      </c>
      <c r="B1038" s="17" t="s">
        <v>461</v>
      </c>
      <c r="C1038" s="17" t="s">
        <v>4182</v>
      </c>
      <c r="D1038" s="17" t="s">
        <v>1639</v>
      </c>
      <c r="E1038" s="17" t="s">
        <v>3306</v>
      </c>
      <c r="F1038" s="4">
        <v>18</v>
      </c>
      <c r="G1038" s="21">
        <v>2016</v>
      </c>
      <c r="H1038" s="4" t="s">
        <v>3310</v>
      </c>
      <c r="I1038" s="4" t="s">
        <v>3308</v>
      </c>
      <c r="J1038" s="2" t="s">
        <v>3309</v>
      </c>
      <c r="K1038" s="22" t="s">
        <v>3081</v>
      </c>
      <c r="M1038" s="2" t="s">
        <v>8</v>
      </c>
      <c r="N1038" s="2">
        <v>0</v>
      </c>
      <c r="O1038" s="2">
        <v>10</v>
      </c>
      <c r="P1038" s="2" t="s">
        <v>1527</v>
      </c>
      <c r="Q1038" s="2" t="s">
        <v>3462</v>
      </c>
    </row>
    <row r="1039" spans="1:17" ht="18" customHeight="1" x14ac:dyDescent="0.2">
      <c r="A1039" s="17" t="s">
        <v>460</v>
      </c>
      <c r="B1039" s="17" t="s">
        <v>461</v>
      </c>
      <c r="C1039" s="17" t="s">
        <v>4182</v>
      </c>
      <c r="D1039" s="17" t="s">
        <v>1639</v>
      </c>
      <c r="E1039" s="17" t="s">
        <v>3306</v>
      </c>
      <c r="F1039" s="4">
        <v>21</v>
      </c>
      <c r="G1039" s="21">
        <v>2019</v>
      </c>
      <c r="H1039" s="4" t="s">
        <v>3311</v>
      </c>
      <c r="I1039" s="4" t="s">
        <v>3308</v>
      </c>
      <c r="J1039" s="2" t="s">
        <v>3309</v>
      </c>
      <c r="K1039" s="22" t="s">
        <v>3081</v>
      </c>
      <c r="M1039" s="2" t="s">
        <v>8</v>
      </c>
      <c r="N1039" s="2">
        <v>0</v>
      </c>
      <c r="O1039" s="2">
        <v>10</v>
      </c>
      <c r="P1039" s="2" t="s">
        <v>1527</v>
      </c>
      <c r="Q1039" s="2" t="s">
        <v>3462</v>
      </c>
    </row>
    <row r="1040" spans="1:17" ht="18" customHeight="1" x14ac:dyDescent="0.2">
      <c r="A1040" s="17" t="s">
        <v>460</v>
      </c>
      <c r="B1040" s="17" t="s">
        <v>461</v>
      </c>
      <c r="C1040" s="17" t="s">
        <v>4182</v>
      </c>
      <c r="D1040" s="17" t="s">
        <v>1639</v>
      </c>
      <c r="E1040" s="17" t="s">
        <v>3312</v>
      </c>
      <c r="F1040" s="4">
        <v>15</v>
      </c>
      <c r="G1040" s="21">
        <v>2013</v>
      </c>
      <c r="H1040" s="4" t="s">
        <v>3313</v>
      </c>
      <c r="I1040" s="4" t="s">
        <v>3314</v>
      </c>
      <c r="J1040" s="2" t="s">
        <v>3315</v>
      </c>
      <c r="K1040" s="22" t="s">
        <v>3081</v>
      </c>
      <c r="M1040" s="2" t="s">
        <v>8</v>
      </c>
      <c r="N1040" s="2">
        <v>0</v>
      </c>
      <c r="O1040" s="2">
        <v>10</v>
      </c>
      <c r="P1040" s="2" t="s">
        <v>1527</v>
      </c>
      <c r="Q1040" s="2" t="s">
        <v>3462</v>
      </c>
    </row>
    <row r="1041" spans="1:17" ht="18" customHeight="1" x14ac:dyDescent="0.2">
      <c r="A1041" s="17" t="s">
        <v>460</v>
      </c>
      <c r="B1041" s="17" t="s">
        <v>461</v>
      </c>
      <c r="C1041" s="17" t="s">
        <v>4182</v>
      </c>
      <c r="D1041" s="17" t="s">
        <v>1639</v>
      </c>
      <c r="E1041" s="17" t="s">
        <v>3312</v>
      </c>
      <c r="F1041" s="4">
        <v>18</v>
      </c>
      <c r="G1041" s="21">
        <v>2016</v>
      </c>
      <c r="H1041" s="4" t="s">
        <v>3316</v>
      </c>
      <c r="I1041" s="4" t="s">
        <v>3314</v>
      </c>
      <c r="J1041" s="2" t="s">
        <v>3315</v>
      </c>
      <c r="K1041" s="22" t="s">
        <v>3081</v>
      </c>
      <c r="M1041" s="2" t="s">
        <v>8</v>
      </c>
      <c r="N1041" s="2">
        <v>0</v>
      </c>
      <c r="O1041" s="2">
        <v>10</v>
      </c>
      <c r="P1041" s="2" t="s">
        <v>1527</v>
      </c>
      <c r="Q1041" s="2" t="s">
        <v>3462</v>
      </c>
    </row>
    <row r="1042" spans="1:17" ht="18" customHeight="1" x14ac:dyDescent="0.2">
      <c r="A1042" s="17" t="s">
        <v>460</v>
      </c>
      <c r="B1042" s="17" t="s">
        <v>461</v>
      </c>
      <c r="C1042" s="17" t="s">
        <v>4182</v>
      </c>
      <c r="D1042" s="17" t="s">
        <v>1639</v>
      </c>
      <c r="E1042" s="17" t="s">
        <v>3312</v>
      </c>
      <c r="F1042" s="4">
        <v>21</v>
      </c>
      <c r="G1042" s="21">
        <v>2019</v>
      </c>
      <c r="H1042" s="4" t="s">
        <v>3317</v>
      </c>
      <c r="I1042" s="4" t="s">
        <v>3314</v>
      </c>
      <c r="J1042" s="2" t="s">
        <v>3315</v>
      </c>
      <c r="K1042" s="22" t="s">
        <v>3081</v>
      </c>
      <c r="M1042" s="2" t="s">
        <v>8</v>
      </c>
      <c r="N1042" s="2">
        <v>0</v>
      </c>
      <c r="O1042" s="2">
        <v>10</v>
      </c>
      <c r="P1042" s="2" t="s">
        <v>1527</v>
      </c>
      <c r="Q1042" s="2" t="s">
        <v>3462</v>
      </c>
    </row>
    <row r="1043" spans="1:17" ht="18" customHeight="1" x14ac:dyDescent="0.2">
      <c r="A1043" s="23" t="s">
        <v>460</v>
      </c>
      <c r="B1043" s="23" t="s">
        <v>461</v>
      </c>
      <c r="C1043" s="23" t="s">
        <v>4182</v>
      </c>
      <c r="D1043" s="23" t="s">
        <v>1631</v>
      </c>
      <c r="E1043" s="23" t="s">
        <v>3318</v>
      </c>
      <c r="F1043" s="4">
        <v>3</v>
      </c>
      <c r="G1043" s="21">
        <v>2001</v>
      </c>
      <c r="H1043" s="4" t="s">
        <v>2862</v>
      </c>
      <c r="I1043" s="4" t="s">
        <v>2860</v>
      </c>
      <c r="J1043" s="2" t="s">
        <v>3319</v>
      </c>
      <c r="K1043" s="22" t="s">
        <v>3320</v>
      </c>
      <c r="M1043" s="2" t="s">
        <v>8</v>
      </c>
      <c r="P1043" s="2" t="s">
        <v>1527</v>
      </c>
      <c r="Q1043" s="2" t="s">
        <v>3462</v>
      </c>
    </row>
    <row r="1044" spans="1:17" ht="18" customHeight="1" x14ac:dyDescent="0.2">
      <c r="A1044" s="23" t="s">
        <v>460</v>
      </c>
      <c r="B1044" s="23" t="s">
        <v>461</v>
      </c>
      <c r="C1044" s="23" t="s">
        <v>4182</v>
      </c>
      <c r="D1044" s="23" t="s">
        <v>1631</v>
      </c>
      <c r="E1044" s="23" t="s">
        <v>3318</v>
      </c>
      <c r="F1044" s="4">
        <v>4</v>
      </c>
      <c r="G1044" s="21">
        <v>2002</v>
      </c>
      <c r="H1044" s="4" t="s">
        <v>2863</v>
      </c>
      <c r="I1044" s="4" t="s">
        <v>2860</v>
      </c>
      <c r="J1044" s="2" t="s">
        <v>3319</v>
      </c>
      <c r="K1044" s="22" t="s">
        <v>3320</v>
      </c>
      <c r="M1044" s="2" t="s">
        <v>8</v>
      </c>
      <c r="P1044" s="2" t="s">
        <v>1527</v>
      </c>
      <c r="Q1044" s="2" t="s">
        <v>3462</v>
      </c>
    </row>
    <row r="1045" spans="1:17" ht="18" customHeight="1" x14ac:dyDescent="0.2">
      <c r="A1045" s="23" t="s">
        <v>460</v>
      </c>
      <c r="B1045" s="23" t="s">
        <v>461</v>
      </c>
      <c r="C1045" s="23" t="s">
        <v>4182</v>
      </c>
      <c r="D1045" s="23" t="s">
        <v>1631</v>
      </c>
      <c r="E1045" s="23" t="s">
        <v>3318</v>
      </c>
      <c r="F1045" s="4">
        <v>5</v>
      </c>
      <c r="G1045" s="21">
        <v>2003</v>
      </c>
      <c r="H1045" s="4" t="s">
        <v>2864</v>
      </c>
      <c r="I1045" s="4" t="s">
        <v>2860</v>
      </c>
      <c r="J1045" s="2" t="s">
        <v>3319</v>
      </c>
      <c r="K1045" s="22" t="s">
        <v>3320</v>
      </c>
      <c r="M1045" s="2" t="s">
        <v>8</v>
      </c>
      <c r="P1045" s="2" t="s">
        <v>1527</v>
      </c>
      <c r="Q1045" s="2" t="s">
        <v>3462</v>
      </c>
    </row>
    <row r="1046" spans="1:17" ht="18" customHeight="1" x14ac:dyDescent="0.2">
      <c r="A1046" s="23" t="s">
        <v>460</v>
      </c>
      <c r="B1046" s="23" t="s">
        <v>461</v>
      </c>
      <c r="C1046" s="23" t="s">
        <v>4182</v>
      </c>
      <c r="D1046" s="23" t="s">
        <v>1631</v>
      </c>
      <c r="E1046" s="23" t="s">
        <v>3318</v>
      </c>
      <c r="F1046" s="4">
        <v>15</v>
      </c>
      <c r="G1046" s="21">
        <v>2013</v>
      </c>
      <c r="H1046" s="4" t="s">
        <v>2874</v>
      </c>
      <c r="I1046" s="4" t="s">
        <v>2860</v>
      </c>
      <c r="J1046" s="2" t="s">
        <v>3319</v>
      </c>
      <c r="K1046" s="22" t="s">
        <v>3320</v>
      </c>
      <c r="M1046" s="2" t="s">
        <v>8</v>
      </c>
      <c r="P1046" s="2" t="s">
        <v>1527</v>
      </c>
      <c r="Q1046" s="2" t="s">
        <v>3462</v>
      </c>
    </row>
    <row r="1047" spans="1:17" ht="18" customHeight="1" x14ac:dyDescent="0.2">
      <c r="A1047" s="23" t="s">
        <v>460</v>
      </c>
      <c r="B1047" s="23" t="s">
        <v>461</v>
      </c>
      <c r="C1047" s="23" t="s">
        <v>4182</v>
      </c>
      <c r="D1047" s="23" t="s">
        <v>1631</v>
      </c>
      <c r="E1047" s="23" t="s">
        <v>3318</v>
      </c>
      <c r="F1047" s="4">
        <v>18</v>
      </c>
      <c r="G1047" s="21">
        <v>2016</v>
      </c>
      <c r="H1047" s="4" t="s">
        <v>2877</v>
      </c>
      <c r="I1047" s="4" t="s">
        <v>2860</v>
      </c>
      <c r="J1047" s="2" t="s">
        <v>3319</v>
      </c>
      <c r="K1047" s="22" t="s">
        <v>3320</v>
      </c>
      <c r="M1047" s="2" t="s">
        <v>8</v>
      </c>
      <c r="P1047" s="2" t="s">
        <v>1527</v>
      </c>
      <c r="Q1047" s="2" t="s">
        <v>3462</v>
      </c>
    </row>
    <row r="1048" spans="1:17" ht="18" customHeight="1" x14ac:dyDescent="0.2">
      <c r="A1048" s="23" t="s">
        <v>460</v>
      </c>
      <c r="B1048" s="23" t="s">
        <v>461</v>
      </c>
      <c r="C1048" s="23" t="s">
        <v>4182</v>
      </c>
      <c r="D1048" s="23" t="s">
        <v>1631</v>
      </c>
      <c r="E1048" s="23" t="s">
        <v>3318</v>
      </c>
      <c r="F1048" s="4">
        <v>21</v>
      </c>
      <c r="G1048" s="21">
        <v>2019</v>
      </c>
      <c r="H1048" s="4" t="s">
        <v>2880</v>
      </c>
      <c r="I1048" s="4" t="s">
        <v>2860</v>
      </c>
      <c r="J1048" s="2" t="s">
        <v>3319</v>
      </c>
      <c r="K1048" s="22" t="s">
        <v>3320</v>
      </c>
      <c r="M1048" s="2" t="s">
        <v>8</v>
      </c>
      <c r="P1048" s="2" t="s">
        <v>1527</v>
      </c>
      <c r="Q1048" s="2" t="s">
        <v>3462</v>
      </c>
    </row>
    <row r="1049" spans="1:17" x14ac:dyDescent="0.2">
      <c r="A1049" s="23" t="s">
        <v>460</v>
      </c>
      <c r="B1049" t="str">
        <f t="shared" ref="B1049:B1087" si="10">LEFT(H1049,1)</f>
        <v>H</v>
      </c>
      <c r="C1049" s="23" t="s">
        <v>4182</v>
      </c>
      <c r="D1049" s="23" t="s">
        <v>1632</v>
      </c>
      <c r="E1049" s="23" t="s">
        <v>1632</v>
      </c>
      <c r="F1049" s="4">
        <v>2</v>
      </c>
      <c r="G1049" s="21">
        <v>2000</v>
      </c>
      <c r="H1049" t="str">
        <f t="shared" ref="H1049:H1068" si="11">"H" &amp;RIGHT(G1049,2)&amp;"H04"</f>
        <v>H00H04</v>
      </c>
      <c r="J1049" s="2" t="s">
        <v>3321</v>
      </c>
      <c r="K1049" s="52" t="s">
        <v>2814</v>
      </c>
      <c r="M1049" s="2" t="s">
        <v>1414</v>
      </c>
      <c r="P1049" s="2" t="s">
        <v>1127</v>
      </c>
      <c r="Q1049" t="s">
        <v>1127</v>
      </c>
    </row>
    <row r="1050" spans="1:17" x14ac:dyDescent="0.2">
      <c r="A1050" s="23" t="s">
        <v>460</v>
      </c>
      <c r="B1050" t="str">
        <f t="shared" si="10"/>
        <v>H</v>
      </c>
      <c r="C1050" s="23" t="s">
        <v>4182</v>
      </c>
      <c r="D1050" s="23" t="s">
        <v>1632</v>
      </c>
      <c r="E1050" s="23" t="s">
        <v>1632</v>
      </c>
      <c r="F1050" s="4">
        <v>3</v>
      </c>
      <c r="G1050" s="21">
        <v>2001</v>
      </c>
      <c r="H1050" t="str">
        <f t="shared" si="11"/>
        <v>H01H04</v>
      </c>
      <c r="J1050" s="2" t="s">
        <v>3321</v>
      </c>
      <c r="K1050" s="52" t="s">
        <v>2814</v>
      </c>
      <c r="M1050" s="2" t="s">
        <v>1414</v>
      </c>
      <c r="P1050" s="2" t="s">
        <v>1127</v>
      </c>
      <c r="Q1050" t="s">
        <v>1127</v>
      </c>
    </row>
    <row r="1051" spans="1:17" x14ac:dyDescent="0.2">
      <c r="A1051" s="23" t="s">
        <v>460</v>
      </c>
      <c r="B1051" t="str">
        <f t="shared" si="10"/>
        <v>H</v>
      </c>
      <c r="C1051" s="23" t="s">
        <v>4182</v>
      </c>
      <c r="D1051" s="23" t="s">
        <v>1632</v>
      </c>
      <c r="E1051" s="23" t="s">
        <v>1632</v>
      </c>
      <c r="F1051" s="4">
        <v>4</v>
      </c>
      <c r="G1051" s="21">
        <v>2002</v>
      </c>
      <c r="H1051" t="str">
        <f t="shared" si="11"/>
        <v>H02H04</v>
      </c>
      <c r="J1051" s="2" t="s">
        <v>3321</v>
      </c>
      <c r="K1051" s="52" t="s">
        <v>2814</v>
      </c>
      <c r="M1051" s="2" t="s">
        <v>1414</v>
      </c>
      <c r="P1051" s="2" t="s">
        <v>1127</v>
      </c>
      <c r="Q1051" t="s">
        <v>1127</v>
      </c>
    </row>
    <row r="1052" spans="1:17" x14ac:dyDescent="0.2">
      <c r="A1052" s="23" t="s">
        <v>460</v>
      </c>
      <c r="B1052" t="str">
        <f t="shared" si="10"/>
        <v>H</v>
      </c>
      <c r="C1052" s="23" t="s">
        <v>4182</v>
      </c>
      <c r="D1052" s="23" t="s">
        <v>1632</v>
      </c>
      <c r="E1052" s="23" t="s">
        <v>1632</v>
      </c>
      <c r="F1052" s="4">
        <v>5</v>
      </c>
      <c r="G1052" s="21">
        <v>2003</v>
      </c>
      <c r="H1052" t="str">
        <f t="shared" si="11"/>
        <v>H03H04</v>
      </c>
      <c r="J1052" s="2" t="s">
        <v>3321</v>
      </c>
      <c r="K1052" s="52" t="s">
        <v>2814</v>
      </c>
      <c r="M1052" s="2" t="s">
        <v>1414</v>
      </c>
      <c r="P1052" s="2" t="s">
        <v>1127</v>
      </c>
      <c r="Q1052" t="s">
        <v>1127</v>
      </c>
    </row>
    <row r="1053" spans="1:17" x14ac:dyDescent="0.2">
      <c r="A1053" s="23" t="s">
        <v>460</v>
      </c>
      <c r="B1053" t="str">
        <f t="shared" si="10"/>
        <v>H</v>
      </c>
      <c r="C1053" s="23" t="s">
        <v>4182</v>
      </c>
      <c r="D1053" s="23" t="s">
        <v>1632</v>
      </c>
      <c r="E1053" s="23" t="s">
        <v>1632</v>
      </c>
      <c r="F1053" s="4">
        <v>6</v>
      </c>
      <c r="G1053" s="21">
        <v>2004</v>
      </c>
      <c r="H1053" t="str">
        <f t="shared" si="11"/>
        <v>H04H04</v>
      </c>
      <c r="J1053" s="2" t="s">
        <v>3321</v>
      </c>
      <c r="K1053" s="52" t="s">
        <v>2814</v>
      </c>
      <c r="M1053" s="2" t="s">
        <v>1414</v>
      </c>
      <c r="P1053" s="2" t="s">
        <v>1127</v>
      </c>
      <c r="Q1053" t="s">
        <v>1127</v>
      </c>
    </row>
    <row r="1054" spans="1:17" x14ac:dyDescent="0.2">
      <c r="A1054" s="23" t="s">
        <v>460</v>
      </c>
      <c r="B1054" t="str">
        <f t="shared" si="10"/>
        <v>H</v>
      </c>
      <c r="C1054" s="23" t="s">
        <v>4182</v>
      </c>
      <c r="D1054" s="23" t="s">
        <v>1632</v>
      </c>
      <c r="E1054" s="23" t="s">
        <v>1632</v>
      </c>
      <c r="F1054" s="4">
        <v>7</v>
      </c>
      <c r="G1054" s="21">
        <v>2005</v>
      </c>
      <c r="H1054" t="str">
        <f t="shared" si="11"/>
        <v>H05H04</v>
      </c>
      <c r="J1054" s="2" t="s">
        <v>3321</v>
      </c>
      <c r="K1054" s="52" t="s">
        <v>2814</v>
      </c>
      <c r="M1054" s="2" t="s">
        <v>1414</v>
      </c>
      <c r="P1054" s="2" t="s">
        <v>1127</v>
      </c>
      <c r="Q1054" t="s">
        <v>1127</v>
      </c>
    </row>
    <row r="1055" spans="1:17" x14ac:dyDescent="0.2">
      <c r="A1055" s="23" t="s">
        <v>460</v>
      </c>
      <c r="B1055" t="str">
        <f t="shared" si="10"/>
        <v>H</v>
      </c>
      <c r="C1055" s="23" t="s">
        <v>4182</v>
      </c>
      <c r="D1055" s="23" t="s">
        <v>1632</v>
      </c>
      <c r="E1055" s="23" t="s">
        <v>1632</v>
      </c>
      <c r="F1055" s="4">
        <v>8</v>
      </c>
      <c r="G1055" s="21">
        <v>2006</v>
      </c>
      <c r="H1055" t="str">
        <f t="shared" si="11"/>
        <v>H06H04</v>
      </c>
      <c r="J1055" s="2" t="s">
        <v>3321</v>
      </c>
      <c r="K1055" s="52" t="s">
        <v>2814</v>
      </c>
      <c r="M1055" s="2" t="s">
        <v>1414</v>
      </c>
      <c r="P1055" s="2" t="s">
        <v>1127</v>
      </c>
      <c r="Q1055" t="s">
        <v>1127</v>
      </c>
    </row>
    <row r="1056" spans="1:17" x14ac:dyDescent="0.2">
      <c r="A1056" s="23" t="s">
        <v>460</v>
      </c>
      <c r="B1056" t="str">
        <f t="shared" si="10"/>
        <v>H</v>
      </c>
      <c r="C1056" s="23" t="s">
        <v>4182</v>
      </c>
      <c r="D1056" s="23" t="s">
        <v>1632</v>
      </c>
      <c r="E1056" s="23" t="s">
        <v>1632</v>
      </c>
      <c r="F1056" s="4">
        <v>9</v>
      </c>
      <c r="G1056" s="21">
        <v>2007</v>
      </c>
      <c r="H1056" t="str">
        <f t="shared" si="11"/>
        <v>H07H04</v>
      </c>
      <c r="J1056" s="2" t="s">
        <v>3321</v>
      </c>
      <c r="K1056" s="52" t="s">
        <v>2814</v>
      </c>
      <c r="M1056" s="2" t="s">
        <v>1414</v>
      </c>
      <c r="P1056" s="2" t="s">
        <v>1127</v>
      </c>
      <c r="Q1056" t="s">
        <v>1127</v>
      </c>
    </row>
    <row r="1057" spans="1:17" x14ac:dyDescent="0.2">
      <c r="A1057" s="23" t="s">
        <v>460</v>
      </c>
      <c r="B1057" t="str">
        <f t="shared" si="10"/>
        <v>H</v>
      </c>
      <c r="C1057" s="23" t="s">
        <v>4182</v>
      </c>
      <c r="D1057" s="23" t="s">
        <v>1632</v>
      </c>
      <c r="E1057" s="23" t="s">
        <v>1632</v>
      </c>
      <c r="F1057" s="4">
        <v>10</v>
      </c>
      <c r="G1057" s="21">
        <v>2008</v>
      </c>
      <c r="H1057" t="str">
        <f t="shared" si="11"/>
        <v>H08H04</v>
      </c>
      <c r="J1057" s="2" t="s">
        <v>3321</v>
      </c>
      <c r="K1057" s="52" t="s">
        <v>2814</v>
      </c>
      <c r="M1057" s="2" t="s">
        <v>1414</v>
      </c>
      <c r="P1057" s="2" t="s">
        <v>1127</v>
      </c>
      <c r="Q1057" t="s">
        <v>1127</v>
      </c>
    </row>
    <row r="1058" spans="1:17" x14ac:dyDescent="0.2">
      <c r="A1058" s="23" t="s">
        <v>460</v>
      </c>
      <c r="B1058" t="str">
        <f t="shared" si="10"/>
        <v>H</v>
      </c>
      <c r="C1058" s="23" t="s">
        <v>4182</v>
      </c>
      <c r="D1058" s="23" t="s">
        <v>1632</v>
      </c>
      <c r="E1058" s="23" t="s">
        <v>1632</v>
      </c>
      <c r="F1058" s="4">
        <v>11</v>
      </c>
      <c r="G1058" s="21">
        <v>2009</v>
      </c>
      <c r="H1058" t="str">
        <f t="shared" si="11"/>
        <v>H09H04</v>
      </c>
      <c r="J1058" s="2" t="s">
        <v>3321</v>
      </c>
      <c r="K1058" s="52" t="s">
        <v>2814</v>
      </c>
      <c r="M1058" s="2" t="s">
        <v>1414</v>
      </c>
      <c r="P1058" s="2" t="s">
        <v>1127</v>
      </c>
      <c r="Q1058" t="s">
        <v>1127</v>
      </c>
    </row>
    <row r="1059" spans="1:17" x14ac:dyDescent="0.2">
      <c r="A1059" s="23" t="s">
        <v>460</v>
      </c>
      <c r="B1059" t="str">
        <f t="shared" si="10"/>
        <v>H</v>
      </c>
      <c r="C1059" s="23" t="s">
        <v>4182</v>
      </c>
      <c r="D1059" s="23" t="s">
        <v>1632</v>
      </c>
      <c r="E1059" s="23" t="s">
        <v>1632</v>
      </c>
      <c r="F1059" s="4">
        <v>12</v>
      </c>
      <c r="G1059" s="21">
        <v>2010</v>
      </c>
      <c r="H1059" t="str">
        <f t="shared" si="11"/>
        <v>H10H04</v>
      </c>
      <c r="J1059" s="2" t="s">
        <v>3321</v>
      </c>
      <c r="K1059" s="52" t="s">
        <v>2814</v>
      </c>
      <c r="M1059" s="2" t="s">
        <v>1414</v>
      </c>
      <c r="P1059" s="2" t="s">
        <v>1127</v>
      </c>
      <c r="Q1059" t="s">
        <v>1127</v>
      </c>
    </row>
    <row r="1060" spans="1:17" x14ac:dyDescent="0.2">
      <c r="A1060" s="23" t="s">
        <v>460</v>
      </c>
      <c r="B1060" t="str">
        <f t="shared" si="10"/>
        <v>H</v>
      </c>
      <c r="C1060" s="23" t="s">
        <v>4182</v>
      </c>
      <c r="D1060" s="23" t="s">
        <v>1632</v>
      </c>
      <c r="E1060" s="23" t="s">
        <v>1632</v>
      </c>
      <c r="F1060" s="4">
        <v>18</v>
      </c>
      <c r="G1060" s="21">
        <v>2016</v>
      </c>
      <c r="H1060" t="str">
        <f t="shared" si="11"/>
        <v>H16H04</v>
      </c>
      <c r="J1060" s="2" t="s">
        <v>3321</v>
      </c>
      <c r="K1060" s="52" t="s">
        <v>2814</v>
      </c>
      <c r="M1060" s="2" t="s">
        <v>1414</v>
      </c>
      <c r="P1060" s="2" t="s">
        <v>1127</v>
      </c>
      <c r="Q1060" t="s">
        <v>1127</v>
      </c>
    </row>
    <row r="1061" spans="1:17" x14ac:dyDescent="0.2">
      <c r="A1061" s="23" t="s">
        <v>460</v>
      </c>
      <c r="B1061" t="str">
        <f t="shared" si="10"/>
        <v>H</v>
      </c>
      <c r="C1061" s="23" t="s">
        <v>4182</v>
      </c>
      <c r="D1061" s="23" t="s">
        <v>1632</v>
      </c>
      <c r="E1061" s="23" t="s">
        <v>1632</v>
      </c>
      <c r="F1061" s="4">
        <v>21</v>
      </c>
      <c r="G1061" s="21">
        <v>2019</v>
      </c>
      <c r="H1061" t="str">
        <f t="shared" si="11"/>
        <v>H19H04</v>
      </c>
      <c r="J1061" s="2" t="s">
        <v>3321</v>
      </c>
      <c r="K1061" s="52" t="s">
        <v>2814</v>
      </c>
      <c r="M1061" s="2" t="s">
        <v>1414</v>
      </c>
      <c r="P1061" s="2" t="s">
        <v>1127</v>
      </c>
      <c r="Q1061" t="s">
        <v>1127</v>
      </c>
    </row>
    <row r="1062" spans="1:17" x14ac:dyDescent="0.2">
      <c r="A1062" s="23" t="s">
        <v>460</v>
      </c>
      <c r="B1062" t="str">
        <f t="shared" si="10"/>
        <v>H</v>
      </c>
      <c r="C1062" s="23" t="s">
        <v>4182</v>
      </c>
      <c r="D1062" s="23" t="s">
        <v>1632</v>
      </c>
      <c r="E1062" s="23" t="s">
        <v>1632</v>
      </c>
      <c r="F1062" s="4">
        <v>15</v>
      </c>
      <c r="G1062" s="21">
        <v>2013</v>
      </c>
      <c r="H1062" t="str">
        <f t="shared" si="11"/>
        <v>H13H04</v>
      </c>
      <c r="J1062" s="2" t="s">
        <v>3321</v>
      </c>
      <c r="K1062" s="52" t="s">
        <v>2814</v>
      </c>
      <c r="M1062" s="2" t="s">
        <v>1414</v>
      </c>
      <c r="P1062" s="2" t="s">
        <v>1127</v>
      </c>
      <c r="Q1062" t="s">
        <v>1127</v>
      </c>
    </row>
    <row r="1063" spans="1:17" x14ac:dyDescent="0.2">
      <c r="A1063" s="23" t="s">
        <v>460</v>
      </c>
      <c r="B1063" t="str">
        <f t="shared" si="10"/>
        <v>H</v>
      </c>
      <c r="C1063" s="23" t="s">
        <v>4182</v>
      </c>
      <c r="D1063" s="23" t="s">
        <v>1632</v>
      </c>
      <c r="E1063" s="23" t="s">
        <v>1632</v>
      </c>
      <c r="F1063" s="4">
        <v>18</v>
      </c>
      <c r="G1063" s="21">
        <v>2016</v>
      </c>
      <c r="H1063" t="str">
        <f t="shared" si="11"/>
        <v>H16H04</v>
      </c>
      <c r="J1063" s="2" t="s">
        <v>3321</v>
      </c>
      <c r="K1063" s="52" t="s">
        <v>2814</v>
      </c>
      <c r="M1063" s="2" t="s">
        <v>1414</v>
      </c>
      <c r="P1063" s="2" t="s">
        <v>1127</v>
      </c>
      <c r="Q1063" t="s">
        <v>1127</v>
      </c>
    </row>
    <row r="1064" spans="1:17" x14ac:dyDescent="0.2">
      <c r="A1064" s="23" t="s">
        <v>460</v>
      </c>
      <c r="B1064" t="str">
        <f t="shared" si="10"/>
        <v>H</v>
      </c>
      <c r="C1064" s="23" t="s">
        <v>4182</v>
      </c>
      <c r="D1064" s="23" t="s">
        <v>1632</v>
      </c>
      <c r="E1064" s="23" t="s">
        <v>1632</v>
      </c>
      <c r="F1064" s="4">
        <v>21</v>
      </c>
      <c r="G1064" s="21">
        <v>2019</v>
      </c>
      <c r="H1064" t="str">
        <f t="shared" si="11"/>
        <v>H19H04</v>
      </c>
      <c r="J1064" s="2" t="s">
        <v>3321</v>
      </c>
      <c r="K1064" s="52" t="s">
        <v>2814</v>
      </c>
      <c r="M1064" s="2" t="s">
        <v>1414</v>
      </c>
      <c r="P1064" s="2" t="s">
        <v>1127</v>
      </c>
      <c r="Q1064" t="s">
        <v>1127</v>
      </c>
    </row>
    <row r="1065" spans="1:17" x14ac:dyDescent="0.2">
      <c r="A1065" s="23" t="s">
        <v>460</v>
      </c>
      <c r="B1065" t="str">
        <f t="shared" si="10"/>
        <v>H</v>
      </c>
      <c r="C1065" s="23" t="s">
        <v>4182</v>
      </c>
      <c r="D1065" s="23" t="s">
        <v>1632</v>
      </c>
      <c r="E1065" s="23" t="s">
        <v>1632</v>
      </c>
      <c r="F1065" s="4">
        <v>15</v>
      </c>
      <c r="G1065" s="21">
        <v>2013</v>
      </c>
      <c r="H1065" t="str">
        <f t="shared" si="11"/>
        <v>H13H04</v>
      </c>
      <c r="J1065" s="2" t="s">
        <v>3321</v>
      </c>
      <c r="K1065" s="52" t="s">
        <v>2814</v>
      </c>
      <c r="M1065" s="2" t="s">
        <v>1414</v>
      </c>
      <c r="P1065" s="2" t="s">
        <v>1127</v>
      </c>
      <c r="Q1065" t="s">
        <v>1127</v>
      </c>
    </row>
    <row r="1066" spans="1:17" x14ac:dyDescent="0.2">
      <c r="A1066" s="23" t="s">
        <v>460</v>
      </c>
      <c r="B1066" t="str">
        <f t="shared" si="10"/>
        <v>H</v>
      </c>
      <c r="C1066" s="23" t="s">
        <v>4182</v>
      </c>
      <c r="D1066" s="23" t="s">
        <v>1632</v>
      </c>
      <c r="E1066" s="23" t="s">
        <v>1632</v>
      </c>
      <c r="F1066" s="4">
        <v>18</v>
      </c>
      <c r="G1066" s="21">
        <v>2016</v>
      </c>
      <c r="H1066" t="str">
        <f t="shared" si="11"/>
        <v>H16H04</v>
      </c>
      <c r="J1066" s="2" t="s">
        <v>3321</v>
      </c>
      <c r="K1066" s="52" t="s">
        <v>2814</v>
      </c>
      <c r="M1066" s="2" t="s">
        <v>1414</v>
      </c>
      <c r="P1066" s="2" t="s">
        <v>1127</v>
      </c>
      <c r="Q1066" t="s">
        <v>1127</v>
      </c>
    </row>
    <row r="1067" spans="1:17" x14ac:dyDescent="0.2">
      <c r="A1067" s="23" t="s">
        <v>460</v>
      </c>
      <c r="B1067" t="str">
        <f t="shared" si="10"/>
        <v>H</v>
      </c>
      <c r="C1067" s="23" t="s">
        <v>4182</v>
      </c>
      <c r="D1067" s="23" t="s">
        <v>1632</v>
      </c>
      <c r="E1067" s="23" t="s">
        <v>1632</v>
      </c>
      <c r="F1067" s="4">
        <v>21</v>
      </c>
      <c r="G1067" s="21">
        <v>2019</v>
      </c>
      <c r="H1067" t="str">
        <f t="shared" si="11"/>
        <v>H19H04</v>
      </c>
      <c r="J1067" s="2" t="s">
        <v>3321</v>
      </c>
      <c r="K1067" s="52" t="s">
        <v>2814</v>
      </c>
      <c r="M1067" s="2" t="s">
        <v>1414</v>
      </c>
      <c r="P1067" s="2" t="s">
        <v>1127</v>
      </c>
      <c r="Q1067" t="s">
        <v>1127</v>
      </c>
    </row>
    <row r="1068" spans="1:17" x14ac:dyDescent="0.2">
      <c r="A1068" s="23" t="s">
        <v>460</v>
      </c>
      <c r="B1068" t="str">
        <f t="shared" si="10"/>
        <v>H</v>
      </c>
      <c r="C1068" s="23" t="s">
        <v>4182</v>
      </c>
      <c r="D1068" s="23" t="s">
        <v>1633</v>
      </c>
      <c r="E1068" s="23" t="s">
        <v>1633</v>
      </c>
      <c r="F1068" s="4">
        <v>1</v>
      </c>
      <c r="G1068" s="21">
        <v>1999</v>
      </c>
      <c r="H1068" t="str">
        <f t="shared" si="11"/>
        <v>H99H04</v>
      </c>
      <c r="J1068" s="2" t="s">
        <v>3322</v>
      </c>
      <c r="K1068" s="52" t="s">
        <v>3323</v>
      </c>
      <c r="M1068" s="2" t="s">
        <v>3324</v>
      </c>
      <c r="P1068" s="2" t="s">
        <v>1127</v>
      </c>
      <c r="Q1068" t="s">
        <v>3462</v>
      </c>
    </row>
    <row r="1069" spans="1:17" x14ac:dyDescent="0.2">
      <c r="A1069" s="23" t="s">
        <v>460</v>
      </c>
      <c r="B1069" t="str">
        <f t="shared" si="10"/>
        <v>H</v>
      </c>
      <c r="C1069" s="23" t="s">
        <v>4182</v>
      </c>
      <c r="D1069" s="23" t="s">
        <v>1633</v>
      </c>
      <c r="E1069" s="23" t="s">
        <v>1633</v>
      </c>
      <c r="F1069" s="4">
        <v>2</v>
      </c>
      <c r="G1069" s="21">
        <v>2000</v>
      </c>
      <c r="H1069" t="str">
        <f t="shared" ref="H1069:H1087" si="12">"H" &amp;RIGHT(G1069,2)&amp;"H15"</f>
        <v>H00H15</v>
      </c>
      <c r="J1069" s="2" t="s">
        <v>3322</v>
      </c>
      <c r="K1069" s="52" t="s">
        <v>3323</v>
      </c>
      <c r="M1069" s="2" t="s">
        <v>3324</v>
      </c>
      <c r="P1069" s="2" t="s">
        <v>1127</v>
      </c>
      <c r="Q1069" t="s">
        <v>3462</v>
      </c>
    </row>
    <row r="1070" spans="1:17" x14ac:dyDescent="0.2">
      <c r="A1070" s="23" t="s">
        <v>460</v>
      </c>
      <c r="B1070" t="str">
        <f t="shared" si="10"/>
        <v>H</v>
      </c>
      <c r="C1070" s="23" t="s">
        <v>4182</v>
      </c>
      <c r="D1070" s="23" t="s">
        <v>1633</v>
      </c>
      <c r="E1070" s="23" t="s">
        <v>1633</v>
      </c>
      <c r="F1070" s="4">
        <v>3</v>
      </c>
      <c r="G1070" s="21">
        <v>2001</v>
      </c>
      <c r="H1070" t="str">
        <f t="shared" si="12"/>
        <v>H01H15</v>
      </c>
      <c r="J1070" s="2" t="s">
        <v>3322</v>
      </c>
      <c r="K1070" s="52" t="s">
        <v>3323</v>
      </c>
      <c r="M1070" s="2" t="s">
        <v>3324</v>
      </c>
      <c r="P1070" s="2" t="s">
        <v>1127</v>
      </c>
      <c r="Q1070" t="s">
        <v>3462</v>
      </c>
    </row>
    <row r="1071" spans="1:17" x14ac:dyDescent="0.2">
      <c r="A1071" s="23" t="s">
        <v>460</v>
      </c>
      <c r="B1071" t="str">
        <f t="shared" si="10"/>
        <v>H</v>
      </c>
      <c r="C1071" s="23" t="s">
        <v>4182</v>
      </c>
      <c r="D1071" s="23" t="s">
        <v>1633</v>
      </c>
      <c r="E1071" s="23" t="s">
        <v>1633</v>
      </c>
      <c r="F1071" s="4">
        <v>4</v>
      </c>
      <c r="G1071" s="21">
        <v>2002</v>
      </c>
      <c r="H1071" t="str">
        <f t="shared" si="12"/>
        <v>H02H15</v>
      </c>
      <c r="J1071" s="2" t="s">
        <v>3322</v>
      </c>
      <c r="K1071" s="52" t="s">
        <v>3323</v>
      </c>
      <c r="M1071" s="2" t="s">
        <v>3324</v>
      </c>
      <c r="P1071" s="2" t="s">
        <v>1127</v>
      </c>
      <c r="Q1071" t="s">
        <v>3462</v>
      </c>
    </row>
    <row r="1072" spans="1:17" x14ac:dyDescent="0.2">
      <c r="A1072" s="23" t="s">
        <v>460</v>
      </c>
      <c r="B1072" t="str">
        <f t="shared" si="10"/>
        <v>H</v>
      </c>
      <c r="C1072" s="23" t="s">
        <v>4182</v>
      </c>
      <c r="D1072" s="23" t="s">
        <v>1633</v>
      </c>
      <c r="E1072" s="23" t="s">
        <v>1633</v>
      </c>
      <c r="F1072" s="4">
        <v>5</v>
      </c>
      <c r="G1072" s="21">
        <v>2003</v>
      </c>
      <c r="H1072" t="str">
        <f t="shared" si="12"/>
        <v>H03H15</v>
      </c>
      <c r="J1072" s="2" t="s">
        <v>3322</v>
      </c>
      <c r="K1072" s="52" t="s">
        <v>3323</v>
      </c>
      <c r="M1072" s="2" t="s">
        <v>3324</v>
      </c>
      <c r="P1072" s="2" t="s">
        <v>1127</v>
      </c>
      <c r="Q1072" t="s">
        <v>3462</v>
      </c>
    </row>
    <row r="1073" spans="1:17" x14ac:dyDescent="0.2">
      <c r="A1073" s="23" t="s">
        <v>460</v>
      </c>
      <c r="B1073" t="str">
        <f t="shared" si="10"/>
        <v>H</v>
      </c>
      <c r="C1073" s="23" t="s">
        <v>4182</v>
      </c>
      <c r="D1073" s="23" t="s">
        <v>1633</v>
      </c>
      <c r="E1073" s="23" t="s">
        <v>1633</v>
      </c>
      <c r="F1073" s="4">
        <v>6</v>
      </c>
      <c r="G1073" s="21">
        <v>2004</v>
      </c>
      <c r="H1073" t="str">
        <f t="shared" si="12"/>
        <v>H04H15</v>
      </c>
      <c r="J1073" s="2" t="s">
        <v>3322</v>
      </c>
      <c r="K1073" s="52" t="s">
        <v>3323</v>
      </c>
      <c r="M1073" s="2" t="s">
        <v>3324</v>
      </c>
      <c r="P1073" s="2" t="s">
        <v>1127</v>
      </c>
      <c r="Q1073" t="s">
        <v>3462</v>
      </c>
    </row>
    <row r="1074" spans="1:17" x14ac:dyDescent="0.2">
      <c r="A1074" s="23" t="s">
        <v>460</v>
      </c>
      <c r="B1074" t="str">
        <f t="shared" si="10"/>
        <v>H</v>
      </c>
      <c r="C1074" s="23" t="s">
        <v>4182</v>
      </c>
      <c r="D1074" s="23" t="s">
        <v>1633</v>
      </c>
      <c r="E1074" s="23" t="s">
        <v>1633</v>
      </c>
      <c r="F1074" s="4">
        <v>7</v>
      </c>
      <c r="G1074" s="21">
        <v>2005</v>
      </c>
      <c r="H1074" t="str">
        <f t="shared" si="12"/>
        <v>H05H15</v>
      </c>
      <c r="J1074" s="2" t="s">
        <v>3322</v>
      </c>
      <c r="K1074" s="52" t="s">
        <v>3323</v>
      </c>
      <c r="M1074" s="2" t="s">
        <v>3324</v>
      </c>
      <c r="P1074" s="2" t="s">
        <v>1127</v>
      </c>
      <c r="Q1074" t="s">
        <v>3462</v>
      </c>
    </row>
    <row r="1075" spans="1:17" x14ac:dyDescent="0.2">
      <c r="A1075" s="23" t="s">
        <v>460</v>
      </c>
      <c r="B1075" t="str">
        <f t="shared" si="10"/>
        <v>H</v>
      </c>
      <c r="C1075" s="23" t="s">
        <v>4182</v>
      </c>
      <c r="D1075" s="23" t="s">
        <v>1633</v>
      </c>
      <c r="E1075" s="23" t="s">
        <v>1633</v>
      </c>
      <c r="F1075" s="4">
        <v>8</v>
      </c>
      <c r="G1075" s="21">
        <v>2006</v>
      </c>
      <c r="H1075" t="str">
        <f t="shared" si="12"/>
        <v>H06H15</v>
      </c>
      <c r="J1075" s="2" t="s">
        <v>3322</v>
      </c>
      <c r="K1075" s="52" t="s">
        <v>3323</v>
      </c>
      <c r="M1075" s="2" t="s">
        <v>3324</v>
      </c>
      <c r="P1075" s="2" t="s">
        <v>1127</v>
      </c>
      <c r="Q1075" t="s">
        <v>3462</v>
      </c>
    </row>
    <row r="1076" spans="1:17" x14ac:dyDescent="0.2">
      <c r="A1076" s="23" t="s">
        <v>460</v>
      </c>
      <c r="B1076" t="str">
        <f t="shared" si="10"/>
        <v>H</v>
      </c>
      <c r="C1076" s="23" t="s">
        <v>4182</v>
      </c>
      <c r="D1076" s="23" t="s">
        <v>1633</v>
      </c>
      <c r="E1076" s="23" t="s">
        <v>1633</v>
      </c>
      <c r="F1076" s="4">
        <v>9</v>
      </c>
      <c r="G1076" s="21">
        <v>2007</v>
      </c>
      <c r="H1076" t="str">
        <f t="shared" si="12"/>
        <v>H07H15</v>
      </c>
      <c r="J1076" s="2" t="s">
        <v>3322</v>
      </c>
      <c r="K1076" s="52" t="s">
        <v>3323</v>
      </c>
      <c r="M1076" s="2" t="s">
        <v>3324</v>
      </c>
      <c r="P1076" s="2" t="s">
        <v>1127</v>
      </c>
      <c r="Q1076" t="s">
        <v>3462</v>
      </c>
    </row>
    <row r="1077" spans="1:17" x14ac:dyDescent="0.2">
      <c r="A1077" s="23" t="s">
        <v>460</v>
      </c>
      <c r="B1077" t="str">
        <f t="shared" si="10"/>
        <v>H</v>
      </c>
      <c r="C1077" s="23" t="s">
        <v>4182</v>
      </c>
      <c r="D1077" s="23" t="s">
        <v>1633</v>
      </c>
      <c r="E1077" s="23" t="s">
        <v>1633</v>
      </c>
      <c r="F1077" s="4">
        <v>10</v>
      </c>
      <c r="G1077" s="21">
        <v>2008</v>
      </c>
      <c r="H1077" t="str">
        <f t="shared" si="12"/>
        <v>H08H15</v>
      </c>
      <c r="J1077" s="2" t="s">
        <v>3322</v>
      </c>
      <c r="K1077" s="52" t="s">
        <v>3323</v>
      </c>
      <c r="M1077" s="2" t="s">
        <v>3324</v>
      </c>
      <c r="P1077" s="2" t="s">
        <v>1127</v>
      </c>
      <c r="Q1077" t="s">
        <v>3462</v>
      </c>
    </row>
    <row r="1078" spans="1:17" x14ac:dyDescent="0.2">
      <c r="A1078" s="23" t="s">
        <v>460</v>
      </c>
      <c r="B1078" t="str">
        <f t="shared" si="10"/>
        <v>H</v>
      </c>
      <c r="C1078" s="23" t="s">
        <v>4182</v>
      </c>
      <c r="D1078" s="23" t="s">
        <v>1633</v>
      </c>
      <c r="E1078" s="23" t="s">
        <v>1633</v>
      </c>
      <c r="F1078" s="4">
        <v>11</v>
      </c>
      <c r="G1078" s="21">
        <v>2009</v>
      </c>
      <c r="H1078" t="str">
        <f t="shared" si="12"/>
        <v>H09H15</v>
      </c>
      <c r="J1078" s="2" t="s">
        <v>3322</v>
      </c>
      <c r="K1078" s="52" t="s">
        <v>3323</v>
      </c>
      <c r="M1078" s="2" t="s">
        <v>3324</v>
      </c>
      <c r="P1078" s="2" t="s">
        <v>1127</v>
      </c>
      <c r="Q1078" t="s">
        <v>3462</v>
      </c>
    </row>
    <row r="1079" spans="1:17" x14ac:dyDescent="0.2">
      <c r="A1079" s="23" t="s">
        <v>460</v>
      </c>
      <c r="B1079" t="str">
        <f t="shared" si="10"/>
        <v>H</v>
      </c>
      <c r="C1079" s="23" t="s">
        <v>4182</v>
      </c>
      <c r="D1079" s="23" t="s">
        <v>1633</v>
      </c>
      <c r="E1079" s="23" t="s">
        <v>1633</v>
      </c>
      <c r="F1079" s="4">
        <v>12</v>
      </c>
      <c r="G1079" s="21">
        <v>2010</v>
      </c>
      <c r="H1079" t="str">
        <f t="shared" si="12"/>
        <v>H10H15</v>
      </c>
      <c r="J1079" s="2" t="s">
        <v>3322</v>
      </c>
      <c r="K1079" s="52" t="s">
        <v>3323</v>
      </c>
      <c r="M1079" s="2" t="s">
        <v>3324</v>
      </c>
      <c r="P1079" s="2" t="s">
        <v>1127</v>
      </c>
      <c r="Q1079" t="s">
        <v>3462</v>
      </c>
    </row>
    <row r="1080" spans="1:17" x14ac:dyDescent="0.2">
      <c r="A1080" s="23" t="s">
        <v>460</v>
      </c>
      <c r="B1080" t="str">
        <f t="shared" si="10"/>
        <v>H</v>
      </c>
      <c r="C1080" s="23" t="s">
        <v>4182</v>
      </c>
      <c r="D1080" s="23" t="s">
        <v>1633</v>
      </c>
      <c r="E1080" s="23" t="s">
        <v>1633</v>
      </c>
      <c r="F1080" s="4">
        <v>18</v>
      </c>
      <c r="G1080" s="21">
        <v>2016</v>
      </c>
      <c r="H1080" t="str">
        <f t="shared" si="12"/>
        <v>H16H15</v>
      </c>
      <c r="J1080" s="2" t="s">
        <v>3322</v>
      </c>
      <c r="K1080" s="52" t="s">
        <v>3323</v>
      </c>
      <c r="M1080" s="2" t="s">
        <v>3324</v>
      </c>
      <c r="P1080" s="2" t="s">
        <v>1127</v>
      </c>
      <c r="Q1080" t="s">
        <v>3462</v>
      </c>
    </row>
    <row r="1081" spans="1:17" x14ac:dyDescent="0.2">
      <c r="A1081" s="23" t="s">
        <v>460</v>
      </c>
      <c r="B1081" t="str">
        <f t="shared" si="10"/>
        <v>H</v>
      </c>
      <c r="C1081" s="23" t="s">
        <v>4182</v>
      </c>
      <c r="D1081" s="23" t="s">
        <v>1633</v>
      </c>
      <c r="E1081" s="23" t="s">
        <v>1633</v>
      </c>
      <c r="F1081" s="4">
        <v>21</v>
      </c>
      <c r="G1081" s="21">
        <v>2019</v>
      </c>
      <c r="H1081" t="str">
        <f t="shared" si="12"/>
        <v>H19H15</v>
      </c>
      <c r="J1081" s="2" t="s">
        <v>3322</v>
      </c>
      <c r="K1081" s="52" t="s">
        <v>3323</v>
      </c>
      <c r="M1081" s="2" t="s">
        <v>3324</v>
      </c>
      <c r="P1081" s="2" t="s">
        <v>1127</v>
      </c>
      <c r="Q1081" t="s">
        <v>3462</v>
      </c>
    </row>
    <row r="1082" spans="1:17" x14ac:dyDescent="0.2">
      <c r="A1082" s="23" t="s">
        <v>460</v>
      </c>
      <c r="B1082" t="str">
        <f t="shared" si="10"/>
        <v>H</v>
      </c>
      <c r="C1082" s="23" t="s">
        <v>4182</v>
      </c>
      <c r="D1082" s="23" t="s">
        <v>1633</v>
      </c>
      <c r="E1082" s="23" t="s">
        <v>1633</v>
      </c>
      <c r="F1082" s="4">
        <v>15</v>
      </c>
      <c r="G1082" s="21">
        <v>2013</v>
      </c>
      <c r="H1082" t="str">
        <f t="shared" si="12"/>
        <v>H13H15</v>
      </c>
      <c r="J1082" s="2" t="s">
        <v>3322</v>
      </c>
      <c r="K1082" s="52" t="s">
        <v>3323</v>
      </c>
      <c r="M1082" s="2" t="s">
        <v>3324</v>
      </c>
      <c r="P1082" s="2" t="s">
        <v>1127</v>
      </c>
      <c r="Q1082" t="s">
        <v>3462</v>
      </c>
    </row>
    <row r="1083" spans="1:17" x14ac:dyDescent="0.2">
      <c r="A1083" s="23" t="s">
        <v>460</v>
      </c>
      <c r="B1083" t="str">
        <f t="shared" si="10"/>
        <v>H</v>
      </c>
      <c r="C1083" s="23" t="s">
        <v>4182</v>
      </c>
      <c r="D1083" s="23" t="s">
        <v>1633</v>
      </c>
      <c r="E1083" s="23" t="s">
        <v>1633</v>
      </c>
      <c r="F1083" s="4">
        <v>18</v>
      </c>
      <c r="G1083" s="21">
        <v>2016</v>
      </c>
      <c r="H1083" t="str">
        <f t="shared" si="12"/>
        <v>H16H15</v>
      </c>
      <c r="J1083" s="2" t="s">
        <v>3322</v>
      </c>
      <c r="K1083" s="52" t="s">
        <v>3323</v>
      </c>
      <c r="M1083" s="2" t="s">
        <v>3324</v>
      </c>
      <c r="P1083" s="2" t="s">
        <v>1127</v>
      </c>
      <c r="Q1083" t="s">
        <v>3462</v>
      </c>
    </row>
    <row r="1084" spans="1:17" x14ac:dyDescent="0.2">
      <c r="A1084" s="23" t="s">
        <v>460</v>
      </c>
      <c r="B1084" t="str">
        <f t="shared" si="10"/>
        <v>H</v>
      </c>
      <c r="C1084" s="23" t="s">
        <v>4182</v>
      </c>
      <c r="D1084" s="23" t="s">
        <v>1633</v>
      </c>
      <c r="E1084" s="23" t="s">
        <v>1633</v>
      </c>
      <c r="F1084" s="4">
        <v>21</v>
      </c>
      <c r="G1084" s="21">
        <v>2019</v>
      </c>
      <c r="H1084" t="str">
        <f t="shared" si="12"/>
        <v>H19H15</v>
      </c>
      <c r="J1084" s="2" t="s">
        <v>3322</v>
      </c>
      <c r="K1084" s="52" t="s">
        <v>3323</v>
      </c>
      <c r="M1084" s="2" t="s">
        <v>3324</v>
      </c>
      <c r="P1084" s="2" t="s">
        <v>1127</v>
      </c>
      <c r="Q1084" t="s">
        <v>3462</v>
      </c>
    </row>
    <row r="1085" spans="1:17" x14ac:dyDescent="0.2">
      <c r="A1085" s="23" t="s">
        <v>460</v>
      </c>
      <c r="B1085" t="str">
        <f t="shared" si="10"/>
        <v>H</v>
      </c>
      <c r="C1085" s="23" t="s">
        <v>4182</v>
      </c>
      <c r="D1085" s="23" t="s">
        <v>1633</v>
      </c>
      <c r="E1085" s="23" t="s">
        <v>1633</v>
      </c>
      <c r="F1085" s="4">
        <v>15</v>
      </c>
      <c r="G1085" s="21">
        <v>2013</v>
      </c>
      <c r="H1085" t="str">
        <f t="shared" si="12"/>
        <v>H13H15</v>
      </c>
      <c r="J1085" s="2" t="s">
        <v>3322</v>
      </c>
      <c r="K1085" s="52" t="s">
        <v>3323</v>
      </c>
      <c r="M1085" s="2" t="s">
        <v>3324</v>
      </c>
      <c r="P1085" s="2" t="s">
        <v>1127</v>
      </c>
      <c r="Q1085" t="s">
        <v>3462</v>
      </c>
    </row>
    <row r="1086" spans="1:17" x14ac:dyDescent="0.2">
      <c r="A1086" s="23" t="s">
        <v>460</v>
      </c>
      <c r="B1086" t="str">
        <f t="shared" si="10"/>
        <v>H</v>
      </c>
      <c r="C1086" s="23" t="s">
        <v>4182</v>
      </c>
      <c r="D1086" s="23" t="s">
        <v>1633</v>
      </c>
      <c r="E1086" s="23" t="s">
        <v>1633</v>
      </c>
      <c r="F1086" s="4">
        <v>18</v>
      </c>
      <c r="G1086" s="21">
        <v>2016</v>
      </c>
      <c r="H1086" t="str">
        <f t="shared" si="12"/>
        <v>H16H15</v>
      </c>
      <c r="J1086" s="2" t="s">
        <v>3322</v>
      </c>
      <c r="K1086" s="52" t="s">
        <v>3323</v>
      </c>
      <c r="M1086" s="2" t="s">
        <v>3324</v>
      </c>
      <c r="P1086" s="2" t="s">
        <v>1127</v>
      </c>
      <c r="Q1086" t="s">
        <v>3462</v>
      </c>
    </row>
    <row r="1087" spans="1:17" x14ac:dyDescent="0.2">
      <c r="A1087" s="23" t="s">
        <v>460</v>
      </c>
      <c r="B1087" t="str">
        <f t="shared" si="10"/>
        <v>H</v>
      </c>
      <c r="C1087" s="23" t="s">
        <v>4182</v>
      </c>
      <c r="D1087" s="23" t="s">
        <v>1633</v>
      </c>
      <c r="E1087" s="23" t="s">
        <v>1633</v>
      </c>
      <c r="F1087" s="4">
        <v>21</v>
      </c>
      <c r="G1087" s="21">
        <v>2019</v>
      </c>
      <c r="H1087" t="str">
        <f t="shared" si="12"/>
        <v>H19H15</v>
      </c>
      <c r="J1087" s="2" t="s">
        <v>3322</v>
      </c>
      <c r="K1087" s="52" t="s">
        <v>3323</v>
      </c>
      <c r="M1087" s="2" t="s">
        <v>3324</v>
      </c>
      <c r="P1087" s="2" t="s">
        <v>1127</v>
      </c>
      <c r="Q1087" t="s">
        <v>3462</v>
      </c>
    </row>
    <row r="1088" spans="1:17" ht="18" customHeight="1" x14ac:dyDescent="0.2">
      <c r="A1088" s="27"/>
      <c r="B1088" s="27"/>
      <c r="C1088" s="27"/>
      <c r="D1088" s="27"/>
      <c r="E1088" s="27"/>
      <c r="F1088" s="2"/>
      <c r="G1088" s="21"/>
      <c r="H1088" s="4"/>
      <c r="I1088" s="4"/>
      <c r="J1088" s="4"/>
      <c r="K1088" s="2"/>
      <c r="L1088" s="22"/>
      <c r="N1088" s="2"/>
      <c r="Q1088" s="2"/>
    </row>
    <row r="1089" spans="1:17" ht="18" customHeight="1" x14ac:dyDescent="0.2">
      <c r="A1089" s="27"/>
      <c r="B1089" s="27"/>
      <c r="C1089" s="27"/>
      <c r="D1089" s="27"/>
      <c r="E1089" s="27"/>
      <c r="F1089" s="2"/>
      <c r="G1089" s="21"/>
      <c r="H1089" s="4"/>
      <c r="I1089" s="4"/>
      <c r="J1089" s="4"/>
      <c r="K1089" s="2"/>
      <c r="L1089" s="22"/>
      <c r="N1089" s="2"/>
      <c r="Q1089" s="2"/>
    </row>
    <row r="1090" spans="1:17" ht="18" customHeight="1" x14ac:dyDescent="0.2">
      <c r="A1090" s="27"/>
      <c r="B1090" s="27"/>
      <c r="C1090" s="27"/>
      <c r="D1090" s="27"/>
      <c r="E1090" s="27"/>
      <c r="F1090" s="2"/>
      <c r="G1090" s="21"/>
      <c r="H1090" s="4"/>
      <c r="I1090" s="4"/>
      <c r="J1090" s="4"/>
      <c r="K1090" s="2"/>
      <c r="L1090" s="22"/>
      <c r="N1090" s="2"/>
      <c r="Q1090" s="2"/>
    </row>
    <row r="1091" spans="1:17" ht="18" customHeight="1" x14ac:dyDescent="0.2">
      <c r="A1091" s="27"/>
      <c r="B1091" s="27"/>
      <c r="C1091" s="27"/>
      <c r="D1091" s="27"/>
      <c r="E1091" s="27"/>
      <c r="F1091" s="2"/>
      <c r="G1091" s="21"/>
      <c r="H1091" s="4"/>
      <c r="I1091" s="4"/>
      <c r="J1091" s="4"/>
      <c r="K1091" s="2"/>
      <c r="L1091" s="22"/>
      <c r="N1091" s="2"/>
      <c r="Q1091" s="2"/>
    </row>
    <row r="1092" spans="1:17" ht="18" customHeight="1" x14ac:dyDescent="0.2">
      <c r="A1092" s="27"/>
      <c r="B1092" s="27"/>
      <c r="C1092" s="27"/>
      <c r="D1092" s="27"/>
      <c r="E1092" s="27"/>
      <c r="F1092" s="2"/>
      <c r="G1092" s="21"/>
      <c r="H1092" s="4"/>
      <c r="I1092" s="4"/>
      <c r="J1092" s="4"/>
      <c r="K1092" s="2"/>
      <c r="L1092" s="22"/>
      <c r="N1092" s="2"/>
      <c r="Q1092" s="2"/>
    </row>
    <row r="1093" spans="1:17" ht="18" customHeight="1" x14ac:dyDescent="0.2">
      <c r="A1093" s="27"/>
      <c r="B1093" s="27"/>
      <c r="C1093" s="27"/>
      <c r="D1093" s="27"/>
      <c r="E1093" s="27"/>
      <c r="F1093" s="2"/>
      <c r="G1093" s="21"/>
      <c r="H1093" s="4"/>
      <c r="I1093" s="4"/>
      <c r="J1093" s="4"/>
      <c r="K1093" s="2"/>
      <c r="L1093" s="22"/>
      <c r="N1093" s="2"/>
      <c r="Q1093" s="2"/>
    </row>
    <row r="1094" spans="1:17" ht="18" customHeight="1" x14ac:dyDescent="0.2">
      <c r="A1094" s="27"/>
      <c r="B1094" s="27"/>
      <c r="C1094" s="27"/>
      <c r="D1094" s="27"/>
      <c r="E1094" s="27"/>
      <c r="F1094" s="2"/>
      <c r="G1094" s="21"/>
      <c r="H1094" s="4"/>
      <c r="I1094" s="4"/>
      <c r="J1094" s="4"/>
      <c r="K1094" s="2"/>
      <c r="L1094" s="22"/>
      <c r="N1094" s="2"/>
      <c r="Q1094" s="2"/>
    </row>
    <row r="1095" spans="1:17" ht="18" customHeight="1" x14ac:dyDescent="0.2">
      <c r="A1095" s="27"/>
      <c r="B1095" s="27"/>
      <c r="C1095" s="27"/>
      <c r="D1095" s="27"/>
      <c r="E1095" s="27"/>
      <c r="F1095" s="2"/>
      <c r="G1095" s="21"/>
      <c r="H1095" s="4"/>
      <c r="I1095" s="4"/>
      <c r="J1095" s="4"/>
      <c r="K1095" s="2"/>
      <c r="L1095" s="22"/>
      <c r="N1095" s="2"/>
      <c r="Q1095" s="2"/>
    </row>
    <row r="1096" spans="1:17" ht="18" customHeight="1" x14ac:dyDescent="0.2">
      <c r="A1096" s="27"/>
      <c r="B1096" s="27"/>
      <c r="C1096" s="27"/>
      <c r="D1096" s="27"/>
      <c r="E1096" s="27"/>
      <c r="F1096" s="2"/>
      <c r="G1096" s="21"/>
      <c r="H1096" s="4"/>
      <c r="I1096" s="4"/>
      <c r="J1096" s="4"/>
      <c r="K1096" s="2"/>
      <c r="L1096" s="22"/>
      <c r="N1096" s="2"/>
      <c r="Q1096" s="2"/>
    </row>
    <row r="1097" spans="1:17" ht="18" customHeight="1" x14ac:dyDescent="0.2">
      <c r="A1097" s="27"/>
      <c r="B1097" s="27"/>
      <c r="C1097" s="27"/>
      <c r="D1097" s="27"/>
      <c r="E1097" s="27"/>
      <c r="F1097" s="2"/>
      <c r="G1097" s="21"/>
      <c r="H1097" s="4"/>
      <c r="I1097" s="4"/>
      <c r="J1097" s="4"/>
      <c r="K1097" s="2"/>
      <c r="L1097" s="22"/>
      <c r="N1097" s="2"/>
      <c r="Q1097" s="2"/>
    </row>
    <row r="1098" spans="1:17" ht="18" customHeight="1" x14ac:dyDescent="0.2">
      <c r="A1098" s="27"/>
      <c r="B1098" s="27"/>
      <c r="C1098" s="27"/>
      <c r="D1098" s="27"/>
      <c r="E1098" s="27"/>
      <c r="F1098" s="2"/>
      <c r="G1098" s="21"/>
      <c r="H1098" s="4"/>
      <c r="I1098" s="4"/>
      <c r="J1098" s="4"/>
      <c r="K1098" s="2"/>
      <c r="L1098" s="22"/>
      <c r="N1098" s="2"/>
      <c r="Q1098" s="2"/>
    </row>
    <row r="1099" spans="1:17" ht="18" customHeight="1" x14ac:dyDescent="0.2">
      <c r="A1099" s="27"/>
      <c r="B1099" s="27"/>
      <c r="C1099" s="27"/>
      <c r="D1099" s="27"/>
      <c r="E1099" s="27"/>
      <c r="F1099" s="2"/>
      <c r="G1099" s="21"/>
      <c r="H1099" s="4"/>
      <c r="I1099" s="4"/>
      <c r="J1099" s="4"/>
      <c r="K1099" s="2"/>
      <c r="L1099" s="22"/>
      <c r="N1099" s="2"/>
      <c r="Q1099" s="2"/>
    </row>
    <row r="1100" spans="1:17" ht="18" customHeight="1" x14ac:dyDescent="0.2">
      <c r="A1100" s="27"/>
      <c r="B1100" s="27"/>
      <c r="C1100" s="27"/>
      <c r="D1100" s="27"/>
      <c r="E1100" s="27"/>
      <c r="F1100" s="2"/>
      <c r="G1100" s="21"/>
      <c r="H1100" s="4"/>
      <c r="I1100" s="4"/>
      <c r="J1100" s="4"/>
      <c r="K1100" s="2"/>
      <c r="L1100" s="22"/>
      <c r="N1100" s="2"/>
      <c r="Q1100" s="2"/>
    </row>
    <row r="1101" spans="1:17" ht="18" customHeight="1" x14ac:dyDescent="0.2">
      <c r="A1101" s="27"/>
      <c r="B1101" s="27"/>
      <c r="C1101" s="27"/>
      <c r="D1101" s="27"/>
      <c r="E1101" s="27"/>
      <c r="F1101" s="2"/>
      <c r="G1101" s="21"/>
      <c r="H1101" s="4"/>
      <c r="I1101" s="4"/>
      <c r="J1101" s="4"/>
      <c r="K1101" s="2"/>
      <c r="L1101" s="22"/>
      <c r="N1101" s="2"/>
      <c r="Q1101" s="2"/>
    </row>
    <row r="1102" spans="1:17" ht="18" customHeight="1" x14ac:dyDescent="0.2">
      <c r="A1102" s="27"/>
      <c r="B1102" s="27"/>
      <c r="C1102" s="27"/>
      <c r="D1102" s="27"/>
      <c r="E1102" s="27"/>
      <c r="F1102" s="2"/>
      <c r="G1102" s="21"/>
      <c r="H1102" s="4"/>
      <c r="I1102" s="4"/>
      <c r="J1102" s="4"/>
      <c r="K1102" s="2"/>
      <c r="L1102" s="22"/>
      <c r="N1102" s="2"/>
      <c r="Q1102" s="2"/>
    </row>
    <row r="1103" spans="1:17" ht="18" customHeight="1" x14ac:dyDescent="0.2">
      <c r="A1103" s="27"/>
      <c r="B1103" s="27"/>
      <c r="C1103" s="27"/>
      <c r="D1103" s="27"/>
      <c r="E1103" s="27"/>
      <c r="F1103" s="2"/>
      <c r="G1103" s="21"/>
      <c r="H1103" s="4"/>
      <c r="I1103" s="4"/>
      <c r="J1103" s="4"/>
      <c r="K1103" s="2"/>
      <c r="L1103" s="22"/>
      <c r="N1103" s="2"/>
      <c r="Q1103" s="2"/>
    </row>
    <row r="1104" spans="1:17" ht="18" customHeight="1" x14ac:dyDescent="0.2">
      <c r="A1104" s="27"/>
      <c r="B1104" s="27"/>
      <c r="C1104" s="27"/>
      <c r="D1104" s="27"/>
      <c r="E1104" s="27"/>
      <c r="F1104" s="2"/>
      <c r="G1104" s="21"/>
      <c r="H1104" s="4"/>
      <c r="I1104" s="4"/>
      <c r="J1104" s="4"/>
      <c r="K1104" s="2"/>
      <c r="L1104" s="22"/>
      <c r="N1104" s="2"/>
      <c r="Q1104" s="2"/>
    </row>
    <row r="1105" spans="1:17" ht="18" customHeight="1" x14ac:dyDescent="0.2">
      <c r="A1105" s="27"/>
      <c r="B1105" s="27"/>
      <c r="C1105" s="27"/>
      <c r="D1105" s="27"/>
      <c r="E1105" s="27"/>
      <c r="F1105" s="2"/>
      <c r="G1105" s="21"/>
      <c r="H1105" s="4"/>
      <c r="I1105" s="4"/>
      <c r="J1105" s="4"/>
      <c r="K1105" s="2"/>
      <c r="L1105" s="22"/>
      <c r="N1105" s="2"/>
      <c r="Q1105" s="2"/>
    </row>
    <row r="1106" spans="1:17" ht="18" customHeight="1" x14ac:dyDescent="0.2">
      <c r="A1106" s="27"/>
      <c r="B1106" s="27"/>
      <c r="C1106" s="27"/>
      <c r="D1106" s="27"/>
      <c r="E1106" s="27"/>
      <c r="F1106" s="2"/>
      <c r="G1106" s="21"/>
      <c r="H1106" s="4"/>
      <c r="I1106" s="4"/>
      <c r="J1106" s="4"/>
      <c r="K1106" s="2"/>
      <c r="L1106" s="22"/>
      <c r="N1106" s="2"/>
      <c r="Q1106" s="2"/>
    </row>
    <row r="1107" spans="1:17" ht="18" customHeight="1" x14ac:dyDescent="0.2">
      <c r="A1107" s="27"/>
      <c r="B1107" s="27"/>
      <c r="C1107" s="27"/>
      <c r="D1107" s="27"/>
      <c r="E1107" s="27"/>
      <c r="F1107" s="2"/>
      <c r="G1107" s="21"/>
      <c r="H1107" s="4"/>
      <c r="I1107" s="4"/>
      <c r="J1107" s="4"/>
      <c r="K1107" s="2"/>
      <c r="L1107" s="22"/>
      <c r="N1107" s="2"/>
      <c r="Q1107" s="2"/>
    </row>
    <row r="1108" spans="1:17" ht="18" customHeight="1" x14ac:dyDescent="0.2">
      <c r="A1108" s="27"/>
      <c r="B1108" s="27"/>
      <c r="C1108" s="27"/>
      <c r="D1108" s="27"/>
      <c r="E1108" s="27"/>
      <c r="F1108" s="2"/>
      <c r="G1108" s="21"/>
      <c r="H1108" s="4"/>
      <c r="I1108" s="4"/>
      <c r="J1108" s="4"/>
      <c r="K1108" s="2"/>
      <c r="L1108" s="22"/>
      <c r="N1108" s="2"/>
      <c r="Q1108" s="2"/>
    </row>
    <row r="1109" spans="1:17" ht="18" customHeight="1" x14ac:dyDescent="0.2">
      <c r="A1109" s="27"/>
      <c r="B1109" s="27"/>
      <c r="C1109" s="27"/>
      <c r="D1109" s="27"/>
      <c r="E1109" s="27"/>
      <c r="F1109" s="2"/>
      <c r="G1109" s="21"/>
      <c r="H1109" s="4"/>
      <c r="I1109" s="4"/>
      <c r="J1109" s="4"/>
      <c r="K1109" s="2"/>
      <c r="L1109" s="22"/>
      <c r="N1109" s="2"/>
      <c r="Q1109" s="2"/>
    </row>
    <row r="1110" spans="1:17" ht="18" customHeight="1" x14ac:dyDescent="0.2">
      <c r="A1110" s="27"/>
      <c r="B1110" s="27"/>
      <c r="C1110" s="27"/>
      <c r="D1110" s="27"/>
      <c r="E1110" s="27"/>
      <c r="F1110" s="2"/>
      <c r="G1110" s="21"/>
      <c r="H1110" s="4"/>
      <c r="I1110" s="4"/>
      <c r="J1110" s="4"/>
      <c r="K1110" s="2"/>
      <c r="L1110" s="22"/>
      <c r="N1110" s="2"/>
      <c r="Q1110" s="2"/>
    </row>
    <row r="1111" spans="1:17" ht="18" customHeight="1" x14ac:dyDescent="0.2">
      <c r="A1111" s="27"/>
      <c r="B1111" s="27"/>
      <c r="C1111" s="27"/>
      <c r="D1111" s="27"/>
      <c r="E1111" s="27"/>
      <c r="F1111" s="2"/>
      <c r="G1111" s="21"/>
      <c r="H1111" s="4"/>
      <c r="I1111" s="4"/>
      <c r="J1111" s="4"/>
      <c r="K1111" s="2"/>
      <c r="L1111" s="22"/>
      <c r="N1111" s="2"/>
      <c r="Q1111" s="2"/>
    </row>
    <row r="1112" spans="1:17" ht="18" customHeight="1" x14ac:dyDescent="0.2">
      <c r="A1112" s="27"/>
      <c r="B1112" s="27"/>
      <c r="C1112" s="27"/>
      <c r="D1112" s="27"/>
      <c r="E1112" s="27"/>
      <c r="F1112" s="2"/>
      <c r="G1112" s="21"/>
      <c r="H1112" s="4"/>
      <c r="I1112" s="4"/>
      <c r="J1112" s="4"/>
      <c r="K1112" s="2"/>
      <c r="L1112" s="22"/>
      <c r="N1112" s="2"/>
      <c r="Q1112" s="2"/>
    </row>
    <row r="1113" spans="1:17" ht="18" customHeight="1" x14ac:dyDescent="0.2">
      <c r="A1113" s="27"/>
      <c r="B1113" s="27"/>
      <c r="C1113" s="27"/>
      <c r="D1113" s="27"/>
      <c r="E1113" s="27"/>
      <c r="F1113" s="2"/>
      <c r="G1113" s="21"/>
      <c r="H1113" s="4"/>
      <c r="I1113" s="4"/>
      <c r="J1113" s="4"/>
      <c r="K1113" s="2"/>
      <c r="L1113" s="22"/>
      <c r="N1113" s="2"/>
      <c r="Q1113" s="2"/>
    </row>
    <row r="1114" spans="1:17" ht="18" customHeight="1" x14ac:dyDescent="0.2">
      <c r="A1114" s="27"/>
      <c r="B1114" s="27"/>
      <c r="C1114" s="27"/>
      <c r="D1114" s="27"/>
      <c r="E1114" s="27"/>
      <c r="F1114" s="2"/>
      <c r="G1114" s="21"/>
      <c r="H1114" s="4"/>
      <c r="I1114" s="4"/>
      <c r="J1114" s="4"/>
      <c r="K1114" s="2"/>
      <c r="L1114" s="22"/>
      <c r="N1114" s="2"/>
      <c r="Q1114" s="2"/>
    </row>
    <row r="1115" spans="1:17" ht="18" customHeight="1" x14ac:dyDescent="0.2">
      <c r="A1115" s="27"/>
      <c r="B1115" s="27"/>
      <c r="C1115" s="27"/>
      <c r="D1115" s="27"/>
      <c r="E1115" s="27"/>
      <c r="F1115" s="2"/>
      <c r="G1115" s="21"/>
      <c r="H1115" s="4"/>
      <c r="I1115" s="4"/>
      <c r="J1115" s="4"/>
      <c r="K1115" s="2"/>
      <c r="L1115" s="22"/>
      <c r="N1115" s="2"/>
      <c r="Q1115" s="2"/>
    </row>
    <row r="1116" spans="1:17" ht="18" customHeight="1" x14ac:dyDescent="0.2">
      <c r="A1116" s="27"/>
      <c r="B1116" s="27"/>
      <c r="C1116" s="27"/>
      <c r="D1116" s="27"/>
      <c r="E1116" s="27"/>
      <c r="F1116" s="2"/>
      <c r="G1116" s="21"/>
      <c r="H1116" s="4"/>
      <c r="I1116" s="4"/>
      <c r="J1116" s="4"/>
      <c r="K1116" s="2"/>
      <c r="L1116" s="22"/>
      <c r="N1116" s="2"/>
      <c r="Q1116" s="2"/>
    </row>
    <row r="1117" spans="1:17" ht="18" customHeight="1" x14ac:dyDescent="0.2">
      <c r="A1117" s="27"/>
      <c r="B1117" s="27"/>
      <c r="C1117" s="27"/>
      <c r="D1117" s="27"/>
      <c r="E1117" s="27"/>
      <c r="F1117" s="2"/>
      <c r="G1117" s="21"/>
      <c r="H1117" s="4"/>
      <c r="I1117" s="4"/>
      <c r="J1117" s="4"/>
      <c r="K1117" s="2"/>
      <c r="L1117" s="22"/>
      <c r="N1117" s="2"/>
      <c r="Q1117" s="2"/>
    </row>
    <row r="1118" spans="1:17" ht="18" customHeight="1" x14ac:dyDescent="0.2">
      <c r="A1118" s="27"/>
      <c r="B1118" s="27"/>
      <c r="C1118" s="27"/>
      <c r="D1118" s="27"/>
      <c r="E1118" s="27"/>
      <c r="F1118" s="2"/>
      <c r="G1118" s="21"/>
      <c r="H1118" s="4"/>
      <c r="I1118" s="4"/>
      <c r="J1118" s="4"/>
      <c r="K1118" s="2"/>
      <c r="L1118" s="22"/>
      <c r="N1118" s="2"/>
      <c r="Q1118" s="2"/>
    </row>
    <row r="1119" spans="1:17" ht="18" customHeight="1" x14ac:dyDescent="0.2">
      <c r="A1119" s="27"/>
      <c r="B1119" s="27"/>
      <c r="C1119" s="27"/>
      <c r="D1119" s="27"/>
      <c r="E1119" s="27"/>
      <c r="F1119" s="2"/>
      <c r="G1119" s="21"/>
      <c r="H1119" s="4"/>
      <c r="I1119" s="4"/>
      <c r="J1119" s="4"/>
      <c r="K1119" s="2"/>
      <c r="L1119" s="22"/>
      <c r="N1119" s="2"/>
      <c r="Q1119" s="2"/>
    </row>
    <row r="1120" spans="1:17" ht="18" customHeight="1" x14ac:dyDescent="0.2">
      <c r="A1120" s="27"/>
      <c r="B1120" s="27"/>
      <c r="C1120" s="27"/>
      <c r="D1120" s="27"/>
      <c r="E1120" s="27"/>
      <c r="F1120" s="2"/>
      <c r="G1120" s="21"/>
      <c r="H1120" s="4"/>
      <c r="I1120" s="4"/>
      <c r="J1120" s="4"/>
      <c r="K1120" s="2"/>
      <c r="L1120" s="22"/>
      <c r="N1120" s="2"/>
      <c r="Q1120" s="2"/>
    </row>
    <row r="1121" spans="1:17" ht="18" customHeight="1" x14ac:dyDescent="0.2">
      <c r="A1121" s="27"/>
      <c r="B1121" s="27"/>
      <c r="C1121" s="27"/>
      <c r="D1121" s="27"/>
      <c r="E1121" s="27"/>
      <c r="F1121" s="2"/>
      <c r="G1121" s="21"/>
      <c r="H1121" s="4"/>
      <c r="I1121" s="4"/>
      <c r="J1121" s="4"/>
      <c r="K1121" s="2"/>
      <c r="L1121" s="22"/>
      <c r="N1121" s="2"/>
      <c r="Q1121" s="2"/>
    </row>
    <row r="1122" spans="1:17" ht="18" customHeight="1" x14ac:dyDescent="0.2">
      <c r="A1122" s="27"/>
      <c r="B1122" s="27"/>
      <c r="C1122" s="27"/>
      <c r="D1122" s="27"/>
      <c r="E1122" s="27"/>
      <c r="F1122" s="2"/>
      <c r="G1122" s="21"/>
      <c r="H1122" s="4"/>
      <c r="I1122" s="4"/>
      <c r="J1122" s="4"/>
      <c r="K1122" s="2"/>
      <c r="L1122" s="22"/>
      <c r="N1122" s="2"/>
      <c r="Q1122" s="2"/>
    </row>
    <row r="1123" spans="1:17" ht="18" customHeight="1" x14ac:dyDescent="0.2">
      <c r="A1123" s="27"/>
      <c r="B1123" s="27"/>
      <c r="C1123" s="27"/>
      <c r="D1123" s="27"/>
      <c r="E1123" s="27"/>
      <c r="F1123" s="2"/>
      <c r="G1123" s="21"/>
      <c r="H1123" s="4"/>
      <c r="I1123" s="4"/>
      <c r="J1123" s="4"/>
      <c r="K1123" s="2"/>
      <c r="L1123" s="22"/>
      <c r="N1123" s="2"/>
      <c r="Q1123" s="2"/>
    </row>
    <row r="1124" spans="1:17" ht="18" customHeight="1" x14ac:dyDescent="0.2">
      <c r="A1124" s="27"/>
      <c r="B1124" s="27"/>
      <c r="C1124" s="27"/>
      <c r="D1124" s="27"/>
      <c r="E1124" s="27"/>
      <c r="F1124" s="2"/>
      <c r="G1124" s="21"/>
      <c r="H1124" s="4"/>
      <c r="I1124" s="4"/>
      <c r="J1124" s="4"/>
      <c r="K1124" s="2"/>
      <c r="L1124" s="22"/>
      <c r="N1124" s="2"/>
      <c r="Q1124" s="2"/>
    </row>
    <row r="1125" spans="1:17" ht="18" customHeight="1" x14ac:dyDescent="0.2">
      <c r="A1125" s="27"/>
      <c r="B1125" s="27"/>
      <c r="C1125" s="27"/>
      <c r="D1125" s="27"/>
      <c r="E1125" s="27"/>
      <c r="F1125" s="2"/>
      <c r="G1125" s="21"/>
      <c r="H1125" s="4"/>
      <c r="I1125" s="4"/>
      <c r="J1125" s="4"/>
      <c r="K1125" s="2"/>
      <c r="L1125" s="22"/>
      <c r="N1125" s="2"/>
      <c r="Q1125" s="2"/>
    </row>
    <row r="1126" spans="1:17" ht="18" customHeight="1" x14ac:dyDescent="0.2">
      <c r="A1126" s="27"/>
      <c r="B1126" s="27"/>
      <c r="C1126" s="27"/>
      <c r="D1126" s="27"/>
      <c r="E1126" s="27"/>
      <c r="F1126" s="2"/>
      <c r="G1126" s="21"/>
      <c r="H1126" s="4"/>
      <c r="I1126" s="4"/>
      <c r="J1126" s="4"/>
      <c r="K1126" s="2"/>
      <c r="L1126" s="22"/>
      <c r="N1126" s="2"/>
      <c r="Q1126" s="2"/>
    </row>
    <row r="1127" spans="1:17" ht="18" customHeight="1" x14ac:dyDescent="0.2">
      <c r="A1127" s="27"/>
      <c r="B1127" s="27"/>
      <c r="C1127" s="27"/>
      <c r="D1127" s="27"/>
      <c r="E1127" s="27"/>
      <c r="F1127" s="2"/>
      <c r="G1127" s="21"/>
      <c r="H1127" s="4"/>
      <c r="I1127" s="4"/>
      <c r="J1127" s="4"/>
      <c r="K1127" s="2"/>
      <c r="L1127" s="22"/>
      <c r="N1127" s="2"/>
      <c r="Q1127" s="2"/>
    </row>
    <row r="1128" spans="1:17" ht="18" customHeight="1" x14ac:dyDescent="0.2">
      <c r="A1128" s="27"/>
      <c r="B1128" s="27"/>
      <c r="C1128" s="27"/>
      <c r="D1128" s="27"/>
      <c r="E1128" s="27"/>
      <c r="F1128" s="2"/>
      <c r="G1128" s="21"/>
      <c r="H1128" s="4"/>
      <c r="I1128" s="4"/>
      <c r="J1128" s="4"/>
      <c r="K1128" s="2"/>
      <c r="L1128" s="2"/>
      <c r="N1128" s="2"/>
      <c r="Q1128" s="2"/>
    </row>
    <row r="1129" spans="1:17" ht="18" customHeight="1" x14ac:dyDescent="0.2">
      <c r="A1129" s="27"/>
      <c r="B1129" s="27"/>
      <c r="C1129" s="27"/>
      <c r="D1129" s="27"/>
      <c r="E1129" s="27"/>
      <c r="F1129" s="2"/>
      <c r="G1129" s="21"/>
      <c r="H1129" s="4"/>
      <c r="I1129" s="4"/>
      <c r="J1129" s="4"/>
      <c r="K1129" s="2"/>
      <c r="L1129" s="2"/>
      <c r="N1129" s="2"/>
      <c r="Q1129" s="2"/>
    </row>
    <row r="1130" spans="1:17" ht="18" customHeight="1" x14ac:dyDescent="0.2">
      <c r="A1130" s="27"/>
      <c r="B1130" s="27"/>
      <c r="C1130" s="27"/>
      <c r="D1130" s="27"/>
      <c r="E1130" s="27"/>
      <c r="F1130" s="2"/>
      <c r="G1130" s="21"/>
      <c r="H1130" s="4"/>
      <c r="I1130" s="4"/>
      <c r="J1130" s="4"/>
      <c r="K1130" s="2"/>
      <c r="L1130" s="2"/>
      <c r="N1130" s="2"/>
      <c r="Q1130" s="2"/>
    </row>
    <row r="1131" spans="1:17" ht="18" customHeight="1" x14ac:dyDescent="0.2">
      <c r="A1131" s="27"/>
      <c r="B1131" s="27"/>
      <c r="C1131" s="27"/>
      <c r="D1131" s="27"/>
      <c r="E1131" s="27"/>
      <c r="F1131" s="2"/>
      <c r="G1131" s="21"/>
      <c r="H1131" s="4"/>
      <c r="I1131" s="4"/>
      <c r="J1131" s="4"/>
      <c r="K1131" s="2"/>
      <c r="L1131" s="2"/>
      <c r="N1131" s="2"/>
      <c r="Q1131" s="2"/>
    </row>
    <row r="1132" spans="1:17" ht="18" customHeight="1" x14ac:dyDescent="0.2">
      <c r="A1132" s="27"/>
      <c r="B1132" s="27"/>
      <c r="C1132" s="27"/>
      <c r="D1132" s="27"/>
      <c r="E1132" s="27"/>
      <c r="F1132" s="2"/>
      <c r="G1132" s="21"/>
      <c r="H1132" s="4"/>
      <c r="I1132" s="4"/>
      <c r="J1132" s="4"/>
      <c r="K1132" s="2"/>
      <c r="L1132" s="2"/>
      <c r="N1132" s="2"/>
      <c r="Q1132" s="2"/>
    </row>
    <row r="1133" spans="1:17" ht="18" customHeight="1" x14ac:dyDescent="0.2">
      <c r="A1133" s="27"/>
      <c r="B1133" s="27"/>
      <c r="C1133" s="27"/>
      <c r="D1133" s="27"/>
      <c r="E1133" s="27"/>
      <c r="F1133" s="2"/>
      <c r="G1133" s="21"/>
      <c r="H1133" s="4"/>
      <c r="I1133" s="4"/>
      <c r="J1133" s="4"/>
      <c r="K1133" s="2"/>
      <c r="L1133" s="2"/>
      <c r="N1133" s="2"/>
      <c r="Q1133" s="2"/>
    </row>
    <row r="1134" spans="1:17" ht="18" customHeight="1" x14ac:dyDescent="0.2">
      <c r="A1134" s="27"/>
      <c r="B1134" s="27"/>
      <c r="C1134" s="27"/>
      <c r="D1134" s="27"/>
      <c r="E1134" s="27"/>
      <c r="F1134" s="2"/>
      <c r="G1134" s="21"/>
      <c r="H1134" s="4"/>
      <c r="I1134" s="4"/>
      <c r="J1134" s="4"/>
      <c r="K1134" s="2"/>
      <c r="L1134" s="2"/>
      <c r="N1134" s="2"/>
      <c r="Q1134" s="2"/>
    </row>
    <row r="1135" spans="1:17" ht="18" customHeight="1" x14ac:dyDescent="0.2">
      <c r="A1135" s="27"/>
      <c r="B1135" s="27"/>
      <c r="C1135" s="27"/>
      <c r="D1135" s="27"/>
      <c r="E1135" s="27"/>
      <c r="F1135" s="2"/>
      <c r="G1135" s="21"/>
      <c r="H1135" s="4"/>
      <c r="I1135" s="4"/>
      <c r="J1135" s="4"/>
      <c r="K1135" s="2"/>
      <c r="L1135" s="2"/>
      <c r="N1135" s="2"/>
      <c r="Q1135" s="2"/>
    </row>
    <row r="1136" spans="1:17" ht="18" customHeight="1" x14ac:dyDescent="0.2">
      <c r="A1136" s="27"/>
      <c r="B1136" s="27"/>
      <c r="C1136" s="27"/>
      <c r="D1136" s="27"/>
      <c r="E1136" s="27"/>
      <c r="F1136" s="2"/>
      <c r="G1136" s="21"/>
      <c r="H1136" s="4"/>
      <c r="I1136" s="4"/>
      <c r="J1136" s="4"/>
      <c r="K1136" s="2"/>
      <c r="L1136" s="2"/>
      <c r="N1136" s="2"/>
      <c r="Q1136" s="2"/>
    </row>
    <row r="1137" spans="1:17" ht="18" customHeight="1" x14ac:dyDescent="0.2">
      <c r="A1137" s="27"/>
      <c r="B1137" s="27"/>
      <c r="C1137" s="27"/>
      <c r="D1137" s="27"/>
      <c r="E1137" s="27"/>
      <c r="F1137" s="2"/>
      <c r="G1137" s="21"/>
      <c r="H1137" s="4"/>
      <c r="I1137" s="4"/>
      <c r="J1137" s="4"/>
      <c r="K1137" s="2"/>
      <c r="L1137" s="2"/>
      <c r="N1137" s="2"/>
      <c r="Q1137" s="2"/>
    </row>
    <row r="1138" spans="1:17" ht="18" customHeight="1" x14ac:dyDescent="0.2">
      <c r="A1138" s="27"/>
      <c r="B1138" s="27"/>
      <c r="C1138" s="27"/>
      <c r="D1138" s="27"/>
      <c r="E1138" s="27"/>
      <c r="F1138" s="2"/>
      <c r="G1138" s="21"/>
      <c r="H1138" s="4"/>
      <c r="I1138" s="4"/>
      <c r="J1138" s="4"/>
      <c r="K1138" s="2"/>
      <c r="L1138" s="2"/>
      <c r="N1138" s="2"/>
      <c r="Q1138" s="2"/>
    </row>
    <row r="1139" spans="1:17" ht="18" customHeight="1" x14ac:dyDescent="0.2">
      <c r="A1139" s="27"/>
      <c r="B1139" s="27"/>
      <c r="C1139" s="27"/>
      <c r="D1139" s="27"/>
      <c r="E1139" s="27"/>
      <c r="F1139" s="2"/>
      <c r="G1139" s="21"/>
      <c r="H1139" s="4"/>
      <c r="I1139" s="4"/>
      <c r="J1139" s="4"/>
      <c r="K1139" s="2"/>
      <c r="L1139" s="2"/>
      <c r="N1139" s="2"/>
      <c r="Q1139" s="2"/>
    </row>
    <row r="1140" spans="1:17" ht="18" customHeight="1" x14ac:dyDescent="0.2">
      <c r="A1140" s="27"/>
      <c r="B1140" s="27"/>
      <c r="C1140" s="27"/>
      <c r="D1140" s="27"/>
      <c r="E1140" s="27"/>
      <c r="F1140" s="2"/>
      <c r="G1140" s="21"/>
      <c r="H1140" s="4"/>
      <c r="I1140" s="4"/>
      <c r="J1140" s="4"/>
      <c r="K1140" s="2"/>
      <c r="L1140" s="2"/>
      <c r="N1140" s="2"/>
      <c r="Q1140" s="2"/>
    </row>
    <row r="1141" spans="1:17" ht="18" customHeight="1" x14ac:dyDescent="0.2">
      <c r="A1141" s="27"/>
      <c r="B1141" s="27"/>
      <c r="C1141" s="27"/>
      <c r="D1141" s="27"/>
      <c r="E1141" s="27"/>
      <c r="F1141" s="2"/>
      <c r="G1141" s="21"/>
      <c r="H1141" s="4"/>
      <c r="I1141" s="4"/>
      <c r="J1141" s="4"/>
      <c r="K1141" s="2"/>
      <c r="L1141" s="2"/>
      <c r="N1141" s="2"/>
      <c r="Q1141" s="2"/>
    </row>
    <row r="1142" spans="1:17" ht="18" customHeight="1" x14ac:dyDescent="0.2">
      <c r="A1142" s="27"/>
      <c r="B1142" s="27"/>
      <c r="C1142" s="27"/>
      <c r="D1142" s="27"/>
      <c r="E1142" s="27"/>
      <c r="F1142" s="2"/>
      <c r="G1142" s="21"/>
      <c r="H1142" s="4"/>
      <c r="I1142" s="4"/>
      <c r="J1142" s="4"/>
      <c r="K1142" s="2"/>
      <c r="L1142" s="2"/>
      <c r="N1142" s="2"/>
      <c r="Q1142" s="2"/>
    </row>
    <row r="1143" spans="1:17" ht="18" customHeight="1" x14ac:dyDescent="0.2">
      <c r="A1143" s="27"/>
      <c r="B1143" s="27"/>
      <c r="C1143" s="27"/>
      <c r="D1143" s="27"/>
      <c r="E1143" s="27"/>
      <c r="F1143" s="2"/>
      <c r="G1143" s="21"/>
      <c r="H1143" s="4"/>
      <c r="I1143" s="4"/>
      <c r="J1143" s="4"/>
      <c r="K1143" s="2"/>
      <c r="L1143" s="2"/>
      <c r="N1143" s="2"/>
      <c r="Q1143" s="2"/>
    </row>
    <row r="1144" spans="1:17" ht="18" customHeight="1" x14ac:dyDescent="0.2">
      <c r="A1144" s="27"/>
      <c r="B1144" s="27"/>
      <c r="C1144" s="27"/>
      <c r="D1144" s="27"/>
      <c r="E1144" s="27"/>
      <c r="F1144" s="2"/>
      <c r="G1144" s="21"/>
      <c r="H1144" s="4"/>
      <c r="I1144" s="4"/>
      <c r="J1144" s="4"/>
      <c r="K1144" s="2"/>
      <c r="L1144" s="2"/>
      <c r="N1144" s="2"/>
      <c r="Q1144" s="2"/>
    </row>
    <row r="1145" spans="1:17" ht="18" customHeight="1" x14ac:dyDescent="0.2">
      <c r="A1145" s="27"/>
      <c r="B1145" s="27"/>
      <c r="C1145" s="27"/>
      <c r="D1145" s="27"/>
      <c r="E1145" s="27"/>
      <c r="F1145" s="2"/>
      <c r="G1145" s="21"/>
      <c r="H1145" s="4"/>
      <c r="I1145" s="4"/>
      <c r="J1145" s="4"/>
      <c r="K1145" s="2"/>
      <c r="L1145" s="2"/>
      <c r="N1145" s="2"/>
      <c r="Q1145" s="2"/>
    </row>
    <row r="1146" spans="1:17" ht="18" customHeight="1" x14ac:dyDescent="0.2">
      <c r="A1146" s="27"/>
      <c r="B1146" s="27"/>
      <c r="C1146" s="27"/>
      <c r="D1146" s="27"/>
      <c r="E1146" s="27"/>
      <c r="F1146" s="2"/>
      <c r="G1146" s="21"/>
      <c r="H1146" s="4"/>
      <c r="I1146" s="4"/>
      <c r="J1146" s="4"/>
      <c r="K1146" s="2"/>
      <c r="L1146" s="2"/>
      <c r="N1146" s="2"/>
      <c r="Q1146" s="2"/>
    </row>
    <row r="1147" spans="1:17" ht="18" customHeight="1" x14ac:dyDescent="0.2">
      <c r="A1147" s="27"/>
      <c r="B1147" s="27"/>
      <c r="C1147" s="27"/>
      <c r="D1147" s="27"/>
      <c r="E1147" s="27"/>
      <c r="F1147" s="2"/>
      <c r="G1147" s="21"/>
      <c r="H1147" s="4"/>
      <c r="I1147" s="4"/>
      <c r="J1147" s="4"/>
      <c r="K1147" s="2"/>
      <c r="L1147" s="2"/>
      <c r="N1147" s="2"/>
      <c r="Q1147" s="2"/>
    </row>
    <row r="1148" spans="1:17" ht="18" customHeight="1" x14ac:dyDescent="0.2">
      <c r="A1148" s="27"/>
      <c r="B1148" s="27"/>
      <c r="C1148" s="27"/>
      <c r="D1148" s="27"/>
      <c r="E1148" s="27"/>
      <c r="F1148" s="2"/>
      <c r="G1148" s="21"/>
      <c r="H1148" s="4"/>
      <c r="I1148" s="4"/>
      <c r="J1148" s="4"/>
      <c r="K1148" s="2"/>
      <c r="L1148" s="22"/>
      <c r="N1148" s="2"/>
      <c r="Q1148" s="2"/>
    </row>
    <row r="1149" spans="1:17" ht="18" customHeight="1" x14ac:dyDescent="0.2">
      <c r="A1149" s="27"/>
      <c r="B1149" s="27"/>
      <c r="C1149" s="27"/>
      <c r="D1149" s="27"/>
      <c r="E1149" s="27"/>
      <c r="F1149" s="2"/>
      <c r="G1149" s="21"/>
      <c r="H1149" s="4"/>
      <c r="I1149" s="4"/>
      <c r="J1149" s="4"/>
      <c r="K1149" s="2"/>
      <c r="L1149" s="22"/>
      <c r="N1149" s="2"/>
      <c r="Q1149" s="2"/>
    </row>
    <row r="1150" spans="1:17" ht="18" customHeight="1" x14ac:dyDescent="0.2">
      <c r="A1150" s="27"/>
      <c r="B1150" s="27"/>
      <c r="C1150" s="27"/>
      <c r="D1150" s="27"/>
      <c r="E1150" s="27"/>
      <c r="F1150" s="2"/>
      <c r="G1150" s="21"/>
      <c r="H1150" s="4"/>
      <c r="I1150" s="4"/>
      <c r="J1150" s="4"/>
      <c r="K1150" s="2"/>
      <c r="L1150" s="22"/>
      <c r="N1150" s="2"/>
      <c r="Q1150" s="2"/>
    </row>
    <row r="1151" spans="1:17" ht="18" customHeight="1" x14ac:dyDescent="0.2">
      <c r="A1151" s="27"/>
      <c r="B1151" s="27"/>
      <c r="C1151" s="27"/>
      <c r="D1151" s="27"/>
      <c r="E1151" s="27"/>
      <c r="F1151" s="2"/>
      <c r="G1151" s="21"/>
      <c r="H1151" s="4"/>
      <c r="I1151" s="4"/>
      <c r="J1151" s="4"/>
      <c r="K1151" s="2"/>
      <c r="L1151" s="22"/>
      <c r="N1151" s="2"/>
      <c r="Q1151" s="2"/>
    </row>
    <row r="1152" spans="1:17" ht="18" customHeight="1" x14ac:dyDescent="0.2">
      <c r="A1152" s="27"/>
      <c r="B1152" s="27"/>
      <c r="C1152" s="27"/>
      <c r="D1152" s="27"/>
      <c r="E1152" s="27"/>
      <c r="F1152" s="2"/>
      <c r="G1152" s="21"/>
      <c r="H1152" s="4"/>
      <c r="I1152" s="4"/>
      <c r="J1152" s="4"/>
      <c r="K1152" s="2"/>
      <c r="L1152" s="22"/>
      <c r="N1152" s="2"/>
      <c r="Q1152" s="2"/>
    </row>
    <row r="1153" spans="1:17" ht="18" customHeight="1" x14ac:dyDescent="0.2">
      <c r="A1153" s="27"/>
      <c r="B1153" s="27"/>
      <c r="C1153" s="27"/>
      <c r="D1153" s="27"/>
      <c r="E1153" s="27"/>
      <c r="F1153" s="2"/>
      <c r="G1153" s="21"/>
      <c r="H1153" s="4"/>
      <c r="I1153" s="4"/>
      <c r="J1153" s="4"/>
      <c r="K1153" s="2"/>
      <c r="L1153" s="22"/>
      <c r="N1153" s="2"/>
      <c r="Q1153" s="2"/>
    </row>
    <row r="1154" spans="1:17" ht="18" customHeight="1" x14ac:dyDescent="0.2">
      <c r="A1154" s="27"/>
      <c r="B1154" s="27"/>
      <c r="C1154" s="27"/>
      <c r="D1154" s="27"/>
      <c r="E1154" s="27"/>
      <c r="F1154" s="2"/>
      <c r="G1154" s="21"/>
      <c r="H1154" s="4"/>
      <c r="I1154" s="4"/>
      <c r="J1154" s="4"/>
      <c r="K1154" s="2"/>
      <c r="L1154" s="22"/>
      <c r="N1154" s="2"/>
      <c r="Q1154" s="2"/>
    </row>
    <row r="1155" spans="1:17" ht="18" customHeight="1" x14ac:dyDescent="0.2">
      <c r="A1155" s="27"/>
      <c r="B1155" s="27"/>
      <c r="C1155" s="27"/>
      <c r="D1155" s="27"/>
      <c r="E1155" s="27"/>
      <c r="F1155" s="2"/>
      <c r="G1155" s="21"/>
      <c r="H1155" s="4"/>
      <c r="I1155" s="4"/>
      <c r="J1155" s="4"/>
      <c r="K1155" s="2"/>
      <c r="L1155" s="22"/>
      <c r="N1155" s="2"/>
      <c r="Q1155" s="2"/>
    </row>
    <row r="1156" spans="1:17" ht="18" customHeight="1" x14ac:dyDescent="0.2">
      <c r="A1156" s="27"/>
      <c r="B1156" s="27"/>
      <c r="C1156" s="27"/>
      <c r="D1156" s="27"/>
      <c r="E1156" s="27"/>
      <c r="F1156" s="2"/>
      <c r="G1156" s="21"/>
      <c r="H1156" s="4"/>
      <c r="I1156" s="4"/>
      <c r="J1156" s="4"/>
      <c r="K1156" s="2"/>
      <c r="L1156" s="22"/>
      <c r="N1156" s="2"/>
      <c r="Q1156" s="2"/>
    </row>
    <row r="1157" spans="1:17" ht="18" customHeight="1" x14ac:dyDescent="0.2">
      <c r="A1157" s="27"/>
      <c r="B1157" s="27"/>
      <c r="C1157" s="27"/>
      <c r="D1157" s="27"/>
      <c r="E1157" s="27"/>
      <c r="F1157" s="2"/>
      <c r="G1157" s="21"/>
      <c r="H1157" s="4"/>
      <c r="I1157" s="4"/>
      <c r="J1157" s="4"/>
      <c r="K1157" s="2"/>
      <c r="L1157" s="22"/>
      <c r="N1157" s="2"/>
      <c r="Q1157" s="2"/>
    </row>
    <row r="1158" spans="1:17" ht="18" customHeight="1" x14ac:dyDescent="0.2">
      <c r="A1158" s="27"/>
      <c r="B1158" s="27"/>
      <c r="C1158" s="27"/>
      <c r="D1158" s="27"/>
      <c r="E1158" s="27"/>
      <c r="F1158" s="2"/>
      <c r="G1158" s="21"/>
      <c r="H1158" s="4"/>
      <c r="I1158" s="4"/>
      <c r="J1158" s="4"/>
      <c r="K1158" s="2"/>
      <c r="L1158" s="22"/>
      <c r="N1158" s="2"/>
      <c r="Q1158" s="2"/>
    </row>
    <row r="1159" spans="1:17" ht="18" customHeight="1" x14ac:dyDescent="0.2">
      <c r="A1159" s="27"/>
      <c r="B1159" s="27"/>
      <c r="C1159" s="27"/>
      <c r="D1159" s="27"/>
      <c r="E1159" s="27"/>
      <c r="F1159" s="2"/>
      <c r="G1159" s="21"/>
      <c r="H1159" s="4"/>
      <c r="I1159" s="4"/>
      <c r="J1159" s="4"/>
      <c r="K1159" s="2"/>
      <c r="L1159" s="22"/>
      <c r="N1159" s="2"/>
      <c r="Q1159" s="2"/>
    </row>
    <row r="1160" spans="1:17" ht="18" customHeight="1" x14ac:dyDescent="0.2">
      <c r="A1160" s="27"/>
      <c r="B1160" s="27"/>
      <c r="C1160" s="27"/>
      <c r="D1160" s="27"/>
      <c r="E1160" s="27"/>
      <c r="F1160" s="2"/>
      <c r="G1160" s="21"/>
      <c r="H1160" s="4"/>
      <c r="I1160" s="4"/>
      <c r="J1160" s="4"/>
      <c r="K1160" s="2"/>
      <c r="L1160" s="22"/>
      <c r="N1160" s="2"/>
      <c r="Q1160" s="2"/>
    </row>
    <row r="1161" spans="1:17" ht="18" customHeight="1" x14ac:dyDescent="0.2">
      <c r="A1161" s="27"/>
      <c r="B1161" s="27"/>
      <c r="C1161" s="27"/>
      <c r="D1161" s="27"/>
      <c r="E1161" s="27"/>
      <c r="F1161" s="2"/>
      <c r="G1161" s="21"/>
      <c r="H1161" s="4"/>
      <c r="I1161" s="4"/>
      <c r="J1161" s="4"/>
      <c r="K1161" s="2"/>
      <c r="L1161" s="22"/>
      <c r="N1161" s="2"/>
      <c r="Q1161" s="2"/>
    </row>
    <row r="1162" spans="1:17" ht="18" customHeight="1" x14ac:dyDescent="0.2">
      <c r="A1162" s="27"/>
      <c r="B1162" s="27"/>
      <c r="C1162" s="27"/>
      <c r="D1162" s="27"/>
      <c r="E1162" s="27"/>
      <c r="F1162" s="2"/>
      <c r="G1162" s="21"/>
      <c r="H1162" s="4"/>
      <c r="I1162" s="4"/>
      <c r="J1162" s="4"/>
      <c r="K1162" s="2"/>
      <c r="L1162" s="22"/>
      <c r="N1162" s="2"/>
      <c r="Q1162" s="2"/>
    </row>
    <row r="1163" spans="1:17" ht="18" customHeight="1" x14ac:dyDescent="0.2">
      <c r="A1163" s="27"/>
      <c r="B1163" s="27"/>
      <c r="C1163" s="27"/>
      <c r="D1163" s="27"/>
      <c r="E1163" s="27"/>
      <c r="F1163" s="2"/>
      <c r="G1163" s="21"/>
      <c r="H1163" s="4"/>
      <c r="I1163" s="4"/>
      <c r="J1163" s="4"/>
      <c r="K1163" s="2"/>
      <c r="L1163" s="22"/>
      <c r="N1163" s="2"/>
      <c r="Q1163" s="2"/>
    </row>
    <row r="1164" spans="1:17" ht="18" customHeight="1" x14ac:dyDescent="0.2">
      <c r="A1164" s="27"/>
      <c r="B1164" s="27"/>
      <c r="C1164" s="27"/>
      <c r="D1164" s="27"/>
      <c r="E1164" s="27"/>
      <c r="F1164" s="2"/>
      <c r="G1164" s="21"/>
      <c r="H1164" s="4"/>
      <c r="I1164" s="4"/>
      <c r="J1164" s="4"/>
      <c r="K1164" s="2"/>
      <c r="L1164" s="22"/>
      <c r="N1164" s="2"/>
      <c r="Q1164" s="2"/>
    </row>
    <row r="1165" spans="1:17" ht="18" customHeight="1" x14ac:dyDescent="0.2">
      <c r="A1165" s="27"/>
      <c r="B1165" s="27"/>
      <c r="C1165" s="27"/>
      <c r="D1165" s="27"/>
      <c r="E1165" s="27"/>
      <c r="F1165" s="2"/>
      <c r="G1165" s="21"/>
      <c r="H1165" s="4"/>
      <c r="I1165" s="4"/>
      <c r="J1165" s="4"/>
      <c r="K1165" s="2"/>
      <c r="L1165" s="22"/>
      <c r="N1165" s="2"/>
      <c r="Q116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6916-A711-1945-B112-339FB21A50A9}">
  <dimension ref="A1:Q1457"/>
  <sheetViews>
    <sheetView tabSelected="1" topLeftCell="A527" workbookViewId="0">
      <selection activeCell="M547" sqref="M547:M799"/>
    </sheetView>
  </sheetViews>
  <sheetFormatPr baseColWidth="10" defaultRowHeight="16" x14ac:dyDescent="0.2"/>
  <cols>
    <col min="12" max="12" width="10.83203125" style="7"/>
  </cols>
  <sheetData>
    <row r="1" spans="1:17" ht="18" customHeight="1" x14ac:dyDescent="0.2">
      <c r="A1" s="2" t="s">
        <v>109</v>
      </c>
      <c r="B1" s="2" t="s">
        <v>110</v>
      </c>
      <c r="C1" s="2" t="s">
        <v>111</v>
      </c>
      <c r="D1" s="2" t="s">
        <v>112</v>
      </c>
      <c r="E1" s="2" t="s">
        <v>113</v>
      </c>
      <c r="F1" s="2" t="s">
        <v>114</v>
      </c>
      <c r="G1" s="2" t="s">
        <v>941</v>
      </c>
      <c r="H1" s="2" t="s">
        <v>116</v>
      </c>
      <c r="I1" s="2" t="s">
        <v>117</v>
      </c>
      <c r="J1" s="2" t="s">
        <v>118</v>
      </c>
      <c r="K1" s="2" t="s">
        <v>119</v>
      </c>
      <c r="L1" s="8" t="s">
        <v>120</v>
      </c>
      <c r="M1" s="2" t="s">
        <v>121</v>
      </c>
      <c r="N1" s="2" t="s">
        <v>122</v>
      </c>
      <c r="O1" s="2" t="s">
        <v>123</v>
      </c>
      <c r="P1" s="2" t="s">
        <v>4179</v>
      </c>
      <c r="Q1" s="2" t="s">
        <v>4180</v>
      </c>
    </row>
    <row r="2" spans="1:17" ht="18" customHeight="1" x14ac:dyDescent="0.2">
      <c r="A2" s="60" t="s">
        <v>777</v>
      </c>
      <c r="B2" s="60" t="str">
        <f t="shared" ref="B2:B33" si="0">"ch" &amp; RIGHT(H2, 2) &amp; G2</f>
        <v>ch07a</v>
      </c>
      <c r="C2" s="60" t="s">
        <v>4182</v>
      </c>
      <c r="D2" s="60" t="s">
        <v>1636</v>
      </c>
      <c r="E2" s="60" t="s">
        <v>1165</v>
      </c>
      <c r="F2" s="2">
        <v>1</v>
      </c>
      <c r="G2" s="2" t="str">
        <f t="shared" ref="G2:G33" si="1">MID("abcdefghijklmnopqrstuvwxyz",F2,1)</f>
        <v>a</v>
      </c>
      <c r="H2" s="2">
        <v>2007</v>
      </c>
      <c r="I2" s="2" t="str">
        <f t="shared" ref="I2:I12" si="2">B2&amp;"089"</f>
        <v>ch07a089</v>
      </c>
      <c r="J2" s="2" t="s">
        <v>1607</v>
      </c>
      <c r="K2" s="8" t="s">
        <v>1600</v>
      </c>
      <c r="L2"/>
      <c r="M2" s="2" t="s">
        <v>1601</v>
      </c>
      <c r="P2" s="2" t="s">
        <v>1843</v>
      </c>
      <c r="Q2" t="s">
        <v>1127</v>
      </c>
    </row>
    <row r="3" spans="1:17" ht="18" customHeight="1" x14ac:dyDescent="0.2">
      <c r="A3" s="60" t="s">
        <v>777</v>
      </c>
      <c r="B3" s="60" t="str">
        <f t="shared" si="0"/>
        <v>ch08b</v>
      </c>
      <c r="C3" s="60" t="s">
        <v>4182</v>
      </c>
      <c r="D3" s="60" t="s">
        <v>1636</v>
      </c>
      <c r="E3" s="60" t="s">
        <v>1165</v>
      </c>
      <c r="F3" s="2">
        <v>2</v>
      </c>
      <c r="G3" s="2" t="str">
        <f t="shared" si="1"/>
        <v>b</v>
      </c>
      <c r="H3" s="2">
        <v>2008</v>
      </c>
      <c r="I3" s="2" t="str">
        <f t="shared" si="2"/>
        <v>ch08b089</v>
      </c>
      <c r="J3" s="2" t="s">
        <v>1607</v>
      </c>
      <c r="K3" s="8" t="s">
        <v>1600</v>
      </c>
      <c r="L3"/>
      <c r="M3" s="2" t="s">
        <v>1601</v>
      </c>
      <c r="P3" s="2" t="s">
        <v>1843</v>
      </c>
      <c r="Q3" t="s">
        <v>1127</v>
      </c>
    </row>
    <row r="4" spans="1:17" ht="18" customHeight="1" x14ac:dyDescent="0.2">
      <c r="A4" s="60" t="s">
        <v>777</v>
      </c>
      <c r="B4" s="60" t="str">
        <f t="shared" si="0"/>
        <v>ch09c</v>
      </c>
      <c r="C4" s="60" t="s">
        <v>4182</v>
      </c>
      <c r="D4" s="60" t="s">
        <v>1636</v>
      </c>
      <c r="E4" s="60" t="s">
        <v>1165</v>
      </c>
      <c r="F4" s="2">
        <v>3</v>
      </c>
      <c r="G4" s="2" t="str">
        <f t="shared" si="1"/>
        <v>c</v>
      </c>
      <c r="H4" s="2">
        <v>2009</v>
      </c>
      <c r="I4" s="2" t="str">
        <f t="shared" si="2"/>
        <v>ch09c089</v>
      </c>
      <c r="J4" s="2" t="s">
        <v>1607</v>
      </c>
      <c r="K4" s="8" t="s">
        <v>1600</v>
      </c>
      <c r="L4"/>
      <c r="M4" s="2" t="s">
        <v>1601</v>
      </c>
      <c r="P4" s="2" t="s">
        <v>1843</v>
      </c>
      <c r="Q4" t="s">
        <v>1127</v>
      </c>
    </row>
    <row r="5" spans="1:17" ht="18" customHeight="1" x14ac:dyDescent="0.2">
      <c r="A5" s="60" t="s">
        <v>777</v>
      </c>
      <c r="B5" s="60" t="str">
        <f t="shared" si="0"/>
        <v>ch10d</v>
      </c>
      <c r="C5" s="60" t="s">
        <v>4182</v>
      </c>
      <c r="D5" s="60" t="s">
        <v>1636</v>
      </c>
      <c r="E5" s="60" t="s">
        <v>1165</v>
      </c>
      <c r="F5" s="2">
        <v>4</v>
      </c>
      <c r="G5" s="2" t="str">
        <f t="shared" si="1"/>
        <v>d</v>
      </c>
      <c r="H5" s="2">
        <v>2010</v>
      </c>
      <c r="I5" s="2" t="str">
        <f t="shared" si="2"/>
        <v>ch10d089</v>
      </c>
      <c r="J5" s="2" t="s">
        <v>1607</v>
      </c>
      <c r="K5" s="8" t="s">
        <v>1600</v>
      </c>
      <c r="L5"/>
      <c r="M5" s="2" t="s">
        <v>1601</v>
      </c>
      <c r="P5" s="2" t="s">
        <v>1843</v>
      </c>
      <c r="Q5" t="s">
        <v>1127</v>
      </c>
    </row>
    <row r="6" spans="1:17" ht="18" customHeight="1" x14ac:dyDescent="0.2">
      <c r="A6" s="60" t="s">
        <v>777</v>
      </c>
      <c r="B6" s="60" t="str">
        <f t="shared" si="0"/>
        <v>ch11e</v>
      </c>
      <c r="C6" s="60" t="s">
        <v>4182</v>
      </c>
      <c r="D6" s="60" t="s">
        <v>1636</v>
      </c>
      <c r="E6" s="60" t="s">
        <v>1165</v>
      </c>
      <c r="F6" s="2">
        <v>5</v>
      </c>
      <c r="G6" s="2" t="str">
        <f t="shared" si="1"/>
        <v>e</v>
      </c>
      <c r="H6" s="2">
        <v>2011</v>
      </c>
      <c r="I6" s="2" t="str">
        <f t="shared" si="2"/>
        <v>ch11e089</v>
      </c>
      <c r="J6" s="2" t="s">
        <v>1607</v>
      </c>
      <c r="K6" s="8" t="s">
        <v>1600</v>
      </c>
      <c r="L6"/>
      <c r="M6" s="2" t="s">
        <v>1601</v>
      </c>
      <c r="P6" s="2" t="s">
        <v>1843</v>
      </c>
      <c r="Q6" t="s">
        <v>1127</v>
      </c>
    </row>
    <row r="7" spans="1:17" ht="18" customHeight="1" x14ac:dyDescent="0.2">
      <c r="A7" s="60" t="s">
        <v>777</v>
      </c>
      <c r="B7" s="60" t="str">
        <f t="shared" si="0"/>
        <v>ch12f</v>
      </c>
      <c r="C7" s="60" t="s">
        <v>4182</v>
      </c>
      <c r="D7" s="60" t="s">
        <v>1636</v>
      </c>
      <c r="E7" s="60" t="s">
        <v>1165</v>
      </c>
      <c r="F7" s="2">
        <v>6</v>
      </c>
      <c r="G7" s="2" t="str">
        <f t="shared" si="1"/>
        <v>f</v>
      </c>
      <c r="H7" s="2">
        <v>2012</v>
      </c>
      <c r="I7" s="2" t="str">
        <f t="shared" si="2"/>
        <v>ch12f089</v>
      </c>
      <c r="J7" s="2" t="s">
        <v>1607</v>
      </c>
      <c r="K7" s="8" t="s">
        <v>1600</v>
      </c>
      <c r="L7"/>
      <c r="M7" s="2" t="s">
        <v>1601</v>
      </c>
      <c r="P7" s="2" t="s">
        <v>1843</v>
      </c>
      <c r="Q7" t="s">
        <v>1127</v>
      </c>
    </row>
    <row r="8" spans="1:17" ht="18" customHeight="1" x14ac:dyDescent="0.2">
      <c r="A8" s="60" t="s">
        <v>777</v>
      </c>
      <c r="B8" s="60" t="str">
        <f t="shared" si="0"/>
        <v>ch13g</v>
      </c>
      <c r="C8" s="60" t="s">
        <v>4182</v>
      </c>
      <c r="D8" s="60" t="s">
        <v>1636</v>
      </c>
      <c r="E8" s="60" t="s">
        <v>1165</v>
      </c>
      <c r="F8" s="2">
        <v>7</v>
      </c>
      <c r="G8" s="2" t="str">
        <f t="shared" si="1"/>
        <v>g</v>
      </c>
      <c r="H8" s="2">
        <v>2013</v>
      </c>
      <c r="I8" s="2" t="str">
        <f t="shared" si="2"/>
        <v>ch13g089</v>
      </c>
      <c r="J8" s="2" t="s">
        <v>1607</v>
      </c>
      <c r="K8" s="8" t="s">
        <v>1600</v>
      </c>
      <c r="L8"/>
      <c r="M8" s="2" t="s">
        <v>1601</v>
      </c>
      <c r="P8" s="2" t="s">
        <v>1843</v>
      </c>
      <c r="Q8" t="s">
        <v>1127</v>
      </c>
    </row>
    <row r="9" spans="1:17" ht="18" customHeight="1" x14ac:dyDescent="0.2">
      <c r="A9" s="60" t="s">
        <v>777</v>
      </c>
      <c r="B9" s="60" t="str">
        <f t="shared" si="0"/>
        <v>ch15h</v>
      </c>
      <c r="C9" s="60" t="s">
        <v>4182</v>
      </c>
      <c r="D9" s="60" t="s">
        <v>1636</v>
      </c>
      <c r="E9" s="60" t="s">
        <v>1165</v>
      </c>
      <c r="F9" s="2">
        <v>8</v>
      </c>
      <c r="G9" s="2" t="str">
        <f t="shared" si="1"/>
        <v>h</v>
      </c>
      <c r="H9" s="2">
        <v>2015</v>
      </c>
      <c r="I9" s="2" t="str">
        <f t="shared" si="2"/>
        <v>ch15h089</v>
      </c>
      <c r="J9" s="2" t="s">
        <v>1607</v>
      </c>
      <c r="K9" s="8" t="s">
        <v>1600</v>
      </c>
      <c r="L9"/>
      <c r="M9" s="2" t="s">
        <v>1601</v>
      </c>
      <c r="P9" s="2" t="s">
        <v>1843</v>
      </c>
      <c r="Q9" t="s">
        <v>1127</v>
      </c>
    </row>
    <row r="10" spans="1:17" ht="18" customHeight="1" x14ac:dyDescent="0.2">
      <c r="A10" s="60" t="s">
        <v>777</v>
      </c>
      <c r="B10" s="60" t="str">
        <f t="shared" si="0"/>
        <v>ch16i</v>
      </c>
      <c r="C10" s="60" t="s">
        <v>4182</v>
      </c>
      <c r="D10" s="60" t="s">
        <v>1636</v>
      </c>
      <c r="E10" s="60" t="s">
        <v>1165</v>
      </c>
      <c r="F10" s="2">
        <v>9</v>
      </c>
      <c r="G10" s="2" t="str">
        <f t="shared" si="1"/>
        <v>i</v>
      </c>
      <c r="H10" s="2">
        <v>2016</v>
      </c>
      <c r="I10" s="2" t="str">
        <f t="shared" si="2"/>
        <v>ch16i089</v>
      </c>
      <c r="J10" s="2" t="s">
        <v>1607</v>
      </c>
      <c r="K10" s="8" t="s">
        <v>1600</v>
      </c>
      <c r="L10"/>
      <c r="M10" s="2" t="s">
        <v>1601</v>
      </c>
      <c r="P10" s="2" t="s">
        <v>1843</v>
      </c>
      <c r="Q10" t="s">
        <v>1127</v>
      </c>
    </row>
    <row r="11" spans="1:17" ht="18" customHeight="1" x14ac:dyDescent="0.2">
      <c r="A11" s="60" t="s">
        <v>777</v>
      </c>
      <c r="B11" s="60" t="str">
        <f t="shared" si="0"/>
        <v>ch17j</v>
      </c>
      <c r="C11" s="60" t="s">
        <v>4182</v>
      </c>
      <c r="D11" s="60" t="s">
        <v>1636</v>
      </c>
      <c r="E11" s="60" t="s">
        <v>1165</v>
      </c>
      <c r="F11" s="2">
        <v>10</v>
      </c>
      <c r="G11" s="2" t="str">
        <f t="shared" si="1"/>
        <v>j</v>
      </c>
      <c r="H11" s="2">
        <v>2017</v>
      </c>
      <c r="I11" s="2" t="str">
        <f t="shared" si="2"/>
        <v>ch17j089</v>
      </c>
      <c r="J11" s="2" t="s">
        <v>1607</v>
      </c>
      <c r="K11" s="8" t="s">
        <v>1600</v>
      </c>
      <c r="L11"/>
      <c r="M11" s="2" t="s">
        <v>1601</v>
      </c>
      <c r="P11" s="2" t="s">
        <v>1843</v>
      </c>
      <c r="Q11" t="s">
        <v>1127</v>
      </c>
    </row>
    <row r="12" spans="1:17" ht="18" customHeight="1" x14ac:dyDescent="0.2">
      <c r="A12" s="60" t="s">
        <v>777</v>
      </c>
      <c r="B12" s="60" t="str">
        <f t="shared" si="0"/>
        <v>ch18k</v>
      </c>
      <c r="C12" s="60" t="s">
        <v>4182</v>
      </c>
      <c r="D12" s="60" t="s">
        <v>1636</v>
      </c>
      <c r="E12" s="60" t="s">
        <v>1165</v>
      </c>
      <c r="F12" s="2">
        <v>11</v>
      </c>
      <c r="G12" s="2" t="str">
        <f t="shared" si="1"/>
        <v>k</v>
      </c>
      <c r="H12" s="2">
        <v>2018</v>
      </c>
      <c r="I12" s="2" t="str">
        <f t="shared" si="2"/>
        <v>ch18k089</v>
      </c>
      <c r="J12" s="2" t="s">
        <v>1607</v>
      </c>
      <c r="K12" s="8" t="s">
        <v>1600</v>
      </c>
      <c r="L12"/>
      <c r="M12" s="2" t="s">
        <v>1601</v>
      </c>
      <c r="P12" s="2" t="s">
        <v>1843</v>
      </c>
      <c r="Q12" t="s">
        <v>1127</v>
      </c>
    </row>
    <row r="13" spans="1:17" ht="18" customHeight="1" x14ac:dyDescent="0.2">
      <c r="A13" s="60" t="s">
        <v>777</v>
      </c>
      <c r="B13" s="60" t="str">
        <f t="shared" si="0"/>
        <v>ch07a</v>
      </c>
      <c r="C13" s="60" t="s">
        <v>4182</v>
      </c>
      <c r="D13" s="60" t="s">
        <v>1636</v>
      </c>
      <c r="E13" s="60" t="s">
        <v>1232</v>
      </c>
      <c r="F13" s="2">
        <v>1</v>
      </c>
      <c r="G13" s="2" t="str">
        <f t="shared" si="1"/>
        <v>a</v>
      </c>
      <c r="H13" s="2">
        <v>2007</v>
      </c>
      <c r="I13" s="2" t="str">
        <f t="shared" ref="I13:I23" si="3">B13&amp;"085"</f>
        <v>ch07a085</v>
      </c>
      <c r="J13" s="2" t="s">
        <v>1609</v>
      </c>
      <c r="K13" s="8" t="s">
        <v>1600</v>
      </c>
      <c r="L13"/>
      <c r="M13" s="2" t="s">
        <v>1601</v>
      </c>
      <c r="P13" s="2" t="s">
        <v>1843</v>
      </c>
      <c r="Q13" t="s">
        <v>1127</v>
      </c>
    </row>
    <row r="14" spans="1:17" ht="18" customHeight="1" x14ac:dyDescent="0.2">
      <c r="A14" s="60" t="s">
        <v>777</v>
      </c>
      <c r="B14" s="60" t="str">
        <f t="shared" si="0"/>
        <v>ch08b</v>
      </c>
      <c r="C14" s="60" t="s">
        <v>4182</v>
      </c>
      <c r="D14" s="60" t="s">
        <v>1636</v>
      </c>
      <c r="E14" s="60" t="s">
        <v>1232</v>
      </c>
      <c r="F14" s="2">
        <v>2</v>
      </c>
      <c r="G14" s="2" t="str">
        <f t="shared" si="1"/>
        <v>b</v>
      </c>
      <c r="H14" s="2">
        <v>2008</v>
      </c>
      <c r="I14" s="2" t="str">
        <f t="shared" si="3"/>
        <v>ch08b085</v>
      </c>
      <c r="J14" s="2" t="s">
        <v>1609</v>
      </c>
      <c r="K14" s="8" t="s">
        <v>1600</v>
      </c>
      <c r="L14"/>
      <c r="M14" s="2" t="s">
        <v>1601</v>
      </c>
      <c r="P14" s="2" t="s">
        <v>1843</v>
      </c>
      <c r="Q14" t="s">
        <v>1127</v>
      </c>
    </row>
    <row r="15" spans="1:17" ht="18" customHeight="1" x14ac:dyDescent="0.2">
      <c r="A15" s="60" t="s">
        <v>777</v>
      </c>
      <c r="B15" s="60" t="str">
        <f t="shared" si="0"/>
        <v>ch09c</v>
      </c>
      <c r="C15" s="60" t="s">
        <v>4182</v>
      </c>
      <c r="D15" s="60" t="s">
        <v>1636</v>
      </c>
      <c r="E15" s="60" t="s">
        <v>1232</v>
      </c>
      <c r="F15" s="2">
        <v>3</v>
      </c>
      <c r="G15" s="2" t="str">
        <f t="shared" si="1"/>
        <v>c</v>
      </c>
      <c r="H15" s="2">
        <v>2009</v>
      </c>
      <c r="I15" s="2" t="str">
        <f t="shared" si="3"/>
        <v>ch09c085</v>
      </c>
      <c r="J15" s="2" t="s">
        <v>1609</v>
      </c>
      <c r="K15" s="8" t="s">
        <v>1600</v>
      </c>
      <c r="L15"/>
      <c r="M15" s="2" t="s">
        <v>1601</v>
      </c>
      <c r="P15" s="2" t="s">
        <v>1843</v>
      </c>
      <c r="Q15" t="s">
        <v>1127</v>
      </c>
    </row>
    <row r="16" spans="1:17" ht="18" customHeight="1" x14ac:dyDescent="0.2">
      <c r="A16" s="60" t="s">
        <v>777</v>
      </c>
      <c r="B16" s="60" t="str">
        <f t="shared" si="0"/>
        <v>ch10d</v>
      </c>
      <c r="C16" s="60" t="s">
        <v>4182</v>
      </c>
      <c r="D16" s="60" t="s">
        <v>1636</v>
      </c>
      <c r="E16" s="60" t="s">
        <v>1232</v>
      </c>
      <c r="F16" s="2">
        <v>4</v>
      </c>
      <c r="G16" s="2" t="str">
        <f t="shared" si="1"/>
        <v>d</v>
      </c>
      <c r="H16" s="2">
        <v>2010</v>
      </c>
      <c r="I16" s="2" t="str">
        <f t="shared" si="3"/>
        <v>ch10d085</v>
      </c>
      <c r="J16" s="2" t="s">
        <v>1609</v>
      </c>
      <c r="K16" s="8" t="s">
        <v>1600</v>
      </c>
      <c r="L16"/>
      <c r="M16" s="2" t="s">
        <v>1601</v>
      </c>
      <c r="P16" s="2" t="s">
        <v>1843</v>
      </c>
      <c r="Q16" t="s">
        <v>1127</v>
      </c>
    </row>
    <row r="17" spans="1:17" ht="18" customHeight="1" x14ac:dyDescent="0.2">
      <c r="A17" s="60" t="s">
        <v>777</v>
      </c>
      <c r="B17" s="60" t="str">
        <f t="shared" si="0"/>
        <v>ch11e</v>
      </c>
      <c r="C17" s="60" t="s">
        <v>4182</v>
      </c>
      <c r="D17" s="60" t="s">
        <v>1636</v>
      </c>
      <c r="E17" s="60" t="s">
        <v>1232</v>
      </c>
      <c r="F17" s="2">
        <v>5</v>
      </c>
      <c r="G17" s="2" t="str">
        <f t="shared" si="1"/>
        <v>e</v>
      </c>
      <c r="H17" s="2">
        <v>2011</v>
      </c>
      <c r="I17" s="2" t="str">
        <f t="shared" si="3"/>
        <v>ch11e085</v>
      </c>
      <c r="J17" s="2" t="s">
        <v>1609</v>
      </c>
      <c r="K17" s="8" t="s">
        <v>1600</v>
      </c>
      <c r="L17"/>
      <c r="M17" s="2" t="s">
        <v>1601</v>
      </c>
      <c r="P17" s="2" t="s">
        <v>1843</v>
      </c>
      <c r="Q17" t="s">
        <v>1127</v>
      </c>
    </row>
    <row r="18" spans="1:17" ht="18" customHeight="1" x14ac:dyDescent="0.2">
      <c r="A18" s="60" t="s">
        <v>777</v>
      </c>
      <c r="B18" s="60" t="str">
        <f t="shared" si="0"/>
        <v>ch12f</v>
      </c>
      <c r="C18" s="60" t="s">
        <v>4182</v>
      </c>
      <c r="D18" s="60" t="s">
        <v>1636</v>
      </c>
      <c r="E18" s="60" t="s">
        <v>1232</v>
      </c>
      <c r="F18" s="2">
        <v>6</v>
      </c>
      <c r="G18" s="2" t="str">
        <f t="shared" si="1"/>
        <v>f</v>
      </c>
      <c r="H18" s="2">
        <v>2012</v>
      </c>
      <c r="I18" s="2" t="str">
        <f t="shared" si="3"/>
        <v>ch12f085</v>
      </c>
      <c r="J18" s="2" t="s">
        <v>1609</v>
      </c>
      <c r="K18" s="8" t="s">
        <v>1600</v>
      </c>
      <c r="L18"/>
      <c r="M18" s="2" t="s">
        <v>1601</v>
      </c>
      <c r="P18" s="2" t="s">
        <v>1843</v>
      </c>
      <c r="Q18" t="s">
        <v>1127</v>
      </c>
    </row>
    <row r="19" spans="1:17" ht="18" customHeight="1" x14ac:dyDescent="0.2">
      <c r="A19" s="60" t="s">
        <v>777</v>
      </c>
      <c r="B19" s="60" t="str">
        <f t="shared" si="0"/>
        <v>ch13g</v>
      </c>
      <c r="C19" s="60" t="s">
        <v>4182</v>
      </c>
      <c r="D19" s="60" t="s">
        <v>1636</v>
      </c>
      <c r="E19" s="60" t="s">
        <v>1232</v>
      </c>
      <c r="F19" s="2">
        <v>7</v>
      </c>
      <c r="G19" s="2" t="str">
        <f t="shared" si="1"/>
        <v>g</v>
      </c>
      <c r="H19" s="2">
        <v>2013</v>
      </c>
      <c r="I19" s="2" t="str">
        <f t="shared" si="3"/>
        <v>ch13g085</v>
      </c>
      <c r="J19" s="2" t="s">
        <v>1609</v>
      </c>
      <c r="K19" s="8" t="s">
        <v>1600</v>
      </c>
      <c r="L19"/>
      <c r="M19" s="2" t="s">
        <v>1601</v>
      </c>
      <c r="P19" s="2" t="s">
        <v>1843</v>
      </c>
      <c r="Q19" t="s">
        <v>1127</v>
      </c>
    </row>
    <row r="20" spans="1:17" ht="18" customHeight="1" x14ac:dyDescent="0.2">
      <c r="A20" s="60" t="s">
        <v>777</v>
      </c>
      <c r="B20" s="60" t="str">
        <f t="shared" si="0"/>
        <v>ch15h</v>
      </c>
      <c r="C20" s="60" t="s">
        <v>4182</v>
      </c>
      <c r="D20" s="60" t="s">
        <v>1636</v>
      </c>
      <c r="E20" s="60" t="s">
        <v>1232</v>
      </c>
      <c r="F20" s="2">
        <v>8</v>
      </c>
      <c r="G20" s="2" t="str">
        <f t="shared" si="1"/>
        <v>h</v>
      </c>
      <c r="H20" s="2">
        <v>2015</v>
      </c>
      <c r="I20" s="2" t="str">
        <f t="shared" si="3"/>
        <v>ch15h085</v>
      </c>
      <c r="J20" s="2" t="s">
        <v>1609</v>
      </c>
      <c r="K20" s="8" t="s">
        <v>1600</v>
      </c>
      <c r="L20"/>
      <c r="M20" s="2" t="s">
        <v>1601</v>
      </c>
      <c r="P20" s="2" t="s">
        <v>1843</v>
      </c>
      <c r="Q20" t="s">
        <v>1127</v>
      </c>
    </row>
    <row r="21" spans="1:17" ht="18" customHeight="1" x14ac:dyDescent="0.2">
      <c r="A21" s="60" t="s">
        <v>777</v>
      </c>
      <c r="B21" s="60" t="str">
        <f t="shared" si="0"/>
        <v>ch16i</v>
      </c>
      <c r="C21" s="60" t="s">
        <v>4182</v>
      </c>
      <c r="D21" s="60" t="s">
        <v>1636</v>
      </c>
      <c r="E21" s="60" t="s">
        <v>1232</v>
      </c>
      <c r="F21" s="2">
        <v>9</v>
      </c>
      <c r="G21" s="2" t="str">
        <f t="shared" si="1"/>
        <v>i</v>
      </c>
      <c r="H21" s="2">
        <v>2016</v>
      </c>
      <c r="I21" s="2" t="str">
        <f t="shared" si="3"/>
        <v>ch16i085</v>
      </c>
      <c r="J21" s="2" t="s">
        <v>1609</v>
      </c>
      <c r="K21" s="8" t="s">
        <v>1600</v>
      </c>
      <c r="L21"/>
      <c r="M21" s="2" t="s">
        <v>1601</v>
      </c>
      <c r="P21" s="2" t="s">
        <v>1843</v>
      </c>
      <c r="Q21" t="s">
        <v>1127</v>
      </c>
    </row>
    <row r="22" spans="1:17" ht="18" customHeight="1" x14ac:dyDescent="0.2">
      <c r="A22" s="60" t="s">
        <v>777</v>
      </c>
      <c r="B22" s="60" t="str">
        <f t="shared" si="0"/>
        <v>ch17j</v>
      </c>
      <c r="C22" s="60" t="s">
        <v>4182</v>
      </c>
      <c r="D22" s="60" t="s">
        <v>1636</v>
      </c>
      <c r="E22" s="60" t="s">
        <v>1232</v>
      </c>
      <c r="F22" s="2">
        <v>10</v>
      </c>
      <c r="G22" s="2" t="str">
        <f t="shared" si="1"/>
        <v>j</v>
      </c>
      <c r="H22" s="2">
        <v>2017</v>
      </c>
      <c r="I22" s="2" t="str">
        <f t="shared" si="3"/>
        <v>ch17j085</v>
      </c>
      <c r="J22" s="2" t="s">
        <v>1609</v>
      </c>
      <c r="K22" s="8" t="s">
        <v>1600</v>
      </c>
      <c r="L22"/>
      <c r="M22" s="2" t="s">
        <v>1601</v>
      </c>
      <c r="P22" s="2" t="s">
        <v>1843</v>
      </c>
      <c r="Q22" t="s">
        <v>1127</v>
      </c>
    </row>
    <row r="23" spans="1:17" ht="18" customHeight="1" x14ac:dyDescent="0.2">
      <c r="A23" s="60" t="s">
        <v>777</v>
      </c>
      <c r="B23" s="60" t="str">
        <f t="shared" si="0"/>
        <v>ch18k</v>
      </c>
      <c r="C23" s="60" t="s">
        <v>4182</v>
      </c>
      <c r="D23" s="60" t="s">
        <v>1636</v>
      </c>
      <c r="E23" s="60" t="s">
        <v>1232</v>
      </c>
      <c r="F23" s="2">
        <v>11</v>
      </c>
      <c r="G23" s="2" t="str">
        <f t="shared" si="1"/>
        <v>k</v>
      </c>
      <c r="H23" s="2">
        <v>2018</v>
      </c>
      <c r="I23" s="2" t="str">
        <f t="shared" si="3"/>
        <v>ch18k085</v>
      </c>
      <c r="J23" s="2" t="s">
        <v>1609</v>
      </c>
      <c r="K23" s="8" t="s">
        <v>1600</v>
      </c>
      <c r="L23"/>
      <c r="M23" s="2" t="s">
        <v>1601</v>
      </c>
      <c r="P23" s="2" t="s">
        <v>1843</v>
      </c>
      <c r="Q23" t="s">
        <v>1127</v>
      </c>
    </row>
    <row r="24" spans="1:17" ht="18" customHeight="1" x14ac:dyDescent="0.2">
      <c r="A24" s="60" t="s">
        <v>777</v>
      </c>
      <c r="B24" s="60" t="str">
        <f t="shared" si="0"/>
        <v>ch07a</v>
      </c>
      <c r="C24" s="60" t="s">
        <v>4182</v>
      </c>
      <c r="D24" s="60" t="s">
        <v>1636</v>
      </c>
      <c r="E24" s="60" t="s">
        <v>1610</v>
      </c>
      <c r="F24" s="2">
        <v>1</v>
      </c>
      <c r="G24" s="2" t="str">
        <f t="shared" si="1"/>
        <v>a</v>
      </c>
      <c r="H24" s="2">
        <v>2007</v>
      </c>
      <c r="I24" s="2" t="str">
        <f t="shared" ref="I24:I34" si="4">B24&amp;"081"</f>
        <v>ch07a081</v>
      </c>
      <c r="J24" s="2" t="s">
        <v>1611</v>
      </c>
      <c r="K24" s="8" t="s">
        <v>1600</v>
      </c>
      <c r="L24"/>
      <c r="M24" s="2" t="s">
        <v>1601</v>
      </c>
      <c r="P24" s="2" t="s">
        <v>1843</v>
      </c>
      <c r="Q24" t="s">
        <v>1127</v>
      </c>
    </row>
    <row r="25" spans="1:17" ht="18" customHeight="1" x14ac:dyDescent="0.2">
      <c r="A25" s="60" t="s">
        <v>777</v>
      </c>
      <c r="B25" s="60" t="str">
        <f t="shared" si="0"/>
        <v>ch08b</v>
      </c>
      <c r="C25" s="60" t="s">
        <v>4182</v>
      </c>
      <c r="D25" s="60" t="s">
        <v>1636</v>
      </c>
      <c r="E25" s="60" t="s">
        <v>1610</v>
      </c>
      <c r="F25" s="2">
        <v>2</v>
      </c>
      <c r="G25" s="2" t="str">
        <f t="shared" si="1"/>
        <v>b</v>
      </c>
      <c r="H25" s="2">
        <v>2008</v>
      </c>
      <c r="I25" s="2" t="str">
        <f t="shared" si="4"/>
        <v>ch08b081</v>
      </c>
      <c r="J25" s="2" t="s">
        <v>1611</v>
      </c>
      <c r="K25" s="8" t="s">
        <v>1600</v>
      </c>
      <c r="L25"/>
      <c r="M25" s="2" t="s">
        <v>1601</v>
      </c>
      <c r="P25" s="2" t="s">
        <v>1843</v>
      </c>
      <c r="Q25" t="s">
        <v>1127</v>
      </c>
    </row>
    <row r="26" spans="1:17" ht="18" customHeight="1" x14ac:dyDescent="0.2">
      <c r="A26" s="60" t="s">
        <v>777</v>
      </c>
      <c r="B26" s="60" t="str">
        <f t="shared" si="0"/>
        <v>ch09c</v>
      </c>
      <c r="C26" s="60" t="s">
        <v>4182</v>
      </c>
      <c r="D26" s="60" t="s">
        <v>1636</v>
      </c>
      <c r="E26" s="60" t="s">
        <v>1610</v>
      </c>
      <c r="F26" s="2">
        <v>3</v>
      </c>
      <c r="G26" s="2" t="str">
        <f t="shared" si="1"/>
        <v>c</v>
      </c>
      <c r="H26" s="2">
        <v>2009</v>
      </c>
      <c r="I26" s="2" t="str">
        <f t="shared" si="4"/>
        <v>ch09c081</v>
      </c>
      <c r="J26" s="2" t="s">
        <v>1611</v>
      </c>
      <c r="K26" s="8" t="s">
        <v>1600</v>
      </c>
      <c r="L26"/>
      <c r="M26" s="2" t="s">
        <v>1601</v>
      </c>
      <c r="P26" s="2" t="s">
        <v>1843</v>
      </c>
      <c r="Q26" t="s">
        <v>1127</v>
      </c>
    </row>
    <row r="27" spans="1:17" ht="18" customHeight="1" x14ac:dyDescent="0.2">
      <c r="A27" s="60" t="s">
        <v>777</v>
      </c>
      <c r="B27" s="60" t="str">
        <f t="shared" si="0"/>
        <v>ch10d</v>
      </c>
      <c r="C27" s="60" t="s">
        <v>4182</v>
      </c>
      <c r="D27" s="60" t="s">
        <v>1636</v>
      </c>
      <c r="E27" s="60" t="s">
        <v>1610</v>
      </c>
      <c r="F27" s="2">
        <v>4</v>
      </c>
      <c r="G27" s="2" t="str">
        <f t="shared" si="1"/>
        <v>d</v>
      </c>
      <c r="H27" s="2">
        <v>2010</v>
      </c>
      <c r="I27" s="2" t="str">
        <f t="shared" si="4"/>
        <v>ch10d081</v>
      </c>
      <c r="J27" s="2" t="s">
        <v>1611</v>
      </c>
      <c r="K27" s="8" t="s">
        <v>1600</v>
      </c>
      <c r="L27"/>
      <c r="M27" s="2" t="s">
        <v>1601</v>
      </c>
      <c r="P27" s="2" t="s">
        <v>1843</v>
      </c>
      <c r="Q27" t="s">
        <v>1127</v>
      </c>
    </row>
    <row r="28" spans="1:17" ht="18" customHeight="1" x14ac:dyDescent="0.2">
      <c r="A28" s="60" t="s">
        <v>777</v>
      </c>
      <c r="B28" s="60" t="str">
        <f t="shared" si="0"/>
        <v>ch11e</v>
      </c>
      <c r="C28" s="60" t="s">
        <v>4182</v>
      </c>
      <c r="D28" s="60" t="s">
        <v>1636</v>
      </c>
      <c r="E28" s="60" t="s">
        <v>1610</v>
      </c>
      <c r="F28" s="2">
        <v>5</v>
      </c>
      <c r="G28" s="2" t="str">
        <f t="shared" si="1"/>
        <v>e</v>
      </c>
      <c r="H28" s="2">
        <v>2011</v>
      </c>
      <c r="I28" s="2" t="str">
        <f t="shared" si="4"/>
        <v>ch11e081</v>
      </c>
      <c r="J28" s="2" t="s">
        <v>1611</v>
      </c>
      <c r="K28" s="8" t="s">
        <v>1600</v>
      </c>
      <c r="L28"/>
      <c r="M28" s="2" t="s">
        <v>1601</v>
      </c>
      <c r="P28" s="2" t="s">
        <v>1843</v>
      </c>
      <c r="Q28" t="s">
        <v>1127</v>
      </c>
    </row>
    <row r="29" spans="1:17" ht="18" customHeight="1" x14ac:dyDescent="0.2">
      <c r="A29" s="60" t="s">
        <v>777</v>
      </c>
      <c r="B29" s="60" t="str">
        <f t="shared" si="0"/>
        <v>ch12f</v>
      </c>
      <c r="C29" s="60" t="s">
        <v>4182</v>
      </c>
      <c r="D29" s="60" t="s">
        <v>1636</v>
      </c>
      <c r="E29" s="60" t="s">
        <v>1610</v>
      </c>
      <c r="F29" s="2">
        <v>6</v>
      </c>
      <c r="G29" s="2" t="str">
        <f t="shared" si="1"/>
        <v>f</v>
      </c>
      <c r="H29" s="2">
        <v>2012</v>
      </c>
      <c r="I29" s="2" t="str">
        <f t="shared" si="4"/>
        <v>ch12f081</v>
      </c>
      <c r="J29" s="2" t="s">
        <v>1611</v>
      </c>
      <c r="K29" s="8" t="s">
        <v>1600</v>
      </c>
      <c r="L29"/>
      <c r="M29" s="2" t="s">
        <v>1601</v>
      </c>
      <c r="P29" s="2" t="s">
        <v>1843</v>
      </c>
      <c r="Q29" t="s">
        <v>1127</v>
      </c>
    </row>
    <row r="30" spans="1:17" ht="18" customHeight="1" x14ac:dyDescent="0.2">
      <c r="A30" s="60" t="s">
        <v>777</v>
      </c>
      <c r="B30" s="60" t="str">
        <f t="shared" si="0"/>
        <v>ch13g</v>
      </c>
      <c r="C30" s="60" t="s">
        <v>4182</v>
      </c>
      <c r="D30" s="60" t="s">
        <v>1636</v>
      </c>
      <c r="E30" s="60" t="s">
        <v>1610</v>
      </c>
      <c r="F30" s="2">
        <v>7</v>
      </c>
      <c r="G30" s="2" t="str">
        <f t="shared" si="1"/>
        <v>g</v>
      </c>
      <c r="H30" s="2">
        <v>2013</v>
      </c>
      <c r="I30" s="2" t="str">
        <f t="shared" si="4"/>
        <v>ch13g081</v>
      </c>
      <c r="J30" s="2" t="s">
        <v>1611</v>
      </c>
      <c r="K30" s="8" t="s">
        <v>1600</v>
      </c>
      <c r="L30"/>
      <c r="M30" s="2" t="s">
        <v>1601</v>
      </c>
      <c r="P30" s="2" t="s">
        <v>1843</v>
      </c>
      <c r="Q30" t="s">
        <v>1127</v>
      </c>
    </row>
    <row r="31" spans="1:17" ht="18" customHeight="1" x14ac:dyDescent="0.2">
      <c r="A31" s="60" t="s">
        <v>777</v>
      </c>
      <c r="B31" s="60" t="str">
        <f t="shared" si="0"/>
        <v>ch15h</v>
      </c>
      <c r="C31" s="60" t="s">
        <v>4182</v>
      </c>
      <c r="D31" s="60" t="s">
        <v>1636</v>
      </c>
      <c r="E31" s="60" t="s">
        <v>1610</v>
      </c>
      <c r="F31" s="2">
        <v>8</v>
      </c>
      <c r="G31" s="2" t="str">
        <f t="shared" si="1"/>
        <v>h</v>
      </c>
      <c r="H31" s="2">
        <v>2015</v>
      </c>
      <c r="I31" s="2" t="str">
        <f t="shared" si="4"/>
        <v>ch15h081</v>
      </c>
      <c r="J31" s="2" t="s">
        <v>1611</v>
      </c>
      <c r="K31" s="8" t="s">
        <v>1600</v>
      </c>
      <c r="L31"/>
      <c r="M31" s="2" t="s">
        <v>1601</v>
      </c>
      <c r="P31" s="2" t="s">
        <v>1843</v>
      </c>
      <c r="Q31" t="s">
        <v>1127</v>
      </c>
    </row>
    <row r="32" spans="1:17" ht="18" customHeight="1" x14ac:dyDescent="0.2">
      <c r="A32" s="60" t="s">
        <v>777</v>
      </c>
      <c r="B32" s="60" t="str">
        <f t="shared" si="0"/>
        <v>ch16i</v>
      </c>
      <c r="C32" s="60" t="s">
        <v>4182</v>
      </c>
      <c r="D32" s="60" t="s">
        <v>1636</v>
      </c>
      <c r="E32" s="60" t="s">
        <v>1610</v>
      </c>
      <c r="F32" s="2">
        <v>9</v>
      </c>
      <c r="G32" s="2" t="str">
        <f t="shared" si="1"/>
        <v>i</v>
      </c>
      <c r="H32" s="2">
        <v>2016</v>
      </c>
      <c r="I32" s="2" t="str">
        <f t="shared" si="4"/>
        <v>ch16i081</v>
      </c>
      <c r="J32" s="2" t="s">
        <v>1611</v>
      </c>
      <c r="K32" s="8" t="s">
        <v>1600</v>
      </c>
      <c r="L32"/>
      <c r="M32" s="2" t="s">
        <v>1601</v>
      </c>
      <c r="P32" s="2" t="s">
        <v>1843</v>
      </c>
      <c r="Q32" t="s">
        <v>1127</v>
      </c>
    </row>
    <row r="33" spans="1:17" ht="18" customHeight="1" x14ac:dyDescent="0.2">
      <c r="A33" s="60" t="s">
        <v>777</v>
      </c>
      <c r="B33" s="60" t="str">
        <f t="shared" si="0"/>
        <v>ch17j</v>
      </c>
      <c r="C33" s="60" t="s">
        <v>4182</v>
      </c>
      <c r="D33" s="60" t="s">
        <v>1636</v>
      </c>
      <c r="E33" s="60" t="s">
        <v>1610</v>
      </c>
      <c r="F33" s="2">
        <v>10</v>
      </c>
      <c r="G33" s="2" t="str">
        <f t="shared" si="1"/>
        <v>j</v>
      </c>
      <c r="H33" s="2">
        <v>2017</v>
      </c>
      <c r="I33" s="2" t="str">
        <f t="shared" si="4"/>
        <v>ch17j081</v>
      </c>
      <c r="J33" s="2" t="s">
        <v>1611</v>
      </c>
      <c r="K33" s="8" t="s">
        <v>1600</v>
      </c>
      <c r="L33"/>
      <c r="M33" s="2" t="s">
        <v>1601</v>
      </c>
      <c r="P33" s="2" t="s">
        <v>1843</v>
      </c>
      <c r="Q33" t="s">
        <v>1127</v>
      </c>
    </row>
    <row r="34" spans="1:17" ht="18" customHeight="1" x14ac:dyDescent="0.2">
      <c r="A34" s="60" t="s">
        <v>777</v>
      </c>
      <c r="B34" s="60" t="str">
        <f t="shared" ref="B34:B57" si="5">"ch" &amp; RIGHT(H34, 2) &amp; G34</f>
        <v>ch18k</v>
      </c>
      <c r="C34" s="60" t="s">
        <v>4182</v>
      </c>
      <c r="D34" s="60" t="s">
        <v>1636</v>
      </c>
      <c r="E34" s="60" t="s">
        <v>1610</v>
      </c>
      <c r="F34" s="2">
        <v>11</v>
      </c>
      <c r="G34" s="2" t="str">
        <f t="shared" ref="G34:G65" si="6">MID("abcdefghijklmnopqrstuvwxyz",F34,1)</f>
        <v>k</v>
      </c>
      <c r="H34" s="2">
        <v>2018</v>
      </c>
      <c r="I34" s="2" t="str">
        <f t="shared" si="4"/>
        <v>ch18k081</v>
      </c>
      <c r="J34" s="2" t="s">
        <v>1611</v>
      </c>
      <c r="K34" s="8" t="s">
        <v>1600</v>
      </c>
      <c r="L34"/>
      <c r="M34" s="2" t="s">
        <v>1601</v>
      </c>
      <c r="P34" s="2" t="s">
        <v>1843</v>
      </c>
      <c r="Q34" t="s">
        <v>1127</v>
      </c>
    </row>
    <row r="35" spans="1:17" ht="18" customHeight="1" x14ac:dyDescent="0.2">
      <c r="A35" s="60" t="s">
        <v>777</v>
      </c>
      <c r="B35" s="60" t="str">
        <f t="shared" si="5"/>
        <v>ch07a</v>
      </c>
      <c r="C35" s="60" t="s">
        <v>4182</v>
      </c>
      <c r="D35" s="60" t="s">
        <v>1636</v>
      </c>
      <c r="E35" s="60" t="s">
        <v>1272</v>
      </c>
      <c r="F35" s="2">
        <v>1</v>
      </c>
      <c r="G35" s="2" t="str">
        <f t="shared" si="6"/>
        <v>a</v>
      </c>
      <c r="H35" s="2">
        <v>2007</v>
      </c>
      <c r="I35" s="2" t="str">
        <f t="shared" ref="I35:I45" si="7">B35&amp;"082"</f>
        <v>ch07a082</v>
      </c>
      <c r="J35" s="2" t="s">
        <v>1612</v>
      </c>
      <c r="K35" s="8" t="s">
        <v>1600</v>
      </c>
      <c r="L35"/>
      <c r="M35" s="2" t="s">
        <v>1601</v>
      </c>
      <c r="P35" s="2" t="s">
        <v>1843</v>
      </c>
      <c r="Q35" t="s">
        <v>1127</v>
      </c>
    </row>
    <row r="36" spans="1:17" ht="18" customHeight="1" x14ac:dyDescent="0.2">
      <c r="A36" s="60" t="s">
        <v>777</v>
      </c>
      <c r="B36" s="60" t="str">
        <f t="shared" si="5"/>
        <v>ch08b</v>
      </c>
      <c r="C36" s="60" t="s">
        <v>4182</v>
      </c>
      <c r="D36" s="60" t="s">
        <v>1636</v>
      </c>
      <c r="E36" s="60" t="s">
        <v>1272</v>
      </c>
      <c r="F36" s="2">
        <v>2</v>
      </c>
      <c r="G36" s="2" t="str">
        <f t="shared" si="6"/>
        <v>b</v>
      </c>
      <c r="H36" s="2">
        <v>2008</v>
      </c>
      <c r="I36" s="2" t="str">
        <f t="shared" si="7"/>
        <v>ch08b082</v>
      </c>
      <c r="J36" s="2" t="s">
        <v>1612</v>
      </c>
      <c r="K36" s="8" t="s">
        <v>1600</v>
      </c>
      <c r="L36"/>
      <c r="M36" s="2" t="s">
        <v>1601</v>
      </c>
      <c r="P36" s="2" t="s">
        <v>1843</v>
      </c>
      <c r="Q36" t="s">
        <v>1127</v>
      </c>
    </row>
    <row r="37" spans="1:17" ht="18" customHeight="1" x14ac:dyDescent="0.2">
      <c r="A37" s="60" t="s">
        <v>777</v>
      </c>
      <c r="B37" s="60" t="str">
        <f t="shared" si="5"/>
        <v>ch09c</v>
      </c>
      <c r="C37" s="60" t="s">
        <v>4182</v>
      </c>
      <c r="D37" s="60" t="s">
        <v>1636</v>
      </c>
      <c r="E37" s="60" t="s">
        <v>1272</v>
      </c>
      <c r="F37" s="2">
        <v>3</v>
      </c>
      <c r="G37" s="2" t="str">
        <f t="shared" si="6"/>
        <v>c</v>
      </c>
      <c r="H37" s="2">
        <v>2009</v>
      </c>
      <c r="I37" s="2" t="str">
        <f t="shared" si="7"/>
        <v>ch09c082</v>
      </c>
      <c r="J37" s="2" t="s">
        <v>1612</v>
      </c>
      <c r="K37" s="8" t="s">
        <v>1600</v>
      </c>
      <c r="L37"/>
      <c r="M37" s="2" t="s">
        <v>1601</v>
      </c>
      <c r="P37" s="2" t="s">
        <v>1843</v>
      </c>
      <c r="Q37" t="s">
        <v>1127</v>
      </c>
    </row>
    <row r="38" spans="1:17" ht="18" customHeight="1" x14ac:dyDescent="0.2">
      <c r="A38" s="60" t="s">
        <v>777</v>
      </c>
      <c r="B38" s="60" t="str">
        <f t="shared" si="5"/>
        <v>ch10d</v>
      </c>
      <c r="C38" s="60" t="s">
        <v>4182</v>
      </c>
      <c r="D38" s="60" t="s">
        <v>1636</v>
      </c>
      <c r="E38" s="60" t="s">
        <v>1272</v>
      </c>
      <c r="F38" s="2">
        <v>4</v>
      </c>
      <c r="G38" s="2" t="str">
        <f t="shared" si="6"/>
        <v>d</v>
      </c>
      <c r="H38" s="2">
        <v>2010</v>
      </c>
      <c r="I38" s="2" t="str">
        <f t="shared" si="7"/>
        <v>ch10d082</v>
      </c>
      <c r="J38" s="2" t="s">
        <v>1612</v>
      </c>
      <c r="K38" s="8" t="s">
        <v>1600</v>
      </c>
      <c r="L38"/>
      <c r="M38" s="2" t="s">
        <v>1601</v>
      </c>
      <c r="P38" s="2" t="s">
        <v>1843</v>
      </c>
      <c r="Q38" t="s">
        <v>1127</v>
      </c>
    </row>
    <row r="39" spans="1:17" ht="18" customHeight="1" x14ac:dyDescent="0.2">
      <c r="A39" s="60" t="s">
        <v>777</v>
      </c>
      <c r="B39" s="60" t="str">
        <f t="shared" si="5"/>
        <v>ch11e</v>
      </c>
      <c r="C39" s="60" t="s">
        <v>4182</v>
      </c>
      <c r="D39" s="60" t="s">
        <v>1636</v>
      </c>
      <c r="E39" s="60" t="s">
        <v>1272</v>
      </c>
      <c r="F39" s="2">
        <v>5</v>
      </c>
      <c r="G39" s="2" t="str">
        <f t="shared" si="6"/>
        <v>e</v>
      </c>
      <c r="H39" s="2">
        <v>2011</v>
      </c>
      <c r="I39" s="2" t="str">
        <f t="shared" si="7"/>
        <v>ch11e082</v>
      </c>
      <c r="J39" s="2" t="s">
        <v>1612</v>
      </c>
      <c r="K39" s="8" t="s">
        <v>1600</v>
      </c>
      <c r="L39"/>
      <c r="M39" s="2" t="s">
        <v>1601</v>
      </c>
      <c r="P39" s="2" t="s">
        <v>1843</v>
      </c>
      <c r="Q39" t="s">
        <v>1127</v>
      </c>
    </row>
    <row r="40" spans="1:17" ht="18" customHeight="1" x14ac:dyDescent="0.2">
      <c r="A40" s="60" t="s">
        <v>777</v>
      </c>
      <c r="B40" s="60" t="str">
        <f t="shared" si="5"/>
        <v>ch12f</v>
      </c>
      <c r="C40" s="60" t="s">
        <v>4182</v>
      </c>
      <c r="D40" s="60" t="s">
        <v>1636</v>
      </c>
      <c r="E40" s="60" t="s">
        <v>1272</v>
      </c>
      <c r="F40" s="2">
        <v>6</v>
      </c>
      <c r="G40" s="2" t="str">
        <f t="shared" si="6"/>
        <v>f</v>
      </c>
      <c r="H40" s="2">
        <v>2012</v>
      </c>
      <c r="I40" s="2" t="str">
        <f t="shared" si="7"/>
        <v>ch12f082</v>
      </c>
      <c r="J40" s="2" t="s">
        <v>1612</v>
      </c>
      <c r="K40" s="8" t="s">
        <v>1600</v>
      </c>
      <c r="L40"/>
      <c r="M40" s="2" t="s">
        <v>1601</v>
      </c>
      <c r="P40" s="2" t="s">
        <v>1843</v>
      </c>
      <c r="Q40" t="s">
        <v>1127</v>
      </c>
    </row>
    <row r="41" spans="1:17" ht="18" customHeight="1" x14ac:dyDescent="0.2">
      <c r="A41" s="60" t="s">
        <v>777</v>
      </c>
      <c r="B41" s="60" t="str">
        <f t="shared" si="5"/>
        <v>ch13g</v>
      </c>
      <c r="C41" s="60" t="s">
        <v>4182</v>
      </c>
      <c r="D41" s="60" t="s">
        <v>1636</v>
      </c>
      <c r="E41" s="60" t="s">
        <v>1272</v>
      </c>
      <c r="F41" s="2">
        <v>7</v>
      </c>
      <c r="G41" s="2" t="str">
        <f t="shared" si="6"/>
        <v>g</v>
      </c>
      <c r="H41" s="2">
        <v>2013</v>
      </c>
      <c r="I41" s="2" t="str">
        <f t="shared" si="7"/>
        <v>ch13g082</v>
      </c>
      <c r="J41" s="2" t="s">
        <v>1612</v>
      </c>
      <c r="K41" s="8" t="s">
        <v>1600</v>
      </c>
      <c r="L41"/>
      <c r="M41" s="2" t="s">
        <v>1601</v>
      </c>
      <c r="P41" s="2" t="s">
        <v>1843</v>
      </c>
      <c r="Q41" t="s">
        <v>1127</v>
      </c>
    </row>
    <row r="42" spans="1:17" ht="18" customHeight="1" x14ac:dyDescent="0.2">
      <c r="A42" s="60" t="s">
        <v>777</v>
      </c>
      <c r="B42" s="60" t="str">
        <f t="shared" si="5"/>
        <v>ch15h</v>
      </c>
      <c r="C42" s="60" t="s">
        <v>4182</v>
      </c>
      <c r="D42" s="60" t="s">
        <v>1636</v>
      </c>
      <c r="E42" s="60" t="s">
        <v>1272</v>
      </c>
      <c r="F42" s="2">
        <v>8</v>
      </c>
      <c r="G42" s="2" t="str">
        <f t="shared" si="6"/>
        <v>h</v>
      </c>
      <c r="H42" s="2">
        <v>2015</v>
      </c>
      <c r="I42" s="2" t="str">
        <f t="shared" si="7"/>
        <v>ch15h082</v>
      </c>
      <c r="J42" s="2" t="s">
        <v>1612</v>
      </c>
      <c r="K42" s="8" t="s">
        <v>1600</v>
      </c>
      <c r="L42"/>
      <c r="M42" s="2" t="s">
        <v>1601</v>
      </c>
      <c r="P42" s="2" t="s">
        <v>1843</v>
      </c>
      <c r="Q42" t="s">
        <v>1127</v>
      </c>
    </row>
    <row r="43" spans="1:17" ht="18" customHeight="1" x14ac:dyDescent="0.2">
      <c r="A43" s="60" t="s">
        <v>777</v>
      </c>
      <c r="B43" s="60" t="str">
        <f t="shared" si="5"/>
        <v>ch16i</v>
      </c>
      <c r="C43" s="60" t="s">
        <v>4182</v>
      </c>
      <c r="D43" s="60" t="s">
        <v>1636</v>
      </c>
      <c r="E43" s="60" t="s">
        <v>1272</v>
      </c>
      <c r="F43" s="2">
        <v>9</v>
      </c>
      <c r="G43" s="2" t="str">
        <f t="shared" si="6"/>
        <v>i</v>
      </c>
      <c r="H43" s="2">
        <v>2016</v>
      </c>
      <c r="I43" s="2" t="str">
        <f t="shared" si="7"/>
        <v>ch16i082</v>
      </c>
      <c r="J43" s="2" t="s">
        <v>1612</v>
      </c>
      <c r="K43" s="8" t="s">
        <v>1600</v>
      </c>
      <c r="L43"/>
      <c r="M43" s="2" t="s">
        <v>1601</v>
      </c>
      <c r="P43" s="2" t="s">
        <v>1843</v>
      </c>
      <c r="Q43" t="s">
        <v>1127</v>
      </c>
    </row>
    <row r="44" spans="1:17" ht="18" customHeight="1" x14ac:dyDescent="0.2">
      <c r="A44" s="60" t="s">
        <v>777</v>
      </c>
      <c r="B44" s="60" t="str">
        <f t="shared" si="5"/>
        <v>ch17j</v>
      </c>
      <c r="C44" s="60" t="s">
        <v>4182</v>
      </c>
      <c r="D44" s="60" t="s">
        <v>1636</v>
      </c>
      <c r="E44" s="60" t="s">
        <v>1272</v>
      </c>
      <c r="F44" s="2">
        <v>10</v>
      </c>
      <c r="G44" s="2" t="str">
        <f t="shared" si="6"/>
        <v>j</v>
      </c>
      <c r="H44" s="2">
        <v>2017</v>
      </c>
      <c r="I44" s="2" t="str">
        <f t="shared" si="7"/>
        <v>ch17j082</v>
      </c>
      <c r="J44" s="2" t="s">
        <v>1612</v>
      </c>
      <c r="K44" s="8" t="s">
        <v>1600</v>
      </c>
      <c r="L44"/>
      <c r="M44" s="2" t="s">
        <v>1601</v>
      </c>
      <c r="P44" s="2" t="s">
        <v>1843</v>
      </c>
      <c r="Q44" t="s">
        <v>1127</v>
      </c>
    </row>
    <row r="45" spans="1:17" ht="18" customHeight="1" x14ac:dyDescent="0.2">
      <c r="A45" s="60" t="s">
        <v>777</v>
      </c>
      <c r="B45" s="60" t="str">
        <f t="shared" si="5"/>
        <v>ch18k</v>
      </c>
      <c r="C45" s="60" t="s">
        <v>4182</v>
      </c>
      <c r="D45" s="60" t="s">
        <v>1636</v>
      </c>
      <c r="E45" s="60" t="s">
        <v>1272</v>
      </c>
      <c r="F45" s="2">
        <v>11</v>
      </c>
      <c r="G45" s="2" t="str">
        <f t="shared" si="6"/>
        <v>k</v>
      </c>
      <c r="H45" s="2">
        <v>2018</v>
      </c>
      <c r="I45" s="2" t="str">
        <f t="shared" si="7"/>
        <v>ch18k082</v>
      </c>
      <c r="J45" s="2" t="s">
        <v>1612</v>
      </c>
      <c r="K45" s="8" t="s">
        <v>1600</v>
      </c>
      <c r="L45"/>
      <c r="M45" s="2" t="s">
        <v>1601</v>
      </c>
      <c r="P45" s="2" t="s">
        <v>1843</v>
      </c>
      <c r="Q45" t="s">
        <v>1127</v>
      </c>
    </row>
    <row r="46" spans="1:17" ht="18" customHeight="1" x14ac:dyDescent="0.2">
      <c r="A46" s="60" t="s">
        <v>777</v>
      </c>
      <c r="B46" s="60" t="str">
        <f t="shared" si="5"/>
        <v>ch07a</v>
      </c>
      <c r="C46" s="60" t="s">
        <v>4182</v>
      </c>
      <c r="D46" s="60" t="s">
        <v>1636</v>
      </c>
      <c r="E46" s="60" t="s">
        <v>1613</v>
      </c>
      <c r="F46" s="2">
        <v>1</v>
      </c>
      <c r="G46" s="2" t="str">
        <f t="shared" si="6"/>
        <v>a</v>
      </c>
      <c r="H46" s="2">
        <v>2007</v>
      </c>
      <c r="I46" s="2" t="str">
        <f>B46&amp;"086"</f>
        <v>ch07a086</v>
      </c>
      <c r="J46" s="2" t="s">
        <v>1614</v>
      </c>
      <c r="K46" s="8" t="s">
        <v>1600</v>
      </c>
      <c r="L46"/>
      <c r="M46" s="2" t="s">
        <v>1601</v>
      </c>
      <c r="P46" s="2" t="s">
        <v>1843</v>
      </c>
      <c r="Q46" t="s">
        <v>1127</v>
      </c>
    </row>
    <row r="47" spans="1:17" ht="18" customHeight="1" x14ac:dyDescent="0.2">
      <c r="A47" s="60" t="s">
        <v>777</v>
      </c>
      <c r="B47" s="60" t="str">
        <f t="shared" si="5"/>
        <v>ch07a</v>
      </c>
      <c r="C47" s="60" t="s">
        <v>4182</v>
      </c>
      <c r="D47" s="60" t="s">
        <v>1636</v>
      </c>
      <c r="E47" s="60" t="s">
        <v>1318</v>
      </c>
      <c r="F47" s="2">
        <v>1</v>
      </c>
      <c r="G47" s="2" t="str">
        <f t="shared" si="6"/>
        <v>a</v>
      </c>
      <c r="H47" s="2">
        <v>2007</v>
      </c>
      <c r="I47" s="2" t="str">
        <f t="shared" ref="I47:I57" si="8">B47&amp;"084"</f>
        <v>ch07a084</v>
      </c>
      <c r="J47" s="2" t="s">
        <v>1617</v>
      </c>
      <c r="K47" s="8" t="s">
        <v>1600</v>
      </c>
      <c r="L47"/>
      <c r="M47" s="2" t="s">
        <v>1601</v>
      </c>
      <c r="P47" s="2" t="s">
        <v>1843</v>
      </c>
      <c r="Q47" t="s">
        <v>1127</v>
      </c>
    </row>
    <row r="48" spans="1:17" ht="18" customHeight="1" x14ac:dyDescent="0.2">
      <c r="A48" s="60" t="s">
        <v>777</v>
      </c>
      <c r="B48" s="60" t="str">
        <f t="shared" si="5"/>
        <v>ch08b</v>
      </c>
      <c r="C48" s="60" t="s">
        <v>4182</v>
      </c>
      <c r="D48" s="60" t="s">
        <v>1636</v>
      </c>
      <c r="E48" s="60" t="s">
        <v>1318</v>
      </c>
      <c r="F48" s="2">
        <v>2</v>
      </c>
      <c r="G48" s="2" t="str">
        <f t="shared" si="6"/>
        <v>b</v>
      </c>
      <c r="H48" s="2">
        <v>2008</v>
      </c>
      <c r="I48" s="2" t="str">
        <f t="shared" si="8"/>
        <v>ch08b084</v>
      </c>
      <c r="J48" s="2" t="s">
        <v>1617</v>
      </c>
      <c r="K48" s="8" t="s">
        <v>1600</v>
      </c>
      <c r="L48"/>
      <c r="M48" s="2" t="s">
        <v>1601</v>
      </c>
      <c r="P48" s="2" t="s">
        <v>1843</v>
      </c>
      <c r="Q48" t="s">
        <v>1127</v>
      </c>
    </row>
    <row r="49" spans="1:17" ht="18" customHeight="1" x14ac:dyDescent="0.2">
      <c r="A49" s="60" t="s">
        <v>777</v>
      </c>
      <c r="B49" s="60" t="str">
        <f t="shared" si="5"/>
        <v>ch09c</v>
      </c>
      <c r="C49" s="60" t="s">
        <v>4182</v>
      </c>
      <c r="D49" s="60" t="s">
        <v>1636</v>
      </c>
      <c r="E49" s="60" t="s">
        <v>1318</v>
      </c>
      <c r="F49" s="2">
        <v>3</v>
      </c>
      <c r="G49" s="2" t="str">
        <f t="shared" si="6"/>
        <v>c</v>
      </c>
      <c r="H49" s="2">
        <v>2009</v>
      </c>
      <c r="I49" s="2" t="str">
        <f t="shared" si="8"/>
        <v>ch09c084</v>
      </c>
      <c r="J49" s="2" t="s">
        <v>1617</v>
      </c>
      <c r="K49" s="8" t="s">
        <v>1600</v>
      </c>
      <c r="L49"/>
      <c r="M49" s="2" t="s">
        <v>1601</v>
      </c>
      <c r="P49" s="2" t="s">
        <v>1843</v>
      </c>
      <c r="Q49" t="s">
        <v>1127</v>
      </c>
    </row>
    <row r="50" spans="1:17" ht="18" customHeight="1" x14ac:dyDescent="0.2">
      <c r="A50" s="60" t="s">
        <v>777</v>
      </c>
      <c r="B50" s="60" t="str">
        <f t="shared" si="5"/>
        <v>ch10d</v>
      </c>
      <c r="C50" s="60" t="s">
        <v>4182</v>
      </c>
      <c r="D50" s="60" t="s">
        <v>1636</v>
      </c>
      <c r="E50" s="60" t="s">
        <v>1318</v>
      </c>
      <c r="F50" s="2">
        <v>4</v>
      </c>
      <c r="G50" s="2" t="str">
        <f t="shared" si="6"/>
        <v>d</v>
      </c>
      <c r="H50" s="2">
        <v>2010</v>
      </c>
      <c r="I50" s="2" t="str">
        <f t="shared" si="8"/>
        <v>ch10d084</v>
      </c>
      <c r="J50" s="2" t="s">
        <v>1617</v>
      </c>
      <c r="K50" s="8" t="s">
        <v>1600</v>
      </c>
      <c r="L50"/>
      <c r="M50" s="2" t="s">
        <v>1601</v>
      </c>
      <c r="P50" s="2" t="s">
        <v>1843</v>
      </c>
      <c r="Q50" t="s">
        <v>1127</v>
      </c>
    </row>
    <row r="51" spans="1:17" ht="18" customHeight="1" x14ac:dyDescent="0.2">
      <c r="A51" s="60" t="s">
        <v>777</v>
      </c>
      <c r="B51" s="60" t="str">
        <f t="shared" si="5"/>
        <v>ch11e</v>
      </c>
      <c r="C51" s="60" t="s">
        <v>4182</v>
      </c>
      <c r="D51" s="60" t="s">
        <v>1636</v>
      </c>
      <c r="E51" s="60" t="s">
        <v>1318</v>
      </c>
      <c r="F51" s="2">
        <v>5</v>
      </c>
      <c r="G51" s="2" t="str">
        <f t="shared" si="6"/>
        <v>e</v>
      </c>
      <c r="H51" s="2">
        <v>2011</v>
      </c>
      <c r="I51" s="2" t="str">
        <f t="shared" si="8"/>
        <v>ch11e084</v>
      </c>
      <c r="J51" s="2" t="s">
        <v>1617</v>
      </c>
      <c r="K51" s="8" t="s">
        <v>1600</v>
      </c>
      <c r="L51"/>
      <c r="M51" s="2" t="s">
        <v>1601</v>
      </c>
      <c r="P51" s="2" t="s">
        <v>1843</v>
      </c>
      <c r="Q51" t="s">
        <v>1127</v>
      </c>
    </row>
    <row r="52" spans="1:17" ht="18" customHeight="1" x14ac:dyDescent="0.2">
      <c r="A52" s="60" t="s">
        <v>777</v>
      </c>
      <c r="B52" s="60" t="str">
        <f t="shared" si="5"/>
        <v>ch12f</v>
      </c>
      <c r="C52" s="60" t="s">
        <v>4182</v>
      </c>
      <c r="D52" s="60" t="s">
        <v>1636</v>
      </c>
      <c r="E52" s="60" t="s">
        <v>1318</v>
      </c>
      <c r="F52" s="2">
        <v>6</v>
      </c>
      <c r="G52" s="2" t="str">
        <f t="shared" si="6"/>
        <v>f</v>
      </c>
      <c r="H52" s="2">
        <v>2012</v>
      </c>
      <c r="I52" s="2" t="str">
        <f t="shared" si="8"/>
        <v>ch12f084</v>
      </c>
      <c r="J52" s="2" t="s">
        <v>1617</v>
      </c>
      <c r="K52" s="8" t="s">
        <v>1600</v>
      </c>
      <c r="L52"/>
      <c r="M52" s="2" t="s">
        <v>1601</v>
      </c>
      <c r="P52" s="2" t="s">
        <v>1843</v>
      </c>
      <c r="Q52" t="s">
        <v>1127</v>
      </c>
    </row>
    <row r="53" spans="1:17" ht="18" customHeight="1" x14ac:dyDescent="0.2">
      <c r="A53" s="60" t="s">
        <v>777</v>
      </c>
      <c r="B53" s="60" t="str">
        <f t="shared" si="5"/>
        <v>ch13g</v>
      </c>
      <c r="C53" s="60" t="s">
        <v>4182</v>
      </c>
      <c r="D53" s="60" t="s">
        <v>1636</v>
      </c>
      <c r="E53" s="60" t="s">
        <v>1318</v>
      </c>
      <c r="F53" s="2">
        <v>7</v>
      </c>
      <c r="G53" s="2" t="str">
        <f t="shared" si="6"/>
        <v>g</v>
      </c>
      <c r="H53" s="2">
        <v>2013</v>
      </c>
      <c r="I53" s="2" t="str">
        <f t="shared" si="8"/>
        <v>ch13g084</v>
      </c>
      <c r="J53" s="2" t="s">
        <v>1617</v>
      </c>
      <c r="K53" s="8" t="s">
        <v>1600</v>
      </c>
      <c r="L53"/>
      <c r="M53" s="2" t="s">
        <v>1601</v>
      </c>
      <c r="P53" s="2" t="s">
        <v>1843</v>
      </c>
      <c r="Q53" t="s">
        <v>1127</v>
      </c>
    </row>
    <row r="54" spans="1:17" ht="18" customHeight="1" x14ac:dyDescent="0.2">
      <c r="A54" s="60" t="s">
        <v>777</v>
      </c>
      <c r="B54" s="60" t="str">
        <f t="shared" si="5"/>
        <v>ch15h</v>
      </c>
      <c r="C54" s="60" t="s">
        <v>4182</v>
      </c>
      <c r="D54" s="60" t="s">
        <v>1636</v>
      </c>
      <c r="E54" s="60" t="s">
        <v>1318</v>
      </c>
      <c r="F54" s="2">
        <v>8</v>
      </c>
      <c r="G54" s="2" t="str">
        <f t="shared" si="6"/>
        <v>h</v>
      </c>
      <c r="H54" s="2">
        <v>2015</v>
      </c>
      <c r="I54" s="2" t="str">
        <f t="shared" si="8"/>
        <v>ch15h084</v>
      </c>
      <c r="J54" s="2" t="s">
        <v>1617</v>
      </c>
      <c r="K54" s="8" t="s">
        <v>1600</v>
      </c>
      <c r="L54"/>
      <c r="M54" s="2" t="s">
        <v>1601</v>
      </c>
      <c r="P54" s="2" t="s">
        <v>1843</v>
      </c>
      <c r="Q54" t="s">
        <v>1127</v>
      </c>
    </row>
    <row r="55" spans="1:17" ht="18" customHeight="1" x14ac:dyDescent="0.2">
      <c r="A55" s="60" t="s">
        <v>777</v>
      </c>
      <c r="B55" s="60" t="str">
        <f t="shared" si="5"/>
        <v>ch16i</v>
      </c>
      <c r="C55" s="60" t="s">
        <v>4182</v>
      </c>
      <c r="D55" s="60" t="s">
        <v>1636</v>
      </c>
      <c r="E55" s="60" t="s">
        <v>1318</v>
      </c>
      <c r="F55" s="2">
        <v>9</v>
      </c>
      <c r="G55" s="2" t="str">
        <f t="shared" si="6"/>
        <v>i</v>
      </c>
      <c r="H55" s="2">
        <v>2016</v>
      </c>
      <c r="I55" s="2" t="str">
        <f t="shared" si="8"/>
        <v>ch16i084</v>
      </c>
      <c r="J55" s="2" t="s">
        <v>1617</v>
      </c>
      <c r="K55" s="8" t="s">
        <v>1600</v>
      </c>
      <c r="L55"/>
      <c r="M55" s="2" t="s">
        <v>1601</v>
      </c>
      <c r="P55" s="2" t="s">
        <v>1843</v>
      </c>
      <c r="Q55" t="s">
        <v>1127</v>
      </c>
    </row>
    <row r="56" spans="1:17" ht="18" customHeight="1" x14ac:dyDescent="0.2">
      <c r="A56" s="60" t="s">
        <v>777</v>
      </c>
      <c r="B56" s="60" t="str">
        <f t="shared" si="5"/>
        <v>ch17j</v>
      </c>
      <c r="C56" s="60" t="s">
        <v>4182</v>
      </c>
      <c r="D56" s="60" t="s">
        <v>1636</v>
      </c>
      <c r="E56" s="60" t="s">
        <v>1318</v>
      </c>
      <c r="F56" s="2">
        <v>10</v>
      </c>
      <c r="G56" s="2" t="str">
        <f t="shared" si="6"/>
        <v>j</v>
      </c>
      <c r="H56" s="2">
        <v>2017</v>
      </c>
      <c r="I56" s="2" t="str">
        <f t="shared" si="8"/>
        <v>ch17j084</v>
      </c>
      <c r="J56" s="2" t="s">
        <v>1617</v>
      </c>
      <c r="K56" s="8" t="s">
        <v>1600</v>
      </c>
      <c r="L56"/>
      <c r="M56" s="2" t="s">
        <v>1601</v>
      </c>
      <c r="P56" s="2" t="s">
        <v>1843</v>
      </c>
      <c r="Q56" t="s">
        <v>1127</v>
      </c>
    </row>
    <row r="57" spans="1:17" ht="18" customHeight="1" x14ac:dyDescent="0.2">
      <c r="A57" s="60" t="s">
        <v>777</v>
      </c>
      <c r="B57" s="60" t="str">
        <f t="shared" si="5"/>
        <v>ch18k</v>
      </c>
      <c r="C57" s="60" t="s">
        <v>4182</v>
      </c>
      <c r="D57" s="60" t="s">
        <v>1636</v>
      </c>
      <c r="E57" s="60" t="s">
        <v>1318</v>
      </c>
      <c r="F57" s="2">
        <v>11</v>
      </c>
      <c r="G57" s="2" t="str">
        <f t="shared" si="6"/>
        <v>k</v>
      </c>
      <c r="H57" s="2">
        <v>2018</v>
      </c>
      <c r="I57" s="2" t="str">
        <f t="shared" si="8"/>
        <v>ch18k084</v>
      </c>
      <c r="J57" s="2" t="s">
        <v>1617</v>
      </c>
      <c r="K57" s="8" t="s">
        <v>1600</v>
      </c>
      <c r="L57"/>
      <c r="M57" s="2" t="s">
        <v>1601</v>
      </c>
      <c r="P57" s="2" t="s">
        <v>1843</v>
      </c>
      <c r="Q57" t="s">
        <v>1127</v>
      </c>
    </row>
    <row r="58" spans="1:17" ht="18" customHeight="1" x14ac:dyDescent="0.2">
      <c r="A58" s="61" t="s">
        <v>777</v>
      </c>
      <c r="B58" s="61" t="str">
        <f t="shared" ref="B58:B68" si="9">"cw" &amp; RIGHT(H58, 2) &amp; G58</f>
        <v>cw08a</v>
      </c>
      <c r="C58" s="61" t="s">
        <v>4182</v>
      </c>
      <c r="D58" s="61" t="s">
        <v>1389</v>
      </c>
      <c r="E58" s="61" t="s">
        <v>1587</v>
      </c>
      <c r="F58" s="2">
        <v>1</v>
      </c>
      <c r="G58" s="2" t="str">
        <f t="shared" si="6"/>
        <v>a</v>
      </c>
      <c r="H58" s="2">
        <v>2008</v>
      </c>
      <c r="I58" s="2" t="str">
        <f t="shared" ref="I58:I68" si="10">B58&amp;"436"</f>
        <v>cw08a436</v>
      </c>
      <c r="J58" s="2" t="s">
        <v>1588</v>
      </c>
      <c r="K58" s="8" t="s">
        <v>1589</v>
      </c>
      <c r="L58"/>
      <c r="M58" s="2" t="s">
        <v>1590</v>
      </c>
      <c r="P58" s="2" t="s">
        <v>1127</v>
      </c>
      <c r="Q58" t="s">
        <v>1127</v>
      </c>
    </row>
    <row r="59" spans="1:17" ht="18" customHeight="1" x14ac:dyDescent="0.2">
      <c r="A59" s="61" t="s">
        <v>777</v>
      </c>
      <c r="B59" s="61" t="str">
        <f t="shared" si="9"/>
        <v>cw09b</v>
      </c>
      <c r="C59" s="61" t="s">
        <v>4182</v>
      </c>
      <c r="D59" s="61" t="s">
        <v>1389</v>
      </c>
      <c r="E59" s="61" t="s">
        <v>1587</v>
      </c>
      <c r="F59" s="2">
        <v>2</v>
      </c>
      <c r="G59" s="2" t="str">
        <f t="shared" si="6"/>
        <v>b</v>
      </c>
      <c r="H59" s="2">
        <v>2009</v>
      </c>
      <c r="I59" s="2" t="str">
        <f t="shared" si="10"/>
        <v>cw09b436</v>
      </c>
      <c r="J59" s="2" t="s">
        <v>1588</v>
      </c>
      <c r="K59" s="8" t="s">
        <v>1589</v>
      </c>
      <c r="L59"/>
      <c r="M59" s="2" t="s">
        <v>1590</v>
      </c>
      <c r="P59" s="2" t="s">
        <v>1127</v>
      </c>
      <c r="Q59" t="s">
        <v>1127</v>
      </c>
    </row>
    <row r="60" spans="1:17" ht="18" customHeight="1" x14ac:dyDescent="0.2">
      <c r="A60" s="61" t="s">
        <v>777</v>
      </c>
      <c r="B60" s="61" t="str">
        <f t="shared" si="9"/>
        <v>cw10c</v>
      </c>
      <c r="C60" s="61" t="s">
        <v>4182</v>
      </c>
      <c r="D60" s="61" t="s">
        <v>1389</v>
      </c>
      <c r="E60" s="61" t="s">
        <v>1587</v>
      </c>
      <c r="F60" s="2">
        <v>3</v>
      </c>
      <c r="G60" s="2" t="str">
        <f t="shared" si="6"/>
        <v>c</v>
      </c>
      <c r="H60" s="2">
        <v>2010</v>
      </c>
      <c r="I60" s="2" t="str">
        <f t="shared" si="10"/>
        <v>cw10c436</v>
      </c>
      <c r="J60" s="2" t="s">
        <v>1588</v>
      </c>
      <c r="K60" s="8" t="s">
        <v>1589</v>
      </c>
      <c r="L60"/>
      <c r="M60" s="2" t="s">
        <v>1590</v>
      </c>
      <c r="P60" s="2" t="s">
        <v>1127</v>
      </c>
      <c r="Q60" t="s">
        <v>1127</v>
      </c>
    </row>
    <row r="61" spans="1:17" ht="18" customHeight="1" x14ac:dyDescent="0.2">
      <c r="A61" s="61" t="s">
        <v>777</v>
      </c>
      <c r="B61" s="61" t="str">
        <f t="shared" si="9"/>
        <v>cw11d</v>
      </c>
      <c r="C61" s="61" t="s">
        <v>4182</v>
      </c>
      <c r="D61" s="61" t="s">
        <v>1389</v>
      </c>
      <c r="E61" s="61" t="s">
        <v>1587</v>
      </c>
      <c r="F61" s="2">
        <v>4</v>
      </c>
      <c r="G61" s="2" t="str">
        <f t="shared" si="6"/>
        <v>d</v>
      </c>
      <c r="H61" s="2">
        <v>2011</v>
      </c>
      <c r="I61" s="2" t="str">
        <f t="shared" si="10"/>
        <v>cw11d436</v>
      </c>
      <c r="J61" s="2" t="s">
        <v>1588</v>
      </c>
      <c r="K61" s="8" t="s">
        <v>1589</v>
      </c>
      <c r="L61"/>
      <c r="M61" s="2" t="s">
        <v>1590</v>
      </c>
      <c r="P61" s="2" t="s">
        <v>1127</v>
      </c>
      <c r="Q61" t="s">
        <v>1127</v>
      </c>
    </row>
    <row r="62" spans="1:17" ht="18" customHeight="1" x14ac:dyDescent="0.2">
      <c r="A62" s="61" t="s">
        <v>777</v>
      </c>
      <c r="B62" s="61" t="str">
        <f t="shared" si="9"/>
        <v>cw12e</v>
      </c>
      <c r="C62" s="61" t="s">
        <v>4182</v>
      </c>
      <c r="D62" s="61" t="s">
        <v>1389</v>
      </c>
      <c r="E62" s="61" t="s">
        <v>1587</v>
      </c>
      <c r="F62" s="2">
        <v>5</v>
      </c>
      <c r="G62" s="2" t="str">
        <f t="shared" si="6"/>
        <v>e</v>
      </c>
      <c r="H62" s="2">
        <v>2012</v>
      </c>
      <c r="I62" s="2" t="str">
        <f t="shared" si="10"/>
        <v>cw12e436</v>
      </c>
      <c r="J62" s="2" t="s">
        <v>1588</v>
      </c>
      <c r="K62" s="8" t="s">
        <v>1589</v>
      </c>
      <c r="L62"/>
      <c r="M62" s="2" t="s">
        <v>1590</v>
      </c>
      <c r="P62" s="2" t="s">
        <v>1127</v>
      </c>
      <c r="Q62" t="s">
        <v>1127</v>
      </c>
    </row>
    <row r="63" spans="1:17" ht="18" customHeight="1" x14ac:dyDescent="0.2">
      <c r="A63" s="61" t="s">
        <v>777</v>
      </c>
      <c r="B63" s="61" t="str">
        <f t="shared" si="9"/>
        <v>cw13f</v>
      </c>
      <c r="C63" s="61" t="s">
        <v>4182</v>
      </c>
      <c r="D63" s="61" t="s">
        <v>1389</v>
      </c>
      <c r="E63" s="61" t="s">
        <v>1587</v>
      </c>
      <c r="F63" s="2">
        <v>6</v>
      </c>
      <c r="G63" s="2" t="str">
        <f t="shared" si="6"/>
        <v>f</v>
      </c>
      <c r="H63" s="2">
        <v>2013</v>
      </c>
      <c r="I63" s="2" t="str">
        <f t="shared" si="10"/>
        <v>cw13f436</v>
      </c>
      <c r="J63" s="2" t="s">
        <v>1588</v>
      </c>
      <c r="K63" s="8" t="s">
        <v>1589</v>
      </c>
      <c r="L63"/>
      <c r="M63" s="2" t="s">
        <v>1590</v>
      </c>
      <c r="P63" s="2" t="s">
        <v>1127</v>
      </c>
      <c r="Q63" t="s">
        <v>1127</v>
      </c>
    </row>
    <row r="64" spans="1:17" ht="18" customHeight="1" x14ac:dyDescent="0.2">
      <c r="A64" s="61" t="s">
        <v>777</v>
      </c>
      <c r="B64" s="61" t="str">
        <f t="shared" si="9"/>
        <v>cw14g</v>
      </c>
      <c r="C64" s="61" t="s">
        <v>4182</v>
      </c>
      <c r="D64" s="61" t="s">
        <v>1389</v>
      </c>
      <c r="E64" s="61" t="s">
        <v>1587</v>
      </c>
      <c r="F64" s="2">
        <v>7</v>
      </c>
      <c r="G64" s="2" t="str">
        <f t="shared" si="6"/>
        <v>g</v>
      </c>
      <c r="H64" s="2">
        <v>2014</v>
      </c>
      <c r="I64" s="2" t="str">
        <f t="shared" si="10"/>
        <v>cw14g436</v>
      </c>
      <c r="J64" s="2" t="s">
        <v>1588</v>
      </c>
      <c r="K64" s="8" t="s">
        <v>1589</v>
      </c>
      <c r="L64"/>
      <c r="M64" s="2" t="s">
        <v>1590</v>
      </c>
      <c r="P64" s="2" t="s">
        <v>1127</v>
      </c>
      <c r="Q64" t="s">
        <v>1127</v>
      </c>
    </row>
    <row r="65" spans="1:17" ht="18" customHeight="1" x14ac:dyDescent="0.2">
      <c r="A65" s="61" t="s">
        <v>777</v>
      </c>
      <c r="B65" s="61" t="str">
        <f t="shared" si="9"/>
        <v>cw15h</v>
      </c>
      <c r="C65" s="61" t="s">
        <v>4182</v>
      </c>
      <c r="D65" s="61" t="s">
        <v>1389</v>
      </c>
      <c r="E65" s="61" t="s">
        <v>1587</v>
      </c>
      <c r="F65" s="2">
        <v>8</v>
      </c>
      <c r="G65" s="2" t="str">
        <f t="shared" si="6"/>
        <v>h</v>
      </c>
      <c r="H65" s="2">
        <v>2015</v>
      </c>
      <c r="I65" s="2" t="str">
        <f t="shared" si="10"/>
        <v>cw15h436</v>
      </c>
      <c r="J65" s="2" t="s">
        <v>1588</v>
      </c>
      <c r="K65" s="8" t="s">
        <v>1589</v>
      </c>
      <c r="L65"/>
      <c r="M65" s="2" t="s">
        <v>1590</v>
      </c>
      <c r="P65" s="2" t="s">
        <v>1127</v>
      </c>
      <c r="Q65" t="s">
        <v>1127</v>
      </c>
    </row>
    <row r="66" spans="1:17" ht="18" customHeight="1" x14ac:dyDescent="0.2">
      <c r="A66" s="61" t="s">
        <v>777</v>
      </c>
      <c r="B66" s="61" t="str">
        <f t="shared" si="9"/>
        <v>cw16i</v>
      </c>
      <c r="C66" s="61" t="s">
        <v>4182</v>
      </c>
      <c r="D66" s="61" t="s">
        <v>1389</v>
      </c>
      <c r="E66" s="61" t="s">
        <v>1587</v>
      </c>
      <c r="F66" s="2">
        <v>9</v>
      </c>
      <c r="G66" s="2" t="str">
        <f t="shared" ref="G66:G97" si="11">MID("abcdefghijklmnopqrstuvwxyz",F66,1)</f>
        <v>i</v>
      </c>
      <c r="H66" s="2">
        <v>2016</v>
      </c>
      <c r="I66" s="2" t="str">
        <f t="shared" si="10"/>
        <v>cw16i436</v>
      </c>
      <c r="J66" s="2" t="s">
        <v>1588</v>
      </c>
      <c r="K66" s="8" t="s">
        <v>1589</v>
      </c>
      <c r="L66"/>
      <c r="M66" s="2" t="s">
        <v>1590</v>
      </c>
      <c r="P66" s="2" t="s">
        <v>1127</v>
      </c>
      <c r="Q66" t="s">
        <v>1127</v>
      </c>
    </row>
    <row r="67" spans="1:17" ht="18" customHeight="1" x14ac:dyDescent="0.2">
      <c r="A67" s="61" t="s">
        <v>777</v>
      </c>
      <c r="B67" s="61" t="str">
        <f t="shared" si="9"/>
        <v>cw17j</v>
      </c>
      <c r="C67" s="61" t="s">
        <v>4182</v>
      </c>
      <c r="D67" s="61" t="s">
        <v>1389</v>
      </c>
      <c r="E67" s="61" t="s">
        <v>1587</v>
      </c>
      <c r="F67" s="2">
        <v>10</v>
      </c>
      <c r="G67" s="2" t="str">
        <f t="shared" si="11"/>
        <v>j</v>
      </c>
      <c r="H67" s="2">
        <v>2017</v>
      </c>
      <c r="I67" s="2" t="str">
        <f t="shared" si="10"/>
        <v>cw17j436</v>
      </c>
      <c r="J67" s="2" t="s">
        <v>1588</v>
      </c>
      <c r="K67" s="8" t="s">
        <v>1589</v>
      </c>
      <c r="L67"/>
      <c r="M67" s="2" t="s">
        <v>1590</v>
      </c>
      <c r="P67" s="2" t="s">
        <v>1127</v>
      </c>
      <c r="Q67" t="s">
        <v>1127</v>
      </c>
    </row>
    <row r="68" spans="1:17" ht="18" customHeight="1" x14ac:dyDescent="0.2">
      <c r="A68" s="61" t="s">
        <v>777</v>
      </c>
      <c r="B68" s="61" t="str">
        <f t="shared" si="9"/>
        <v>cw18k</v>
      </c>
      <c r="C68" s="61" t="s">
        <v>4182</v>
      </c>
      <c r="D68" s="61" t="s">
        <v>1389</v>
      </c>
      <c r="E68" s="61" t="s">
        <v>1587</v>
      </c>
      <c r="F68" s="2">
        <v>11</v>
      </c>
      <c r="G68" s="2" t="str">
        <f t="shared" si="11"/>
        <v>k</v>
      </c>
      <c r="H68" s="2">
        <v>2018</v>
      </c>
      <c r="I68" s="2" t="str">
        <f t="shared" si="10"/>
        <v>cw18k436</v>
      </c>
      <c r="J68" s="2" t="s">
        <v>1588</v>
      </c>
      <c r="K68" s="8" t="s">
        <v>1589</v>
      </c>
      <c r="L68"/>
      <c r="M68" s="2" t="s">
        <v>1590</v>
      </c>
      <c r="P68" s="2" t="s">
        <v>1127</v>
      </c>
      <c r="Q68" t="s">
        <v>1127</v>
      </c>
    </row>
    <row r="69" spans="1:17" ht="18" customHeight="1" x14ac:dyDescent="0.2">
      <c r="A69" s="62" t="s">
        <v>777</v>
      </c>
      <c r="B69" s="62" t="s">
        <v>3896</v>
      </c>
      <c r="C69" s="62" t="s">
        <v>4182</v>
      </c>
      <c r="D69" s="62" t="s">
        <v>1635</v>
      </c>
      <c r="E69" s="62" t="s">
        <v>3889</v>
      </c>
      <c r="F69" s="2">
        <v>1</v>
      </c>
      <c r="G69" s="2" t="str">
        <f t="shared" si="11"/>
        <v>a</v>
      </c>
      <c r="H69" s="2">
        <f t="shared" ref="H69:H100" si="12">F69+2007</f>
        <v>2008</v>
      </c>
      <c r="I69" s="2" t="s">
        <v>3897</v>
      </c>
      <c r="J69" s="2" t="s">
        <v>3891</v>
      </c>
      <c r="K69" s="2" t="s">
        <v>3892</v>
      </c>
      <c r="L69" s="2" t="s">
        <v>398</v>
      </c>
      <c r="M69" s="2" t="s">
        <v>3893</v>
      </c>
      <c r="P69" s="2" t="s">
        <v>1527</v>
      </c>
      <c r="Q69" s="2" t="s">
        <v>3462</v>
      </c>
    </row>
    <row r="70" spans="1:17" ht="18" customHeight="1" x14ac:dyDescent="0.2">
      <c r="A70" s="62" t="s">
        <v>777</v>
      </c>
      <c r="B70" s="62" t="s">
        <v>3894</v>
      </c>
      <c r="C70" s="62" t="s">
        <v>4182</v>
      </c>
      <c r="D70" s="62" t="s">
        <v>1635</v>
      </c>
      <c r="E70" s="62" t="s">
        <v>3889</v>
      </c>
      <c r="F70" s="2">
        <v>2</v>
      </c>
      <c r="G70" s="2" t="str">
        <f t="shared" si="11"/>
        <v>b</v>
      </c>
      <c r="H70" s="2">
        <f t="shared" si="12"/>
        <v>2009</v>
      </c>
      <c r="I70" s="2" t="s">
        <v>3895</v>
      </c>
      <c r="J70" s="2" t="s">
        <v>3891</v>
      </c>
      <c r="K70" s="2" t="s">
        <v>3892</v>
      </c>
      <c r="L70" s="2" t="s">
        <v>398</v>
      </c>
      <c r="M70" s="2" t="s">
        <v>3893</v>
      </c>
      <c r="P70" s="2" t="s">
        <v>1527</v>
      </c>
      <c r="Q70" s="2" t="s">
        <v>3462</v>
      </c>
    </row>
    <row r="71" spans="1:17" ht="18" customHeight="1" x14ac:dyDescent="0.2">
      <c r="A71" s="62" t="s">
        <v>777</v>
      </c>
      <c r="B71" s="62" t="s">
        <v>3888</v>
      </c>
      <c r="C71" s="62" t="s">
        <v>4182</v>
      </c>
      <c r="D71" s="62" t="s">
        <v>1635</v>
      </c>
      <c r="E71" s="62" t="s">
        <v>3889</v>
      </c>
      <c r="F71" s="2">
        <v>3</v>
      </c>
      <c r="G71" s="2" t="str">
        <f t="shared" si="11"/>
        <v>c</v>
      </c>
      <c r="H71" s="2">
        <f t="shared" si="12"/>
        <v>2010</v>
      </c>
      <c r="I71" s="2" t="s">
        <v>3890</v>
      </c>
      <c r="J71" s="2" t="s">
        <v>3891</v>
      </c>
      <c r="K71" s="2" t="s">
        <v>3892</v>
      </c>
      <c r="L71" s="2" t="s">
        <v>398</v>
      </c>
      <c r="M71" s="2" t="s">
        <v>3893</v>
      </c>
      <c r="P71" s="2" t="s">
        <v>1527</v>
      </c>
      <c r="Q71" s="2" t="s">
        <v>3462</v>
      </c>
    </row>
    <row r="72" spans="1:17" ht="18" customHeight="1" x14ac:dyDescent="0.2">
      <c r="A72" s="62" t="s">
        <v>777</v>
      </c>
      <c r="B72" s="62" t="s">
        <v>3898</v>
      </c>
      <c r="C72" s="62" t="s">
        <v>4182</v>
      </c>
      <c r="D72" s="62" t="s">
        <v>1635</v>
      </c>
      <c r="E72" s="62" t="s">
        <v>3889</v>
      </c>
      <c r="F72" s="2">
        <v>4</v>
      </c>
      <c r="G72" s="2" t="str">
        <f t="shared" si="11"/>
        <v>d</v>
      </c>
      <c r="H72" s="2">
        <f t="shared" si="12"/>
        <v>2011</v>
      </c>
      <c r="I72" s="2" t="s">
        <v>3899</v>
      </c>
      <c r="J72" s="2" t="s">
        <v>3891</v>
      </c>
      <c r="K72" s="2" t="s">
        <v>3892</v>
      </c>
      <c r="L72" s="2" t="s">
        <v>398</v>
      </c>
      <c r="M72" s="2" t="s">
        <v>3893</v>
      </c>
      <c r="P72" s="2" t="s">
        <v>1527</v>
      </c>
      <c r="Q72" s="2" t="s">
        <v>3462</v>
      </c>
    </row>
    <row r="73" spans="1:17" ht="18" customHeight="1" x14ac:dyDescent="0.2">
      <c r="A73" s="62" t="s">
        <v>777</v>
      </c>
      <c r="B73" s="62" t="s">
        <v>3900</v>
      </c>
      <c r="C73" s="62" t="s">
        <v>4182</v>
      </c>
      <c r="D73" s="62" t="s">
        <v>1635</v>
      </c>
      <c r="E73" s="62" t="s">
        <v>3889</v>
      </c>
      <c r="F73" s="2">
        <v>5</v>
      </c>
      <c r="G73" s="2" t="str">
        <f t="shared" si="11"/>
        <v>e</v>
      </c>
      <c r="H73" s="2">
        <f t="shared" si="12"/>
        <v>2012</v>
      </c>
      <c r="I73" s="2" t="s">
        <v>3901</v>
      </c>
      <c r="J73" s="2" t="s">
        <v>3891</v>
      </c>
      <c r="K73" s="2" t="s">
        <v>3892</v>
      </c>
      <c r="L73" s="2" t="s">
        <v>398</v>
      </c>
      <c r="M73" s="2" t="s">
        <v>3893</v>
      </c>
      <c r="P73" s="2" t="s">
        <v>1527</v>
      </c>
      <c r="Q73" s="2" t="s">
        <v>3462</v>
      </c>
    </row>
    <row r="74" spans="1:17" ht="18" customHeight="1" x14ac:dyDescent="0.2">
      <c r="A74" s="62" t="s">
        <v>777</v>
      </c>
      <c r="B74" s="62" t="s">
        <v>3902</v>
      </c>
      <c r="C74" s="62" t="s">
        <v>4182</v>
      </c>
      <c r="D74" s="62" t="s">
        <v>1635</v>
      </c>
      <c r="E74" s="62" t="s">
        <v>3889</v>
      </c>
      <c r="F74" s="2">
        <v>6</v>
      </c>
      <c r="G74" s="2" t="str">
        <f t="shared" si="11"/>
        <v>f</v>
      </c>
      <c r="H74" s="2">
        <f t="shared" si="12"/>
        <v>2013</v>
      </c>
      <c r="I74" s="2" t="s">
        <v>3903</v>
      </c>
      <c r="J74" s="2" t="s">
        <v>3891</v>
      </c>
      <c r="K74" s="2" t="s">
        <v>3892</v>
      </c>
      <c r="L74" s="2" t="s">
        <v>398</v>
      </c>
      <c r="M74" s="2" t="s">
        <v>3893</v>
      </c>
      <c r="P74" s="2" t="s">
        <v>1527</v>
      </c>
      <c r="Q74" s="2" t="s">
        <v>3462</v>
      </c>
    </row>
    <row r="75" spans="1:17" ht="18" customHeight="1" x14ac:dyDescent="0.2">
      <c r="A75" s="62" t="s">
        <v>777</v>
      </c>
      <c r="B75" s="62" t="s">
        <v>3904</v>
      </c>
      <c r="C75" s="62" t="s">
        <v>4182</v>
      </c>
      <c r="D75" s="62" t="s">
        <v>1635</v>
      </c>
      <c r="E75" s="62" t="s">
        <v>3889</v>
      </c>
      <c r="F75" s="2">
        <v>7</v>
      </c>
      <c r="G75" s="2" t="str">
        <f t="shared" si="11"/>
        <v>g</v>
      </c>
      <c r="H75" s="2">
        <f t="shared" si="12"/>
        <v>2014</v>
      </c>
      <c r="I75" s="2" t="s">
        <v>3905</v>
      </c>
      <c r="J75" s="2" t="s">
        <v>3891</v>
      </c>
      <c r="K75" s="2" t="s">
        <v>3892</v>
      </c>
      <c r="L75" s="2" t="s">
        <v>398</v>
      </c>
      <c r="M75" s="2" t="s">
        <v>3893</v>
      </c>
      <c r="P75" s="2" t="s">
        <v>1527</v>
      </c>
      <c r="Q75" s="2" t="s">
        <v>3462</v>
      </c>
    </row>
    <row r="76" spans="1:17" ht="18" customHeight="1" x14ac:dyDescent="0.2">
      <c r="A76" s="62" t="s">
        <v>777</v>
      </c>
      <c r="B76" s="62" t="s">
        <v>3906</v>
      </c>
      <c r="C76" s="62" t="s">
        <v>4182</v>
      </c>
      <c r="D76" s="62" t="s">
        <v>1635</v>
      </c>
      <c r="E76" s="62" t="s">
        <v>3889</v>
      </c>
      <c r="F76" s="2">
        <v>8</v>
      </c>
      <c r="G76" s="2" t="str">
        <f t="shared" si="11"/>
        <v>h</v>
      </c>
      <c r="H76" s="2">
        <f t="shared" si="12"/>
        <v>2015</v>
      </c>
      <c r="I76" s="2" t="s">
        <v>3907</v>
      </c>
      <c r="J76" s="2" t="s">
        <v>3891</v>
      </c>
      <c r="K76" s="2" t="s">
        <v>3892</v>
      </c>
      <c r="L76" s="2" t="s">
        <v>398</v>
      </c>
      <c r="M76" s="2" t="s">
        <v>3893</v>
      </c>
      <c r="P76" s="2" t="s">
        <v>1527</v>
      </c>
      <c r="Q76" s="2" t="s">
        <v>3462</v>
      </c>
    </row>
    <row r="77" spans="1:17" ht="18" customHeight="1" x14ac:dyDescent="0.2">
      <c r="A77" s="62" t="s">
        <v>777</v>
      </c>
      <c r="B77" s="62" t="s">
        <v>3908</v>
      </c>
      <c r="C77" s="62" t="s">
        <v>4182</v>
      </c>
      <c r="D77" s="62" t="s">
        <v>1635</v>
      </c>
      <c r="E77" s="62" t="s">
        <v>3889</v>
      </c>
      <c r="F77" s="2">
        <v>9</v>
      </c>
      <c r="G77" s="2" t="str">
        <f t="shared" si="11"/>
        <v>i</v>
      </c>
      <c r="H77" s="2">
        <f t="shared" si="12"/>
        <v>2016</v>
      </c>
      <c r="I77" s="2" t="s">
        <v>3909</v>
      </c>
      <c r="J77" s="2" t="s">
        <v>3891</v>
      </c>
      <c r="K77" s="2" t="s">
        <v>3892</v>
      </c>
      <c r="L77" s="2" t="s">
        <v>398</v>
      </c>
      <c r="M77" s="2" t="s">
        <v>3893</v>
      </c>
      <c r="P77" s="2" t="s">
        <v>1527</v>
      </c>
      <c r="Q77" s="2" t="s">
        <v>3462</v>
      </c>
    </row>
    <row r="78" spans="1:17" ht="18" customHeight="1" x14ac:dyDescent="0.2">
      <c r="A78" s="62" t="s">
        <v>777</v>
      </c>
      <c r="B78" s="62" t="s">
        <v>3910</v>
      </c>
      <c r="C78" s="62" t="s">
        <v>4182</v>
      </c>
      <c r="D78" s="62" t="s">
        <v>1635</v>
      </c>
      <c r="E78" s="62" t="s">
        <v>3889</v>
      </c>
      <c r="F78" s="2">
        <v>10</v>
      </c>
      <c r="G78" s="2" t="str">
        <f t="shared" si="11"/>
        <v>j</v>
      </c>
      <c r="H78" s="2">
        <f t="shared" si="12"/>
        <v>2017</v>
      </c>
      <c r="I78" s="2" t="s">
        <v>3911</v>
      </c>
      <c r="J78" s="2" t="s">
        <v>3891</v>
      </c>
      <c r="K78" s="2" t="s">
        <v>3892</v>
      </c>
      <c r="L78" s="2" t="s">
        <v>398</v>
      </c>
      <c r="M78" s="2" t="s">
        <v>3893</v>
      </c>
      <c r="P78" s="2" t="s">
        <v>1527</v>
      </c>
      <c r="Q78" s="2" t="s">
        <v>3462</v>
      </c>
    </row>
    <row r="79" spans="1:17" ht="18" customHeight="1" x14ac:dyDescent="0.2">
      <c r="A79" s="62" t="s">
        <v>777</v>
      </c>
      <c r="B79" s="62" t="s">
        <v>3912</v>
      </c>
      <c r="C79" s="62" t="s">
        <v>4182</v>
      </c>
      <c r="D79" s="62" t="s">
        <v>1635</v>
      </c>
      <c r="E79" s="62" t="s">
        <v>3889</v>
      </c>
      <c r="F79" s="2">
        <v>11</v>
      </c>
      <c r="G79" s="2" t="str">
        <f t="shared" si="11"/>
        <v>k</v>
      </c>
      <c r="H79" s="2">
        <f t="shared" si="12"/>
        <v>2018</v>
      </c>
      <c r="I79" s="2" t="s">
        <v>3913</v>
      </c>
      <c r="J79" s="2" t="s">
        <v>3891</v>
      </c>
      <c r="K79" s="2" t="s">
        <v>3892</v>
      </c>
      <c r="L79" s="2" t="s">
        <v>398</v>
      </c>
      <c r="M79" s="2" t="s">
        <v>3893</v>
      </c>
      <c r="P79" s="2" t="s">
        <v>1527</v>
      </c>
      <c r="Q79" s="2" t="s">
        <v>3462</v>
      </c>
    </row>
    <row r="80" spans="1:17" ht="18" customHeight="1" x14ac:dyDescent="0.2">
      <c r="A80" s="62" t="s">
        <v>777</v>
      </c>
      <c r="B80" s="62" t="s">
        <v>3896</v>
      </c>
      <c r="C80" s="62" t="s">
        <v>4182</v>
      </c>
      <c r="D80" s="62" t="s">
        <v>1635</v>
      </c>
      <c r="E80" s="62" t="s">
        <v>3914</v>
      </c>
      <c r="F80" s="2">
        <v>1</v>
      </c>
      <c r="G80" s="2" t="str">
        <f t="shared" si="11"/>
        <v>a</v>
      </c>
      <c r="H80" s="2">
        <f t="shared" si="12"/>
        <v>2008</v>
      </c>
      <c r="I80" s="2" t="s">
        <v>3918</v>
      </c>
      <c r="J80" s="2" t="s">
        <v>3916</v>
      </c>
      <c r="K80" s="2" t="s">
        <v>3892</v>
      </c>
      <c r="L80" s="2" t="s">
        <v>1520</v>
      </c>
      <c r="M80" s="2" t="s">
        <v>3893</v>
      </c>
      <c r="P80" s="2" t="s">
        <v>1527</v>
      </c>
      <c r="Q80" s="2" t="s">
        <v>3462</v>
      </c>
    </row>
    <row r="81" spans="1:17" ht="18" customHeight="1" x14ac:dyDescent="0.2">
      <c r="A81" s="62" t="s">
        <v>777</v>
      </c>
      <c r="B81" s="62" t="s">
        <v>3894</v>
      </c>
      <c r="C81" s="62" t="s">
        <v>4182</v>
      </c>
      <c r="D81" s="62" t="s">
        <v>1635</v>
      </c>
      <c r="E81" s="62" t="s">
        <v>3914</v>
      </c>
      <c r="F81" s="2">
        <v>2</v>
      </c>
      <c r="G81" s="2" t="str">
        <f t="shared" si="11"/>
        <v>b</v>
      </c>
      <c r="H81" s="2">
        <f t="shared" si="12"/>
        <v>2009</v>
      </c>
      <c r="I81" s="2" t="s">
        <v>3917</v>
      </c>
      <c r="J81" s="2" t="s">
        <v>3916</v>
      </c>
      <c r="K81" s="2" t="s">
        <v>3892</v>
      </c>
      <c r="L81" s="2" t="s">
        <v>1520</v>
      </c>
      <c r="M81" s="2" t="s">
        <v>3893</v>
      </c>
      <c r="P81" s="2" t="s">
        <v>1527</v>
      </c>
      <c r="Q81" s="2" t="s">
        <v>3462</v>
      </c>
    </row>
    <row r="82" spans="1:17" ht="18" customHeight="1" x14ac:dyDescent="0.2">
      <c r="A82" s="62" t="s">
        <v>777</v>
      </c>
      <c r="B82" s="62" t="s">
        <v>3888</v>
      </c>
      <c r="C82" s="62" t="s">
        <v>4182</v>
      </c>
      <c r="D82" s="62" t="s">
        <v>1635</v>
      </c>
      <c r="E82" s="62" t="s">
        <v>3914</v>
      </c>
      <c r="F82" s="2">
        <v>3</v>
      </c>
      <c r="G82" s="2" t="str">
        <f t="shared" si="11"/>
        <v>c</v>
      </c>
      <c r="H82" s="2">
        <f t="shared" si="12"/>
        <v>2010</v>
      </c>
      <c r="I82" s="2" t="s">
        <v>3915</v>
      </c>
      <c r="J82" s="2" t="s">
        <v>3916</v>
      </c>
      <c r="K82" s="2" t="s">
        <v>3892</v>
      </c>
      <c r="L82" s="2" t="s">
        <v>1520</v>
      </c>
      <c r="M82" s="2" t="s">
        <v>3893</v>
      </c>
      <c r="P82" s="2" t="s">
        <v>1527</v>
      </c>
      <c r="Q82" s="2" t="s">
        <v>3462</v>
      </c>
    </row>
    <row r="83" spans="1:17" ht="18" customHeight="1" x14ac:dyDescent="0.2">
      <c r="A83" s="62" t="s">
        <v>777</v>
      </c>
      <c r="B83" s="62" t="s">
        <v>3898</v>
      </c>
      <c r="C83" s="62" t="s">
        <v>4182</v>
      </c>
      <c r="D83" s="62" t="s">
        <v>1635</v>
      </c>
      <c r="E83" s="62" t="s">
        <v>3914</v>
      </c>
      <c r="F83" s="2">
        <v>4</v>
      </c>
      <c r="G83" s="2" t="str">
        <f t="shared" si="11"/>
        <v>d</v>
      </c>
      <c r="H83" s="2">
        <f t="shared" si="12"/>
        <v>2011</v>
      </c>
      <c r="I83" s="2" t="s">
        <v>3919</v>
      </c>
      <c r="J83" s="2" t="s">
        <v>3916</v>
      </c>
      <c r="K83" s="2" t="s">
        <v>3892</v>
      </c>
      <c r="L83" s="2" t="s">
        <v>1520</v>
      </c>
      <c r="M83" s="2" t="s">
        <v>3893</v>
      </c>
      <c r="P83" s="2" t="s">
        <v>1527</v>
      </c>
      <c r="Q83" s="2" t="s">
        <v>3462</v>
      </c>
    </row>
    <row r="84" spans="1:17" ht="18" customHeight="1" x14ac:dyDescent="0.2">
      <c r="A84" s="62" t="s">
        <v>777</v>
      </c>
      <c r="B84" s="62" t="s">
        <v>3900</v>
      </c>
      <c r="C84" s="62" t="s">
        <v>4182</v>
      </c>
      <c r="D84" s="62" t="s">
        <v>1635</v>
      </c>
      <c r="E84" s="62" t="s">
        <v>3914</v>
      </c>
      <c r="F84" s="2">
        <v>5</v>
      </c>
      <c r="G84" s="2" t="str">
        <f t="shared" si="11"/>
        <v>e</v>
      </c>
      <c r="H84" s="2">
        <f t="shared" si="12"/>
        <v>2012</v>
      </c>
      <c r="I84" s="2" t="s">
        <v>3920</v>
      </c>
      <c r="J84" s="2" t="s">
        <v>3916</v>
      </c>
      <c r="K84" s="2" t="s">
        <v>3892</v>
      </c>
      <c r="L84" s="2" t="s">
        <v>1520</v>
      </c>
      <c r="M84" s="2" t="s">
        <v>3893</v>
      </c>
      <c r="P84" s="2" t="s">
        <v>1527</v>
      </c>
      <c r="Q84" s="2" t="s">
        <v>3462</v>
      </c>
    </row>
    <row r="85" spans="1:17" ht="18" customHeight="1" x14ac:dyDescent="0.2">
      <c r="A85" s="62" t="s">
        <v>777</v>
      </c>
      <c r="B85" s="62" t="s">
        <v>3902</v>
      </c>
      <c r="C85" s="62" t="s">
        <v>4182</v>
      </c>
      <c r="D85" s="62" t="s">
        <v>1635</v>
      </c>
      <c r="E85" s="62" t="s">
        <v>3914</v>
      </c>
      <c r="F85" s="2">
        <v>6</v>
      </c>
      <c r="G85" s="2" t="str">
        <f t="shared" si="11"/>
        <v>f</v>
      </c>
      <c r="H85" s="2">
        <f t="shared" si="12"/>
        <v>2013</v>
      </c>
      <c r="I85" s="2" t="s">
        <v>3921</v>
      </c>
      <c r="J85" s="2" t="s">
        <v>3916</v>
      </c>
      <c r="K85" s="2" t="s">
        <v>3892</v>
      </c>
      <c r="L85" s="2" t="s">
        <v>1520</v>
      </c>
      <c r="M85" s="2" t="s">
        <v>3893</v>
      </c>
      <c r="P85" s="2" t="s">
        <v>1527</v>
      </c>
      <c r="Q85" s="2" t="s">
        <v>3462</v>
      </c>
    </row>
    <row r="86" spans="1:17" ht="18" customHeight="1" x14ac:dyDescent="0.2">
      <c r="A86" s="62" t="s">
        <v>777</v>
      </c>
      <c r="B86" s="62" t="s">
        <v>3904</v>
      </c>
      <c r="C86" s="62" t="s">
        <v>4182</v>
      </c>
      <c r="D86" s="62" t="s">
        <v>1635</v>
      </c>
      <c r="E86" s="62" t="s">
        <v>3914</v>
      </c>
      <c r="F86" s="2">
        <v>7</v>
      </c>
      <c r="G86" s="2" t="str">
        <f t="shared" si="11"/>
        <v>g</v>
      </c>
      <c r="H86" s="2">
        <f t="shared" si="12"/>
        <v>2014</v>
      </c>
      <c r="I86" s="2" t="s">
        <v>3922</v>
      </c>
      <c r="J86" s="2" t="s">
        <v>3916</v>
      </c>
      <c r="K86" s="2" t="s">
        <v>3892</v>
      </c>
      <c r="L86" s="2" t="s">
        <v>1520</v>
      </c>
      <c r="M86" s="2" t="s">
        <v>3893</v>
      </c>
      <c r="P86" s="2" t="s">
        <v>1527</v>
      </c>
      <c r="Q86" s="2" t="s">
        <v>3462</v>
      </c>
    </row>
    <row r="87" spans="1:17" ht="18" customHeight="1" x14ac:dyDescent="0.2">
      <c r="A87" s="62" t="s">
        <v>777</v>
      </c>
      <c r="B87" s="62" t="s">
        <v>3906</v>
      </c>
      <c r="C87" s="62" t="s">
        <v>4182</v>
      </c>
      <c r="D87" s="62" t="s">
        <v>1635</v>
      </c>
      <c r="E87" s="62" t="s">
        <v>3914</v>
      </c>
      <c r="F87" s="2">
        <v>8</v>
      </c>
      <c r="G87" s="2" t="str">
        <f t="shared" si="11"/>
        <v>h</v>
      </c>
      <c r="H87" s="2">
        <f t="shared" si="12"/>
        <v>2015</v>
      </c>
      <c r="I87" s="2" t="s">
        <v>3923</v>
      </c>
      <c r="J87" s="2" t="s">
        <v>3916</v>
      </c>
      <c r="K87" s="2" t="s">
        <v>3892</v>
      </c>
      <c r="L87" s="2" t="s">
        <v>1520</v>
      </c>
      <c r="M87" s="2" t="s">
        <v>3893</v>
      </c>
      <c r="P87" s="2" t="s">
        <v>1527</v>
      </c>
      <c r="Q87" s="2" t="s">
        <v>3462</v>
      </c>
    </row>
    <row r="88" spans="1:17" ht="18" customHeight="1" x14ac:dyDescent="0.2">
      <c r="A88" s="62" t="s">
        <v>777</v>
      </c>
      <c r="B88" s="62" t="s">
        <v>3908</v>
      </c>
      <c r="C88" s="62" t="s">
        <v>4182</v>
      </c>
      <c r="D88" s="62" t="s">
        <v>1635</v>
      </c>
      <c r="E88" s="62" t="s">
        <v>3914</v>
      </c>
      <c r="F88" s="2">
        <v>9</v>
      </c>
      <c r="G88" s="2" t="str">
        <f t="shared" si="11"/>
        <v>i</v>
      </c>
      <c r="H88" s="2">
        <f t="shared" si="12"/>
        <v>2016</v>
      </c>
      <c r="I88" s="2" t="s">
        <v>3924</v>
      </c>
      <c r="J88" s="2" t="s">
        <v>3916</v>
      </c>
      <c r="K88" s="2" t="s">
        <v>3892</v>
      </c>
      <c r="L88" s="2" t="s">
        <v>1520</v>
      </c>
      <c r="M88" s="2" t="s">
        <v>3893</v>
      </c>
      <c r="P88" s="2" t="s">
        <v>1527</v>
      </c>
      <c r="Q88" s="2" t="s">
        <v>3462</v>
      </c>
    </row>
    <row r="89" spans="1:17" ht="18" customHeight="1" x14ac:dyDescent="0.2">
      <c r="A89" s="62" t="s">
        <v>777</v>
      </c>
      <c r="B89" s="62" t="s">
        <v>3910</v>
      </c>
      <c r="C89" s="62" t="s">
        <v>4182</v>
      </c>
      <c r="D89" s="62" t="s">
        <v>1635</v>
      </c>
      <c r="E89" s="62" t="s">
        <v>3914</v>
      </c>
      <c r="F89" s="2">
        <v>10</v>
      </c>
      <c r="G89" s="2" t="str">
        <f t="shared" si="11"/>
        <v>j</v>
      </c>
      <c r="H89" s="2">
        <f t="shared" si="12"/>
        <v>2017</v>
      </c>
      <c r="I89" s="2" t="s">
        <v>3925</v>
      </c>
      <c r="J89" s="2" t="s">
        <v>3916</v>
      </c>
      <c r="K89" s="2" t="s">
        <v>3892</v>
      </c>
      <c r="L89" s="2" t="s">
        <v>1520</v>
      </c>
      <c r="M89" s="2" t="s">
        <v>3893</v>
      </c>
      <c r="P89" s="2" t="s">
        <v>1527</v>
      </c>
      <c r="Q89" s="2" t="s">
        <v>3462</v>
      </c>
    </row>
    <row r="90" spans="1:17" ht="18" customHeight="1" x14ac:dyDescent="0.2">
      <c r="A90" s="62" t="s">
        <v>777</v>
      </c>
      <c r="B90" s="62" t="s">
        <v>3912</v>
      </c>
      <c r="C90" s="62" t="s">
        <v>4182</v>
      </c>
      <c r="D90" s="62" t="s">
        <v>1635</v>
      </c>
      <c r="E90" s="62" t="s">
        <v>3914</v>
      </c>
      <c r="F90" s="2">
        <v>11</v>
      </c>
      <c r="G90" s="2" t="str">
        <f t="shared" si="11"/>
        <v>k</v>
      </c>
      <c r="H90" s="2">
        <f t="shared" si="12"/>
        <v>2018</v>
      </c>
      <c r="I90" s="2" t="s">
        <v>3926</v>
      </c>
      <c r="J90" s="2" t="s">
        <v>3916</v>
      </c>
      <c r="K90" s="2" t="s">
        <v>3892</v>
      </c>
      <c r="L90" s="2" t="s">
        <v>1520</v>
      </c>
      <c r="M90" s="2" t="s">
        <v>3893</v>
      </c>
      <c r="P90" s="2" t="s">
        <v>1527</v>
      </c>
      <c r="Q90" s="2" t="s">
        <v>3462</v>
      </c>
    </row>
    <row r="91" spans="1:17" ht="18" customHeight="1" x14ac:dyDescent="0.2">
      <c r="A91" s="62" t="s">
        <v>777</v>
      </c>
      <c r="B91" s="62" t="s">
        <v>3896</v>
      </c>
      <c r="C91" s="62" t="s">
        <v>4182</v>
      </c>
      <c r="D91" s="62" t="s">
        <v>1635</v>
      </c>
      <c r="E91" s="62" t="s">
        <v>3927</v>
      </c>
      <c r="F91" s="2">
        <v>1</v>
      </c>
      <c r="G91" s="2" t="str">
        <f t="shared" si="11"/>
        <v>a</v>
      </c>
      <c r="H91" s="2">
        <f t="shared" si="12"/>
        <v>2008</v>
      </c>
      <c r="I91" s="2" t="s">
        <v>3931</v>
      </c>
      <c r="J91" s="2" t="s">
        <v>3929</v>
      </c>
      <c r="K91" s="2" t="s">
        <v>3892</v>
      </c>
      <c r="L91" s="2" t="s">
        <v>398</v>
      </c>
      <c r="M91" s="2" t="s">
        <v>3893</v>
      </c>
      <c r="P91" s="2" t="s">
        <v>1527</v>
      </c>
      <c r="Q91" s="2" t="s">
        <v>3462</v>
      </c>
    </row>
    <row r="92" spans="1:17" ht="18" customHeight="1" x14ac:dyDescent="0.2">
      <c r="A92" s="62" t="s">
        <v>777</v>
      </c>
      <c r="B92" s="62" t="s">
        <v>3894</v>
      </c>
      <c r="C92" s="62" t="s">
        <v>4182</v>
      </c>
      <c r="D92" s="62" t="s">
        <v>1635</v>
      </c>
      <c r="E92" s="62" t="s">
        <v>3927</v>
      </c>
      <c r="F92" s="2">
        <v>2</v>
      </c>
      <c r="G92" s="2" t="str">
        <f t="shared" si="11"/>
        <v>b</v>
      </c>
      <c r="H92" s="2">
        <f t="shared" si="12"/>
        <v>2009</v>
      </c>
      <c r="I92" s="2" t="s">
        <v>3930</v>
      </c>
      <c r="J92" s="2" t="s">
        <v>3929</v>
      </c>
      <c r="K92" s="2" t="s">
        <v>3892</v>
      </c>
      <c r="L92" s="2" t="s">
        <v>398</v>
      </c>
      <c r="M92" s="2" t="s">
        <v>3893</v>
      </c>
      <c r="P92" s="2" t="s">
        <v>1527</v>
      </c>
      <c r="Q92" s="2" t="s">
        <v>3462</v>
      </c>
    </row>
    <row r="93" spans="1:17" ht="18" customHeight="1" x14ac:dyDescent="0.2">
      <c r="A93" s="62" t="s">
        <v>777</v>
      </c>
      <c r="B93" s="62" t="s">
        <v>3888</v>
      </c>
      <c r="C93" s="62" t="s">
        <v>4182</v>
      </c>
      <c r="D93" s="62" t="s">
        <v>1635</v>
      </c>
      <c r="E93" s="62" t="s">
        <v>3927</v>
      </c>
      <c r="F93" s="2">
        <v>3</v>
      </c>
      <c r="G93" s="2" t="str">
        <f t="shared" si="11"/>
        <v>c</v>
      </c>
      <c r="H93" s="2">
        <f t="shared" si="12"/>
        <v>2010</v>
      </c>
      <c r="I93" s="2" t="s">
        <v>3928</v>
      </c>
      <c r="J93" s="2" t="s">
        <v>3929</v>
      </c>
      <c r="K93" s="2" t="s">
        <v>3892</v>
      </c>
      <c r="L93" s="2" t="s">
        <v>398</v>
      </c>
      <c r="M93" s="2" t="s">
        <v>3893</v>
      </c>
      <c r="P93" s="2" t="s">
        <v>1527</v>
      </c>
      <c r="Q93" s="2" t="s">
        <v>3462</v>
      </c>
    </row>
    <row r="94" spans="1:17" ht="18" customHeight="1" x14ac:dyDescent="0.2">
      <c r="A94" s="62" t="s">
        <v>777</v>
      </c>
      <c r="B94" s="62" t="s">
        <v>3898</v>
      </c>
      <c r="C94" s="62" t="s">
        <v>4182</v>
      </c>
      <c r="D94" s="62" t="s">
        <v>1635</v>
      </c>
      <c r="E94" s="62" t="s">
        <v>3927</v>
      </c>
      <c r="F94" s="2">
        <v>4</v>
      </c>
      <c r="G94" s="2" t="str">
        <f t="shared" si="11"/>
        <v>d</v>
      </c>
      <c r="H94" s="2">
        <f t="shared" si="12"/>
        <v>2011</v>
      </c>
      <c r="I94" s="2" t="s">
        <v>3932</v>
      </c>
      <c r="J94" s="2" t="s">
        <v>3929</v>
      </c>
      <c r="K94" s="2" t="s">
        <v>3892</v>
      </c>
      <c r="L94" s="2" t="s">
        <v>398</v>
      </c>
      <c r="M94" s="2" t="s">
        <v>3893</v>
      </c>
      <c r="P94" s="2" t="s">
        <v>1527</v>
      </c>
      <c r="Q94" s="2" t="s">
        <v>3462</v>
      </c>
    </row>
    <row r="95" spans="1:17" ht="18" customHeight="1" x14ac:dyDescent="0.2">
      <c r="A95" s="62" t="s">
        <v>777</v>
      </c>
      <c r="B95" s="62" t="s">
        <v>3900</v>
      </c>
      <c r="C95" s="62" t="s">
        <v>4182</v>
      </c>
      <c r="D95" s="62" t="s">
        <v>1635</v>
      </c>
      <c r="E95" s="62" t="s">
        <v>3927</v>
      </c>
      <c r="F95" s="2">
        <v>5</v>
      </c>
      <c r="G95" s="2" t="str">
        <f t="shared" si="11"/>
        <v>e</v>
      </c>
      <c r="H95" s="2">
        <f t="shared" si="12"/>
        <v>2012</v>
      </c>
      <c r="I95" s="2" t="s">
        <v>3933</v>
      </c>
      <c r="J95" s="2" t="s">
        <v>3929</v>
      </c>
      <c r="K95" s="2" t="s">
        <v>3892</v>
      </c>
      <c r="L95" s="2" t="s">
        <v>398</v>
      </c>
      <c r="M95" s="2" t="s">
        <v>3893</v>
      </c>
      <c r="P95" s="2" t="s">
        <v>1527</v>
      </c>
      <c r="Q95" s="2" t="s">
        <v>3462</v>
      </c>
    </row>
    <row r="96" spans="1:17" ht="18" customHeight="1" x14ac:dyDescent="0.2">
      <c r="A96" s="62" t="s">
        <v>777</v>
      </c>
      <c r="B96" s="62" t="s">
        <v>3902</v>
      </c>
      <c r="C96" s="62" t="s">
        <v>4182</v>
      </c>
      <c r="D96" s="62" t="s">
        <v>1635</v>
      </c>
      <c r="E96" s="62" t="s">
        <v>3927</v>
      </c>
      <c r="F96" s="2">
        <v>6</v>
      </c>
      <c r="G96" s="2" t="str">
        <f t="shared" si="11"/>
        <v>f</v>
      </c>
      <c r="H96" s="2">
        <f t="shared" si="12"/>
        <v>2013</v>
      </c>
      <c r="I96" s="2" t="s">
        <v>3934</v>
      </c>
      <c r="J96" s="2" t="s">
        <v>3929</v>
      </c>
      <c r="K96" s="2" t="s">
        <v>3892</v>
      </c>
      <c r="L96" s="2" t="s">
        <v>398</v>
      </c>
      <c r="M96" s="2" t="s">
        <v>3893</v>
      </c>
      <c r="P96" s="2" t="s">
        <v>1527</v>
      </c>
      <c r="Q96" s="2" t="s">
        <v>3462</v>
      </c>
    </row>
    <row r="97" spans="1:17" ht="18" customHeight="1" x14ac:dyDescent="0.2">
      <c r="A97" s="62" t="s">
        <v>777</v>
      </c>
      <c r="B97" s="62" t="s">
        <v>3904</v>
      </c>
      <c r="C97" s="62" t="s">
        <v>4182</v>
      </c>
      <c r="D97" s="62" t="s">
        <v>1635</v>
      </c>
      <c r="E97" s="62" t="s">
        <v>3927</v>
      </c>
      <c r="F97" s="2">
        <v>7</v>
      </c>
      <c r="G97" s="2" t="str">
        <f t="shared" si="11"/>
        <v>g</v>
      </c>
      <c r="H97" s="2">
        <f t="shared" si="12"/>
        <v>2014</v>
      </c>
      <c r="I97" s="2" t="s">
        <v>3935</v>
      </c>
      <c r="J97" s="2" t="s">
        <v>3929</v>
      </c>
      <c r="K97" s="2" t="s">
        <v>3892</v>
      </c>
      <c r="L97" s="2" t="s">
        <v>398</v>
      </c>
      <c r="M97" s="2" t="s">
        <v>3893</v>
      </c>
      <c r="P97" s="2" t="s">
        <v>1527</v>
      </c>
      <c r="Q97" s="2" t="s">
        <v>3462</v>
      </c>
    </row>
    <row r="98" spans="1:17" ht="18" customHeight="1" x14ac:dyDescent="0.2">
      <c r="A98" s="62" t="s">
        <v>777</v>
      </c>
      <c r="B98" s="62" t="s">
        <v>3906</v>
      </c>
      <c r="C98" s="62" t="s">
        <v>4182</v>
      </c>
      <c r="D98" s="62" t="s">
        <v>1635</v>
      </c>
      <c r="E98" s="62" t="s">
        <v>3927</v>
      </c>
      <c r="F98" s="2">
        <v>8</v>
      </c>
      <c r="G98" s="2" t="str">
        <f t="shared" ref="G98:G123" si="13">MID("abcdefghijklmnopqrstuvwxyz",F98,1)</f>
        <v>h</v>
      </c>
      <c r="H98" s="2">
        <f t="shared" si="12"/>
        <v>2015</v>
      </c>
      <c r="I98" s="2" t="s">
        <v>3936</v>
      </c>
      <c r="J98" s="2" t="s">
        <v>3929</v>
      </c>
      <c r="K98" s="2" t="s">
        <v>3892</v>
      </c>
      <c r="L98" s="2" t="s">
        <v>398</v>
      </c>
      <c r="M98" s="2" t="s">
        <v>3893</v>
      </c>
      <c r="P98" s="2" t="s">
        <v>1527</v>
      </c>
      <c r="Q98" s="2" t="s">
        <v>3462</v>
      </c>
    </row>
    <row r="99" spans="1:17" ht="18" customHeight="1" x14ac:dyDescent="0.2">
      <c r="A99" s="62" t="s">
        <v>777</v>
      </c>
      <c r="B99" s="62" t="s">
        <v>3908</v>
      </c>
      <c r="C99" s="62" t="s">
        <v>4182</v>
      </c>
      <c r="D99" s="62" t="s">
        <v>1635</v>
      </c>
      <c r="E99" s="62" t="s">
        <v>3927</v>
      </c>
      <c r="F99" s="2">
        <v>9</v>
      </c>
      <c r="G99" s="2" t="str">
        <f t="shared" si="13"/>
        <v>i</v>
      </c>
      <c r="H99" s="2">
        <f t="shared" si="12"/>
        <v>2016</v>
      </c>
      <c r="I99" s="2" t="s">
        <v>3937</v>
      </c>
      <c r="J99" s="2" t="s">
        <v>3929</v>
      </c>
      <c r="K99" s="2" t="s">
        <v>3892</v>
      </c>
      <c r="L99" s="2" t="s">
        <v>398</v>
      </c>
      <c r="M99" s="2" t="s">
        <v>3893</v>
      </c>
      <c r="P99" s="2" t="s">
        <v>1527</v>
      </c>
      <c r="Q99" s="2" t="s">
        <v>3462</v>
      </c>
    </row>
    <row r="100" spans="1:17" ht="18" customHeight="1" x14ac:dyDescent="0.2">
      <c r="A100" s="62" t="s">
        <v>777</v>
      </c>
      <c r="B100" s="62" t="s">
        <v>3910</v>
      </c>
      <c r="C100" s="62" t="s">
        <v>4182</v>
      </c>
      <c r="D100" s="62" t="s">
        <v>1635</v>
      </c>
      <c r="E100" s="62" t="s">
        <v>3927</v>
      </c>
      <c r="F100" s="2">
        <v>10</v>
      </c>
      <c r="G100" s="2" t="str">
        <f t="shared" si="13"/>
        <v>j</v>
      </c>
      <c r="H100" s="2">
        <f t="shared" si="12"/>
        <v>2017</v>
      </c>
      <c r="I100" s="2" t="s">
        <v>3938</v>
      </c>
      <c r="J100" s="2" t="s">
        <v>3929</v>
      </c>
      <c r="K100" s="2" t="s">
        <v>3892</v>
      </c>
      <c r="L100" s="2" t="s">
        <v>398</v>
      </c>
      <c r="M100" s="2" t="s">
        <v>3893</v>
      </c>
      <c r="P100" s="2" t="s">
        <v>1527</v>
      </c>
      <c r="Q100" s="2" t="s">
        <v>3462</v>
      </c>
    </row>
    <row r="101" spans="1:17" ht="18" customHeight="1" x14ac:dyDescent="0.2">
      <c r="A101" s="62" t="s">
        <v>777</v>
      </c>
      <c r="B101" s="62" t="s">
        <v>3912</v>
      </c>
      <c r="C101" s="62" t="s">
        <v>4182</v>
      </c>
      <c r="D101" s="62" t="s">
        <v>1635</v>
      </c>
      <c r="E101" s="62" t="s">
        <v>3927</v>
      </c>
      <c r="F101" s="2">
        <v>11</v>
      </c>
      <c r="G101" s="2" t="str">
        <f t="shared" si="13"/>
        <v>k</v>
      </c>
      <c r="H101" s="2">
        <f t="shared" ref="H101:H123" si="14">F101+2007</f>
        <v>2018</v>
      </c>
      <c r="I101" s="2" t="s">
        <v>3939</v>
      </c>
      <c r="J101" s="2" t="s">
        <v>3929</v>
      </c>
      <c r="K101" s="2" t="s">
        <v>3892</v>
      </c>
      <c r="L101" s="2" t="s">
        <v>398</v>
      </c>
      <c r="M101" s="2" t="s">
        <v>3893</v>
      </c>
      <c r="P101" s="2" t="s">
        <v>1527</v>
      </c>
      <c r="Q101" s="2" t="s">
        <v>3462</v>
      </c>
    </row>
    <row r="102" spans="1:17" ht="18" customHeight="1" x14ac:dyDescent="0.2">
      <c r="A102" s="62" t="s">
        <v>777</v>
      </c>
      <c r="B102" s="62" t="s">
        <v>3896</v>
      </c>
      <c r="C102" s="62" t="s">
        <v>4182</v>
      </c>
      <c r="D102" s="62" t="s">
        <v>1635</v>
      </c>
      <c r="E102" s="62" t="s">
        <v>3940</v>
      </c>
      <c r="F102" s="2">
        <v>1</v>
      </c>
      <c r="G102" s="2" t="str">
        <f t="shared" si="13"/>
        <v>a</v>
      </c>
      <c r="H102" s="2">
        <f t="shared" si="14"/>
        <v>2008</v>
      </c>
      <c r="I102" s="2" t="s">
        <v>3944</v>
      </c>
      <c r="J102" s="2" t="s">
        <v>3942</v>
      </c>
      <c r="K102" s="2" t="s">
        <v>3892</v>
      </c>
      <c r="L102" s="2" t="s">
        <v>398</v>
      </c>
      <c r="M102" s="2" t="s">
        <v>3893</v>
      </c>
      <c r="P102" s="2" t="s">
        <v>1527</v>
      </c>
      <c r="Q102" s="2" t="s">
        <v>3462</v>
      </c>
    </row>
    <row r="103" spans="1:17" ht="18" customHeight="1" x14ac:dyDescent="0.2">
      <c r="A103" s="62" t="s">
        <v>777</v>
      </c>
      <c r="B103" s="62" t="s">
        <v>3894</v>
      </c>
      <c r="C103" s="62" t="s">
        <v>4182</v>
      </c>
      <c r="D103" s="62" t="s">
        <v>1635</v>
      </c>
      <c r="E103" s="62" t="s">
        <v>3940</v>
      </c>
      <c r="F103" s="2">
        <v>2</v>
      </c>
      <c r="G103" s="2" t="str">
        <f t="shared" si="13"/>
        <v>b</v>
      </c>
      <c r="H103" s="2">
        <f t="shared" si="14"/>
        <v>2009</v>
      </c>
      <c r="I103" s="2" t="s">
        <v>3943</v>
      </c>
      <c r="J103" s="2" t="s">
        <v>3942</v>
      </c>
      <c r="K103" s="2" t="s">
        <v>3892</v>
      </c>
      <c r="L103" s="2" t="s">
        <v>398</v>
      </c>
      <c r="M103" s="2" t="s">
        <v>3893</v>
      </c>
      <c r="P103" s="2" t="s">
        <v>1527</v>
      </c>
      <c r="Q103" s="2" t="s">
        <v>3462</v>
      </c>
    </row>
    <row r="104" spans="1:17" ht="18" customHeight="1" x14ac:dyDescent="0.2">
      <c r="A104" s="62" t="s">
        <v>777</v>
      </c>
      <c r="B104" s="62" t="s">
        <v>3888</v>
      </c>
      <c r="C104" s="62" t="s">
        <v>4182</v>
      </c>
      <c r="D104" s="62" t="s">
        <v>1635</v>
      </c>
      <c r="E104" s="62" t="s">
        <v>3940</v>
      </c>
      <c r="F104" s="2">
        <v>3</v>
      </c>
      <c r="G104" s="2" t="str">
        <f t="shared" si="13"/>
        <v>c</v>
      </c>
      <c r="H104" s="2">
        <f t="shared" si="14"/>
        <v>2010</v>
      </c>
      <c r="I104" s="2" t="s">
        <v>3941</v>
      </c>
      <c r="J104" s="2" t="s">
        <v>3942</v>
      </c>
      <c r="K104" s="2" t="s">
        <v>3892</v>
      </c>
      <c r="L104" s="2" t="s">
        <v>398</v>
      </c>
      <c r="M104" s="2" t="s">
        <v>3893</v>
      </c>
      <c r="P104" s="2" t="s">
        <v>1527</v>
      </c>
      <c r="Q104" s="2" t="s">
        <v>3462</v>
      </c>
    </row>
    <row r="105" spans="1:17" ht="18" customHeight="1" x14ac:dyDescent="0.2">
      <c r="A105" s="62" t="s">
        <v>777</v>
      </c>
      <c r="B105" s="62" t="s">
        <v>3898</v>
      </c>
      <c r="C105" s="62" t="s">
        <v>4182</v>
      </c>
      <c r="D105" s="62" t="s">
        <v>1635</v>
      </c>
      <c r="E105" s="62" t="s">
        <v>3940</v>
      </c>
      <c r="F105" s="2">
        <v>4</v>
      </c>
      <c r="G105" s="2" t="str">
        <f t="shared" si="13"/>
        <v>d</v>
      </c>
      <c r="H105" s="2">
        <f t="shared" si="14"/>
        <v>2011</v>
      </c>
      <c r="I105" s="2" t="s">
        <v>3945</v>
      </c>
      <c r="J105" s="2" t="s">
        <v>3942</v>
      </c>
      <c r="K105" s="2" t="s">
        <v>3892</v>
      </c>
      <c r="L105" s="2" t="s">
        <v>398</v>
      </c>
      <c r="M105" s="2" t="s">
        <v>3893</v>
      </c>
      <c r="P105" s="2" t="s">
        <v>1527</v>
      </c>
      <c r="Q105" s="2" t="s">
        <v>3462</v>
      </c>
    </row>
    <row r="106" spans="1:17" ht="18" customHeight="1" x14ac:dyDescent="0.2">
      <c r="A106" s="62" t="s">
        <v>777</v>
      </c>
      <c r="B106" s="62" t="s">
        <v>3900</v>
      </c>
      <c r="C106" s="62" t="s">
        <v>4182</v>
      </c>
      <c r="D106" s="62" t="s">
        <v>1635</v>
      </c>
      <c r="E106" s="62" t="s">
        <v>3940</v>
      </c>
      <c r="F106" s="2">
        <v>5</v>
      </c>
      <c r="G106" s="2" t="str">
        <f t="shared" si="13"/>
        <v>e</v>
      </c>
      <c r="H106" s="2">
        <f t="shared" si="14"/>
        <v>2012</v>
      </c>
      <c r="I106" s="2" t="s">
        <v>3946</v>
      </c>
      <c r="J106" s="2" t="s">
        <v>3942</v>
      </c>
      <c r="K106" s="2" t="s">
        <v>3892</v>
      </c>
      <c r="L106" s="2" t="s">
        <v>398</v>
      </c>
      <c r="M106" s="2" t="s">
        <v>3893</v>
      </c>
      <c r="P106" s="2" t="s">
        <v>1527</v>
      </c>
      <c r="Q106" s="2" t="s">
        <v>3462</v>
      </c>
    </row>
    <row r="107" spans="1:17" ht="18" customHeight="1" x14ac:dyDescent="0.2">
      <c r="A107" s="62" t="s">
        <v>777</v>
      </c>
      <c r="B107" s="62" t="s">
        <v>3902</v>
      </c>
      <c r="C107" s="62" t="s">
        <v>4182</v>
      </c>
      <c r="D107" s="62" t="s">
        <v>1635</v>
      </c>
      <c r="E107" s="62" t="s">
        <v>3940</v>
      </c>
      <c r="F107" s="2">
        <v>6</v>
      </c>
      <c r="G107" s="2" t="str">
        <f t="shared" si="13"/>
        <v>f</v>
      </c>
      <c r="H107" s="2">
        <f t="shared" si="14"/>
        <v>2013</v>
      </c>
      <c r="I107" s="2" t="s">
        <v>3947</v>
      </c>
      <c r="J107" s="2" t="s">
        <v>3942</v>
      </c>
      <c r="K107" s="2" t="s">
        <v>3892</v>
      </c>
      <c r="L107" s="2" t="s">
        <v>398</v>
      </c>
      <c r="M107" s="2" t="s">
        <v>3893</v>
      </c>
      <c r="P107" s="2" t="s">
        <v>1527</v>
      </c>
      <c r="Q107" s="2" t="s">
        <v>3462</v>
      </c>
    </row>
    <row r="108" spans="1:17" ht="18" customHeight="1" x14ac:dyDescent="0.2">
      <c r="A108" s="62" t="s">
        <v>777</v>
      </c>
      <c r="B108" s="62" t="s">
        <v>3904</v>
      </c>
      <c r="C108" s="62" t="s">
        <v>4182</v>
      </c>
      <c r="D108" s="62" t="s">
        <v>1635</v>
      </c>
      <c r="E108" s="62" t="s">
        <v>3940</v>
      </c>
      <c r="F108" s="2">
        <v>7</v>
      </c>
      <c r="G108" s="2" t="str">
        <f t="shared" si="13"/>
        <v>g</v>
      </c>
      <c r="H108" s="2">
        <f t="shared" si="14"/>
        <v>2014</v>
      </c>
      <c r="I108" s="2" t="s">
        <v>3948</v>
      </c>
      <c r="J108" s="2" t="s">
        <v>3942</v>
      </c>
      <c r="K108" s="2" t="s">
        <v>3892</v>
      </c>
      <c r="L108" s="2" t="s">
        <v>398</v>
      </c>
      <c r="M108" s="2" t="s">
        <v>3893</v>
      </c>
      <c r="P108" s="2" t="s">
        <v>1527</v>
      </c>
      <c r="Q108" s="2" t="s">
        <v>3462</v>
      </c>
    </row>
    <row r="109" spans="1:17" ht="18" customHeight="1" x14ac:dyDescent="0.2">
      <c r="A109" s="62" t="s">
        <v>777</v>
      </c>
      <c r="B109" s="62" t="s">
        <v>3906</v>
      </c>
      <c r="C109" s="62" t="s">
        <v>4182</v>
      </c>
      <c r="D109" s="62" t="s">
        <v>1635</v>
      </c>
      <c r="E109" s="62" t="s">
        <v>3940</v>
      </c>
      <c r="F109" s="2">
        <v>8</v>
      </c>
      <c r="G109" s="2" t="str">
        <f t="shared" si="13"/>
        <v>h</v>
      </c>
      <c r="H109" s="2">
        <f t="shared" si="14"/>
        <v>2015</v>
      </c>
      <c r="I109" s="2" t="s">
        <v>3949</v>
      </c>
      <c r="J109" s="2" t="s">
        <v>3942</v>
      </c>
      <c r="K109" s="2" t="s">
        <v>3892</v>
      </c>
      <c r="L109" s="2" t="s">
        <v>398</v>
      </c>
      <c r="M109" s="2" t="s">
        <v>3893</v>
      </c>
      <c r="P109" s="2" t="s">
        <v>1527</v>
      </c>
      <c r="Q109" s="2" t="s">
        <v>3462</v>
      </c>
    </row>
    <row r="110" spans="1:17" ht="18" customHeight="1" x14ac:dyDescent="0.2">
      <c r="A110" s="62" t="s">
        <v>777</v>
      </c>
      <c r="B110" s="62" t="s">
        <v>3908</v>
      </c>
      <c r="C110" s="62" t="s">
        <v>4182</v>
      </c>
      <c r="D110" s="62" t="s">
        <v>1635</v>
      </c>
      <c r="E110" s="62" t="s">
        <v>3940</v>
      </c>
      <c r="F110" s="2">
        <v>9</v>
      </c>
      <c r="G110" s="2" t="str">
        <f t="shared" si="13"/>
        <v>i</v>
      </c>
      <c r="H110" s="2">
        <f t="shared" si="14"/>
        <v>2016</v>
      </c>
      <c r="I110" s="2" t="s">
        <v>3950</v>
      </c>
      <c r="J110" s="2" t="s">
        <v>3942</v>
      </c>
      <c r="K110" s="2" t="s">
        <v>3892</v>
      </c>
      <c r="L110" s="2" t="s">
        <v>398</v>
      </c>
      <c r="M110" s="2" t="s">
        <v>3893</v>
      </c>
      <c r="P110" s="2" t="s">
        <v>1527</v>
      </c>
      <c r="Q110" s="2" t="s">
        <v>3462</v>
      </c>
    </row>
    <row r="111" spans="1:17" ht="18" customHeight="1" x14ac:dyDescent="0.2">
      <c r="A111" s="62" t="s">
        <v>777</v>
      </c>
      <c r="B111" s="62" t="s">
        <v>3910</v>
      </c>
      <c r="C111" s="62" t="s">
        <v>4182</v>
      </c>
      <c r="D111" s="62" t="s">
        <v>1635</v>
      </c>
      <c r="E111" s="62" t="s">
        <v>3940</v>
      </c>
      <c r="F111" s="2">
        <v>10</v>
      </c>
      <c r="G111" s="2" t="str">
        <f t="shared" si="13"/>
        <v>j</v>
      </c>
      <c r="H111" s="2">
        <f t="shared" si="14"/>
        <v>2017</v>
      </c>
      <c r="I111" s="2" t="s">
        <v>3951</v>
      </c>
      <c r="J111" s="2" t="s">
        <v>3942</v>
      </c>
      <c r="K111" s="2" t="s">
        <v>3892</v>
      </c>
      <c r="L111" s="2" t="s">
        <v>398</v>
      </c>
      <c r="M111" s="2" t="s">
        <v>3893</v>
      </c>
      <c r="P111" s="2" t="s">
        <v>1527</v>
      </c>
      <c r="Q111" s="2" t="s">
        <v>3462</v>
      </c>
    </row>
    <row r="112" spans="1:17" ht="18" customHeight="1" x14ac:dyDescent="0.2">
      <c r="A112" s="62" t="s">
        <v>777</v>
      </c>
      <c r="B112" s="62" t="s">
        <v>3912</v>
      </c>
      <c r="C112" s="62" t="s">
        <v>4182</v>
      </c>
      <c r="D112" s="62" t="s">
        <v>1635</v>
      </c>
      <c r="E112" s="62" t="s">
        <v>3940</v>
      </c>
      <c r="F112" s="2">
        <v>11</v>
      </c>
      <c r="G112" s="2" t="str">
        <f t="shared" si="13"/>
        <v>k</v>
      </c>
      <c r="H112" s="2">
        <f t="shared" si="14"/>
        <v>2018</v>
      </c>
      <c r="I112" s="2" t="s">
        <v>3952</v>
      </c>
      <c r="J112" s="2" t="s">
        <v>3942</v>
      </c>
      <c r="K112" s="2" t="s">
        <v>3892</v>
      </c>
      <c r="L112" s="2" t="s">
        <v>398</v>
      </c>
      <c r="M112" s="2" t="s">
        <v>3893</v>
      </c>
      <c r="P112" s="2" t="s">
        <v>1527</v>
      </c>
      <c r="Q112" s="2" t="s">
        <v>3462</v>
      </c>
    </row>
    <row r="113" spans="1:17" ht="18" customHeight="1" x14ac:dyDescent="0.2">
      <c r="A113" s="62" t="s">
        <v>777</v>
      </c>
      <c r="B113" s="62" t="s">
        <v>3896</v>
      </c>
      <c r="C113" s="62" t="s">
        <v>4182</v>
      </c>
      <c r="D113" s="62" t="s">
        <v>1635</v>
      </c>
      <c r="E113" s="62" t="s">
        <v>3953</v>
      </c>
      <c r="F113" s="2">
        <v>1</v>
      </c>
      <c r="G113" s="2" t="str">
        <f t="shared" si="13"/>
        <v>a</v>
      </c>
      <c r="H113" s="2">
        <f t="shared" si="14"/>
        <v>2008</v>
      </c>
      <c r="I113" s="2" t="s">
        <v>3957</v>
      </c>
      <c r="J113" s="2" t="s">
        <v>3955</v>
      </c>
      <c r="K113" s="2" t="s">
        <v>3892</v>
      </c>
      <c r="L113" s="2" t="s">
        <v>1520</v>
      </c>
      <c r="M113" s="2" t="s">
        <v>3893</v>
      </c>
      <c r="P113" s="2" t="s">
        <v>1527</v>
      </c>
      <c r="Q113" s="2" t="s">
        <v>3462</v>
      </c>
    </row>
    <row r="114" spans="1:17" ht="18" customHeight="1" x14ac:dyDescent="0.2">
      <c r="A114" s="62" t="s">
        <v>777</v>
      </c>
      <c r="B114" s="62" t="s">
        <v>3894</v>
      </c>
      <c r="C114" s="62" t="s">
        <v>4182</v>
      </c>
      <c r="D114" s="62" t="s">
        <v>1635</v>
      </c>
      <c r="E114" s="62" t="s">
        <v>3953</v>
      </c>
      <c r="F114" s="2">
        <v>2</v>
      </c>
      <c r="G114" s="2" t="str">
        <f t="shared" si="13"/>
        <v>b</v>
      </c>
      <c r="H114" s="2">
        <f t="shared" si="14"/>
        <v>2009</v>
      </c>
      <c r="I114" s="2" t="s">
        <v>3956</v>
      </c>
      <c r="J114" s="2" t="s">
        <v>3955</v>
      </c>
      <c r="K114" s="2" t="s">
        <v>3892</v>
      </c>
      <c r="L114" s="2" t="s">
        <v>1520</v>
      </c>
      <c r="M114" s="2" t="s">
        <v>3893</v>
      </c>
      <c r="P114" s="2" t="s">
        <v>1527</v>
      </c>
      <c r="Q114" s="2" t="s">
        <v>3462</v>
      </c>
    </row>
    <row r="115" spans="1:17" ht="18" customHeight="1" x14ac:dyDescent="0.2">
      <c r="A115" s="62" t="s">
        <v>777</v>
      </c>
      <c r="B115" s="62" t="s">
        <v>3888</v>
      </c>
      <c r="C115" s="62" t="s">
        <v>4182</v>
      </c>
      <c r="D115" s="62" t="s">
        <v>1635</v>
      </c>
      <c r="E115" s="62" t="s">
        <v>3953</v>
      </c>
      <c r="F115" s="2">
        <v>3</v>
      </c>
      <c r="G115" s="2" t="str">
        <f t="shared" si="13"/>
        <v>c</v>
      </c>
      <c r="H115" s="2">
        <f t="shared" si="14"/>
        <v>2010</v>
      </c>
      <c r="I115" s="2" t="s">
        <v>3954</v>
      </c>
      <c r="J115" s="2" t="s">
        <v>3955</v>
      </c>
      <c r="K115" s="2" t="s">
        <v>3892</v>
      </c>
      <c r="L115" s="2" t="s">
        <v>1520</v>
      </c>
      <c r="M115" s="2" t="s">
        <v>3893</v>
      </c>
      <c r="P115" s="2" t="s">
        <v>1527</v>
      </c>
      <c r="Q115" s="2" t="s">
        <v>3462</v>
      </c>
    </row>
    <row r="116" spans="1:17" ht="18" customHeight="1" x14ac:dyDescent="0.2">
      <c r="A116" s="62" t="s">
        <v>777</v>
      </c>
      <c r="B116" s="62" t="s">
        <v>3898</v>
      </c>
      <c r="C116" s="62" t="s">
        <v>4182</v>
      </c>
      <c r="D116" s="62" t="s">
        <v>1635</v>
      </c>
      <c r="E116" s="62" t="s">
        <v>3953</v>
      </c>
      <c r="F116" s="2">
        <v>4</v>
      </c>
      <c r="G116" s="2" t="str">
        <f t="shared" si="13"/>
        <v>d</v>
      </c>
      <c r="H116" s="2">
        <f t="shared" si="14"/>
        <v>2011</v>
      </c>
      <c r="I116" s="2" t="s">
        <v>3958</v>
      </c>
      <c r="J116" s="2" t="s">
        <v>3955</v>
      </c>
      <c r="K116" s="2" t="s">
        <v>3892</v>
      </c>
      <c r="L116" s="2" t="s">
        <v>1520</v>
      </c>
      <c r="M116" s="2" t="s">
        <v>3893</v>
      </c>
      <c r="P116" s="2" t="s">
        <v>1527</v>
      </c>
      <c r="Q116" s="2" t="s">
        <v>3462</v>
      </c>
    </row>
    <row r="117" spans="1:17" ht="18" customHeight="1" x14ac:dyDescent="0.2">
      <c r="A117" s="62" t="s">
        <v>777</v>
      </c>
      <c r="B117" s="62" t="s">
        <v>3900</v>
      </c>
      <c r="C117" s="62" t="s">
        <v>4182</v>
      </c>
      <c r="D117" s="62" t="s">
        <v>1635</v>
      </c>
      <c r="E117" s="62" t="s">
        <v>3953</v>
      </c>
      <c r="F117" s="2">
        <v>5</v>
      </c>
      <c r="G117" s="2" t="str">
        <f t="shared" si="13"/>
        <v>e</v>
      </c>
      <c r="H117" s="2">
        <f t="shared" si="14"/>
        <v>2012</v>
      </c>
      <c r="I117" s="2" t="s">
        <v>3959</v>
      </c>
      <c r="J117" s="2" t="s">
        <v>3955</v>
      </c>
      <c r="K117" s="2" t="s">
        <v>3892</v>
      </c>
      <c r="L117" s="2" t="s">
        <v>1520</v>
      </c>
      <c r="M117" s="2" t="s">
        <v>3893</v>
      </c>
      <c r="P117" s="2" t="s">
        <v>1527</v>
      </c>
      <c r="Q117" s="2" t="s">
        <v>3462</v>
      </c>
    </row>
    <row r="118" spans="1:17" ht="18" customHeight="1" x14ac:dyDescent="0.2">
      <c r="A118" s="62" t="s">
        <v>777</v>
      </c>
      <c r="B118" s="62" t="s">
        <v>3902</v>
      </c>
      <c r="C118" s="62" t="s">
        <v>4182</v>
      </c>
      <c r="D118" s="62" t="s">
        <v>1635</v>
      </c>
      <c r="E118" s="62" t="s">
        <v>3953</v>
      </c>
      <c r="F118" s="2">
        <v>6</v>
      </c>
      <c r="G118" s="2" t="str">
        <f t="shared" si="13"/>
        <v>f</v>
      </c>
      <c r="H118" s="2">
        <f t="shared" si="14"/>
        <v>2013</v>
      </c>
      <c r="I118" s="2" t="s">
        <v>3960</v>
      </c>
      <c r="J118" s="2" t="s">
        <v>3955</v>
      </c>
      <c r="K118" s="2" t="s">
        <v>3892</v>
      </c>
      <c r="L118" s="2" t="s">
        <v>1520</v>
      </c>
      <c r="M118" s="2" t="s">
        <v>3893</v>
      </c>
      <c r="P118" s="2" t="s">
        <v>1527</v>
      </c>
      <c r="Q118" s="2" t="s">
        <v>3462</v>
      </c>
    </row>
    <row r="119" spans="1:17" ht="18" customHeight="1" x14ac:dyDescent="0.2">
      <c r="A119" s="62" t="s">
        <v>777</v>
      </c>
      <c r="B119" s="62" t="s">
        <v>3904</v>
      </c>
      <c r="C119" s="62" t="s">
        <v>4182</v>
      </c>
      <c r="D119" s="62" t="s">
        <v>1635</v>
      </c>
      <c r="E119" s="62" t="s">
        <v>3953</v>
      </c>
      <c r="F119" s="2">
        <v>7</v>
      </c>
      <c r="G119" s="2" t="str">
        <f t="shared" si="13"/>
        <v>g</v>
      </c>
      <c r="H119" s="2">
        <f t="shared" si="14"/>
        <v>2014</v>
      </c>
      <c r="I119" s="2" t="s">
        <v>3961</v>
      </c>
      <c r="J119" s="2" t="s">
        <v>3955</v>
      </c>
      <c r="K119" s="2" t="s">
        <v>3892</v>
      </c>
      <c r="L119" s="2" t="s">
        <v>1520</v>
      </c>
      <c r="M119" s="2" t="s">
        <v>3893</v>
      </c>
      <c r="P119" s="2" t="s">
        <v>1527</v>
      </c>
      <c r="Q119" s="2" t="s">
        <v>3462</v>
      </c>
    </row>
    <row r="120" spans="1:17" ht="18" customHeight="1" x14ac:dyDescent="0.2">
      <c r="A120" s="62" t="s">
        <v>777</v>
      </c>
      <c r="B120" s="62" t="s">
        <v>3906</v>
      </c>
      <c r="C120" s="62" t="s">
        <v>4182</v>
      </c>
      <c r="D120" s="62" t="s">
        <v>1635</v>
      </c>
      <c r="E120" s="62" t="s">
        <v>3953</v>
      </c>
      <c r="F120" s="2">
        <v>8</v>
      </c>
      <c r="G120" s="2" t="str">
        <f t="shared" si="13"/>
        <v>h</v>
      </c>
      <c r="H120" s="2">
        <f t="shared" si="14"/>
        <v>2015</v>
      </c>
      <c r="I120" s="2" t="s">
        <v>3962</v>
      </c>
      <c r="J120" s="2" t="s">
        <v>3955</v>
      </c>
      <c r="K120" s="2" t="s">
        <v>3892</v>
      </c>
      <c r="L120" s="2" t="s">
        <v>1520</v>
      </c>
      <c r="M120" s="2" t="s">
        <v>3893</v>
      </c>
      <c r="P120" s="2" t="s">
        <v>1527</v>
      </c>
      <c r="Q120" s="2" t="s">
        <v>3462</v>
      </c>
    </row>
    <row r="121" spans="1:17" ht="18" customHeight="1" x14ac:dyDescent="0.2">
      <c r="A121" s="62" t="s">
        <v>777</v>
      </c>
      <c r="B121" s="62" t="s">
        <v>3908</v>
      </c>
      <c r="C121" s="62" t="s">
        <v>4182</v>
      </c>
      <c r="D121" s="62" t="s">
        <v>1635</v>
      </c>
      <c r="E121" s="62" t="s">
        <v>3953</v>
      </c>
      <c r="F121" s="2">
        <v>9</v>
      </c>
      <c r="G121" s="2" t="str">
        <f t="shared" si="13"/>
        <v>i</v>
      </c>
      <c r="H121" s="2">
        <f t="shared" si="14"/>
        <v>2016</v>
      </c>
      <c r="I121" s="2" t="s">
        <v>3963</v>
      </c>
      <c r="J121" s="2" t="s">
        <v>3955</v>
      </c>
      <c r="K121" s="2" t="s">
        <v>3892</v>
      </c>
      <c r="L121" s="2" t="s">
        <v>1520</v>
      </c>
      <c r="M121" s="2" t="s">
        <v>3893</v>
      </c>
      <c r="P121" s="2" t="s">
        <v>1527</v>
      </c>
      <c r="Q121" s="2" t="s">
        <v>3462</v>
      </c>
    </row>
    <row r="122" spans="1:17" ht="18" customHeight="1" x14ac:dyDescent="0.2">
      <c r="A122" s="62" t="s">
        <v>777</v>
      </c>
      <c r="B122" s="62" t="s">
        <v>3910</v>
      </c>
      <c r="C122" s="62" t="s">
        <v>4182</v>
      </c>
      <c r="D122" s="62" t="s">
        <v>1635</v>
      </c>
      <c r="E122" s="62" t="s">
        <v>3953</v>
      </c>
      <c r="F122" s="2">
        <v>10</v>
      </c>
      <c r="G122" s="2" t="str">
        <f t="shared" si="13"/>
        <v>j</v>
      </c>
      <c r="H122" s="2">
        <f t="shared" si="14"/>
        <v>2017</v>
      </c>
      <c r="I122" s="2" t="s">
        <v>3964</v>
      </c>
      <c r="J122" s="2" t="s">
        <v>3955</v>
      </c>
      <c r="K122" s="2" t="s">
        <v>3892</v>
      </c>
      <c r="L122" s="2" t="s">
        <v>1520</v>
      </c>
      <c r="M122" s="2" t="s">
        <v>3893</v>
      </c>
      <c r="P122" s="2" t="s">
        <v>1527</v>
      </c>
      <c r="Q122" s="2" t="s">
        <v>3462</v>
      </c>
    </row>
    <row r="123" spans="1:17" ht="18" customHeight="1" x14ac:dyDescent="0.2">
      <c r="A123" s="62" t="s">
        <v>777</v>
      </c>
      <c r="B123" s="62" t="s">
        <v>3912</v>
      </c>
      <c r="C123" s="62" t="s">
        <v>4182</v>
      </c>
      <c r="D123" s="62" t="s">
        <v>1635</v>
      </c>
      <c r="E123" s="62" t="s">
        <v>3953</v>
      </c>
      <c r="F123" s="2">
        <v>11</v>
      </c>
      <c r="G123" s="2" t="str">
        <f t="shared" si="13"/>
        <v>k</v>
      </c>
      <c r="H123" s="2">
        <f t="shared" si="14"/>
        <v>2018</v>
      </c>
      <c r="I123" s="2" t="s">
        <v>3965</v>
      </c>
      <c r="J123" s="2" t="s">
        <v>3955</v>
      </c>
      <c r="K123" s="2" t="s">
        <v>3892</v>
      </c>
      <c r="L123" s="2" t="s">
        <v>1520</v>
      </c>
      <c r="M123" s="2" t="s">
        <v>3893</v>
      </c>
      <c r="P123" s="2" t="s">
        <v>1527</v>
      </c>
      <c r="Q123" s="2" t="s">
        <v>3462</v>
      </c>
    </row>
    <row r="124" spans="1:17" ht="18" customHeight="1" x14ac:dyDescent="0.2">
      <c r="A124" s="66" t="s">
        <v>777</v>
      </c>
      <c r="B124" s="66" t="s">
        <v>3770</v>
      </c>
      <c r="C124" s="66" t="s">
        <v>4182</v>
      </c>
      <c r="D124" s="66" t="s">
        <v>1629</v>
      </c>
      <c r="E124" s="66" t="s">
        <v>4194</v>
      </c>
      <c r="F124" s="25">
        <v>1</v>
      </c>
      <c r="G124" s="25" t="s">
        <v>40</v>
      </c>
      <c r="H124" s="25">
        <v>2008</v>
      </c>
      <c r="I124" s="25" t="s">
        <v>3771</v>
      </c>
      <c r="J124" s="25" t="s">
        <v>3772</v>
      </c>
      <c r="K124" s="59" t="s">
        <v>3773</v>
      </c>
      <c r="L124" s="31"/>
      <c r="M124" s="25" t="s">
        <v>2319</v>
      </c>
      <c r="N124" s="25"/>
      <c r="O124" s="31"/>
      <c r="P124" s="25" t="s">
        <v>1127</v>
      </c>
      <c r="Q124" s="31" t="s">
        <v>1127</v>
      </c>
    </row>
    <row r="125" spans="1:17" ht="18" customHeight="1" x14ac:dyDescent="0.2">
      <c r="A125" s="66" t="s">
        <v>777</v>
      </c>
      <c r="B125" s="66" t="s">
        <v>3774</v>
      </c>
      <c r="C125" s="66" t="s">
        <v>4182</v>
      </c>
      <c r="D125" s="66" t="s">
        <v>1629</v>
      </c>
      <c r="E125" s="66" t="s">
        <v>4194</v>
      </c>
      <c r="F125" s="25">
        <v>2</v>
      </c>
      <c r="G125" s="25" t="s">
        <v>37</v>
      </c>
      <c r="H125" s="25">
        <v>2009</v>
      </c>
      <c r="I125" s="25" t="s">
        <v>3771</v>
      </c>
      <c r="J125" s="25" t="s">
        <v>3772</v>
      </c>
      <c r="K125" s="59" t="s">
        <v>3773</v>
      </c>
      <c r="L125" s="31"/>
      <c r="M125" s="25" t="s">
        <v>2319</v>
      </c>
      <c r="N125" s="25"/>
      <c r="O125" s="31"/>
      <c r="P125" s="25" t="s">
        <v>1127</v>
      </c>
      <c r="Q125" s="31" t="s">
        <v>1127</v>
      </c>
    </row>
    <row r="126" spans="1:17" ht="18" customHeight="1" x14ac:dyDescent="0.2">
      <c r="A126" s="66" t="s">
        <v>777</v>
      </c>
      <c r="B126" s="66" t="s">
        <v>3775</v>
      </c>
      <c r="C126" s="66" t="s">
        <v>4182</v>
      </c>
      <c r="D126" s="66" t="s">
        <v>1629</v>
      </c>
      <c r="E126" s="66" t="s">
        <v>4194</v>
      </c>
      <c r="F126" s="25">
        <v>3</v>
      </c>
      <c r="G126" s="25" t="s">
        <v>80</v>
      </c>
      <c r="H126" s="25">
        <v>2010</v>
      </c>
      <c r="I126" s="25" t="s">
        <v>3771</v>
      </c>
      <c r="J126" s="25" t="s">
        <v>3772</v>
      </c>
      <c r="K126" s="59" t="s">
        <v>3773</v>
      </c>
      <c r="L126" s="31"/>
      <c r="M126" s="25" t="s">
        <v>2319</v>
      </c>
      <c r="N126" s="25"/>
      <c r="O126" s="31"/>
      <c r="P126" s="25" t="s">
        <v>1127</v>
      </c>
      <c r="Q126" s="31" t="s">
        <v>1127</v>
      </c>
    </row>
    <row r="127" spans="1:17" ht="18" customHeight="1" x14ac:dyDescent="0.2">
      <c r="A127" s="66" t="s">
        <v>777</v>
      </c>
      <c r="B127" s="66" t="s">
        <v>3776</v>
      </c>
      <c r="C127" s="66" t="s">
        <v>4182</v>
      </c>
      <c r="D127" s="66" t="s">
        <v>1629</v>
      </c>
      <c r="E127" s="66" t="s">
        <v>4194</v>
      </c>
      <c r="F127" s="25">
        <v>4</v>
      </c>
      <c r="G127" s="25" t="s">
        <v>31</v>
      </c>
      <c r="H127" s="25">
        <v>2011</v>
      </c>
      <c r="I127" s="25" t="s">
        <v>3771</v>
      </c>
      <c r="J127" s="25" t="s">
        <v>3772</v>
      </c>
      <c r="K127" s="59" t="s">
        <v>3773</v>
      </c>
      <c r="L127" s="31"/>
      <c r="M127" s="25" t="s">
        <v>2319</v>
      </c>
      <c r="N127" s="25"/>
      <c r="O127" s="31"/>
      <c r="P127" s="25" t="s">
        <v>1127</v>
      </c>
      <c r="Q127" s="31" t="s">
        <v>1127</v>
      </c>
    </row>
    <row r="128" spans="1:17" ht="18" customHeight="1" x14ac:dyDescent="0.2">
      <c r="A128" s="66" t="s">
        <v>777</v>
      </c>
      <c r="B128" s="66" t="s">
        <v>3777</v>
      </c>
      <c r="C128" s="66" t="s">
        <v>4182</v>
      </c>
      <c r="D128" s="66" t="s">
        <v>1629</v>
      </c>
      <c r="E128" s="66" t="s">
        <v>4194</v>
      </c>
      <c r="F128" s="25">
        <v>5</v>
      </c>
      <c r="G128" s="25" t="s">
        <v>13</v>
      </c>
      <c r="H128" s="25">
        <v>2012</v>
      </c>
      <c r="I128" s="25" t="s">
        <v>3771</v>
      </c>
      <c r="J128" s="25" t="s">
        <v>3772</v>
      </c>
      <c r="K128" s="59" t="s">
        <v>3773</v>
      </c>
      <c r="L128" s="31"/>
      <c r="M128" s="25" t="s">
        <v>2319</v>
      </c>
      <c r="N128" s="25"/>
      <c r="O128" s="31"/>
      <c r="P128" s="25" t="s">
        <v>1127</v>
      </c>
      <c r="Q128" s="31" t="s">
        <v>1127</v>
      </c>
    </row>
    <row r="129" spans="1:17" ht="18" customHeight="1" x14ac:dyDescent="0.2">
      <c r="A129" s="66" t="s">
        <v>777</v>
      </c>
      <c r="B129" s="66" t="s">
        <v>3778</v>
      </c>
      <c r="C129" s="66" t="s">
        <v>4182</v>
      </c>
      <c r="D129" s="66" t="s">
        <v>1629</v>
      </c>
      <c r="E129" s="66" t="s">
        <v>4194</v>
      </c>
      <c r="F129" s="25">
        <v>6</v>
      </c>
      <c r="G129" s="25" t="s">
        <v>49</v>
      </c>
      <c r="H129" s="25">
        <v>2013</v>
      </c>
      <c r="I129" s="25" t="s">
        <v>3771</v>
      </c>
      <c r="J129" s="25" t="s">
        <v>3772</v>
      </c>
      <c r="K129" s="59" t="s">
        <v>3773</v>
      </c>
      <c r="L129" s="31"/>
      <c r="M129" s="25" t="s">
        <v>2319</v>
      </c>
      <c r="N129" s="25"/>
      <c r="O129" s="31"/>
      <c r="P129" s="25" t="s">
        <v>1127</v>
      </c>
      <c r="Q129" s="31" t="s">
        <v>1127</v>
      </c>
    </row>
    <row r="130" spans="1:17" ht="18" customHeight="1" x14ac:dyDescent="0.2">
      <c r="A130" s="66" t="s">
        <v>777</v>
      </c>
      <c r="B130" s="66" t="s">
        <v>3779</v>
      </c>
      <c r="C130" s="66" t="s">
        <v>4182</v>
      </c>
      <c r="D130" s="66" t="s">
        <v>1629</v>
      </c>
      <c r="E130" s="66" t="s">
        <v>4194</v>
      </c>
      <c r="F130" s="25">
        <v>7</v>
      </c>
      <c r="G130" s="25" t="s">
        <v>101</v>
      </c>
      <c r="H130" s="25">
        <v>2014</v>
      </c>
      <c r="I130" s="25" t="s">
        <v>3771</v>
      </c>
      <c r="J130" s="25" t="s">
        <v>3772</v>
      </c>
      <c r="K130" s="59" t="s">
        <v>3773</v>
      </c>
      <c r="L130" s="31"/>
      <c r="M130" s="25" t="s">
        <v>2319</v>
      </c>
      <c r="N130" s="25"/>
      <c r="O130" s="31"/>
      <c r="P130" s="25" t="s">
        <v>1127</v>
      </c>
      <c r="Q130" s="31" t="s">
        <v>1127</v>
      </c>
    </row>
    <row r="131" spans="1:17" ht="18" customHeight="1" x14ac:dyDescent="0.2">
      <c r="A131" s="66" t="s">
        <v>777</v>
      </c>
      <c r="B131" s="66" t="s">
        <v>3780</v>
      </c>
      <c r="C131" s="66" t="s">
        <v>4182</v>
      </c>
      <c r="D131" s="66" t="s">
        <v>1629</v>
      </c>
      <c r="E131" s="66" t="s">
        <v>4194</v>
      </c>
      <c r="F131" s="25">
        <v>8</v>
      </c>
      <c r="G131" s="25" t="s">
        <v>10</v>
      </c>
      <c r="H131" s="25">
        <v>2015</v>
      </c>
      <c r="I131" s="25" t="s">
        <v>3771</v>
      </c>
      <c r="J131" s="25" t="s">
        <v>3772</v>
      </c>
      <c r="K131" s="59" t="s">
        <v>3773</v>
      </c>
      <c r="L131" s="31"/>
      <c r="M131" s="25" t="s">
        <v>2319</v>
      </c>
      <c r="N131" s="25"/>
      <c r="O131" s="31"/>
      <c r="P131" s="25" t="s">
        <v>1127</v>
      </c>
      <c r="Q131" s="31" t="s">
        <v>1127</v>
      </c>
    </row>
    <row r="132" spans="1:17" ht="18" customHeight="1" x14ac:dyDescent="0.2">
      <c r="A132" s="66" t="s">
        <v>777</v>
      </c>
      <c r="B132" s="66" t="s">
        <v>3781</v>
      </c>
      <c r="C132" s="66" t="s">
        <v>4182</v>
      </c>
      <c r="D132" s="66" t="s">
        <v>1629</v>
      </c>
      <c r="E132" s="66" t="s">
        <v>4194</v>
      </c>
      <c r="F132" s="25">
        <v>9</v>
      </c>
      <c r="G132" s="25" t="s">
        <v>55</v>
      </c>
      <c r="H132" s="25">
        <v>2016</v>
      </c>
      <c r="I132" s="25" t="s">
        <v>3771</v>
      </c>
      <c r="J132" s="25" t="s">
        <v>3772</v>
      </c>
      <c r="K132" s="59" t="s">
        <v>3773</v>
      </c>
      <c r="L132" s="31"/>
      <c r="M132" s="25" t="s">
        <v>2319</v>
      </c>
      <c r="N132" s="25"/>
      <c r="O132" s="31"/>
      <c r="P132" s="25" t="s">
        <v>1127</v>
      </c>
      <c r="Q132" s="31" t="s">
        <v>1127</v>
      </c>
    </row>
    <row r="133" spans="1:17" ht="18" customHeight="1" x14ac:dyDescent="0.2">
      <c r="A133" s="66" t="s">
        <v>777</v>
      </c>
      <c r="B133" s="66" t="s">
        <v>3782</v>
      </c>
      <c r="C133" s="66" t="s">
        <v>4182</v>
      </c>
      <c r="D133" s="66" t="s">
        <v>1629</v>
      </c>
      <c r="E133" s="66" t="s">
        <v>4194</v>
      </c>
      <c r="F133" s="25">
        <v>10</v>
      </c>
      <c r="G133" s="25" t="s">
        <v>98</v>
      </c>
      <c r="H133" s="25">
        <v>2017</v>
      </c>
      <c r="I133" s="25" t="s">
        <v>3771</v>
      </c>
      <c r="J133" s="25" t="s">
        <v>3772</v>
      </c>
      <c r="K133" s="59" t="s">
        <v>3773</v>
      </c>
      <c r="L133" s="31"/>
      <c r="M133" s="25" t="s">
        <v>2319</v>
      </c>
      <c r="N133" s="25"/>
      <c r="O133" s="31"/>
      <c r="P133" s="25" t="s">
        <v>1127</v>
      </c>
      <c r="Q133" s="31" t="s">
        <v>1127</v>
      </c>
    </row>
    <row r="134" spans="1:17" ht="18" customHeight="1" x14ac:dyDescent="0.2">
      <c r="A134" s="66" t="s">
        <v>777</v>
      </c>
      <c r="B134" s="66" t="s">
        <v>3783</v>
      </c>
      <c r="C134" s="66" t="s">
        <v>4182</v>
      </c>
      <c r="D134" s="66" t="s">
        <v>1629</v>
      </c>
      <c r="E134" s="66" t="s">
        <v>4194</v>
      </c>
      <c r="F134" s="25">
        <v>11</v>
      </c>
      <c r="G134" s="25" t="s">
        <v>104</v>
      </c>
      <c r="H134" s="25">
        <v>2018</v>
      </c>
      <c r="I134" s="25" t="s">
        <v>3771</v>
      </c>
      <c r="J134" s="25" t="s">
        <v>3772</v>
      </c>
      <c r="K134" s="59" t="s">
        <v>3773</v>
      </c>
      <c r="L134" s="31"/>
      <c r="M134" s="25" t="s">
        <v>2319</v>
      </c>
      <c r="N134" s="25"/>
      <c r="O134" s="31"/>
      <c r="P134" s="25" t="s">
        <v>1127</v>
      </c>
      <c r="Q134" s="31" t="s">
        <v>1127</v>
      </c>
    </row>
    <row r="135" spans="1:17" ht="18" customHeight="1" x14ac:dyDescent="0.2">
      <c r="A135" s="66" t="s">
        <v>777</v>
      </c>
      <c r="B135" s="66" t="s">
        <v>3770</v>
      </c>
      <c r="C135" s="66" t="s">
        <v>4182</v>
      </c>
      <c r="D135" s="66" t="s">
        <v>1629</v>
      </c>
      <c r="E135" s="66" t="s">
        <v>4194</v>
      </c>
      <c r="F135" s="25">
        <v>1</v>
      </c>
      <c r="G135" s="25" t="s">
        <v>40</v>
      </c>
      <c r="H135" s="25">
        <v>2008</v>
      </c>
      <c r="I135" s="25" t="s">
        <v>3771</v>
      </c>
      <c r="J135" s="25" t="s">
        <v>3772</v>
      </c>
      <c r="K135" s="59" t="s">
        <v>3773</v>
      </c>
      <c r="L135" s="31"/>
      <c r="M135" s="25" t="s">
        <v>2319</v>
      </c>
      <c r="N135" s="25"/>
      <c r="O135" s="31"/>
      <c r="P135" s="25" t="s">
        <v>1127</v>
      </c>
      <c r="Q135" s="31" t="s">
        <v>1127</v>
      </c>
    </row>
    <row r="136" spans="1:17" ht="18" customHeight="1" x14ac:dyDescent="0.2">
      <c r="A136" s="66" t="s">
        <v>777</v>
      </c>
      <c r="B136" s="66" t="s">
        <v>3774</v>
      </c>
      <c r="C136" s="66" t="s">
        <v>4182</v>
      </c>
      <c r="D136" s="66" t="s">
        <v>1629</v>
      </c>
      <c r="E136" s="66" t="s">
        <v>4194</v>
      </c>
      <c r="F136" s="25">
        <v>2</v>
      </c>
      <c r="G136" s="25" t="s">
        <v>37</v>
      </c>
      <c r="H136" s="25">
        <v>2009</v>
      </c>
      <c r="I136" s="25" t="s">
        <v>3771</v>
      </c>
      <c r="J136" s="25" t="s">
        <v>3772</v>
      </c>
      <c r="K136" s="59" t="s">
        <v>3773</v>
      </c>
      <c r="L136" s="31"/>
      <c r="M136" s="25" t="s">
        <v>2319</v>
      </c>
      <c r="N136" s="25"/>
      <c r="O136" s="31"/>
      <c r="P136" s="25" t="s">
        <v>1127</v>
      </c>
      <c r="Q136" s="31" t="s">
        <v>1127</v>
      </c>
    </row>
    <row r="137" spans="1:17" ht="18" customHeight="1" x14ac:dyDescent="0.2">
      <c r="A137" s="66" t="s">
        <v>777</v>
      </c>
      <c r="B137" s="66" t="s">
        <v>3775</v>
      </c>
      <c r="C137" s="66" t="s">
        <v>4182</v>
      </c>
      <c r="D137" s="66" t="s">
        <v>1629</v>
      </c>
      <c r="E137" s="66" t="s">
        <v>4194</v>
      </c>
      <c r="F137" s="25">
        <v>3</v>
      </c>
      <c r="G137" s="25" t="s">
        <v>80</v>
      </c>
      <c r="H137" s="25">
        <v>2010</v>
      </c>
      <c r="I137" s="25" t="s">
        <v>3771</v>
      </c>
      <c r="J137" s="25" t="s">
        <v>3772</v>
      </c>
      <c r="K137" s="59" t="s">
        <v>3773</v>
      </c>
      <c r="L137" s="31"/>
      <c r="M137" s="25" t="s">
        <v>2319</v>
      </c>
      <c r="N137" s="25"/>
      <c r="O137" s="31"/>
      <c r="P137" s="25" t="s">
        <v>1127</v>
      </c>
      <c r="Q137" s="31" t="s">
        <v>1127</v>
      </c>
    </row>
    <row r="138" spans="1:17" ht="18" customHeight="1" x14ac:dyDescent="0.2">
      <c r="A138" s="66" t="s">
        <v>777</v>
      </c>
      <c r="B138" s="66" t="s">
        <v>3776</v>
      </c>
      <c r="C138" s="66" t="s">
        <v>4182</v>
      </c>
      <c r="D138" s="66" t="s">
        <v>1629</v>
      </c>
      <c r="E138" s="66" t="s">
        <v>4194</v>
      </c>
      <c r="F138" s="25">
        <v>4</v>
      </c>
      <c r="G138" s="25" t="s">
        <v>31</v>
      </c>
      <c r="H138" s="25">
        <v>2011</v>
      </c>
      <c r="I138" s="25" t="s">
        <v>3771</v>
      </c>
      <c r="J138" s="25" t="s">
        <v>3772</v>
      </c>
      <c r="K138" s="59" t="s">
        <v>3773</v>
      </c>
      <c r="L138" s="31"/>
      <c r="M138" s="25" t="s">
        <v>2319</v>
      </c>
      <c r="N138" s="25"/>
      <c r="O138" s="31"/>
      <c r="P138" s="25" t="s">
        <v>1127</v>
      </c>
      <c r="Q138" s="31" t="s">
        <v>1127</v>
      </c>
    </row>
    <row r="139" spans="1:17" ht="18" customHeight="1" x14ac:dyDescent="0.2">
      <c r="A139" s="66" t="s">
        <v>777</v>
      </c>
      <c r="B139" s="66" t="s">
        <v>3777</v>
      </c>
      <c r="C139" s="66" t="s">
        <v>4182</v>
      </c>
      <c r="D139" s="66" t="s">
        <v>1629</v>
      </c>
      <c r="E139" s="66" t="s">
        <v>4194</v>
      </c>
      <c r="F139" s="25">
        <v>5</v>
      </c>
      <c r="G139" s="25" t="s">
        <v>13</v>
      </c>
      <c r="H139" s="25">
        <v>2012</v>
      </c>
      <c r="I139" s="25" t="s">
        <v>3771</v>
      </c>
      <c r="J139" s="25" t="s">
        <v>3772</v>
      </c>
      <c r="K139" s="59" t="s">
        <v>3773</v>
      </c>
      <c r="L139" s="31"/>
      <c r="M139" s="25" t="s">
        <v>2319</v>
      </c>
      <c r="N139" s="25"/>
      <c r="O139" s="31"/>
      <c r="P139" s="25" t="s">
        <v>1127</v>
      </c>
      <c r="Q139" s="31" t="s">
        <v>1127</v>
      </c>
    </row>
    <row r="140" spans="1:17" ht="18" customHeight="1" x14ac:dyDescent="0.2">
      <c r="A140" s="66" t="s">
        <v>777</v>
      </c>
      <c r="B140" s="66" t="s">
        <v>3778</v>
      </c>
      <c r="C140" s="66" t="s">
        <v>4182</v>
      </c>
      <c r="D140" s="66" t="s">
        <v>1629</v>
      </c>
      <c r="E140" s="66" t="s">
        <v>4194</v>
      </c>
      <c r="F140" s="25">
        <v>6</v>
      </c>
      <c r="G140" s="25" t="s">
        <v>49</v>
      </c>
      <c r="H140" s="25">
        <v>2013</v>
      </c>
      <c r="I140" s="25" t="s">
        <v>3771</v>
      </c>
      <c r="J140" s="25" t="s">
        <v>3772</v>
      </c>
      <c r="K140" s="59" t="s">
        <v>3773</v>
      </c>
      <c r="L140" s="31"/>
      <c r="M140" s="25" t="s">
        <v>2319</v>
      </c>
      <c r="N140" s="25"/>
      <c r="O140" s="31"/>
      <c r="P140" s="25" t="s">
        <v>1127</v>
      </c>
      <c r="Q140" s="31" t="s">
        <v>1127</v>
      </c>
    </row>
    <row r="141" spans="1:17" ht="18" customHeight="1" x14ac:dyDescent="0.2">
      <c r="A141" s="66" t="s">
        <v>777</v>
      </c>
      <c r="B141" s="66" t="s">
        <v>3779</v>
      </c>
      <c r="C141" s="66" t="s">
        <v>4182</v>
      </c>
      <c r="D141" s="66" t="s">
        <v>1629</v>
      </c>
      <c r="E141" s="66" t="s">
        <v>4194</v>
      </c>
      <c r="F141" s="25">
        <v>7</v>
      </c>
      <c r="G141" s="25" t="s">
        <v>101</v>
      </c>
      <c r="H141" s="25">
        <v>2014</v>
      </c>
      <c r="I141" s="25" t="s">
        <v>3771</v>
      </c>
      <c r="J141" s="25" t="s">
        <v>3772</v>
      </c>
      <c r="K141" s="59" t="s">
        <v>3773</v>
      </c>
      <c r="L141" s="31"/>
      <c r="M141" s="25" t="s">
        <v>2319</v>
      </c>
      <c r="N141" s="25"/>
      <c r="O141" s="31"/>
      <c r="P141" s="25" t="s">
        <v>1127</v>
      </c>
      <c r="Q141" s="31" t="s">
        <v>1127</v>
      </c>
    </row>
    <row r="142" spans="1:17" ht="18" customHeight="1" x14ac:dyDescent="0.2">
      <c r="A142" s="66" t="s">
        <v>777</v>
      </c>
      <c r="B142" s="66" t="s">
        <v>3780</v>
      </c>
      <c r="C142" s="66" t="s">
        <v>4182</v>
      </c>
      <c r="D142" s="66" t="s">
        <v>1629</v>
      </c>
      <c r="E142" s="66" t="s">
        <v>4194</v>
      </c>
      <c r="F142" s="25">
        <v>8</v>
      </c>
      <c r="G142" s="25" t="s">
        <v>10</v>
      </c>
      <c r="H142" s="25">
        <v>2015</v>
      </c>
      <c r="I142" s="25" t="s">
        <v>3771</v>
      </c>
      <c r="J142" s="25" t="s">
        <v>3772</v>
      </c>
      <c r="K142" s="59" t="s">
        <v>3773</v>
      </c>
      <c r="L142" s="31"/>
      <c r="M142" s="25" t="s">
        <v>2319</v>
      </c>
      <c r="N142" s="25"/>
      <c r="O142" s="31"/>
      <c r="P142" s="25" t="s">
        <v>1127</v>
      </c>
      <c r="Q142" s="31" t="s">
        <v>1127</v>
      </c>
    </row>
    <row r="143" spans="1:17" ht="18" customHeight="1" x14ac:dyDescent="0.2">
      <c r="A143" s="66" t="s">
        <v>777</v>
      </c>
      <c r="B143" s="66" t="s">
        <v>3781</v>
      </c>
      <c r="C143" s="66" t="s">
        <v>4182</v>
      </c>
      <c r="D143" s="66" t="s">
        <v>1629</v>
      </c>
      <c r="E143" s="66" t="s">
        <v>4194</v>
      </c>
      <c r="F143" s="25">
        <v>9</v>
      </c>
      <c r="G143" s="25" t="s">
        <v>55</v>
      </c>
      <c r="H143" s="25">
        <v>2016</v>
      </c>
      <c r="I143" s="25" t="s">
        <v>3771</v>
      </c>
      <c r="J143" s="25" t="s">
        <v>3772</v>
      </c>
      <c r="K143" s="59" t="s">
        <v>3773</v>
      </c>
      <c r="L143" s="31"/>
      <c r="M143" s="25" t="s">
        <v>2319</v>
      </c>
      <c r="N143" s="25"/>
      <c r="O143" s="31"/>
      <c r="P143" s="25" t="s">
        <v>1127</v>
      </c>
      <c r="Q143" s="31" t="s">
        <v>1127</v>
      </c>
    </row>
    <row r="144" spans="1:17" ht="18" customHeight="1" x14ac:dyDescent="0.2">
      <c r="A144" s="66" t="s">
        <v>777</v>
      </c>
      <c r="B144" s="66" t="s">
        <v>3782</v>
      </c>
      <c r="C144" s="66" t="s">
        <v>4182</v>
      </c>
      <c r="D144" s="66" t="s">
        <v>1629</v>
      </c>
      <c r="E144" s="66" t="s">
        <v>4194</v>
      </c>
      <c r="F144" s="25">
        <v>10</v>
      </c>
      <c r="G144" s="25" t="s">
        <v>98</v>
      </c>
      <c r="H144" s="25">
        <v>2017</v>
      </c>
      <c r="I144" s="25" t="s">
        <v>3771</v>
      </c>
      <c r="J144" s="25" t="s">
        <v>3772</v>
      </c>
      <c r="K144" s="59" t="s">
        <v>3773</v>
      </c>
      <c r="L144" s="31"/>
      <c r="M144" s="25" t="s">
        <v>2319</v>
      </c>
      <c r="N144" s="25"/>
      <c r="O144" s="31"/>
      <c r="P144" s="25" t="s">
        <v>1127</v>
      </c>
      <c r="Q144" s="31" t="s">
        <v>1127</v>
      </c>
    </row>
    <row r="145" spans="1:17" ht="18" customHeight="1" x14ac:dyDescent="0.2">
      <c r="A145" s="66" t="s">
        <v>777</v>
      </c>
      <c r="B145" s="66" t="s">
        <v>3783</v>
      </c>
      <c r="C145" s="66" t="s">
        <v>4182</v>
      </c>
      <c r="D145" s="66" t="s">
        <v>1629</v>
      </c>
      <c r="E145" s="66" t="s">
        <v>4194</v>
      </c>
      <c r="F145" s="25">
        <v>11</v>
      </c>
      <c r="G145" s="25" t="s">
        <v>104</v>
      </c>
      <c r="H145" s="25">
        <v>2018</v>
      </c>
      <c r="I145" s="25" t="s">
        <v>3771</v>
      </c>
      <c r="J145" s="25" t="s">
        <v>3772</v>
      </c>
      <c r="K145" s="59" t="s">
        <v>3773</v>
      </c>
      <c r="L145" s="31"/>
      <c r="M145" s="25" t="s">
        <v>2319</v>
      </c>
      <c r="N145" s="25"/>
      <c r="O145" s="31"/>
      <c r="P145" s="25" t="s">
        <v>1127</v>
      </c>
      <c r="Q145" s="31" t="s">
        <v>1127</v>
      </c>
    </row>
    <row r="146" spans="1:17" ht="18" customHeight="1" x14ac:dyDescent="0.2">
      <c r="A146" s="66" t="s">
        <v>777</v>
      </c>
      <c r="B146" s="66" t="s">
        <v>3770</v>
      </c>
      <c r="C146" s="66" t="s">
        <v>4182</v>
      </c>
      <c r="D146" s="66" t="s">
        <v>1629</v>
      </c>
      <c r="E146" s="66" t="s">
        <v>4194</v>
      </c>
      <c r="F146" s="25">
        <v>1</v>
      </c>
      <c r="G146" s="25" t="s">
        <v>40</v>
      </c>
      <c r="H146" s="25">
        <v>2008</v>
      </c>
      <c r="I146" s="25" t="s">
        <v>3771</v>
      </c>
      <c r="J146" s="25" t="s">
        <v>3772</v>
      </c>
      <c r="K146" s="59" t="s">
        <v>3773</v>
      </c>
      <c r="L146" s="31"/>
      <c r="M146" s="25" t="s">
        <v>2319</v>
      </c>
      <c r="N146" s="25"/>
      <c r="O146" s="31"/>
      <c r="P146" s="25" t="s">
        <v>1127</v>
      </c>
      <c r="Q146" s="31" t="s">
        <v>1127</v>
      </c>
    </row>
    <row r="147" spans="1:17" ht="18" customHeight="1" x14ac:dyDescent="0.2">
      <c r="A147" s="66" t="s">
        <v>777</v>
      </c>
      <c r="B147" s="66" t="s">
        <v>3774</v>
      </c>
      <c r="C147" s="66" t="s">
        <v>4182</v>
      </c>
      <c r="D147" s="66" t="s">
        <v>1629</v>
      </c>
      <c r="E147" s="66" t="s">
        <v>4194</v>
      </c>
      <c r="F147" s="25">
        <v>2</v>
      </c>
      <c r="G147" s="25" t="s">
        <v>37</v>
      </c>
      <c r="H147" s="25">
        <v>2009</v>
      </c>
      <c r="I147" s="25" t="s">
        <v>3771</v>
      </c>
      <c r="J147" s="25" t="s">
        <v>3772</v>
      </c>
      <c r="K147" s="59" t="s">
        <v>3773</v>
      </c>
      <c r="L147" s="31"/>
      <c r="M147" s="25" t="s">
        <v>2319</v>
      </c>
      <c r="N147" s="25"/>
      <c r="O147" s="31"/>
      <c r="P147" s="25" t="s">
        <v>1127</v>
      </c>
      <c r="Q147" s="31" t="s">
        <v>1127</v>
      </c>
    </row>
    <row r="148" spans="1:17" ht="18" customHeight="1" x14ac:dyDescent="0.2">
      <c r="A148" s="66" t="s">
        <v>777</v>
      </c>
      <c r="B148" s="66" t="s">
        <v>3775</v>
      </c>
      <c r="C148" s="66" t="s">
        <v>4182</v>
      </c>
      <c r="D148" s="66" t="s">
        <v>1629</v>
      </c>
      <c r="E148" s="66" t="s">
        <v>4194</v>
      </c>
      <c r="F148" s="25">
        <v>3</v>
      </c>
      <c r="G148" s="25" t="s">
        <v>80</v>
      </c>
      <c r="H148" s="25">
        <v>2010</v>
      </c>
      <c r="I148" s="25" t="s">
        <v>3771</v>
      </c>
      <c r="J148" s="25" t="s">
        <v>3772</v>
      </c>
      <c r="K148" s="59" t="s">
        <v>3773</v>
      </c>
      <c r="L148" s="31"/>
      <c r="M148" s="25" t="s">
        <v>2319</v>
      </c>
      <c r="N148" s="25"/>
      <c r="O148" s="31"/>
      <c r="P148" s="25" t="s">
        <v>1127</v>
      </c>
      <c r="Q148" s="31" t="s">
        <v>1127</v>
      </c>
    </row>
    <row r="149" spans="1:17" ht="18" customHeight="1" x14ac:dyDescent="0.2">
      <c r="A149" s="66" t="s">
        <v>777</v>
      </c>
      <c r="B149" s="66" t="s">
        <v>3776</v>
      </c>
      <c r="C149" s="66" t="s">
        <v>4182</v>
      </c>
      <c r="D149" s="66" t="s">
        <v>1629</v>
      </c>
      <c r="E149" s="66" t="s">
        <v>4194</v>
      </c>
      <c r="F149" s="25">
        <v>4</v>
      </c>
      <c r="G149" s="25" t="s">
        <v>31</v>
      </c>
      <c r="H149" s="25">
        <v>2011</v>
      </c>
      <c r="I149" s="25" t="s">
        <v>3771</v>
      </c>
      <c r="J149" s="25" t="s">
        <v>3772</v>
      </c>
      <c r="K149" s="59" t="s">
        <v>3773</v>
      </c>
      <c r="L149" s="31"/>
      <c r="M149" s="25" t="s">
        <v>2319</v>
      </c>
      <c r="N149" s="25"/>
      <c r="O149" s="31"/>
      <c r="P149" s="25" t="s">
        <v>1127</v>
      </c>
      <c r="Q149" s="31" t="s">
        <v>1127</v>
      </c>
    </row>
    <row r="150" spans="1:17" ht="18" customHeight="1" x14ac:dyDescent="0.2">
      <c r="A150" s="66" t="s">
        <v>777</v>
      </c>
      <c r="B150" s="66" t="s">
        <v>3777</v>
      </c>
      <c r="C150" s="66" t="s">
        <v>4182</v>
      </c>
      <c r="D150" s="66" t="s">
        <v>1629</v>
      </c>
      <c r="E150" s="66" t="s">
        <v>4194</v>
      </c>
      <c r="F150" s="25">
        <v>5</v>
      </c>
      <c r="G150" s="25" t="s">
        <v>13</v>
      </c>
      <c r="H150" s="25">
        <v>2012</v>
      </c>
      <c r="I150" s="25" t="s">
        <v>3771</v>
      </c>
      <c r="J150" s="25" t="s">
        <v>3772</v>
      </c>
      <c r="K150" s="59" t="s">
        <v>3773</v>
      </c>
      <c r="L150" s="31"/>
      <c r="M150" s="25" t="s">
        <v>2319</v>
      </c>
      <c r="N150" s="25"/>
      <c r="O150" s="31"/>
      <c r="P150" s="25" t="s">
        <v>1127</v>
      </c>
      <c r="Q150" s="31" t="s">
        <v>1127</v>
      </c>
    </row>
    <row r="151" spans="1:17" ht="18" customHeight="1" x14ac:dyDescent="0.2">
      <c r="A151" s="66" t="s">
        <v>777</v>
      </c>
      <c r="B151" s="66" t="s">
        <v>3778</v>
      </c>
      <c r="C151" s="66" t="s">
        <v>4182</v>
      </c>
      <c r="D151" s="66" t="s">
        <v>1629</v>
      </c>
      <c r="E151" s="66" t="s">
        <v>4194</v>
      </c>
      <c r="F151" s="25">
        <v>6</v>
      </c>
      <c r="G151" s="25" t="s">
        <v>49</v>
      </c>
      <c r="H151" s="25">
        <v>2013</v>
      </c>
      <c r="I151" s="25" t="s">
        <v>3771</v>
      </c>
      <c r="J151" s="25" t="s">
        <v>3772</v>
      </c>
      <c r="K151" s="59" t="s">
        <v>3773</v>
      </c>
      <c r="L151" s="31"/>
      <c r="M151" s="25" t="s">
        <v>2319</v>
      </c>
      <c r="N151" s="25"/>
      <c r="O151" s="31"/>
      <c r="P151" s="25" t="s">
        <v>1127</v>
      </c>
      <c r="Q151" s="31" t="s">
        <v>1127</v>
      </c>
    </row>
    <row r="152" spans="1:17" ht="18" customHeight="1" x14ac:dyDescent="0.2">
      <c r="A152" s="66" t="s">
        <v>777</v>
      </c>
      <c r="B152" s="66" t="s">
        <v>3779</v>
      </c>
      <c r="C152" s="66" t="s">
        <v>4182</v>
      </c>
      <c r="D152" s="66" t="s">
        <v>1629</v>
      </c>
      <c r="E152" s="66" t="s">
        <v>4194</v>
      </c>
      <c r="F152" s="25">
        <v>7</v>
      </c>
      <c r="G152" s="25" t="s">
        <v>101</v>
      </c>
      <c r="H152" s="25">
        <v>2014</v>
      </c>
      <c r="I152" s="25" t="s">
        <v>3771</v>
      </c>
      <c r="J152" s="25" t="s">
        <v>3772</v>
      </c>
      <c r="K152" s="59" t="s">
        <v>3773</v>
      </c>
      <c r="L152" s="31"/>
      <c r="M152" s="25" t="s">
        <v>2319</v>
      </c>
      <c r="N152" s="25"/>
      <c r="O152" s="31"/>
      <c r="P152" s="25" t="s">
        <v>1127</v>
      </c>
      <c r="Q152" s="31" t="s">
        <v>1127</v>
      </c>
    </row>
    <row r="153" spans="1:17" ht="18" customHeight="1" x14ac:dyDescent="0.2">
      <c r="A153" s="66" t="s">
        <v>777</v>
      </c>
      <c r="B153" s="66" t="s">
        <v>3780</v>
      </c>
      <c r="C153" s="66" t="s">
        <v>4182</v>
      </c>
      <c r="D153" s="66" t="s">
        <v>1629</v>
      </c>
      <c r="E153" s="66" t="s">
        <v>4194</v>
      </c>
      <c r="F153" s="25">
        <v>8</v>
      </c>
      <c r="G153" s="25" t="s">
        <v>10</v>
      </c>
      <c r="H153" s="25">
        <v>2015</v>
      </c>
      <c r="I153" s="25" t="s">
        <v>3771</v>
      </c>
      <c r="J153" s="25" t="s">
        <v>3772</v>
      </c>
      <c r="K153" s="59" t="s">
        <v>3773</v>
      </c>
      <c r="L153" s="31"/>
      <c r="M153" s="25" t="s">
        <v>2319</v>
      </c>
      <c r="N153" s="25"/>
      <c r="O153" s="31"/>
      <c r="P153" s="25" t="s">
        <v>1127</v>
      </c>
      <c r="Q153" s="31" t="s">
        <v>1127</v>
      </c>
    </row>
    <row r="154" spans="1:17" ht="18" customHeight="1" x14ac:dyDescent="0.2">
      <c r="A154" s="66" t="s">
        <v>777</v>
      </c>
      <c r="B154" s="66" t="s">
        <v>3781</v>
      </c>
      <c r="C154" s="66" t="s">
        <v>4182</v>
      </c>
      <c r="D154" s="66" t="s">
        <v>1629</v>
      </c>
      <c r="E154" s="66" t="s">
        <v>4194</v>
      </c>
      <c r="F154" s="25">
        <v>9</v>
      </c>
      <c r="G154" s="25" t="s">
        <v>55</v>
      </c>
      <c r="H154" s="25">
        <v>2016</v>
      </c>
      <c r="I154" s="25" t="s">
        <v>3771</v>
      </c>
      <c r="J154" s="25" t="s">
        <v>3772</v>
      </c>
      <c r="K154" s="59" t="s">
        <v>3773</v>
      </c>
      <c r="L154" s="31"/>
      <c r="M154" s="25" t="s">
        <v>2319</v>
      </c>
      <c r="N154" s="25"/>
      <c r="O154" s="31"/>
      <c r="P154" s="25" t="s">
        <v>1127</v>
      </c>
      <c r="Q154" s="31" t="s">
        <v>1127</v>
      </c>
    </row>
    <row r="155" spans="1:17" ht="18" customHeight="1" x14ac:dyDescent="0.2">
      <c r="A155" s="66" t="s">
        <v>777</v>
      </c>
      <c r="B155" s="66" t="s">
        <v>3782</v>
      </c>
      <c r="C155" s="66" t="s">
        <v>4182</v>
      </c>
      <c r="D155" s="66" t="s">
        <v>1629</v>
      </c>
      <c r="E155" s="66" t="s">
        <v>4194</v>
      </c>
      <c r="F155" s="25">
        <v>10</v>
      </c>
      <c r="G155" s="25" t="s">
        <v>98</v>
      </c>
      <c r="H155" s="25">
        <v>2017</v>
      </c>
      <c r="I155" s="25" t="s">
        <v>3771</v>
      </c>
      <c r="J155" s="25" t="s">
        <v>3772</v>
      </c>
      <c r="K155" s="59" t="s">
        <v>3773</v>
      </c>
      <c r="L155" s="31"/>
      <c r="M155" s="25" t="s">
        <v>2319</v>
      </c>
      <c r="N155" s="25"/>
      <c r="O155" s="31"/>
      <c r="P155" s="25" t="s">
        <v>1127</v>
      </c>
      <c r="Q155" s="31" t="s">
        <v>1127</v>
      </c>
    </row>
    <row r="156" spans="1:17" ht="18" customHeight="1" x14ac:dyDescent="0.2">
      <c r="A156" s="66" t="s">
        <v>777</v>
      </c>
      <c r="B156" s="66" t="s">
        <v>3783</v>
      </c>
      <c r="C156" s="66" t="s">
        <v>4182</v>
      </c>
      <c r="D156" s="66" t="s">
        <v>1629</v>
      </c>
      <c r="E156" s="66" t="s">
        <v>4194</v>
      </c>
      <c r="F156" s="25">
        <v>11</v>
      </c>
      <c r="G156" s="25" t="s">
        <v>104</v>
      </c>
      <c r="H156" s="25">
        <v>2018</v>
      </c>
      <c r="I156" s="25" t="s">
        <v>3771</v>
      </c>
      <c r="J156" s="25" t="s">
        <v>3772</v>
      </c>
      <c r="K156" s="59" t="s">
        <v>3773</v>
      </c>
      <c r="L156" s="31"/>
      <c r="M156" s="25" t="s">
        <v>2319</v>
      </c>
      <c r="N156" s="25"/>
      <c r="O156" s="31"/>
      <c r="P156" s="25" t="s">
        <v>1127</v>
      </c>
      <c r="Q156" s="31" t="s">
        <v>1127</v>
      </c>
    </row>
    <row r="157" spans="1:17" ht="18" customHeight="1" x14ac:dyDescent="0.2">
      <c r="A157" s="66" t="s">
        <v>777</v>
      </c>
      <c r="B157" s="66" t="s">
        <v>3770</v>
      </c>
      <c r="C157" s="66" t="s">
        <v>4182</v>
      </c>
      <c r="D157" s="66" t="s">
        <v>1629</v>
      </c>
      <c r="E157" s="66" t="s">
        <v>4194</v>
      </c>
      <c r="F157" s="25">
        <v>1</v>
      </c>
      <c r="G157" s="25" t="s">
        <v>40</v>
      </c>
      <c r="H157" s="25">
        <v>2008</v>
      </c>
      <c r="I157" s="25" t="s">
        <v>3771</v>
      </c>
      <c r="J157" s="25" t="s">
        <v>3772</v>
      </c>
      <c r="K157" s="59" t="s">
        <v>3773</v>
      </c>
      <c r="L157" s="31"/>
      <c r="M157" s="25" t="s">
        <v>2319</v>
      </c>
      <c r="N157" s="25"/>
      <c r="O157" s="31"/>
      <c r="P157" s="25" t="s">
        <v>1127</v>
      </c>
      <c r="Q157" s="31" t="s">
        <v>1127</v>
      </c>
    </row>
    <row r="158" spans="1:17" ht="18" customHeight="1" x14ac:dyDescent="0.2">
      <c r="A158" s="66" t="s">
        <v>777</v>
      </c>
      <c r="B158" s="66" t="s">
        <v>3774</v>
      </c>
      <c r="C158" s="66" t="s">
        <v>4182</v>
      </c>
      <c r="D158" s="66" t="s">
        <v>1629</v>
      </c>
      <c r="E158" s="66" t="s">
        <v>4194</v>
      </c>
      <c r="F158" s="25">
        <v>2</v>
      </c>
      <c r="G158" s="25" t="s">
        <v>37</v>
      </c>
      <c r="H158" s="25">
        <v>2009</v>
      </c>
      <c r="I158" s="25" t="s">
        <v>3771</v>
      </c>
      <c r="J158" s="25" t="s">
        <v>3772</v>
      </c>
      <c r="K158" s="59" t="s">
        <v>3773</v>
      </c>
      <c r="L158" s="31"/>
      <c r="M158" s="25" t="s">
        <v>2319</v>
      </c>
      <c r="N158" s="25"/>
      <c r="O158" s="31"/>
      <c r="P158" s="25" t="s">
        <v>1127</v>
      </c>
      <c r="Q158" s="31" t="s">
        <v>1127</v>
      </c>
    </row>
    <row r="159" spans="1:17" ht="18" customHeight="1" x14ac:dyDescent="0.2">
      <c r="A159" s="66" t="s">
        <v>777</v>
      </c>
      <c r="B159" s="66" t="s">
        <v>3775</v>
      </c>
      <c r="C159" s="66" t="s">
        <v>4182</v>
      </c>
      <c r="D159" s="66" t="s">
        <v>1629</v>
      </c>
      <c r="E159" s="66" t="s">
        <v>4194</v>
      </c>
      <c r="F159" s="25">
        <v>3</v>
      </c>
      <c r="G159" s="25" t="s">
        <v>80</v>
      </c>
      <c r="H159" s="25">
        <v>2010</v>
      </c>
      <c r="I159" s="25" t="s">
        <v>3771</v>
      </c>
      <c r="J159" s="25" t="s">
        <v>3772</v>
      </c>
      <c r="K159" s="59" t="s">
        <v>3773</v>
      </c>
      <c r="L159" s="31"/>
      <c r="M159" s="25" t="s">
        <v>2319</v>
      </c>
      <c r="N159" s="25"/>
      <c r="O159" s="31"/>
      <c r="P159" s="25" t="s">
        <v>1127</v>
      </c>
      <c r="Q159" s="31" t="s">
        <v>1127</v>
      </c>
    </row>
    <row r="160" spans="1:17" ht="18" customHeight="1" x14ac:dyDescent="0.2">
      <c r="A160" s="66" t="s">
        <v>777</v>
      </c>
      <c r="B160" s="66" t="s">
        <v>3776</v>
      </c>
      <c r="C160" s="66" t="s">
        <v>4182</v>
      </c>
      <c r="D160" s="66" t="s">
        <v>1629</v>
      </c>
      <c r="E160" s="66" t="s">
        <v>4194</v>
      </c>
      <c r="F160" s="25">
        <v>4</v>
      </c>
      <c r="G160" s="25" t="s">
        <v>31</v>
      </c>
      <c r="H160" s="25">
        <v>2011</v>
      </c>
      <c r="I160" s="25" t="s">
        <v>3771</v>
      </c>
      <c r="J160" s="25" t="s">
        <v>3772</v>
      </c>
      <c r="K160" s="59" t="s">
        <v>3773</v>
      </c>
      <c r="L160" s="31"/>
      <c r="M160" s="25" t="s">
        <v>2319</v>
      </c>
      <c r="N160" s="25"/>
      <c r="O160" s="31"/>
      <c r="P160" s="25" t="s">
        <v>1127</v>
      </c>
      <c r="Q160" s="31" t="s">
        <v>1127</v>
      </c>
    </row>
    <row r="161" spans="1:17" ht="18" customHeight="1" x14ac:dyDescent="0.2">
      <c r="A161" s="66" t="s">
        <v>777</v>
      </c>
      <c r="B161" s="66" t="s">
        <v>3777</v>
      </c>
      <c r="C161" s="66" t="s">
        <v>4182</v>
      </c>
      <c r="D161" s="66" t="s">
        <v>1629</v>
      </c>
      <c r="E161" s="66" t="s">
        <v>4194</v>
      </c>
      <c r="F161" s="25">
        <v>5</v>
      </c>
      <c r="G161" s="25" t="s">
        <v>13</v>
      </c>
      <c r="H161" s="25">
        <v>2012</v>
      </c>
      <c r="I161" s="25" t="s">
        <v>3771</v>
      </c>
      <c r="J161" s="25" t="s">
        <v>3772</v>
      </c>
      <c r="K161" s="59" t="s">
        <v>3773</v>
      </c>
      <c r="L161" s="31"/>
      <c r="M161" s="25" t="s">
        <v>2319</v>
      </c>
      <c r="N161" s="25"/>
      <c r="O161" s="31"/>
      <c r="P161" s="25" t="s">
        <v>1127</v>
      </c>
      <c r="Q161" s="31" t="s">
        <v>1127</v>
      </c>
    </row>
    <row r="162" spans="1:17" ht="18" customHeight="1" x14ac:dyDescent="0.2">
      <c r="A162" s="66" t="s">
        <v>777</v>
      </c>
      <c r="B162" s="66" t="s">
        <v>3778</v>
      </c>
      <c r="C162" s="66" t="s">
        <v>4182</v>
      </c>
      <c r="D162" s="66" t="s">
        <v>1629</v>
      </c>
      <c r="E162" s="66" t="s">
        <v>4194</v>
      </c>
      <c r="F162" s="25">
        <v>6</v>
      </c>
      <c r="G162" s="25" t="s">
        <v>49</v>
      </c>
      <c r="H162" s="25">
        <v>2013</v>
      </c>
      <c r="I162" s="25" t="s">
        <v>3771</v>
      </c>
      <c r="J162" s="25" t="s">
        <v>3772</v>
      </c>
      <c r="K162" s="59" t="s">
        <v>3773</v>
      </c>
      <c r="L162" s="31"/>
      <c r="M162" s="25" t="s">
        <v>2319</v>
      </c>
      <c r="N162" s="25"/>
      <c r="O162" s="31"/>
      <c r="P162" s="25" t="s">
        <v>1127</v>
      </c>
      <c r="Q162" s="31" t="s">
        <v>1127</v>
      </c>
    </row>
    <row r="163" spans="1:17" ht="18" customHeight="1" x14ac:dyDescent="0.2">
      <c r="A163" s="66" t="s">
        <v>777</v>
      </c>
      <c r="B163" s="66" t="s">
        <v>3779</v>
      </c>
      <c r="C163" s="66" t="s">
        <v>4182</v>
      </c>
      <c r="D163" s="66" t="s">
        <v>1629</v>
      </c>
      <c r="E163" s="66" t="s">
        <v>4194</v>
      </c>
      <c r="F163" s="25">
        <v>7</v>
      </c>
      <c r="G163" s="25" t="s">
        <v>101</v>
      </c>
      <c r="H163" s="25">
        <v>2014</v>
      </c>
      <c r="I163" s="25" t="s">
        <v>3771</v>
      </c>
      <c r="J163" s="25" t="s">
        <v>3772</v>
      </c>
      <c r="K163" s="59" t="s">
        <v>3773</v>
      </c>
      <c r="L163" s="31"/>
      <c r="M163" s="25" t="s">
        <v>2319</v>
      </c>
      <c r="N163" s="25"/>
      <c r="O163" s="31"/>
      <c r="P163" s="25" t="s">
        <v>1127</v>
      </c>
      <c r="Q163" s="31" t="s">
        <v>1127</v>
      </c>
    </row>
    <row r="164" spans="1:17" ht="18" customHeight="1" x14ac:dyDescent="0.2">
      <c r="A164" s="66" t="s">
        <v>777</v>
      </c>
      <c r="B164" s="66" t="s">
        <v>3780</v>
      </c>
      <c r="C164" s="66" t="s">
        <v>4182</v>
      </c>
      <c r="D164" s="66" t="s">
        <v>1629</v>
      </c>
      <c r="E164" s="66" t="s">
        <v>4194</v>
      </c>
      <c r="F164" s="25">
        <v>8</v>
      </c>
      <c r="G164" s="25" t="s">
        <v>10</v>
      </c>
      <c r="H164" s="25">
        <v>2015</v>
      </c>
      <c r="I164" s="25" t="s">
        <v>3771</v>
      </c>
      <c r="J164" s="25" t="s">
        <v>3772</v>
      </c>
      <c r="K164" s="59" t="s">
        <v>3773</v>
      </c>
      <c r="L164" s="31"/>
      <c r="M164" s="25" t="s">
        <v>2319</v>
      </c>
      <c r="N164" s="25"/>
      <c r="O164" s="31"/>
      <c r="P164" s="25" t="s">
        <v>1127</v>
      </c>
      <c r="Q164" s="31" t="s">
        <v>1127</v>
      </c>
    </row>
    <row r="165" spans="1:17" ht="18" customHeight="1" x14ac:dyDescent="0.2">
      <c r="A165" s="66" t="s">
        <v>777</v>
      </c>
      <c r="B165" s="66" t="s">
        <v>3781</v>
      </c>
      <c r="C165" s="66" t="s">
        <v>4182</v>
      </c>
      <c r="D165" s="66" t="s">
        <v>1629</v>
      </c>
      <c r="E165" s="66" t="s">
        <v>4194</v>
      </c>
      <c r="F165" s="25">
        <v>9</v>
      </c>
      <c r="G165" s="25" t="s">
        <v>55</v>
      </c>
      <c r="H165" s="25">
        <v>2016</v>
      </c>
      <c r="I165" s="25" t="s">
        <v>3771</v>
      </c>
      <c r="J165" s="25" t="s">
        <v>3772</v>
      </c>
      <c r="K165" s="59" t="s">
        <v>3773</v>
      </c>
      <c r="L165" s="31"/>
      <c r="M165" s="25" t="s">
        <v>2319</v>
      </c>
      <c r="N165" s="25"/>
      <c r="O165" s="31"/>
      <c r="P165" s="25" t="s">
        <v>1127</v>
      </c>
      <c r="Q165" s="31" t="s">
        <v>1127</v>
      </c>
    </row>
    <row r="166" spans="1:17" ht="18" customHeight="1" x14ac:dyDescent="0.2">
      <c r="A166" s="66" t="s">
        <v>777</v>
      </c>
      <c r="B166" s="66" t="s">
        <v>3782</v>
      </c>
      <c r="C166" s="66" t="s">
        <v>4182</v>
      </c>
      <c r="D166" s="66" t="s">
        <v>1629</v>
      </c>
      <c r="E166" s="66" t="s">
        <v>4194</v>
      </c>
      <c r="F166" s="25">
        <v>10</v>
      </c>
      <c r="G166" s="25" t="s">
        <v>98</v>
      </c>
      <c r="H166" s="25">
        <v>2017</v>
      </c>
      <c r="I166" s="25" t="s">
        <v>3771</v>
      </c>
      <c r="J166" s="25" t="s">
        <v>3772</v>
      </c>
      <c r="K166" s="59" t="s">
        <v>3773</v>
      </c>
      <c r="L166" s="31"/>
      <c r="M166" s="25" t="s">
        <v>2319</v>
      </c>
      <c r="N166" s="25"/>
      <c r="O166" s="31"/>
      <c r="P166" s="25" t="s">
        <v>1127</v>
      </c>
      <c r="Q166" s="31" t="s">
        <v>1127</v>
      </c>
    </row>
    <row r="167" spans="1:17" ht="18" customHeight="1" x14ac:dyDescent="0.2">
      <c r="A167" s="66" t="s">
        <v>777</v>
      </c>
      <c r="B167" s="66" t="s">
        <v>3783</v>
      </c>
      <c r="C167" s="66" t="s">
        <v>4182</v>
      </c>
      <c r="D167" s="66" t="s">
        <v>1629</v>
      </c>
      <c r="E167" s="66" t="s">
        <v>4194</v>
      </c>
      <c r="F167" s="25">
        <v>11</v>
      </c>
      <c r="G167" s="25" t="s">
        <v>104</v>
      </c>
      <c r="H167" s="25">
        <v>2018</v>
      </c>
      <c r="I167" s="25" t="s">
        <v>3771</v>
      </c>
      <c r="J167" s="25" t="s">
        <v>3772</v>
      </c>
      <c r="K167" s="59" t="s">
        <v>3773</v>
      </c>
      <c r="L167" s="31"/>
      <c r="M167" s="25" t="s">
        <v>2319</v>
      </c>
      <c r="N167" s="25"/>
      <c r="O167" s="31"/>
      <c r="P167" s="25" t="s">
        <v>1127</v>
      </c>
      <c r="Q167" s="31" t="s">
        <v>1127</v>
      </c>
    </row>
    <row r="168" spans="1:17" ht="18" customHeight="1" x14ac:dyDescent="0.2">
      <c r="A168" s="66" t="s">
        <v>777</v>
      </c>
      <c r="B168" s="66" t="s">
        <v>3770</v>
      </c>
      <c r="C168" s="66" t="s">
        <v>4182</v>
      </c>
      <c r="D168" s="66" t="s">
        <v>1629</v>
      </c>
      <c r="E168" s="66" t="s">
        <v>4194</v>
      </c>
      <c r="F168" s="25">
        <v>1</v>
      </c>
      <c r="G168" s="25" t="s">
        <v>40</v>
      </c>
      <c r="H168" s="25">
        <v>2008</v>
      </c>
      <c r="I168" s="25" t="s">
        <v>3771</v>
      </c>
      <c r="J168" s="25" t="s">
        <v>3772</v>
      </c>
      <c r="K168" s="59" t="s">
        <v>3773</v>
      </c>
      <c r="L168" s="31"/>
      <c r="M168" s="25" t="s">
        <v>2319</v>
      </c>
      <c r="N168" s="25"/>
      <c r="O168" s="31"/>
      <c r="P168" s="25" t="s">
        <v>1127</v>
      </c>
      <c r="Q168" s="31" t="s">
        <v>1127</v>
      </c>
    </row>
    <row r="169" spans="1:17" ht="18" customHeight="1" x14ac:dyDescent="0.2">
      <c r="A169" s="66" t="s">
        <v>777</v>
      </c>
      <c r="B169" s="66" t="s">
        <v>3774</v>
      </c>
      <c r="C169" s="66" t="s">
        <v>4182</v>
      </c>
      <c r="D169" s="66" t="s">
        <v>1629</v>
      </c>
      <c r="E169" s="66" t="s">
        <v>4194</v>
      </c>
      <c r="F169" s="25">
        <v>2</v>
      </c>
      <c r="G169" s="25" t="s">
        <v>37</v>
      </c>
      <c r="H169" s="25">
        <v>2009</v>
      </c>
      <c r="I169" s="25" t="s">
        <v>3771</v>
      </c>
      <c r="J169" s="25" t="s">
        <v>3772</v>
      </c>
      <c r="K169" s="59" t="s">
        <v>3773</v>
      </c>
      <c r="L169" s="31"/>
      <c r="M169" s="25" t="s">
        <v>2319</v>
      </c>
      <c r="N169" s="25"/>
      <c r="O169" s="31"/>
      <c r="P169" s="25" t="s">
        <v>1127</v>
      </c>
      <c r="Q169" s="31" t="s">
        <v>1127</v>
      </c>
    </row>
    <row r="170" spans="1:17" ht="18" customHeight="1" x14ac:dyDescent="0.2">
      <c r="A170" s="66" t="s">
        <v>777</v>
      </c>
      <c r="B170" s="66" t="s">
        <v>3775</v>
      </c>
      <c r="C170" s="66" t="s">
        <v>4182</v>
      </c>
      <c r="D170" s="66" t="s">
        <v>1629</v>
      </c>
      <c r="E170" s="66" t="s">
        <v>4194</v>
      </c>
      <c r="F170" s="25">
        <v>3</v>
      </c>
      <c r="G170" s="25" t="s">
        <v>80</v>
      </c>
      <c r="H170" s="25">
        <v>2010</v>
      </c>
      <c r="I170" s="25" t="s">
        <v>3771</v>
      </c>
      <c r="J170" s="25" t="s">
        <v>3772</v>
      </c>
      <c r="K170" s="59" t="s">
        <v>3773</v>
      </c>
      <c r="L170" s="31"/>
      <c r="M170" s="25" t="s">
        <v>2319</v>
      </c>
      <c r="N170" s="25"/>
      <c r="O170" s="31"/>
      <c r="P170" s="25" t="s">
        <v>1127</v>
      </c>
      <c r="Q170" s="31" t="s">
        <v>1127</v>
      </c>
    </row>
    <row r="171" spans="1:17" ht="18" customHeight="1" x14ac:dyDescent="0.2">
      <c r="A171" s="66" t="s">
        <v>777</v>
      </c>
      <c r="B171" s="66" t="s">
        <v>3776</v>
      </c>
      <c r="C171" s="66" t="s">
        <v>4182</v>
      </c>
      <c r="D171" s="66" t="s">
        <v>1629</v>
      </c>
      <c r="E171" s="66" t="s">
        <v>4194</v>
      </c>
      <c r="F171" s="25">
        <v>4</v>
      </c>
      <c r="G171" s="25" t="s">
        <v>31</v>
      </c>
      <c r="H171" s="25">
        <v>2011</v>
      </c>
      <c r="I171" s="25" t="s">
        <v>3771</v>
      </c>
      <c r="J171" s="25" t="s">
        <v>3772</v>
      </c>
      <c r="K171" s="59" t="s">
        <v>3773</v>
      </c>
      <c r="L171" s="31"/>
      <c r="M171" s="25" t="s">
        <v>2319</v>
      </c>
      <c r="N171" s="25"/>
      <c r="O171" s="31"/>
      <c r="P171" s="25" t="s">
        <v>1127</v>
      </c>
      <c r="Q171" s="31" t="s">
        <v>1127</v>
      </c>
    </row>
    <row r="172" spans="1:17" ht="18" customHeight="1" x14ac:dyDescent="0.2">
      <c r="A172" s="66" t="s">
        <v>777</v>
      </c>
      <c r="B172" s="66" t="s">
        <v>3777</v>
      </c>
      <c r="C172" s="66" t="s">
        <v>4182</v>
      </c>
      <c r="D172" s="66" t="s">
        <v>1629</v>
      </c>
      <c r="E172" s="66" t="s">
        <v>4194</v>
      </c>
      <c r="F172" s="25">
        <v>5</v>
      </c>
      <c r="G172" s="25" t="s">
        <v>13</v>
      </c>
      <c r="H172" s="25">
        <v>2012</v>
      </c>
      <c r="I172" s="25" t="s">
        <v>3771</v>
      </c>
      <c r="J172" s="25" t="s">
        <v>3772</v>
      </c>
      <c r="K172" s="59" t="s">
        <v>3773</v>
      </c>
      <c r="L172" s="31"/>
      <c r="M172" s="25" t="s">
        <v>2319</v>
      </c>
      <c r="N172" s="25"/>
      <c r="O172" s="31"/>
      <c r="P172" s="25" t="s">
        <v>1127</v>
      </c>
      <c r="Q172" s="31" t="s">
        <v>1127</v>
      </c>
    </row>
    <row r="173" spans="1:17" ht="18" customHeight="1" x14ac:dyDescent="0.2">
      <c r="A173" s="66" t="s">
        <v>777</v>
      </c>
      <c r="B173" s="66" t="s">
        <v>3778</v>
      </c>
      <c r="C173" s="66" t="s">
        <v>4182</v>
      </c>
      <c r="D173" s="66" t="s">
        <v>1629</v>
      </c>
      <c r="E173" s="66" t="s">
        <v>4194</v>
      </c>
      <c r="F173" s="25">
        <v>6</v>
      </c>
      <c r="G173" s="25" t="s">
        <v>49</v>
      </c>
      <c r="H173" s="25">
        <v>2013</v>
      </c>
      <c r="I173" s="25" t="s">
        <v>3771</v>
      </c>
      <c r="J173" s="25" t="s">
        <v>3772</v>
      </c>
      <c r="K173" s="59" t="s">
        <v>3773</v>
      </c>
      <c r="L173" s="31"/>
      <c r="M173" s="25" t="s">
        <v>2319</v>
      </c>
      <c r="N173" s="25"/>
      <c r="O173" s="31"/>
      <c r="P173" s="25" t="s">
        <v>1127</v>
      </c>
      <c r="Q173" s="31" t="s">
        <v>1127</v>
      </c>
    </row>
    <row r="174" spans="1:17" ht="18" customHeight="1" x14ac:dyDescent="0.2">
      <c r="A174" s="66" t="s">
        <v>777</v>
      </c>
      <c r="B174" s="66" t="s">
        <v>3779</v>
      </c>
      <c r="C174" s="66" t="s">
        <v>4182</v>
      </c>
      <c r="D174" s="66" t="s">
        <v>1629</v>
      </c>
      <c r="E174" s="66" t="s">
        <v>4194</v>
      </c>
      <c r="F174" s="25">
        <v>7</v>
      </c>
      <c r="G174" s="25" t="s">
        <v>101</v>
      </c>
      <c r="H174" s="25">
        <v>2014</v>
      </c>
      <c r="I174" s="25" t="s">
        <v>3771</v>
      </c>
      <c r="J174" s="25" t="s">
        <v>3772</v>
      </c>
      <c r="K174" s="59" t="s">
        <v>3773</v>
      </c>
      <c r="L174" s="31"/>
      <c r="M174" s="25" t="s">
        <v>2319</v>
      </c>
      <c r="N174" s="25"/>
      <c r="O174" s="31"/>
      <c r="P174" s="25" t="s">
        <v>1127</v>
      </c>
      <c r="Q174" s="31" t="s">
        <v>1127</v>
      </c>
    </row>
    <row r="175" spans="1:17" ht="18" customHeight="1" x14ac:dyDescent="0.2">
      <c r="A175" s="66" t="s">
        <v>777</v>
      </c>
      <c r="B175" s="66" t="s">
        <v>3780</v>
      </c>
      <c r="C175" s="66" t="s">
        <v>4182</v>
      </c>
      <c r="D175" s="66" t="s">
        <v>1629</v>
      </c>
      <c r="E175" s="66" t="s">
        <v>4194</v>
      </c>
      <c r="F175" s="25">
        <v>8</v>
      </c>
      <c r="G175" s="25" t="s">
        <v>10</v>
      </c>
      <c r="H175" s="25">
        <v>2015</v>
      </c>
      <c r="I175" s="25" t="s">
        <v>3771</v>
      </c>
      <c r="J175" s="25" t="s">
        <v>3772</v>
      </c>
      <c r="K175" s="59" t="s">
        <v>3773</v>
      </c>
      <c r="L175" s="31"/>
      <c r="M175" s="25" t="s">
        <v>2319</v>
      </c>
      <c r="N175" s="25"/>
      <c r="O175" s="31"/>
      <c r="P175" s="25" t="s">
        <v>1127</v>
      </c>
      <c r="Q175" s="31" t="s">
        <v>1127</v>
      </c>
    </row>
    <row r="176" spans="1:17" ht="18" customHeight="1" x14ac:dyDescent="0.2">
      <c r="A176" s="66" t="s">
        <v>777</v>
      </c>
      <c r="B176" s="66" t="s">
        <v>3781</v>
      </c>
      <c r="C176" s="66" t="s">
        <v>4182</v>
      </c>
      <c r="D176" s="66" t="s">
        <v>1629</v>
      </c>
      <c r="E176" s="66" t="s">
        <v>4194</v>
      </c>
      <c r="F176" s="25">
        <v>9</v>
      </c>
      <c r="G176" s="25" t="s">
        <v>55</v>
      </c>
      <c r="H176" s="25">
        <v>2016</v>
      </c>
      <c r="I176" s="25" t="s">
        <v>3771</v>
      </c>
      <c r="J176" s="25" t="s">
        <v>3772</v>
      </c>
      <c r="K176" s="59" t="s">
        <v>3773</v>
      </c>
      <c r="L176" s="31"/>
      <c r="M176" s="25" t="s">
        <v>2319</v>
      </c>
      <c r="N176" s="25"/>
      <c r="O176" s="31"/>
      <c r="P176" s="25" t="s">
        <v>1127</v>
      </c>
      <c r="Q176" s="31" t="s">
        <v>1127</v>
      </c>
    </row>
    <row r="177" spans="1:17" ht="18" customHeight="1" x14ac:dyDescent="0.2">
      <c r="A177" s="66" t="s">
        <v>777</v>
      </c>
      <c r="B177" s="66" t="s">
        <v>3782</v>
      </c>
      <c r="C177" s="66" t="s">
        <v>4182</v>
      </c>
      <c r="D177" s="66" t="s">
        <v>1629</v>
      </c>
      <c r="E177" s="66" t="s">
        <v>4194</v>
      </c>
      <c r="F177" s="25">
        <v>10</v>
      </c>
      <c r="G177" s="25" t="s">
        <v>98</v>
      </c>
      <c r="H177" s="25">
        <v>2017</v>
      </c>
      <c r="I177" s="25" t="s">
        <v>3771</v>
      </c>
      <c r="J177" s="25" t="s">
        <v>3772</v>
      </c>
      <c r="K177" s="59" t="s">
        <v>3773</v>
      </c>
      <c r="L177" s="31"/>
      <c r="M177" s="25" t="s">
        <v>2319</v>
      </c>
      <c r="N177" s="25"/>
      <c r="O177" s="31"/>
      <c r="P177" s="25" t="s">
        <v>1127</v>
      </c>
      <c r="Q177" s="31" t="s">
        <v>1127</v>
      </c>
    </row>
    <row r="178" spans="1:17" ht="18" customHeight="1" x14ac:dyDescent="0.2">
      <c r="A178" s="66" t="s">
        <v>777</v>
      </c>
      <c r="B178" s="66" t="s">
        <v>3783</v>
      </c>
      <c r="C178" s="66" t="s">
        <v>4182</v>
      </c>
      <c r="D178" s="66" t="s">
        <v>1629</v>
      </c>
      <c r="E178" s="66" t="s">
        <v>4194</v>
      </c>
      <c r="F178" s="25">
        <v>11</v>
      </c>
      <c r="G178" s="25" t="s">
        <v>104</v>
      </c>
      <c r="H178" s="25">
        <v>2018</v>
      </c>
      <c r="I178" s="25" t="s">
        <v>3771</v>
      </c>
      <c r="J178" s="25" t="s">
        <v>3772</v>
      </c>
      <c r="K178" s="59" t="s">
        <v>3773</v>
      </c>
      <c r="L178" s="31"/>
      <c r="M178" s="25" t="s">
        <v>2319</v>
      </c>
      <c r="N178" s="25"/>
      <c r="O178" s="31"/>
      <c r="P178" s="25" t="s">
        <v>1127</v>
      </c>
      <c r="Q178" s="31" t="s">
        <v>1127</v>
      </c>
    </row>
    <row r="179" spans="1:17" ht="18" customHeight="1" x14ac:dyDescent="0.2">
      <c r="A179" s="66" t="s">
        <v>777</v>
      </c>
      <c r="B179" s="66" t="s">
        <v>3770</v>
      </c>
      <c r="C179" s="66" t="s">
        <v>4182</v>
      </c>
      <c r="D179" s="66" t="s">
        <v>1629</v>
      </c>
      <c r="E179" s="66" t="s">
        <v>4194</v>
      </c>
      <c r="F179" s="25">
        <v>1</v>
      </c>
      <c r="G179" s="25" t="s">
        <v>40</v>
      </c>
      <c r="H179" s="25">
        <v>2008</v>
      </c>
      <c r="I179" s="25" t="s">
        <v>3771</v>
      </c>
      <c r="J179" s="25" t="s">
        <v>3772</v>
      </c>
      <c r="K179" s="59" t="s">
        <v>3773</v>
      </c>
      <c r="L179" s="31"/>
      <c r="M179" s="25" t="s">
        <v>2319</v>
      </c>
      <c r="N179" s="25"/>
      <c r="O179" s="31"/>
      <c r="P179" s="25" t="s">
        <v>1127</v>
      </c>
      <c r="Q179" s="31" t="s">
        <v>1127</v>
      </c>
    </row>
    <row r="180" spans="1:17" ht="18" customHeight="1" x14ac:dyDescent="0.2">
      <c r="A180" s="66" t="s">
        <v>777</v>
      </c>
      <c r="B180" s="66" t="s">
        <v>3774</v>
      </c>
      <c r="C180" s="66" t="s">
        <v>4182</v>
      </c>
      <c r="D180" s="66" t="s">
        <v>1629</v>
      </c>
      <c r="E180" s="66" t="s">
        <v>4194</v>
      </c>
      <c r="F180" s="25">
        <v>2</v>
      </c>
      <c r="G180" s="25" t="s">
        <v>37</v>
      </c>
      <c r="H180" s="25">
        <v>2009</v>
      </c>
      <c r="I180" s="25" t="s">
        <v>3771</v>
      </c>
      <c r="J180" s="25" t="s">
        <v>3772</v>
      </c>
      <c r="K180" s="59" t="s">
        <v>3773</v>
      </c>
      <c r="L180" s="31"/>
      <c r="M180" s="25" t="s">
        <v>2319</v>
      </c>
      <c r="N180" s="25"/>
      <c r="O180" s="31"/>
      <c r="P180" s="25" t="s">
        <v>1127</v>
      </c>
      <c r="Q180" s="31" t="s">
        <v>1127</v>
      </c>
    </row>
    <row r="181" spans="1:17" ht="18" customHeight="1" x14ac:dyDescent="0.2">
      <c r="A181" s="66" t="s">
        <v>777</v>
      </c>
      <c r="B181" s="66" t="s">
        <v>3775</v>
      </c>
      <c r="C181" s="66" t="s">
        <v>4182</v>
      </c>
      <c r="D181" s="66" t="s">
        <v>1629</v>
      </c>
      <c r="E181" s="66" t="s">
        <v>4194</v>
      </c>
      <c r="F181" s="25">
        <v>3</v>
      </c>
      <c r="G181" s="25" t="s">
        <v>80</v>
      </c>
      <c r="H181" s="25">
        <v>2010</v>
      </c>
      <c r="I181" s="25" t="s">
        <v>3771</v>
      </c>
      <c r="J181" s="25" t="s">
        <v>3772</v>
      </c>
      <c r="K181" s="59" t="s">
        <v>3773</v>
      </c>
      <c r="L181" s="31"/>
      <c r="M181" s="25" t="s">
        <v>2319</v>
      </c>
      <c r="N181" s="25"/>
      <c r="O181" s="31"/>
      <c r="P181" s="25" t="s">
        <v>1127</v>
      </c>
      <c r="Q181" s="31" t="s">
        <v>1127</v>
      </c>
    </row>
    <row r="182" spans="1:17" ht="18" customHeight="1" x14ac:dyDescent="0.2">
      <c r="A182" s="66" t="s">
        <v>777</v>
      </c>
      <c r="B182" s="66" t="s">
        <v>3776</v>
      </c>
      <c r="C182" s="66" t="s">
        <v>4182</v>
      </c>
      <c r="D182" s="66" t="s">
        <v>1629</v>
      </c>
      <c r="E182" s="66" t="s">
        <v>4194</v>
      </c>
      <c r="F182" s="25">
        <v>4</v>
      </c>
      <c r="G182" s="25" t="s">
        <v>31</v>
      </c>
      <c r="H182" s="25">
        <v>2011</v>
      </c>
      <c r="I182" s="25" t="s">
        <v>3771</v>
      </c>
      <c r="J182" s="25" t="s">
        <v>3772</v>
      </c>
      <c r="K182" s="59" t="s">
        <v>3773</v>
      </c>
      <c r="L182" s="31"/>
      <c r="M182" s="25" t="s">
        <v>2319</v>
      </c>
      <c r="N182" s="25"/>
      <c r="O182" s="31"/>
      <c r="P182" s="25" t="s">
        <v>1127</v>
      </c>
      <c r="Q182" s="31" t="s">
        <v>1127</v>
      </c>
    </row>
    <row r="183" spans="1:17" ht="18" customHeight="1" x14ac:dyDescent="0.2">
      <c r="A183" s="66" t="s">
        <v>777</v>
      </c>
      <c r="B183" s="66" t="s">
        <v>3777</v>
      </c>
      <c r="C183" s="66" t="s">
        <v>4182</v>
      </c>
      <c r="D183" s="66" t="s">
        <v>1629</v>
      </c>
      <c r="E183" s="66" t="s">
        <v>4194</v>
      </c>
      <c r="F183" s="25">
        <v>5</v>
      </c>
      <c r="G183" s="25" t="s">
        <v>13</v>
      </c>
      <c r="H183" s="25">
        <v>2012</v>
      </c>
      <c r="I183" s="25" t="s">
        <v>3771</v>
      </c>
      <c r="J183" s="25" t="s">
        <v>3772</v>
      </c>
      <c r="K183" s="59" t="s">
        <v>3773</v>
      </c>
      <c r="L183" s="31"/>
      <c r="M183" s="25" t="s">
        <v>2319</v>
      </c>
      <c r="N183" s="25"/>
      <c r="O183" s="31"/>
      <c r="P183" s="25" t="s">
        <v>1127</v>
      </c>
      <c r="Q183" s="31" t="s">
        <v>1127</v>
      </c>
    </row>
    <row r="184" spans="1:17" ht="18" customHeight="1" x14ac:dyDescent="0.2">
      <c r="A184" s="66" t="s">
        <v>777</v>
      </c>
      <c r="B184" s="66" t="s">
        <v>3778</v>
      </c>
      <c r="C184" s="66" t="s">
        <v>4182</v>
      </c>
      <c r="D184" s="66" t="s">
        <v>1629</v>
      </c>
      <c r="E184" s="66" t="s">
        <v>4194</v>
      </c>
      <c r="F184" s="25">
        <v>6</v>
      </c>
      <c r="G184" s="25" t="s">
        <v>49</v>
      </c>
      <c r="H184" s="25">
        <v>2013</v>
      </c>
      <c r="I184" s="25" t="s">
        <v>3771</v>
      </c>
      <c r="J184" s="25" t="s">
        <v>3772</v>
      </c>
      <c r="K184" s="59" t="s">
        <v>3773</v>
      </c>
      <c r="L184" s="31"/>
      <c r="M184" s="25" t="s">
        <v>2319</v>
      </c>
      <c r="N184" s="25"/>
      <c r="O184" s="31"/>
      <c r="P184" s="25" t="s">
        <v>1127</v>
      </c>
      <c r="Q184" s="31" t="s">
        <v>1127</v>
      </c>
    </row>
    <row r="185" spans="1:17" ht="18" customHeight="1" x14ac:dyDescent="0.2">
      <c r="A185" s="66" t="s">
        <v>777</v>
      </c>
      <c r="B185" s="66" t="s">
        <v>3779</v>
      </c>
      <c r="C185" s="66" t="s">
        <v>4182</v>
      </c>
      <c r="D185" s="66" t="s">
        <v>1629</v>
      </c>
      <c r="E185" s="66" t="s">
        <v>4194</v>
      </c>
      <c r="F185" s="25">
        <v>7</v>
      </c>
      <c r="G185" s="25" t="s">
        <v>101</v>
      </c>
      <c r="H185" s="25">
        <v>2014</v>
      </c>
      <c r="I185" s="25" t="s">
        <v>3771</v>
      </c>
      <c r="J185" s="25" t="s">
        <v>3772</v>
      </c>
      <c r="K185" s="59" t="s">
        <v>3773</v>
      </c>
      <c r="L185" s="31"/>
      <c r="M185" s="25" t="s">
        <v>2319</v>
      </c>
      <c r="N185" s="25"/>
      <c r="O185" s="31"/>
      <c r="P185" s="25" t="s">
        <v>1127</v>
      </c>
      <c r="Q185" s="31" t="s">
        <v>1127</v>
      </c>
    </row>
    <row r="186" spans="1:17" ht="18" customHeight="1" x14ac:dyDescent="0.2">
      <c r="A186" s="66" t="s">
        <v>777</v>
      </c>
      <c r="B186" s="66" t="s">
        <v>3780</v>
      </c>
      <c r="C186" s="66" t="s">
        <v>4182</v>
      </c>
      <c r="D186" s="66" t="s">
        <v>1629</v>
      </c>
      <c r="E186" s="66" t="s">
        <v>4194</v>
      </c>
      <c r="F186" s="25">
        <v>8</v>
      </c>
      <c r="G186" s="25" t="s">
        <v>10</v>
      </c>
      <c r="H186" s="25">
        <v>2015</v>
      </c>
      <c r="I186" s="25" t="s">
        <v>3771</v>
      </c>
      <c r="J186" s="25" t="s">
        <v>3772</v>
      </c>
      <c r="K186" s="59" t="s">
        <v>3773</v>
      </c>
      <c r="L186" s="31"/>
      <c r="M186" s="25" t="s">
        <v>2319</v>
      </c>
      <c r="N186" s="25"/>
      <c r="O186" s="31"/>
      <c r="P186" s="25" t="s">
        <v>1127</v>
      </c>
      <c r="Q186" s="31" t="s">
        <v>1127</v>
      </c>
    </row>
    <row r="187" spans="1:17" ht="18" customHeight="1" x14ac:dyDescent="0.2">
      <c r="A187" s="66" t="s">
        <v>777</v>
      </c>
      <c r="B187" s="66" t="s">
        <v>3781</v>
      </c>
      <c r="C187" s="66" t="s">
        <v>4182</v>
      </c>
      <c r="D187" s="66" t="s">
        <v>1629</v>
      </c>
      <c r="E187" s="66" t="s">
        <v>4194</v>
      </c>
      <c r="F187" s="25">
        <v>9</v>
      </c>
      <c r="G187" s="25" t="s">
        <v>55</v>
      </c>
      <c r="H187" s="25">
        <v>2016</v>
      </c>
      <c r="I187" s="25" t="s">
        <v>3771</v>
      </c>
      <c r="J187" s="25" t="s">
        <v>3772</v>
      </c>
      <c r="K187" s="59" t="s">
        <v>3773</v>
      </c>
      <c r="L187" s="31"/>
      <c r="M187" s="25" t="s">
        <v>2319</v>
      </c>
      <c r="N187" s="25"/>
      <c r="O187" s="31"/>
      <c r="P187" s="25" t="s">
        <v>1127</v>
      </c>
      <c r="Q187" s="31" t="s">
        <v>1127</v>
      </c>
    </row>
    <row r="188" spans="1:17" ht="18" customHeight="1" x14ac:dyDescent="0.2">
      <c r="A188" s="66" t="s">
        <v>777</v>
      </c>
      <c r="B188" s="66" t="s">
        <v>3782</v>
      </c>
      <c r="C188" s="66" t="s">
        <v>4182</v>
      </c>
      <c r="D188" s="66" t="s">
        <v>1629</v>
      </c>
      <c r="E188" s="66" t="s">
        <v>4194</v>
      </c>
      <c r="F188" s="25">
        <v>10</v>
      </c>
      <c r="G188" s="25" t="s">
        <v>98</v>
      </c>
      <c r="H188" s="25">
        <v>2017</v>
      </c>
      <c r="I188" s="25" t="s">
        <v>3771</v>
      </c>
      <c r="J188" s="25" t="s">
        <v>3772</v>
      </c>
      <c r="K188" s="59" t="s">
        <v>3773</v>
      </c>
      <c r="L188" s="31"/>
      <c r="M188" s="25" t="s">
        <v>2319</v>
      </c>
      <c r="N188" s="25"/>
      <c r="O188" s="31"/>
      <c r="P188" s="25" t="s">
        <v>1127</v>
      </c>
      <c r="Q188" s="31" t="s">
        <v>1127</v>
      </c>
    </row>
    <row r="189" spans="1:17" ht="18" customHeight="1" x14ac:dyDescent="0.2">
      <c r="A189" s="66" t="s">
        <v>777</v>
      </c>
      <c r="B189" s="66" t="s">
        <v>3783</v>
      </c>
      <c r="C189" s="66" t="s">
        <v>4182</v>
      </c>
      <c r="D189" s="66" t="s">
        <v>1629</v>
      </c>
      <c r="E189" s="66" t="s">
        <v>4194</v>
      </c>
      <c r="F189" s="25">
        <v>11</v>
      </c>
      <c r="G189" s="25" t="s">
        <v>104</v>
      </c>
      <c r="H189" s="25">
        <v>2018</v>
      </c>
      <c r="I189" s="25" t="s">
        <v>3771</v>
      </c>
      <c r="J189" s="25" t="s">
        <v>3772</v>
      </c>
      <c r="K189" s="59" t="s">
        <v>3773</v>
      </c>
      <c r="L189" s="31"/>
      <c r="M189" s="25" t="s">
        <v>2319</v>
      </c>
      <c r="N189" s="25"/>
      <c r="O189" s="31"/>
      <c r="P189" s="25" t="s">
        <v>1127</v>
      </c>
      <c r="Q189" s="31" t="s">
        <v>1127</v>
      </c>
    </row>
    <row r="190" spans="1:17" ht="18" customHeight="1" x14ac:dyDescent="0.2">
      <c r="A190" s="66" t="s">
        <v>777</v>
      </c>
      <c r="B190" s="66" t="s">
        <v>3770</v>
      </c>
      <c r="C190" s="66" t="s">
        <v>4182</v>
      </c>
      <c r="D190" s="66" t="s">
        <v>1629</v>
      </c>
      <c r="E190" s="66" t="s">
        <v>4194</v>
      </c>
      <c r="F190" s="25">
        <v>1</v>
      </c>
      <c r="G190" s="25" t="s">
        <v>40</v>
      </c>
      <c r="H190" s="25">
        <v>2008</v>
      </c>
      <c r="I190" s="25" t="s">
        <v>3771</v>
      </c>
      <c r="J190" s="25" t="s">
        <v>3772</v>
      </c>
      <c r="K190" s="59" t="s">
        <v>3773</v>
      </c>
      <c r="L190" s="31"/>
      <c r="M190" s="25" t="s">
        <v>2319</v>
      </c>
      <c r="N190" s="25"/>
      <c r="O190" s="31"/>
      <c r="P190" s="25" t="s">
        <v>1127</v>
      </c>
      <c r="Q190" s="31" t="s">
        <v>1127</v>
      </c>
    </row>
    <row r="191" spans="1:17" ht="18" customHeight="1" x14ac:dyDescent="0.2">
      <c r="A191" s="66" t="s">
        <v>777</v>
      </c>
      <c r="B191" s="66" t="s">
        <v>3774</v>
      </c>
      <c r="C191" s="66" t="s">
        <v>4182</v>
      </c>
      <c r="D191" s="66" t="s">
        <v>1629</v>
      </c>
      <c r="E191" s="66" t="s">
        <v>4194</v>
      </c>
      <c r="F191" s="25">
        <v>2</v>
      </c>
      <c r="G191" s="25" t="s">
        <v>37</v>
      </c>
      <c r="H191" s="25">
        <v>2009</v>
      </c>
      <c r="I191" s="25" t="s">
        <v>3771</v>
      </c>
      <c r="J191" s="25" t="s">
        <v>3772</v>
      </c>
      <c r="K191" s="59" t="s">
        <v>3773</v>
      </c>
      <c r="L191" s="31"/>
      <c r="M191" s="25" t="s">
        <v>2319</v>
      </c>
      <c r="N191" s="25"/>
      <c r="O191" s="31"/>
      <c r="P191" s="25" t="s">
        <v>1127</v>
      </c>
      <c r="Q191" s="31" t="s">
        <v>1127</v>
      </c>
    </row>
    <row r="192" spans="1:17" ht="18" customHeight="1" x14ac:dyDescent="0.2">
      <c r="A192" s="66" t="s">
        <v>777</v>
      </c>
      <c r="B192" s="66" t="s">
        <v>3775</v>
      </c>
      <c r="C192" s="66" t="s">
        <v>4182</v>
      </c>
      <c r="D192" s="66" t="s">
        <v>1629</v>
      </c>
      <c r="E192" s="66" t="s">
        <v>4194</v>
      </c>
      <c r="F192" s="25">
        <v>3</v>
      </c>
      <c r="G192" s="25" t="s">
        <v>80</v>
      </c>
      <c r="H192" s="25">
        <v>2010</v>
      </c>
      <c r="I192" s="25" t="s">
        <v>3771</v>
      </c>
      <c r="J192" s="25" t="s">
        <v>3772</v>
      </c>
      <c r="K192" s="59" t="s">
        <v>3773</v>
      </c>
      <c r="L192" s="31"/>
      <c r="M192" s="25" t="s">
        <v>2319</v>
      </c>
      <c r="N192" s="25"/>
      <c r="O192" s="31"/>
      <c r="P192" s="25" t="s">
        <v>1127</v>
      </c>
      <c r="Q192" s="31" t="s">
        <v>1127</v>
      </c>
    </row>
    <row r="193" spans="1:17" ht="18" customHeight="1" x14ac:dyDescent="0.2">
      <c r="A193" s="66" t="s">
        <v>777</v>
      </c>
      <c r="B193" s="66" t="s">
        <v>3776</v>
      </c>
      <c r="C193" s="66" t="s">
        <v>4182</v>
      </c>
      <c r="D193" s="66" t="s">
        <v>1629</v>
      </c>
      <c r="E193" s="66" t="s">
        <v>4194</v>
      </c>
      <c r="F193" s="25">
        <v>4</v>
      </c>
      <c r="G193" s="25" t="s">
        <v>31</v>
      </c>
      <c r="H193" s="25">
        <v>2011</v>
      </c>
      <c r="I193" s="25" t="s">
        <v>3771</v>
      </c>
      <c r="J193" s="25" t="s">
        <v>3772</v>
      </c>
      <c r="K193" s="59" t="s">
        <v>3773</v>
      </c>
      <c r="L193" s="31"/>
      <c r="M193" s="25" t="s">
        <v>2319</v>
      </c>
      <c r="N193" s="25"/>
      <c r="O193" s="31"/>
      <c r="P193" s="25" t="s">
        <v>1127</v>
      </c>
      <c r="Q193" s="31" t="s">
        <v>1127</v>
      </c>
    </row>
    <row r="194" spans="1:17" ht="18" customHeight="1" x14ac:dyDescent="0.2">
      <c r="A194" s="66" t="s">
        <v>777</v>
      </c>
      <c r="B194" s="66" t="s">
        <v>3777</v>
      </c>
      <c r="C194" s="66" t="s">
        <v>4182</v>
      </c>
      <c r="D194" s="66" t="s">
        <v>1629</v>
      </c>
      <c r="E194" s="66" t="s">
        <v>4194</v>
      </c>
      <c r="F194" s="25">
        <v>5</v>
      </c>
      <c r="G194" s="25" t="s">
        <v>13</v>
      </c>
      <c r="H194" s="25">
        <v>2012</v>
      </c>
      <c r="I194" s="25" t="s">
        <v>3771</v>
      </c>
      <c r="J194" s="25" t="s">
        <v>3772</v>
      </c>
      <c r="K194" s="59" t="s">
        <v>3773</v>
      </c>
      <c r="L194" s="31"/>
      <c r="M194" s="25" t="s">
        <v>2319</v>
      </c>
      <c r="N194" s="25"/>
      <c r="O194" s="31"/>
      <c r="P194" s="25" t="s">
        <v>1127</v>
      </c>
      <c r="Q194" s="31" t="s">
        <v>1127</v>
      </c>
    </row>
    <row r="195" spans="1:17" ht="18" customHeight="1" x14ac:dyDescent="0.2">
      <c r="A195" s="66" t="s">
        <v>777</v>
      </c>
      <c r="B195" s="66" t="s">
        <v>3778</v>
      </c>
      <c r="C195" s="66" t="s">
        <v>4182</v>
      </c>
      <c r="D195" s="66" t="s">
        <v>1629</v>
      </c>
      <c r="E195" s="66" t="s">
        <v>4194</v>
      </c>
      <c r="F195" s="25">
        <v>6</v>
      </c>
      <c r="G195" s="25" t="s">
        <v>49</v>
      </c>
      <c r="H195" s="25">
        <v>2013</v>
      </c>
      <c r="I195" s="25" t="s">
        <v>3771</v>
      </c>
      <c r="J195" s="25" t="s">
        <v>3772</v>
      </c>
      <c r="K195" s="59" t="s">
        <v>3773</v>
      </c>
      <c r="L195" s="31"/>
      <c r="M195" s="25" t="s">
        <v>2319</v>
      </c>
      <c r="N195" s="25"/>
      <c r="O195" s="31"/>
      <c r="P195" s="25" t="s">
        <v>1127</v>
      </c>
      <c r="Q195" s="31" t="s">
        <v>1127</v>
      </c>
    </row>
    <row r="196" spans="1:17" ht="18" customHeight="1" x14ac:dyDescent="0.2">
      <c r="A196" s="66" t="s">
        <v>777</v>
      </c>
      <c r="B196" s="66" t="s">
        <v>3779</v>
      </c>
      <c r="C196" s="66" t="s">
        <v>4182</v>
      </c>
      <c r="D196" s="66" t="s">
        <v>1629</v>
      </c>
      <c r="E196" s="66" t="s">
        <v>4194</v>
      </c>
      <c r="F196" s="25">
        <v>7</v>
      </c>
      <c r="G196" s="25" t="s">
        <v>101</v>
      </c>
      <c r="H196" s="25">
        <v>2014</v>
      </c>
      <c r="I196" s="25" t="s">
        <v>3771</v>
      </c>
      <c r="J196" s="25" t="s">
        <v>3772</v>
      </c>
      <c r="K196" s="59" t="s">
        <v>3773</v>
      </c>
      <c r="L196" s="31"/>
      <c r="M196" s="25" t="s">
        <v>2319</v>
      </c>
      <c r="N196" s="25"/>
      <c r="O196" s="31"/>
      <c r="P196" s="25" t="s">
        <v>1127</v>
      </c>
      <c r="Q196" s="31" t="s">
        <v>1127</v>
      </c>
    </row>
    <row r="197" spans="1:17" ht="18" customHeight="1" x14ac:dyDescent="0.2">
      <c r="A197" s="66" t="s">
        <v>777</v>
      </c>
      <c r="B197" s="66" t="s">
        <v>3780</v>
      </c>
      <c r="C197" s="66" t="s">
        <v>4182</v>
      </c>
      <c r="D197" s="66" t="s">
        <v>1629</v>
      </c>
      <c r="E197" s="66" t="s">
        <v>4194</v>
      </c>
      <c r="F197" s="25">
        <v>8</v>
      </c>
      <c r="G197" s="25" t="s">
        <v>10</v>
      </c>
      <c r="H197" s="25">
        <v>2015</v>
      </c>
      <c r="I197" s="25" t="s">
        <v>3771</v>
      </c>
      <c r="J197" s="25" t="s">
        <v>3772</v>
      </c>
      <c r="K197" s="59" t="s">
        <v>3773</v>
      </c>
      <c r="L197" s="31"/>
      <c r="M197" s="25" t="s">
        <v>2319</v>
      </c>
      <c r="N197" s="25"/>
      <c r="O197" s="31"/>
      <c r="P197" s="25" t="s">
        <v>1127</v>
      </c>
      <c r="Q197" s="31" t="s">
        <v>1127</v>
      </c>
    </row>
    <row r="198" spans="1:17" ht="18" customHeight="1" x14ac:dyDescent="0.2">
      <c r="A198" s="66" t="s">
        <v>777</v>
      </c>
      <c r="B198" s="66" t="s">
        <v>3781</v>
      </c>
      <c r="C198" s="66" t="s">
        <v>4182</v>
      </c>
      <c r="D198" s="66" t="s">
        <v>1629</v>
      </c>
      <c r="E198" s="66" t="s">
        <v>4194</v>
      </c>
      <c r="F198" s="25">
        <v>9</v>
      </c>
      <c r="G198" s="25" t="s">
        <v>55</v>
      </c>
      <c r="H198" s="25">
        <v>2016</v>
      </c>
      <c r="I198" s="25" t="s">
        <v>3771</v>
      </c>
      <c r="J198" s="25" t="s">
        <v>3772</v>
      </c>
      <c r="K198" s="59" t="s">
        <v>3773</v>
      </c>
      <c r="L198" s="31"/>
      <c r="M198" s="25" t="s">
        <v>2319</v>
      </c>
      <c r="N198" s="25"/>
      <c r="O198" s="31"/>
      <c r="P198" s="25" t="s">
        <v>1127</v>
      </c>
      <c r="Q198" s="31" t="s">
        <v>1127</v>
      </c>
    </row>
    <row r="199" spans="1:17" ht="18" customHeight="1" x14ac:dyDescent="0.2">
      <c r="A199" s="66" t="s">
        <v>777</v>
      </c>
      <c r="B199" s="66" t="s">
        <v>3782</v>
      </c>
      <c r="C199" s="66" t="s">
        <v>4182</v>
      </c>
      <c r="D199" s="66" t="s">
        <v>1629</v>
      </c>
      <c r="E199" s="66" t="s">
        <v>4194</v>
      </c>
      <c r="F199" s="25">
        <v>10</v>
      </c>
      <c r="G199" s="25" t="s">
        <v>98</v>
      </c>
      <c r="H199" s="25">
        <v>2017</v>
      </c>
      <c r="I199" s="25" t="s">
        <v>3771</v>
      </c>
      <c r="J199" s="25" t="s">
        <v>3772</v>
      </c>
      <c r="K199" s="59" t="s">
        <v>3773</v>
      </c>
      <c r="L199" s="31"/>
      <c r="M199" s="25" t="s">
        <v>2319</v>
      </c>
      <c r="N199" s="25"/>
      <c r="O199" s="31"/>
      <c r="P199" s="25" t="s">
        <v>1127</v>
      </c>
      <c r="Q199" s="31" t="s">
        <v>1127</v>
      </c>
    </row>
    <row r="200" spans="1:17" ht="18" customHeight="1" x14ac:dyDescent="0.2">
      <c r="A200" s="66" t="s">
        <v>777</v>
      </c>
      <c r="B200" s="66" t="s">
        <v>3783</v>
      </c>
      <c r="C200" s="66" t="s">
        <v>4182</v>
      </c>
      <c r="D200" s="66" t="s">
        <v>1629</v>
      </c>
      <c r="E200" s="66" t="s">
        <v>4194</v>
      </c>
      <c r="F200" s="25">
        <v>11</v>
      </c>
      <c r="G200" s="25" t="s">
        <v>104</v>
      </c>
      <c r="H200" s="25">
        <v>2018</v>
      </c>
      <c r="I200" s="25" t="s">
        <v>3771</v>
      </c>
      <c r="J200" s="25" t="s">
        <v>3772</v>
      </c>
      <c r="K200" s="59" t="s">
        <v>3773</v>
      </c>
      <c r="L200" s="31"/>
      <c r="M200" s="25" t="s">
        <v>2319</v>
      </c>
      <c r="N200" s="25"/>
      <c r="O200" s="31"/>
      <c r="P200" s="25" t="s">
        <v>1127</v>
      </c>
      <c r="Q200" s="31" t="s">
        <v>1127</v>
      </c>
    </row>
    <row r="201" spans="1:17" ht="18" customHeight="1" x14ac:dyDescent="0.2">
      <c r="A201" s="66" t="s">
        <v>777</v>
      </c>
      <c r="B201" s="66" t="s">
        <v>3770</v>
      </c>
      <c r="C201" s="66" t="s">
        <v>4182</v>
      </c>
      <c r="D201" s="66" t="s">
        <v>1629</v>
      </c>
      <c r="E201" s="66" t="s">
        <v>4194</v>
      </c>
      <c r="F201" s="25">
        <v>1</v>
      </c>
      <c r="G201" s="25" t="s">
        <v>40</v>
      </c>
      <c r="H201" s="25">
        <v>2008</v>
      </c>
      <c r="I201" s="25" t="s">
        <v>3771</v>
      </c>
      <c r="J201" s="25" t="s">
        <v>3772</v>
      </c>
      <c r="K201" s="59" t="s">
        <v>3773</v>
      </c>
      <c r="L201" s="31"/>
      <c r="M201" s="25" t="s">
        <v>2319</v>
      </c>
      <c r="N201" s="25"/>
      <c r="O201" s="31"/>
      <c r="P201" s="25" t="s">
        <v>1127</v>
      </c>
      <c r="Q201" s="31" t="s">
        <v>1127</v>
      </c>
    </row>
    <row r="202" spans="1:17" ht="18" customHeight="1" x14ac:dyDescent="0.2">
      <c r="A202" s="66" t="s">
        <v>777</v>
      </c>
      <c r="B202" s="66" t="s">
        <v>3774</v>
      </c>
      <c r="C202" s="66" t="s">
        <v>4182</v>
      </c>
      <c r="D202" s="66" t="s">
        <v>1629</v>
      </c>
      <c r="E202" s="66" t="s">
        <v>4194</v>
      </c>
      <c r="F202" s="25">
        <v>2</v>
      </c>
      <c r="G202" s="25" t="s">
        <v>37</v>
      </c>
      <c r="H202" s="25">
        <v>2009</v>
      </c>
      <c r="I202" s="25" t="s">
        <v>3771</v>
      </c>
      <c r="J202" s="25" t="s">
        <v>3772</v>
      </c>
      <c r="K202" s="59" t="s">
        <v>3773</v>
      </c>
      <c r="L202" s="31"/>
      <c r="M202" s="25" t="s">
        <v>2319</v>
      </c>
      <c r="N202" s="25"/>
      <c r="O202" s="31"/>
      <c r="P202" s="25" t="s">
        <v>1127</v>
      </c>
      <c r="Q202" s="31" t="s">
        <v>1127</v>
      </c>
    </row>
    <row r="203" spans="1:17" ht="18" customHeight="1" x14ac:dyDescent="0.2">
      <c r="A203" s="66" t="s">
        <v>777</v>
      </c>
      <c r="B203" s="66" t="s">
        <v>3775</v>
      </c>
      <c r="C203" s="66" t="s">
        <v>4182</v>
      </c>
      <c r="D203" s="66" t="s">
        <v>1629</v>
      </c>
      <c r="E203" s="66" t="s">
        <v>4194</v>
      </c>
      <c r="F203" s="25">
        <v>3</v>
      </c>
      <c r="G203" s="25" t="s">
        <v>80</v>
      </c>
      <c r="H203" s="25">
        <v>2010</v>
      </c>
      <c r="I203" s="25" t="s">
        <v>3771</v>
      </c>
      <c r="J203" s="25" t="s">
        <v>3772</v>
      </c>
      <c r="K203" s="59" t="s">
        <v>3773</v>
      </c>
      <c r="L203" s="31"/>
      <c r="M203" s="25" t="s">
        <v>2319</v>
      </c>
      <c r="N203" s="25"/>
      <c r="O203" s="31"/>
      <c r="P203" s="25" t="s">
        <v>1127</v>
      </c>
      <c r="Q203" s="31" t="s">
        <v>1127</v>
      </c>
    </row>
    <row r="204" spans="1:17" ht="18" customHeight="1" x14ac:dyDescent="0.2">
      <c r="A204" s="66" t="s">
        <v>777</v>
      </c>
      <c r="B204" s="66" t="s">
        <v>3776</v>
      </c>
      <c r="C204" s="66" t="s">
        <v>4182</v>
      </c>
      <c r="D204" s="66" t="s">
        <v>1629</v>
      </c>
      <c r="E204" s="66" t="s">
        <v>4194</v>
      </c>
      <c r="F204" s="25">
        <v>4</v>
      </c>
      <c r="G204" s="25" t="s">
        <v>31</v>
      </c>
      <c r="H204" s="25">
        <v>2011</v>
      </c>
      <c r="I204" s="25" t="s">
        <v>3771</v>
      </c>
      <c r="J204" s="25" t="s">
        <v>3772</v>
      </c>
      <c r="K204" s="59" t="s">
        <v>3773</v>
      </c>
      <c r="L204" s="31"/>
      <c r="M204" s="25" t="s">
        <v>2319</v>
      </c>
      <c r="N204" s="25"/>
      <c r="O204" s="31"/>
      <c r="P204" s="25" t="s">
        <v>1127</v>
      </c>
      <c r="Q204" s="31" t="s">
        <v>1127</v>
      </c>
    </row>
    <row r="205" spans="1:17" ht="18" customHeight="1" x14ac:dyDescent="0.2">
      <c r="A205" s="66" t="s">
        <v>777</v>
      </c>
      <c r="B205" s="66" t="s">
        <v>3777</v>
      </c>
      <c r="C205" s="66" t="s">
        <v>4182</v>
      </c>
      <c r="D205" s="66" t="s">
        <v>1629</v>
      </c>
      <c r="E205" s="66" t="s">
        <v>4194</v>
      </c>
      <c r="F205" s="25">
        <v>5</v>
      </c>
      <c r="G205" s="25" t="s">
        <v>13</v>
      </c>
      <c r="H205" s="25">
        <v>2012</v>
      </c>
      <c r="I205" s="25" t="s">
        <v>3771</v>
      </c>
      <c r="J205" s="25" t="s">
        <v>3772</v>
      </c>
      <c r="K205" s="59" t="s">
        <v>3773</v>
      </c>
      <c r="L205" s="31"/>
      <c r="M205" s="25" t="s">
        <v>2319</v>
      </c>
      <c r="N205" s="25"/>
      <c r="O205" s="31"/>
      <c r="P205" s="25" t="s">
        <v>1127</v>
      </c>
      <c r="Q205" s="31" t="s">
        <v>1127</v>
      </c>
    </row>
    <row r="206" spans="1:17" ht="18" customHeight="1" x14ac:dyDescent="0.2">
      <c r="A206" s="66" t="s">
        <v>777</v>
      </c>
      <c r="B206" s="66" t="s">
        <v>3778</v>
      </c>
      <c r="C206" s="66" t="s">
        <v>4182</v>
      </c>
      <c r="D206" s="66" t="s">
        <v>1629</v>
      </c>
      <c r="E206" s="66" t="s">
        <v>4194</v>
      </c>
      <c r="F206" s="25">
        <v>6</v>
      </c>
      <c r="G206" s="25" t="s">
        <v>49</v>
      </c>
      <c r="H206" s="25">
        <v>2013</v>
      </c>
      <c r="I206" s="25" t="s">
        <v>3771</v>
      </c>
      <c r="J206" s="25" t="s">
        <v>3772</v>
      </c>
      <c r="K206" s="59" t="s">
        <v>3773</v>
      </c>
      <c r="L206" s="31"/>
      <c r="M206" s="25" t="s">
        <v>2319</v>
      </c>
      <c r="N206" s="25"/>
      <c r="O206" s="31"/>
      <c r="P206" s="25" t="s">
        <v>1127</v>
      </c>
      <c r="Q206" s="31" t="s">
        <v>1127</v>
      </c>
    </row>
    <row r="207" spans="1:17" ht="18" customHeight="1" x14ac:dyDescent="0.2">
      <c r="A207" s="66" t="s">
        <v>777</v>
      </c>
      <c r="B207" s="66" t="s">
        <v>3779</v>
      </c>
      <c r="C207" s="66" t="s">
        <v>4182</v>
      </c>
      <c r="D207" s="66" t="s">
        <v>1629</v>
      </c>
      <c r="E207" s="66" t="s">
        <v>4194</v>
      </c>
      <c r="F207" s="25">
        <v>7</v>
      </c>
      <c r="G207" s="25" t="s">
        <v>101</v>
      </c>
      <c r="H207" s="25">
        <v>2014</v>
      </c>
      <c r="I207" s="25" t="s">
        <v>3771</v>
      </c>
      <c r="J207" s="25" t="s">
        <v>3772</v>
      </c>
      <c r="K207" s="59" t="s">
        <v>3773</v>
      </c>
      <c r="L207" s="31"/>
      <c r="M207" s="25" t="s">
        <v>2319</v>
      </c>
      <c r="N207" s="25"/>
      <c r="O207" s="31"/>
      <c r="P207" s="25" t="s">
        <v>1127</v>
      </c>
      <c r="Q207" s="31" t="s">
        <v>1127</v>
      </c>
    </row>
    <row r="208" spans="1:17" ht="18" customHeight="1" x14ac:dyDescent="0.2">
      <c r="A208" s="66" t="s">
        <v>777</v>
      </c>
      <c r="B208" s="66" t="s">
        <v>3780</v>
      </c>
      <c r="C208" s="66" t="s">
        <v>4182</v>
      </c>
      <c r="D208" s="66" t="s">
        <v>1629</v>
      </c>
      <c r="E208" s="66" t="s">
        <v>4194</v>
      </c>
      <c r="F208" s="25">
        <v>8</v>
      </c>
      <c r="G208" s="25" t="s">
        <v>10</v>
      </c>
      <c r="H208" s="25">
        <v>2015</v>
      </c>
      <c r="I208" s="25" t="s">
        <v>3771</v>
      </c>
      <c r="J208" s="25" t="s">
        <v>3772</v>
      </c>
      <c r="K208" s="59" t="s">
        <v>3773</v>
      </c>
      <c r="L208" s="31"/>
      <c r="M208" s="25" t="s">
        <v>2319</v>
      </c>
      <c r="N208" s="25"/>
      <c r="O208" s="31"/>
      <c r="P208" s="25" t="s">
        <v>1127</v>
      </c>
      <c r="Q208" s="31" t="s">
        <v>1127</v>
      </c>
    </row>
    <row r="209" spans="1:17" ht="18" customHeight="1" x14ac:dyDescent="0.2">
      <c r="A209" s="66" t="s">
        <v>777</v>
      </c>
      <c r="B209" s="66" t="s">
        <v>3781</v>
      </c>
      <c r="C209" s="66" t="s">
        <v>4182</v>
      </c>
      <c r="D209" s="66" t="s">
        <v>1629</v>
      </c>
      <c r="E209" s="66" t="s">
        <v>4194</v>
      </c>
      <c r="F209" s="25">
        <v>9</v>
      </c>
      <c r="G209" s="25" t="s">
        <v>55</v>
      </c>
      <c r="H209" s="25">
        <v>2016</v>
      </c>
      <c r="I209" s="25" t="s">
        <v>3771</v>
      </c>
      <c r="J209" s="25" t="s">
        <v>3772</v>
      </c>
      <c r="K209" s="59" t="s">
        <v>3773</v>
      </c>
      <c r="L209" s="31"/>
      <c r="M209" s="25" t="s">
        <v>2319</v>
      </c>
      <c r="N209" s="25"/>
      <c r="O209" s="31"/>
      <c r="P209" s="25" t="s">
        <v>1127</v>
      </c>
      <c r="Q209" s="31" t="s">
        <v>1127</v>
      </c>
    </row>
    <row r="210" spans="1:17" ht="18" customHeight="1" x14ac:dyDescent="0.2">
      <c r="A210" s="66" t="s">
        <v>777</v>
      </c>
      <c r="B210" s="66" t="s">
        <v>3782</v>
      </c>
      <c r="C210" s="66" t="s">
        <v>4182</v>
      </c>
      <c r="D210" s="66" t="s">
        <v>1629</v>
      </c>
      <c r="E210" s="66" t="s">
        <v>4194</v>
      </c>
      <c r="F210" s="25">
        <v>10</v>
      </c>
      <c r="G210" s="25" t="s">
        <v>98</v>
      </c>
      <c r="H210" s="25">
        <v>2017</v>
      </c>
      <c r="I210" s="25" t="s">
        <v>3771</v>
      </c>
      <c r="J210" s="25" t="s">
        <v>3772</v>
      </c>
      <c r="K210" s="59" t="s">
        <v>3773</v>
      </c>
      <c r="L210" s="31"/>
      <c r="M210" s="25" t="s">
        <v>2319</v>
      </c>
      <c r="N210" s="25"/>
      <c r="O210" s="31"/>
      <c r="P210" s="25" t="s">
        <v>1127</v>
      </c>
      <c r="Q210" s="31" t="s">
        <v>1127</v>
      </c>
    </row>
    <row r="211" spans="1:17" ht="18" customHeight="1" x14ac:dyDescent="0.2">
      <c r="A211" s="66" t="s">
        <v>777</v>
      </c>
      <c r="B211" s="66" t="s">
        <v>3783</v>
      </c>
      <c r="C211" s="66" t="s">
        <v>4182</v>
      </c>
      <c r="D211" s="66" t="s">
        <v>1629</v>
      </c>
      <c r="E211" s="66" t="s">
        <v>4194</v>
      </c>
      <c r="F211" s="25">
        <v>11</v>
      </c>
      <c r="G211" s="25" t="s">
        <v>104</v>
      </c>
      <c r="H211" s="25">
        <v>2018</v>
      </c>
      <c r="I211" s="25" t="s">
        <v>3771</v>
      </c>
      <c r="J211" s="25" t="s">
        <v>3772</v>
      </c>
      <c r="K211" s="59" t="s">
        <v>3773</v>
      </c>
      <c r="L211" s="31"/>
      <c r="M211" s="25" t="s">
        <v>2319</v>
      </c>
      <c r="N211" s="25"/>
      <c r="O211" s="31"/>
      <c r="P211" s="25" t="s">
        <v>1127</v>
      </c>
      <c r="Q211" s="31" t="s">
        <v>1127</v>
      </c>
    </row>
    <row r="212" spans="1:17" ht="18" customHeight="1" x14ac:dyDescent="0.2">
      <c r="A212" s="66" t="s">
        <v>777</v>
      </c>
      <c r="B212" s="66" t="s">
        <v>3770</v>
      </c>
      <c r="C212" s="66" t="s">
        <v>4182</v>
      </c>
      <c r="D212" s="66" t="s">
        <v>1629</v>
      </c>
      <c r="E212" s="66" t="s">
        <v>4194</v>
      </c>
      <c r="F212" s="25">
        <v>1</v>
      </c>
      <c r="G212" s="25" t="s">
        <v>40</v>
      </c>
      <c r="H212" s="25">
        <v>2008</v>
      </c>
      <c r="I212" s="25" t="s">
        <v>3771</v>
      </c>
      <c r="J212" s="25" t="s">
        <v>3772</v>
      </c>
      <c r="K212" s="59" t="s">
        <v>3773</v>
      </c>
      <c r="L212" s="31"/>
      <c r="M212" s="25" t="s">
        <v>2319</v>
      </c>
      <c r="N212" s="25"/>
      <c r="O212" s="31"/>
      <c r="P212" s="25" t="s">
        <v>1127</v>
      </c>
      <c r="Q212" s="31" t="s">
        <v>1127</v>
      </c>
    </row>
    <row r="213" spans="1:17" ht="18" customHeight="1" x14ac:dyDescent="0.2">
      <c r="A213" s="66" t="s">
        <v>777</v>
      </c>
      <c r="B213" s="66" t="s">
        <v>3774</v>
      </c>
      <c r="C213" s="66" t="s">
        <v>4182</v>
      </c>
      <c r="D213" s="66" t="s">
        <v>1629</v>
      </c>
      <c r="E213" s="66" t="s">
        <v>4194</v>
      </c>
      <c r="F213" s="25">
        <v>2</v>
      </c>
      <c r="G213" s="25" t="s">
        <v>37</v>
      </c>
      <c r="H213" s="25">
        <v>2009</v>
      </c>
      <c r="I213" s="25" t="s">
        <v>3771</v>
      </c>
      <c r="J213" s="25" t="s">
        <v>3772</v>
      </c>
      <c r="K213" s="59" t="s">
        <v>3773</v>
      </c>
      <c r="L213" s="31"/>
      <c r="M213" s="25" t="s">
        <v>2319</v>
      </c>
      <c r="N213" s="25"/>
      <c r="O213" s="31"/>
      <c r="P213" s="25" t="s">
        <v>1127</v>
      </c>
      <c r="Q213" s="31" t="s">
        <v>1127</v>
      </c>
    </row>
    <row r="214" spans="1:17" ht="18" customHeight="1" x14ac:dyDescent="0.2">
      <c r="A214" s="66" t="s">
        <v>777</v>
      </c>
      <c r="B214" s="66" t="s">
        <v>3775</v>
      </c>
      <c r="C214" s="66" t="s">
        <v>4182</v>
      </c>
      <c r="D214" s="66" t="s">
        <v>1629</v>
      </c>
      <c r="E214" s="66" t="s">
        <v>4194</v>
      </c>
      <c r="F214" s="25">
        <v>3</v>
      </c>
      <c r="G214" s="25" t="s">
        <v>80</v>
      </c>
      <c r="H214" s="25">
        <v>2010</v>
      </c>
      <c r="I214" s="25" t="s">
        <v>3771</v>
      </c>
      <c r="J214" s="25" t="s">
        <v>3772</v>
      </c>
      <c r="K214" s="59" t="s">
        <v>3773</v>
      </c>
      <c r="L214" s="31"/>
      <c r="M214" s="25" t="s">
        <v>2319</v>
      </c>
      <c r="N214" s="25"/>
      <c r="O214" s="31"/>
      <c r="P214" s="25" t="s">
        <v>1127</v>
      </c>
      <c r="Q214" s="31" t="s">
        <v>1127</v>
      </c>
    </row>
    <row r="215" spans="1:17" ht="18" customHeight="1" x14ac:dyDescent="0.2">
      <c r="A215" s="66" t="s">
        <v>777</v>
      </c>
      <c r="B215" s="66" t="s">
        <v>3776</v>
      </c>
      <c r="C215" s="66" t="s">
        <v>4182</v>
      </c>
      <c r="D215" s="66" t="s">
        <v>1629</v>
      </c>
      <c r="E215" s="66" t="s">
        <v>4194</v>
      </c>
      <c r="F215" s="25">
        <v>4</v>
      </c>
      <c r="G215" s="25" t="s">
        <v>31</v>
      </c>
      <c r="H215" s="25">
        <v>2011</v>
      </c>
      <c r="I215" s="25" t="s">
        <v>3771</v>
      </c>
      <c r="J215" s="25" t="s">
        <v>3772</v>
      </c>
      <c r="K215" s="59" t="s">
        <v>3773</v>
      </c>
      <c r="L215" s="31"/>
      <c r="M215" s="25" t="s">
        <v>2319</v>
      </c>
      <c r="N215" s="25"/>
      <c r="O215" s="31"/>
      <c r="P215" s="25" t="s">
        <v>1127</v>
      </c>
      <c r="Q215" s="31" t="s">
        <v>1127</v>
      </c>
    </row>
    <row r="216" spans="1:17" ht="18" customHeight="1" x14ac:dyDescent="0.2">
      <c r="A216" s="66" t="s">
        <v>777</v>
      </c>
      <c r="B216" s="66" t="s">
        <v>3777</v>
      </c>
      <c r="C216" s="66" t="s">
        <v>4182</v>
      </c>
      <c r="D216" s="66" t="s">
        <v>1629</v>
      </c>
      <c r="E216" s="66" t="s">
        <v>4194</v>
      </c>
      <c r="F216" s="25">
        <v>5</v>
      </c>
      <c r="G216" s="25" t="s">
        <v>13</v>
      </c>
      <c r="H216" s="25">
        <v>2012</v>
      </c>
      <c r="I216" s="25" t="s">
        <v>3771</v>
      </c>
      <c r="J216" s="25" t="s">
        <v>3772</v>
      </c>
      <c r="K216" s="59" t="s">
        <v>3773</v>
      </c>
      <c r="L216" s="31"/>
      <c r="M216" s="25" t="s">
        <v>2319</v>
      </c>
      <c r="N216" s="25"/>
      <c r="O216" s="31"/>
      <c r="P216" s="25" t="s">
        <v>1127</v>
      </c>
      <c r="Q216" s="31" t="s">
        <v>1127</v>
      </c>
    </row>
    <row r="217" spans="1:17" ht="18" customHeight="1" x14ac:dyDescent="0.2">
      <c r="A217" s="66" t="s">
        <v>777</v>
      </c>
      <c r="B217" s="66" t="s">
        <v>3778</v>
      </c>
      <c r="C217" s="66" t="s">
        <v>4182</v>
      </c>
      <c r="D217" s="66" t="s">
        <v>1629</v>
      </c>
      <c r="E217" s="66" t="s">
        <v>4194</v>
      </c>
      <c r="F217" s="25">
        <v>6</v>
      </c>
      <c r="G217" s="25" t="s">
        <v>49</v>
      </c>
      <c r="H217" s="25">
        <v>2013</v>
      </c>
      <c r="I217" s="25" t="s">
        <v>3771</v>
      </c>
      <c r="J217" s="25" t="s">
        <v>3772</v>
      </c>
      <c r="K217" s="59" t="s">
        <v>3773</v>
      </c>
      <c r="L217" s="31"/>
      <c r="M217" s="25" t="s">
        <v>2319</v>
      </c>
      <c r="N217" s="25"/>
      <c r="O217" s="31"/>
      <c r="P217" s="25" t="s">
        <v>1127</v>
      </c>
      <c r="Q217" s="31" t="s">
        <v>1127</v>
      </c>
    </row>
    <row r="218" spans="1:17" ht="18" customHeight="1" x14ac:dyDescent="0.2">
      <c r="A218" s="66" t="s">
        <v>777</v>
      </c>
      <c r="B218" s="66" t="s">
        <v>3779</v>
      </c>
      <c r="C218" s="66" t="s">
        <v>4182</v>
      </c>
      <c r="D218" s="66" t="s">
        <v>1629</v>
      </c>
      <c r="E218" s="66" t="s">
        <v>4194</v>
      </c>
      <c r="F218" s="25">
        <v>7</v>
      </c>
      <c r="G218" s="25" t="s">
        <v>101</v>
      </c>
      <c r="H218" s="25">
        <v>2014</v>
      </c>
      <c r="I218" s="25" t="s">
        <v>3771</v>
      </c>
      <c r="J218" s="25" t="s">
        <v>3772</v>
      </c>
      <c r="K218" s="59" t="s">
        <v>3773</v>
      </c>
      <c r="L218" s="31"/>
      <c r="M218" s="25" t="s">
        <v>2319</v>
      </c>
      <c r="N218" s="25"/>
      <c r="O218" s="31"/>
      <c r="P218" s="25" t="s">
        <v>1127</v>
      </c>
      <c r="Q218" s="31" t="s">
        <v>1127</v>
      </c>
    </row>
    <row r="219" spans="1:17" ht="18" customHeight="1" x14ac:dyDescent="0.2">
      <c r="A219" s="66" t="s">
        <v>777</v>
      </c>
      <c r="B219" s="66" t="s">
        <v>3780</v>
      </c>
      <c r="C219" s="66" t="s">
        <v>4182</v>
      </c>
      <c r="D219" s="66" t="s">
        <v>1629</v>
      </c>
      <c r="E219" s="66" t="s">
        <v>4194</v>
      </c>
      <c r="F219" s="25">
        <v>8</v>
      </c>
      <c r="G219" s="25" t="s">
        <v>10</v>
      </c>
      <c r="H219" s="25">
        <v>2015</v>
      </c>
      <c r="I219" s="25" t="s">
        <v>3771</v>
      </c>
      <c r="J219" s="25" t="s">
        <v>3772</v>
      </c>
      <c r="K219" s="59" t="s">
        <v>3773</v>
      </c>
      <c r="L219" s="31"/>
      <c r="M219" s="25" t="s">
        <v>2319</v>
      </c>
      <c r="N219" s="25"/>
      <c r="O219" s="31"/>
      <c r="P219" s="25" t="s">
        <v>1127</v>
      </c>
      <c r="Q219" s="31" t="s">
        <v>1127</v>
      </c>
    </row>
    <row r="220" spans="1:17" ht="18" customHeight="1" x14ac:dyDescent="0.2">
      <c r="A220" s="66" t="s">
        <v>777</v>
      </c>
      <c r="B220" s="66" t="s">
        <v>3781</v>
      </c>
      <c r="C220" s="66" t="s">
        <v>4182</v>
      </c>
      <c r="D220" s="66" t="s">
        <v>1629</v>
      </c>
      <c r="E220" s="66" t="s">
        <v>4194</v>
      </c>
      <c r="F220" s="25">
        <v>9</v>
      </c>
      <c r="G220" s="25" t="s">
        <v>55</v>
      </c>
      <c r="H220" s="25">
        <v>2016</v>
      </c>
      <c r="I220" s="25" t="s">
        <v>3771</v>
      </c>
      <c r="J220" s="25" t="s">
        <v>3772</v>
      </c>
      <c r="K220" s="59" t="s">
        <v>3773</v>
      </c>
      <c r="L220" s="31"/>
      <c r="M220" s="25" t="s">
        <v>2319</v>
      </c>
      <c r="N220" s="25"/>
      <c r="O220" s="31"/>
      <c r="P220" s="25" t="s">
        <v>1127</v>
      </c>
      <c r="Q220" s="31" t="s">
        <v>1127</v>
      </c>
    </row>
    <row r="221" spans="1:17" ht="18" customHeight="1" x14ac:dyDescent="0.2">
      <c r="A221" s="66" t="s">
        <v>777</v>
      </c>
      <c r="B221" s="66" t="s">
        <v>3782</v>
      </c>
      <c r="C221" s="66" t="s">
        <v>4182</v>
      </c>
      <c r="D221" s="66" t="s">
        <v>1629</v>
      </c>
      <c r="E221" s="66" t="s">
        <v>4194</v>
      </c>
      <c r="F221" s="25">
        <v>10</v>
      </c>
      <c r="G221" s="25" t="s">
        <v>98</v>
      </c>
      <c r="H221" s="25">
        <v>2017</v>
      </c>
      <c r="I221" s="25" t="s">
        <v>3771</v>
      </c>
      <c r="J221" s="25" t="s">
        <v>3772</v>
      </c>
      <c r="K221" s="59" t="s">
        <v>3773</v>
      </c>
      <c r="L221" s="31"/>
      <c r="M221" s="25" t="s">
        <v>2319</v>
      </c>
      <c r="N221" s="25"/>
      <c r="O221" s="31"/>
      <c r="P221" s="25" t="s">
        <v>1127</v>
      </c>
      <c r="Q221" s="31" t="s">
        <v>1127</v>
      </c>
    </row>
    <row r="222" spans="1:17" ht="18" customHeight="1" x14ac:dyDescent="0.2">
      <c r="A222" s="66" t="s">
        <v>777</v>
      </c>
      <c r="B222" s="66" t="s">
        <v>3783</v>
      </c>
      <c r="C222" s="66" t="s">
        <v>4182</v>
      </c>
      <c r="D222" s="66" t="s">
        <v>1629</v>
      </c>
      <c r="E222" s="66" t="s">
        <v>4194</v>
      </c>
      <c r="F222" s="25">
        <v>11</v>
      </c>
      <c r="G222" s="25" t="s">
        <v>104</v>
      </c>
      <c r="H222" s="25">
        <v>2018</v>
      </c>
      <c r="I222" s="25" t="s">
        <v>3771</v>
      </c>
      <c r="J222" s="25" t="s">
        <v>3772</v>
      </c>
      <c r="K222" s="59" t="s">
        <v>3773</v>
      </c>
      <c r="L222" s="31"/>
      <c r="M222" s="25" t="s">
        <v>2319</v>
      </c>
      <c r="N222" s="25"/>
      <c r="O222" s="31"/>
      <c r="P222" s="25" t="s">
        <v>1127</v>
      </c>
      <c r="Q222" s="31" t="s">
        <v>1127</v>
      </c>
    </row>
    <row r="223" spans="1:17" ht="18" customHeight="1" x14ac:dyDescent="0.2">
      <c r="A223" s="66" t="s">
        <v>777</v>
      </c>
      <c r="B223" s="66" t="s">
        <v>3770</v>
      </c>
      <c r="C223" s="66" t="s">
        <v>4182</v>
      </c>
      <c r="D223" s="66" t="s">
        <v>1629</v>
      </c>
      <c r="E223" s="66" t="s">
        <v>4194</v>
      </c>
      <c r="F223" s="25">
        <v>1</v>
      </c>
      <c r="G223" s="25" t="s">
        <v>40</v>
      </c>
      <c r="H223" s="25">
        <v>2008</v>
      </c>
      <c r="I223" s="25" t="s">
        <v>3771</v>
      </c>
      <c r="J223" s="25" t="s">
        <v>3772</v>
      </c>
      <c r="K223" s="59" t="s">
        <v>3773</v>
      </c>
      <c r="L223" s="31"/>
      <c r="M223" s="25" t="s">
        <v>2319</v>
      </c>
      <c r="N223" s="25"/>
      <c r="O223" s="31"/>
      <c r="P223" s="25" t="s">
        <v>1127</v>
      </c>
      <c r="Q223" s="31" t="s">
        <v>1127</v>
      </c>
    </row>
    <row r="224" spans="1:17" ht="18" customHeight="1" x14ac:dyDescent="0.2">
      <c r="A224" s="66" t="s">
        <v>777</v>
      </c>
      <c r="B224" s="66" t="s">
        <v>3774</v>
      </c>
      <c r="C224" s="66" t="s">
        <v>4182</v>
      </c>
      <c r="D224" s="66" t="s">
        <v>1629</v>
      </c>
      <c r="E224" s="66" t="s">
        <v>4194</v>
      </c>
      <c r="F224" s="25">
        <v>2</v>
      </c>
      <c r="G224" s="25" t="s">
        <v>37</v>
      </c>
      <c r="H224" s="25">
        <v>2009</v>
      </c>
      <c r="I224" s="25" t="s">
        <v>3771</v>
      </c>
      <c r="J224" s="25" t="s">
        <v>3772</v>
      </c>
      <c r="K224" s="59" t="s">
        <v>3773</v>
      </c>
      <c r="L224" s="31"/>
      <c r="M224" s="25" t="s">
        <v>2319</v>
      </c>
      <c r="N224" s="25"/>
      <c r="O224" s="31"/>
      <c r="P224" s="25" t="s">
        <v>1127</v>
      </c>
      <c r="Q224" s="31" t="s">
        <v>1127</v>
      </c>
    </row>
    <row r="225" spans="1:17" ht="18" customHeight="1" x14ac:dyDescent="0.2">
      <c r="A225" s="66" t="s">
        <v>777</v>
      </c>
      <c r="B225" s="66" t="s">
        <v>3775</v>
      </c>
      <c r="C225" s="66" t="s">
        <v>4182</v>
      </c>
      <c r="D225" s="66" t="s">
        <v>1629</v>
      </c>
      <c r="E225" s="66" t="s">
        <v>4194</v>
      </c>
      <c r="F225" s="25">
        <v>3</v>
      </c>
      <c r="G225" s="25" t="s">
        <v>80</v>
      </c>
      <c r="H225" s="25">
        <v>2010</v>
      </c>
      <c r="I225" s="25" t="s">
        <v>3771</v>
      </c>
      <c r="J225" s="25" t="s">
        <v>3772</v>
      </c>
      <c r="K225" s="59" t="s">
        <v>3773</v>
      </c>
      <c r="L225" s="31"/>
      <c r="M225" s="25" t="s">
        <v>2319</v>
      </c>
      <c r="N225" s="25"/>
      <c r="O225" s="31"/>
      <c r="P225" s="25" t="s">
        <v>1127</v>
      </c>
      <c r="Q225" s="31" t="s">
        <v>1127</v>
      </c>
    </row>
    <row r="226" spans="1:17" ht="18" customHeight="1" x14ac:dyDescent="0.2">
      <c r="A226" s="66" t="s">
        <v>777</v>
      </c>
      <c r="B226" s="66" t="s">
        <v>3776</v>
      </c>
      <c r="C226" s="66" t="s">
        <v>4182</v>
      </c>
      <c r="D226" s="66" t="s">
        <v>1629</v>
      </c>
      <c r="E226" s="66" t="s">
        <v>4194</v>
      </c>
      <c r="F226" s="25">
        <v>4</v>
      </c>
      <c r="G226" s="25" t="s">
        <v>31</v>
      </c>
      <c r="H226" s="25">
        <v>2011</v>
      </c>
      <c r="I226" s="25" t="s">
        <v>3771</v>
      </c>
      <c r="J226" s="25" t="s">
        <v>3772</v>
      </c>
      <c r="K226" s="59" t="s">
        <v>3773</v>
      </c>
      <c r="L226" s="31"/>
      <c r="M226" s="25" t="s">
        <v>2319</v>
      </c>
      <c r="N226" s="25"/>
      <c r="O226" s="31"/>
      <c r="P226" s="25" t="s">
        <v>1127</v>
      </c>
      <c r="Q226" s="31" t="s">
        <v>1127</v>
      </c>
    </row>
    <row r="227" spans="1:17" ht="18" customHeight="1" x14ac:dyDescent="0.2">
      <c r="A227" s="66" t="s">
        <v>777</v>
      </c>
      <c r="B227" s="66" t="s">
        <v>3777</v>
      </c>
      <c r="C227" s="66" t="s">
        <v>4182</v>
      </c>
      <c r="D227" s="66" t="s">
        <v>1629</v>
      </c>
      <c r="E227" s="66" t="s">
        <v>4194</v>
      </c>
      <c r="F227" s="25">
        <v>5</v>
      </c>
      <c r="G227" s="25" t="s">
        <v>13</v>
      </c>
      <c r="H227" s="25">
        <v>2012</v>
      </c>
      <c r="I227" s="25" t="s">
        <v>3771</v>
      </c>
      <c r="J227" s="25" t="s">
        <v>3772</v>
      </c>
      <c r="K227" s="59" t="s">
        <v>3773</v>
      </c>
      <c r="L227" s="31"/>
      <c r="M227" s="25" t="s">
        <v>2319</v>
      </c>
      <c r="N227" s="25"/>
      <c r="O227" s="31"/>
      <c r="P227" s="25" t="s">
        <v>1127</v>
      </c>
      <c r="Q227" s="31" t="s">
        <v>1127</v>
      </c>
    </row>
    <row r="228" spans="1:17" ht="18" customHeight="1" x14ac:dyDescent="0.2">
      <c r="A228" s="66" t="s">
        <v>777</v>
      </c>
      <c r="B228" s="66" t="s">
        <v>3778</v>
      </c>
      <c r="C228" s="66" t="s">
        <v>4182</v>
      </c>
      <c r="D228" s="66" t="s">
        <v>1629</v>
      </c>
      <c r="E228" s="66" t="s">
        <v>4194</v>
      </c>
      <c r="F228" s="25">
        <v>6</v>
      </c>
      <c r="G228" s="25" t="s">
        <v>49</v>
      </c>
      <c r="H228" s="25">
        <v>2013</v>
      </c>
      <c r="I228" s="25" t="s">
        <v>3771</v>
      </c>
      <c r="J228" s="25" t="s">
        <v>3772</v>
      </c>
      <c r="K228" s="59" t="s">
        <v>3773</v>
      </c>
      <c r="L228" s="31"/>
      <c r="M228" s="25" t="s">
        <v>2319</v>
      </c>
      <c r="N228" s="25"/>
      <c r="O228" s="31"/>
      <c r="P228" s="25" t="s">
        <v>1127</v>
      </c>
      <c r="Q228" s="31" t="s">
        <v>1127</v>
      </c>
    </row>
    <row r="229" spans="1:17" ht="18" customHeight="1" x14ac:dyDescent="0.2">
      <c r="A229" s="66" t="s">
        <v>777</v>
      </c>
      <c r="B229" s="66" t="s">
        <v>3779</v>
      </c>
      <c r="C229" s="66" t="s">
        <v>4182</v>
      </c>
      <c r="D229" s="66" t="s">
        <v>1629</v>
      </c>
      <c r="E229" s="66" t="s">
        <v>4194</v>
      </c>
      <c r="F229" s="25">
        <v>7</v>
      </c>
      <c r="G229" s="25" t="s">
        <v>101</v>
      </c>
      <c r="H229" s="25">
        <v>2014</v>
      </c>
      <c r="I229" s="25" t="s">
        <v>3771</v>
      </c>
      <c r="J229" s="25" t="s">
        <v>3772</v>
      </c>
      <c r="K229" s="59" t="s">
        <v>3773</v>
      </c>
      <c r="L229" s="31"/>
      <c r="M229" s="25" t="s">
        <v>2319</v>
      </c>
      <c r="N229" s="25"/>
      <c r="O229" s="31"/>
      <c r="P229" s="25" t="s">
        <v>1127</v>
      </c>
      <c r="Q229" s="31" t="s">
        <v>1127</v>
      </c>
    </row>
    <row r="230" spans="1:17" ht="18" customHeight="1" x14ac:dyDescent="0.2">
      <c r="A230" s="66" t="s">
        <v>777</v>
      </c>
      <c r="B230" s="66" t="s">
        <v>3780</v>
      </c>
      <c r="C230" s="66" t="s">
        <v>4182</v>
      </c>
      <c r="D230" s="66" t="s">
        <v>1629</v>
      </c>
      <c r="E230" s="66" t="s">
        <v>4194</v>
      </c>
      <c r="F230" s="25">
        <v>8</v>
      </c>
      <c r="G230" s="25" t="s">
        <v>10</v>
      </c>
      <c r="H230" s="25">
        <v>2015</v>
      </c>
      <c r="I230" s="25" t="s">
        <v>3771</v>
      </c>
      <c r="J230" s="25" t="s">
        <v>3772</v>
      </c>
      <c r="K230" s="59" t="s">
        <v>3773</v>
      </c>
      <c r="L230" s="31"/>
      <c r="M230" s="25" t="s">
        <v>2319</v>
      </c>
      <c r="N230" s="25"/>
      <c r="O230" s="31"/>
      <c r="P230" s="25" t="s">
        <v>1127</v>
      </c>
      <c r="Q230" s="31" t="s">
        <v>1127</v>
      </c>
    </row>
    <row r="231" spans="1:17" ht="18" customHeight="1" x14ac:dyDescent="0.2">
      <c r="A231" s="66" t="s">
        <v>777</v>
      </c>
      <c r="B231" s="66" t="s">
        <v>3781</v>
      </c>
      <c r="C231" s="66" t="s">
        <v>4182</v>
      </c>
      <c r="D231" s="66" t="s">
        <v>1629</v>
      </c>
      <c r="E231" s="66" t="s">
        <v>4194</v>
      </c>
      <c r="F231" s="25">
        <v>9</v>
      </c>
      <c r="G231" s="25" t="s">
        <v>55</v>
      </c>
      <c r="H231" s="25">
        <v>2016</v>
      </c>
      <c r="I231" s="25" t="s">
        <v>3771</v>
      </c>
      <c r="J231" s="25" t="s">
        <v>3772</v>
      </c>
      <c r="K231" s="59" t="s">
        <v>3773</v>
      </c>
      <c r="L231" s="31"/>
      <c r="M231" s="25" t="s">
        <v>2319</v>
      </c>
      <c r="N231" s="25"/>
      <c r="O231" s="31"/>
      <c r="P231" s="25" t="s">
        <v>1127</v>
      </c>
      <c r="Q231" s="31" t="s">
        <v>1127</v>
      </c>
    </row>
    <row r="232" spans="1:17" ht="18" customHeight="1" x14ac:dyDescent="0.2">
      <c r="A232" s="66" t="s">
        <v>777</v>
      </c>
      <c r="B232" s="66" t="s">
        <v>3782</v>
      </c>
      <c r="C232" s="66" t="s">
        <v>4182</v>
      </c>
      <c r="D232" s="66" t="s">
        <v>1629</v>
      </c>
      <c r="E232" s="66" t="s">
        <v>4194</v>
      </c>
      <c r="F232" s="25">
        <v>10</v>
      </c>
      <c r="G232" s="25" t="s">
        <v>98</v>
      </c>
      <c r="H232" s="25">
        <v>2017</v>
      </c>
      <c r="I232" s="25" t="s">
        <v>3771</v>
      </c>
      <c r="J232" s="25" t="s">
        <v>3772</v>
      </c>
      <c r="K232" s="59" t="s">
        <v>3773</v>
      </c>
      <c r="L232" s="31"/>
      <c r="M232" s="25" t="s">
        <v>2319</v>
      </c>
      <c r="N232" s="25"/>
      <c r="O232" s="31"/>
      <c r="P232" s="25" t="s">
        <v>1127</v>
      </c>
      <c r="Q232" s="31" t="s">
        <v>1127</v>
      </c>
    </row>
    <row r="233" spans="1:17" ht="18" customHeight="1" x14ac:dyDescent="0.2">
      <c r="A233" s="66" t="s">
        <v>777</v>
      </c>
      <c r="B233" s="66" t="s">
        <v>3783</v>
      </c>
      <c r="C233" s="66" t="s">
        <v>4182</v>
      </c>
      <c r="D233" s="66" t="s">
        <v>1629</v>
      </c>
      <c r="E233" s="66" t="s">
        <v>4194</v>
      </c>
      <c r="F233" s="25">
        <v>11</v>
      </c>
      <c r="G233" s="25" t="s">
        <v>104</v>
      </c>
      <c r="H233" s="25">
        <v>2018</v>
      </c>
      <c r="I233" s="25" t="s">
        <v>3771</v>
      </c>
      <c r="J233" s="25" t="s">
        <v>3772</v>
      </c>
      <c r="K233" s="59" t="s">
        <v>3773</v>
      </c>
      <c r="L233" s="31"/>
      <c r="M233" s="25" t="s">
        <v>2319</v>
      </c>
      <c r="N233" s="25"/>
      <c r="O233" s="31"/>
      <c r="P233" s="25" t="s">
        <v>1127</v>
      </c>
      <c r="Q233" s="31" t="s">
        <v>1127</v>
      </c>
    </row>
    <row r="234" spans="1:17" ht="18" customHeight="1" x14ac:dyDescent="0.2">
      <c r="A234" s="66" t="s">
        <v>777</v>
      </c>
      <c r="B234" s="66" t="s">
        <v>3770</v>
      </c>
      <c r="C234" s="66" t="s">
        <v>4182</v>
      </c>
      <c r="D234" s="66" t="s">
        <v>1629</v>
      </c>
      <c r="E234" s="66" t="s">
        <v>4194</v>
      </c>
      <c r="F234" s="25">
        <v>1</v>
      </c>
      <c r="G234" s="25" t="s">
        <v>40</v>
      </c>
      <c r="H234" s="25">
        <v>2008</v>
      </c>
      <c r="I234" s="25" t="s">
        <v>3771</v>
      </c>
      <c r="J234" s="25" t="s">
        <v>3772</v>
      </c>
      <c r="K234" s="59" t="s">
        <v>3773</v>
      </c>
      <c r="L234" s="31"/>
      <c r="M234" s="25" t="s">
        <v>2319</v>
      </c>
      <c r="N234" s="25"/>
      <c r="O234" s="31"/>
      <c r="P234" s="25" t="s">
        <v>1127</v>
      </c>
      <c r="Q234" s="31" t="s">
        <v>1127</v>
      </c>
    </row>
    <row r="235" spans="1:17" ht="18" customHeight="1" x14ac:dyDescent="0.2">
      <c r="A235" s="66" t="s">
        <v>777</v>
      </c>
      <c r="B235" s="66" t="s">
        <v>3774</v>
      </c>
      <c r="C235" s="66" t="s">
        <v>4182</v>
      </c>
      <c r="D235" s="66" t="s">
        <v>1629</v>
      </c>
      <c r="E235" s="66" t="s">
        <v>4194</v>
      </c>
      <c r="F235" s="25">
        <v>2</v>
      </c>
      <c r="G235" s="25" t="s">
        <v>37</v>
      </c>
      <c r="H235" s="25">
        <v>2009</v>
      </c>
      <c r="I235" s="25" t="s">
        <v>3771</v>
      </c>
      <c r="J235" s="25" t="s">
        <v>3772</v>
      </c>
      <c r="K235" s="59" t="s">
        <v>3773</v>
      </c>
      <c r="L235" s="31"/>
      <c r="M235" s="25" t="s">
        <v>2319</v>
      </c>
      <c r="N235" s="25"/>
      <c r="O235" s="31"/>
      <c r="P235" s="25" t="s">
        <v>1127</v>
      </c>
      <c r="Q235" s="31" t="s">
        <v>1127</v>
      </c>
    </row>
    <row r="236" spans="1:17" ht="18" customHeight="1" x14ac:dyDescent="0.2">
      <c r="A236" s="66" t="s">
        <v>777</v>
      </c>
      <c r="B236" s="66" t="s">
        <v>3775</v>
      </c>
      <c r="C236" s="66" t="s">
        <v>4182</v>
      </c>
      <c r="D236" s="66" t="s">
        <v>1629</v>
      </c>
      <c r="E236" s="66" t="s">
        <v>4194</v>
      </c>
      <c r="F236" s="25">
        <v>3</v>
      </c>
      <c r="G236" s="25" t="s">
        <v>80</v>
      </c>
      <c r="H236" s="25">
        <v>2010</v>
      </c>
      <c r="I236" s="25" t="s">
        <v>3771</v>
      </c>
      <c r="J236" s="25" t="s">
        <v>3772</v>
      </c>
      <c r="K236" s="59" t="s">
        <v>3773</v>
      </c>
      <c r="L236" s="31"/>
      <c r="M236" s="25" t="s">
        <v>2319</v>
      </c>
      <c r="N236" s="25"/>
      <c r="O236" s="31"/>
      <c r="P236" s="25" t="s">
        <v>1127</v>
      </c>
      <c r="Q236" s="31" t="s">
        <v>1127</v>
      </c>
    </row>
    <row r="237" spans="1:17" ht="18" customHeight="1" x14ac:dyDescent="0.2">
      <c r="A237" s="66" t="s">
        <v>777</v>
      </c>
      <c r="B237" s="66" t="s">
        <v>3776</v>
      </c>
      <c r="C237" s="66" t="s">
        <v>4182</v>
      </c>
      <c r="D237" s="66" t="s">
        <v>1629</v>
      </c>
      <c r="E237" s="66" t="s">
        <v>4194</v>
      </c>
      <c r="F237" s="25">
        <v>4</v>
      </c>
      <c r="G237" s="25" t="s">
        <v>31</v>
      </c>
      <c r="H237" s="25">
        <v>2011</v>
      </c>
      <c r="I237" s="25" t="s">
        <v>3771</v>
      </c>
      <c r="J237" s="25" t="s">
        <v>3772</v>
      </c>
      <c r="K237" s="59" t="s">
        <v>3773</v>
      </c>
      <c r="L237" s="31"/>
      <c r="M237" s="25" t="s">
        <v>2319</v>
      </c>
      <c r="N237" s="25"/>
      <c r="O237" s="31"/>
      <c r="P237" s="25" t="s">
        <v>1127</v>
      </c>
      <c r="Q237" s="31" t="s">
        <v>1127</v>
      </c>
    </row>
    <row r="238" spans="1:17" ht="18" customHeight="1" x14ac:dyDescent="0.2">
      <c r="A238" s="66" t="s">
        <v>777</v>
      </c>
      <c r="B238" s="66" t="s">
        <v>3777</v>
      </c>
      <c r="C238" s="66" t="s">
        <v>4182</v>
      </c>
      <c r="D238" s="66" t="s">
        <v>1629</v>
      </c>
      <c r="E238" s="66" t="s">
        <v>4194</v>
      </c>
      <c r="F238" s="25">
        <v>5</v>
      </c>
      <c r="G238" s="25" t="s">
        <v>13</v>
      </c>
      <c r="H238" s="25">
        <v>2012</v>
      </c>
      <c r="I238" s="25" t="s">
        <v>3771</v>
      </c>
      <c r="J238" s="25" t="s">
        <v>3772</v>
      </c>
      <c r="K238" s="59" t="s">
        <v>3773</v>
      </c>
      <c r="L238" s="31"/>
      <c r="M238" s="25" t="s">
        <v>2319</v>
      </c>
      <c r="N238" s="25"/>
      <c r="O238" s="31"/>
      <c r="P238" s="25" t="s">
        <v>1127</v>
      </c>
      <c r="Q238" s="31" t="s">
        <v>1127</v>
      </c>
    </row>
    <row r="239" spans="1:17" ht="18" customHeight="1" x14ac:dyDescent="0.2">
      <c r="A239" s="66" t="s">
        <v>777</v>
      </c>
      <c r="B239" s="66" t="s">
        <v>3778</v>
      </c>
      <c r="C239" s="66" t="s">
        <v>4182</v>
      </c>
      <c r="D239" s="66" t="s">
        <v>1629</v>
      </c>
      <c r="E239" s="66" t="s">
        <v>4194</v>
      </c>
      <c r="F239" s="25">
        <v>6</v>
      </c>
      <c r="G239" s="25" t="s">
        <v>49</v>
      </c>
      <c r="H239" s="25">
        <v>2013</v>
      </c>
      <c r="I239" s="25" t="s">
        <v>3771</v>
      </c>
      <c r="J239" s="25" t="s">
        <v>3772</v>
      </c>
      <c r="K239" s="59" t="s">
        <v>3773</v>
      </c>
      <c r="L239" s="31"/>
      <c r="M239" s="25" t="s">
        <v>2319</v>
      </c>
      <c r="N239" s="25"/>
      <c r="O239" s="31"/>
      <c r="P239" s="25" t="s">
        <v>1127</v>
      </c>
      <c r="Q239" s="31" t="s">
        <v>1127</v>
      </c>
    </row>
    <row r="240" spans="1:17" ht="18" customHeight="1" x14ac:dyDescent="0.2">
      <c r="A240" s="66" t="s">
        <v>777</v>
      </c>
      <c r="B240" s="66" t="s">
        <v>3779</v>
      </c>
      <c r="C240" s="66" t="s">
        <v>4182</v>
      </c>
      <c r="D240" s="66" t="s">
        <v>1629</v>
      </c>
      <c r="E240" s="66" t="s">
        <v>4194</v>
      </c>
      <c r="F240" s="25">
        <v>7</v>
      </c>
      <c r="G240" s="25" t="s">
        <v>101</v>
      </c>
      <c r="H240" s="25">
        <v>2014</v>
      </c>
      <c r="I240" s="25" t="s">
        <v>3771</v>
      </c>
      <c r="J240" s="25" t="s">
        <v>3772</v>
      </c>
      <c r="K240" s="59" t="s">
        <v>3773</v>
      </c>
      <c r="L240" s="31"/>
      <c r="M240" s="25" t="s">
        <v>2319</v>
      </c>
      <c r="N240" s="25"/>
      <c r="O240" s="31"/>
      <c r="P240" s="25" t="s">
        <v>1127</v>
      </c>
      <c r="Q240" s="31" t="s">
        <v>1127</v>
      </c>
    </row>
    <row r="241" spans="1:17" ht="18" customHeight="1" x14ac:dyDescent="0.2">
      <c r="A241" s="66" t="s">
        <v>777</v>
      </c>
      <c r="B241" s="66" t="s">
        <v>3780</v>
      </c>
      <c r="C241" s="66" t="s">
        <v>4182</v>
      </c>
      <c r="D241" s="66" t="s">
        <v>1629</v>
      </c>
      <c r="E241" s="66" t="s">
        <v>4194</v>
      </c>
      <c r="F241" s="25">
        <v>8</v>
      </c>
      <c r="G241" s="25" t="s">
        <v>10</v>
      </c>
      <c r="H241" s="25">
        <v>2015</v>
      </c>
      <c r="I241" s="25" t="s">
        <v>3771</v>
      </c>
      <c r="J241" s="25" t="s">
        <v>3772</v>
      </c>
      <c r="K241" s="59" t="s">
        <v>3773</v>
      </c>
      <c r="L241" s="31"/>
      <c r="M241" s="25" t="s">
        <v>2319</v>
      </c>
      <c r="N241" s="25"/>
      <c r="O241" s="31"/>
      <c r="P241" s="25" t="s">
        <v>1127</v>
      </c>
      <c r="Q241" s="31" t="s">
        <v>1127</v>
      </c>
    </row>
    <row r="242" spans="1:17" ht="18" customHeight="1" x14ac:dyDescent="0.2">
      <c r="A242" s="66" t="s">
        <v>777</v>
      </c>
      <c r="B242" s="66" t="s">
        <v>3781</v>
      </c>
      <c r="C242" s="66" t="s">
        <v>4182</v>
      </c>
      <c r="D242" s="66" t="s">
        <v>1629</v>
      </c>
      <c r="E242" s="66" t="s">
        <v>4194</v>
      </c>
      <c r="F242" s="25">
        <v>9</v>
      </c>
      <c r="G242" s="25" t="s">
        <v>55</v>
      </c>
      <c r="H242" s="25">
        <v>2016</v>
      </c>
      <c r="I242" s="25" t="s">
        <v>3771</v>
      </c>
      <c r="J242" s="25" t="s">
        <v>3772</v>
      </c>
      <c r="K242" s="59" t="s">
        <v>3773</v>
      </c>
      <c r="L242" s="31"/>
      <c r="M242" s="25" t="s">
        <v>2319</v>
      </c>
      <c r="N242" s="25"/>
      <c r="O242" s="31"/>
      <c r="P242" s="25" t="s">
        <v>1127</v>
      </c>
      <c r="Q242" s="31" t="s">
        <v>1127</v>
      </c>
    </row>
    <row r="243" spans="1:17" ht="18" customHeight="1" x14ac:dyDescent="0.2">
      <c r="A243" s="66" t="s">
        <v>777</v>
      </c>
      <c r="B243" s="66" t="s">
        <v>3782</v>
      </c>
      <c r="C243" s="66" t="s">
        <v>4182</v>
      </c>
      <c r="D243" s="66" t="s">
        <v>1629</v>
      </c>
      <c r="E243" s="66" t="s">
        <v>4194</v>
      </c>
      <c r="F243" s="25">
        <v>10</v>
      </c>
      <c r="G243" s="25" t="s">
        <v>98</v>
      </c>
      <c r="H243" s="25">
        <v>2017</v>
      </c>
      <c r="I243" s="25" t="s">
        <v>3771</v>
      </c>
      <c r="J243" s="25" t="s">
        <v>3772</v>
      </c>
      <c r="K243" s="59" t="s">
        <v>3773</v>
      </c>
      <c r="L243" s="31"/>
      <c r="M243" s="25" t="s">
        <v>2319</v>
      </c>
      <c r="N243" s="25"/>
      <c r="O243" s="31"/>
      <c r="P243" s="25" t="s">
        <v>1127</v>
      </c>
      <c r="Q243" s="31" t="s">
        <v>1127</v>
      </c>
    </row>
    <row r="244" spans="1:17" ht="18" customHeight="1" x14ac:dyDescent="0.2">
      <c r="A244" s="66" t="s">
        <v>777</v>
      </c>
      <c r="B244" s="66" t="s">
        <v>3783</v>
      </c>
      <c r="C244" s="66" t="s">
        <v>4182</v>
      </c>
      <c r="D244" s="66" t="s">
        <v>1629</v>
      </c>
      <c r="E244" s="66" t="s">
        <v>4194</v>
      </c>
      <c r="F244" s="25">
        <v>11</v>
      </c>
      <c r="G244" s="25" t="s">
        <v>104</v>
      </c>
      <c r="H244" s="25">
        <v>2018</v>
      </c>
      <c r="I244" s="25" t="s">
        <v>3771</v>
      </c>
      <c r="J244" s="25" t="s">
        <v>3772</v>
      </c>
      <c r="K244" s="59" t="s">
        <v>3773</v>
      </c>
      <c r="L244" s="31"/>
      <c r="M244" s="25" t="s">
        <v>2319</v>
      </c>
      <c r="N244" s="25"/>
      <c r="O244" s="31"/>
      <c r="P244" s="25" t="s">
        <v>1127</v>
      </c>
      <c r="Q244" s="31" t="s">
        <v>1127</v>
      </c>
    </row>
    <row r="245" spans="1:17" ht="18" customHeight="1" x14ac:dyDescent="0.2">
      <c r="A245" s="66" t="s">
        <v>777</v>
      </c>
      <c r="B245" s="66" t="s">
        <v>3770</v>
      </c>
      <c r="C245" s="66" t="s">
        <v>4182</v>
      </c>
      <c r="D245" s="66" t="s">
        <v>1629</v>
      </c>
      <c r="E245" s="66" t="s">
        <v>4194</v>
      </c>
      <c r="F245" s="25">
        <v>1</v>
      </c>
      <c r="G245" s="25" t="s">
        <v>40</v>
      </c>
      <c r="H245" s="25">
        <v>2008</v>
      </c>
      <c r="I245" s="25" t="s">
        <v>3771</v>
      </c>
      <c r="J245" s="25" t="s">
        <v>3772</v>
      </c>
      <c r="K245" s="59" t="s">
        <v>3773</v>
      </c>
      <c r="L245" s="31"/>
      <c r="M245" s="25" t="s">
        <v>2319</v>
      </c>
      <c r="N245" s="25"/>
      <c r="O245" s="31"/>
      <c r="P245" s="25" t="s">
        <v>1127</v>
      </c>
      <c r="Q245" s="31" t="s">
        <v>1127</v>
      </c>
    </row>
    <row r="246" spans="1:17" ht="18" customHeight="1" x14ac:dyDescent="0.2">
      <c r="A246" s="66" t="s">
        <v>777</v>
      </c>
      <c r="B246" s="66" t="s">
        <v>3774</v>
      </c>
      <c r="C246" s="66" t="s">
        <v>4182</v>
      </c>
      <c r="D246" s="66" t="s">
        <v>1629</v>
      </c>
      <c r="E246" s="66" t="s">
        <v>4194</v>
      </c>
      <c r="F246" s="25">
        <v>2</v>
      </c>
      <c r="G246" s="25" t="s">
        <v>37</v>
      </c>
      <c r="H246" s="25">
        <v>2009</v>
      </c>
      <c r="I246" s="25" t="s">
        <v>3771</v>
      </c>
      <c r="J246" s="25" t="s">
        <v>3772</v>
      </c>
      <c r="K246" s="59" t="s">
        <v>3773</v>
      </c>
      <c r="L246" s="31"/>
      <c r="M246" s="25" t="s">
        <v>2319</v>
      </c>
      <c r="N246" s="25"/>
      <c r="O246" s="31"/>
      <c r="P246" s="25" t="s">
        <v>1127</v>
      </c>
      <c r="Q246" s="31" t="s">
        <v>1127</v>
      </c>
    </row>
    <row r="247" spans="1:17" ht="18" customHeight="1" x14ac:dyDescent="0.2">
      <c r="A247" s="66" t="s">
        <v>777</v>
      </c>
      <c r="B247" s="66" t="s">
        <v>3775</v>
      </c>
      <c r="C247" s="66" t="s">
        <v>4182</v>
      </c>
      <c r="D247" s="66" t="s">
        <v>1629</v>
      </c>
      <c r="E247" s="66" t="s">
        <v>4194</v>
      </c>
      <c r="F247" s="25">
        <v>3</v>
      </c>
      <c r="G247" s="25" t="s">
        <v>80</v>
      </c>
      <c r="H247" s="25">
        <v>2010</v>
      </c>
      <c r="I247" s="25" t="s">
        <v>3771</v>
      </c>
      <c r="J247" s="25" t="s">
        <v>3772</v>
      </c>
      <c r="K247" s="59" t="s">
        <v>3773</v>
      </c>
      <c r="L247" s="31"/>
      <c r="M247" s="25" t="s">
        <v>2319</v>
      </c>
      <c r="N247" s="25"/>
      <c r="O247" s="31"/>
      <c r="P247" s="25" t="s">
        <v>1127</v>
      </c>
      <c r="Q247" s="31" t="s">
        <v>1127</v>
      </c>
    </row>
    <row r="248" spans="1:17" ht="18" customHeight="1" x14ac:dyDescent="0.2">
      <c r="A248" s="66" t="s">
        <v>777</v>
      </c>
      <c r="B248" s="66" t="s">
        <v>3776</v>
      </c>
      <c r="C248" s="66" t="s">
        <v>4182</v>
      </c>
      <c r="D248" s="66" t="s">
        <v>1629</v>
      </c>
      <c r="E248" s="66" t="s">
        <v>4194</v>
      </c>
      <c r="F248" s="25">
        <v>4</v>
      </c>
      <c r="G248" s="25" t="s">
        <v>31</v>
      </c>
      <c r="H248" s="25">
        <v>2011</v>
      </c>
      <c r="I248" s="25" t="s">
        <v>3771</v>
      </c>
      <c r="J248" s="25" t="s">
        <v>3772</v>
      </c>
      <c r="K248" s="59" t="s">
        <v>3773</v>
      </c>
      <c r="L248" s="31"/>
      <c r="M248" s="25" t="s">
        <v>2319</v>
      </c>
      <c r="N248" s="25"/>
      <c r="O248" s="31"/>
      <c r="P248" s="25" t="s">
        <v>1127</v>
      </c>
      <c r="Q248" s="31" t="s">
        <v>1127</v>
      </c>
    </row>
    <row r="249" spans="1:17" ht="18" customHeight="1" x14ac:dyDescent="0.2">
      <c r="A249" s="66" t="s">
        <v>777</v>
      </c>
      <c r="B249" s="66" t="s">
        <v>3777</v>
      </c>
      <c r="C249" s="66" t="s">
        <v>4182</v>
      </c>
      <c r="D249" s="66" t="s">
        <v>1629</v>
      </c>
      <c r="E249" s="66" t="s">
        <v>4194</v>
      </c>
      <c r="F249" s="25">
        <v>5</v>
      </c>
      <c r="G249" s="25" t="s">
        <v>13</v>
      </c>
      <c r="H249" s="25">
        <v>2012</v>
      </c>
      <c r="I249" s="25" t="s">
        <v>3771</v>
      </c>
      <c r="J249" s="25" t="s">
        <v>3772</v>
      </c>
      <c r="K249" s="59" t="s">
        <v>3773</v>
      </c>
      <c r="L249" s="31"/>
      <c r="M249" s="25" t="s">
        <v>2319</v>
      </c>
      <c r="N249" s="25"/>
      <c r="O249" s="31"/>
      <c r="P249" s="25" t="s">
        <v>1127</v>
      </c>
      <c r="Q249" s="31" t="s">
        <v>1127</v>
      </c>
    </row>
    <row r="250" spans="1:17" ht="18" customHeight="1" x14ac:dyDescent="0.2">
      <c r="A250" s="66" t="s">
        <v>777</v>
      </c>
      <c r="B250" s="66" t="s">
        <v>3778</v>
      </c>
      <c r="C250" s="66" t="s">
        <v>4182</v>
      </c>
      <c r="D250" s="66" t="s">
        <v>1629</v>
      </c>
      <c r="E250" s="66" t="s">
        <v>4194</v>
      </c>
      <c r="F250" s="25">
        <v>6</v>
      </c>
      <c r="G250" s="25" t="s">
        <v>49</v>
      </c>
      <c r="H250" s="25">
        <v>2013</v>
      </c>
      <c r="I250" s="25" t="s">
        <v>3771</v>
      </c>
      <c r="J250" s="25" t="s">
        <v>3772</v>
      </c>
      <c r="K250" s="59" t="s">
        <v>3773</v>
      </c>
      <c r="L250" s="31"/>
      <c r="M250" s="25" t="s">
        <v>2319</v>
      </c>
      <c r="N250" s="25"/>
      <c r="O250" s="31"/>
      <c r="P250" s="25" t="s">
        <v>1127</v>
      </c>
      <c r="Q250" s="31" t="s">
        <v>1127</v>
      </c>
    </row>
    <row r="251" spans="1:17" ht="18" customHeight="1" x14ac:dyDescent="0.2">
      <c r="A251" s="66" t="s">
        <v>777</v>
      </c>
      <c r="B251" s="66" t="s">
        <v>3779</v>
      </c>
      <c r="C251" s="66" t="s">
        <v>4182</v>
      </c>
      <c r="D251" s="66" t="s">
        <v>1629</v>
      </c>
      <c r="E251" s="66" t="s">
        <v>4194</v>
      </c>
      <c r="F251" s="25">
        <v>7</v>
      </c>
      <c r="G251" s="25" t="s">
        <v>101</v>
      </c>
      <c r="H251" s="25">
        <v>2014</v>
      </c>
      <c r="I251" s="25" t="s">
        <v>3771</v>
      </c>
      <c r="J251" s="25" t="s">
        <v>3772</v>
      </c>
      <c r="K251" s="59" t="s">
        <v>3773</v>
      </c>
      <c r="L251" s="31"/>
      <c r="M251" s="25" t="s">
        <v>2319</v>
      </c>
      <c r="N251" s="25"/>
      <c r="O251" s="31"/>
      <c r="P251" s="25" t="s">
        <v>1127</v>
      </c>
      <c r="Q251" s="31" t="s">
        <v>1127</v>
      </c>
    </row>
    <row r="252" spans="1:17" ht="18" customHeight="1" x14ac:dyDescent="0.2">
      <c r="A252" s="66" t="s">
        <v>777</v>
      </c>
      <c r="B252" s="66" t="s">
        <v>3780</v>
      </c>
      <c r="C252" s="66" t="s">
        <v>4182</v>
      </c>
      <c r="D252" s="66" t="s">
        <v>1629</v>
      </c>
      <c r="E252" s="66" t="s">
        <v>4194</v>
      </c>
      <c r="F252" s="25">
        <v>8</v>
      </c>
      <c r="G252" s="25" t="s">
        <v>10</v>
      </c>
      <c r="H252" s="25">
        <v>2015</v>
      </c>
      <c r="I252" s="25" t="s">
        <v>3771</v>
      </c>
      <c r="J252" s="25" t="s">
        <v>3772</v>
      </c>
      <c r="K252" s="59" t="s">
        <v>3773</v>
      </c>
      <c r="L252" s="31"/>
      <c r="M252" s="25" t="s">
        <v>2319</v>
      </c>
      <c r="N252" s="25"/>
      <c r="O252" s="31"/>
      <c r="P252" s="25" t="s">
        <v>1127</v>
      </c>
      <c r="Q252" s="31" t="s">
        <v>1127</v>
      </c>
    </row>
    <row r="253" spans="1:17" ht="18" customHeight="1" x14ac:dyDescent="0.2">
      <c r="A253" s="66" t="s">
        <v>777</v>
      </c>
      <c r="B253" s="66" t="s">
        <v>3781</v>
      </c>
      <c r="C253" s="66" t="s">
        <v>4182</v>
      </c>
      <c r="D253" s="66" t="s">
        <v>1629</v>
      </c>
      <c r="E253" s="66" t="s">
        <v>4194</v>
      </c>
      <c r="F253" s="25">
        <v>9</v>
      </c>
      <c r="G253" s="25" t="s">
        <v>55</v>
      </c>
      <c r="H253" s="25">
        <v>2016</v>
      </c>
      <c r="I253" s="25" t="s">
        <v>3771</v>
      </c>
      <c r="J253" s="25" t="s">
        <v>3772</v>
      </c>
      <c r="K253" s="59" t="s">
        <v>3773</v>
      </c>
      <c r="L253" s="31"/>
      <c r="M253" s="25" t="s">
        <v>2319</v>
      </c>
      <c r="N253" s="25"/>
      <c r="O253" s="31"/>
      <c r="P253" s="25" t="s">
        <v>1127</v>
      </c>
      <c r="Q253" s="31" t="s">
        <v>1127</v>
      </c>
    </row>
    <row r="254" spans="1:17" ht="18" customHeight="1" x14ac:dyDescent="0.2">
      <c r="A254" s="66" t="s">
        <v>777</v>
      </c>
      <c r="B254" s="66" t="s">
        <v>3782</v>
      </c>
      <c r="C254" s="66" t="s">
        <v>4182</v>
      </c>
      <c r="D254" s="66" t="s">
        <v>1629</v>
      </c>
      <c r="E254" s="66" t="s">
        <v>4194</v>
      </c>
      <c r="F254" s="25">
        <v>10</v>
      </c>
      <c r="G254" s="25" t="s">
        <v>98</v>
      </c>
      <c r="H254" s="25">
        <v>2017</v>
      </c>
      <c r="I254" s="25" t="s">
        <v>3771</v>
      </c>
      <c r="J254" s="25" t="s">
        <v>3772</v>
      </c>
      <c r="K254" s="59" t="s">
        <v>3773</v>
      </c>
      <c r="L254" s="31"/>
      <c r="M254" s="25" t="s">
        <v>2319</v>
      </c>
      <c r="N254" s="25"/>
      <c r="O254" s="31"/>
      <c r="P254" s="25" t="s">
        <v>1127</v>
      </c>
      <c r="Q254" s="31" t="s">
        <v>1127</v>
      </c>
    </row>
    <row r="255" spans="1:17" ht="18" customHeight="1" x14ac:dyDescent="0.2">
      <c r="A255" s="66" t="s">
        <v>777</v>
      </c>
      <c r="B255" s="66" t="s">
        <v>3783</v>
      </c>
      <c r="C255" s="66" t="s">
        <v>4182</v>
      </c>
      <c r="D255" s="66" t="s">
        <v>1629</v>
      </c>
      <c r="E255" s="66" t="s">
        <v>4194</v>
      </c>
      <c r="F255" s="25">
        <v>11</v>
      </c>
      <c r="G255" s="25" t="s">
        <v>104</v>
      </c>
      <c r="H255" s="25">
        <v>2018</v>
      </c>
      <c r="I255" s="25" t="s">
        <v>3771</v>
      </c>
      <c r="J255" s="25" t="s">
        <v>3772</v>
      </c>
      <c r="K255" s="59" t="s">
        <v>3773</v>
      </c>
      <c r="L255" s="31"/>
      <c r="M255" s="25" t="s">
        <v>2319</v>
      </c>
      <c r="N255" s="25"/>
      <c r="O255" s="31"/>
      <c r="P255" s="25" t="s">
        <v>1127</v>
      </c>
      <c r="Q255" s="31" t="s">
        <v>1127</v>
      </c>
    </row>
    <row r="256" spans="1:17" ht="18" customHeight="1" x14ac:dyDescent="0.2">
      <c r="A256" s="63" t="s">
        <v>777</v>
      </c>
      <c r="B256" s="63" t="str">
        <f t="shared" ref="B256:B266" si="15">LEFT(I256,5)</f>
        <v>cw08a</v>
      </c>
      <c r="C256" s="63" t="s">
        <v>4182</v>
      </c>
      <c r="D256" s="63" t="s">
        <v>1482</v>
      </c>
      <c r="E256" s="63" t="s">
        <v>1591</v>
      </c>
      <c r="F256" s="2">
        <v>1</v>
      </c>
      <c r="G256" s="2" t="str">
        <f t="shared" ref="G256:G287" si="16">MID("abcdefghijklmnopqrstuvwxyz",F256,1)</f>
        <v>a</v>
      </c>
      <c r="H256" s="2">
        <v>2008</v>
      </c>
      <c r="I256" s="2" t="str">
        <f t="shared" ref="I256:I266" si="17">_xlfn.CONCAT("cw", RIGHT(H256,2),G256, "009")</f>
        <v>cw08a009</v>
      </c>
      <c r="J256" s="2" t="s">
        <v>1592</v>
      </c>
      <c r="K256" s="8" t="s">
        <v>1593</v>
      </c>
      <c r="L256"/>
      <c r="M256" s="2" t="s">
        <v>1594</v>
      </c>
      <c r="P256" s="2" t="s">
        <v>1127</v>
      </c>
      <c r="Q256" t="s">
        <v>1127</v>
      </c>
    </row>
    <row r="257" spans="1:17" ht="18" customHeight="1" x14ac:dyDescent="0.2">
      <c r="A257" s="63" t="s">
        <v>777</v>
      </c>
      <c r="B257" s="63" t="str">
        <f t="shared" si="15"/>
        <v>cw09b</v>
      </c>
      <c r="C257" s="63" t="s">
        <v>4182</v>
      </c>
      <c r="D257" s="63" t="s">
        <v>1482</v>
      </c>
      <c r="E257" s="63" t="s">
        <v>1591</v>
      </c>
      <c r="F257" s="2">
        <v>2</v>
      </c>
      <c r="G257" s="2" t="str">
        <f t="shared" si="16"/>
        <v>b</v>
      </c>
      <c r="H257" s="2">
        <v>2009</v>
      </c>
      <c r="I257" s="2" t="str">
        <f t="shared" si="17"/>
        <v>cw09b009</v>
      </c>
      <c r="J257" s="2" t="s">
        <v>1592</v>
      </c>
      <c r="K257" s="8" t="s">
        <v>1593</v>
      </c>
      <c r="L257"/>
      <c r="M257" s="2" t="s">
        <v>1594</v>
      </c>
      <c r="P257" s="2" t="s">
        <v>1127</v>
      </c>
      <c r="Q257" t="s">
        <v>1127</v>
      </c>
    </row>
    <row r="258" spans="1:17" ht="18" customHeight="1" x14ac:dyDescent="0.2">
      <c r="A258" s="63" t="s">
        <v>777</v>
      </c>
      <c r="B258" s="63" t="str">
        <f t="shared" si="15"/>
        <v>cw10c</v>
      </c>
      <c r="C258" s="63" t="s">
        <v>4182</v>
      </c>
      <c r="D258" s="63" t="s">
        <v>1482</v>
      </c>
      <c r="E258" s="63" t="s">
        <v>1591</v>
      </c>
      <c r="F258" s="2">
        <v>3</v>
      </c>
      <c r="G258" s="2" t="str">
        <f t="shared" si="16"/>
        <v>c</v>
      </c>
      <c r="H258" s="2">
        <v>2010</v>
      </c>
      <c r="I258" s="2" t="str">
        <f t="shared" si="17"/>
        <v>cw10c009</v>
      </c>
      <c r="J258" s="2" t="s">
        <v>1592</v>
      </c>
      <c r="K258" s="8" t="s">
        <v>1593</v>
      </c>
      <c r="L258"/>
      <c r="M258" s="2" t="s">
        <v>1594</v>
      </c>
      <c r="P258" s="2" t="s">
        <v>1127</v>
      </c>
      <c r="Q258" t="s">
        <v>1127</v>
      </c>
    </row>
    <row r="259" spans="1:17" ht="18" customHeight="1" x14ac:dyDescent="0.2">
      <c r="A259" s="63" t="s">
        <v>777</v>
      </c>
      <c r="B259" s="63" t="str">
        <f t="shared" si="15"/>
        <v>cw11d</v>
      </c>
      <c r="C259" s="63" t="s">
        <v>4182</v>
      </c>
      <c r="D259" s="63" t="s">
        <v>1482</v>
      </c>
      <c r="E259" s="63" t="s">
        <v>1591</v>
      </c>
      <c r="F259" s="2">
        <v>4</v>
      </c>
      <c r="G259" s="2" t="str">
        <f t="shared" si="16"/>
        <v>d</v>
      </c>
      <c r="H259" s="2">
        <v>2011</v>
      </c>
      <c r="I259" s="2" t="str">
        <f t="shared" si="17"/>
        <v>cw11d009</v>
      </c>
      <c r="J259" s="2" t="s">
        <v>1592</v>
      </c>
      <c r="K259" s="8" t="s">
        <v>1593</v>
      </c>
      <c r="L259"/>
      <c r="M259" s="2" t="s">
        <v>1594</v>
      </c>
      <c r="P259" s="2" t="s">
        <v>1127</v>
      </c>
      <c r="Q259" t="s">
        <v>1127</v>
      </c>
    </row>
    <row r="260" spans="1:17" ht="18" customHeight="1" x14ac:dyDescent="0.2">
      <c r="A260" s="63" t="s">
        <v>777</v>
      </c>
      <c r="B260" s="63" t="str">
        <f t="shared" si="15"/>
        <v>cw12e</v>
      </c>
      <c r="C260" s="63" t="s">
        <v>4182</v>
      </c>
      <c r="D260" s="63" t="s">
        <v>1482</v>
      </c>
      <c r="E260" s="63" t="s">
        <v>1591</v>
      </c>
      <c r="F260" s="2">
        <v>5</v>
      </c>
      <c r="G260" s="2" t="str">
        <f t="shared" si="16"/>
        <v>e</v>
      </c>
      <c r="H260" s="2">
        <v>2012</v>
      </c>
      <c r="I260" s="2" t="str">
        <f t="shared" si="17"/>
        <v>cw12e009</v>
      </c>
      <c r="J260" s="2" t="s">
        <v>1592</v>
      </c>
      <c r="K260" s="8" t="s">
        <v>1593</v>
      </c>
      <c r="L260"/>
      <c r="M260" s="2" t="s">
        <v>1594</v>
      </c>
      <c r="P260" s="2" t="s">
        <v>1127</v>
      </c>
      <c r="Q260" t="s">
        <v>1127</v>
      </c>
    </row>
    <row r="261" spans="1:17" ht="18" customHeight="1" x14ac:dyDescent="0.2">
      <c r="A261" s="63" t="s">
        <v>777</v>
      </c>
      <c r="B261" s="63" t="str">
        <f t="shared" si="15"/>
        <v>cw13f</v>
      </c>
      <c r="C261" s="63" t="s">
        <v>4182</v>
      </c>
      <c r="D261" s="63" t="s">
        <v>1482</v>
      </c>
      <c r="E261" s="63" t="s">
        <v>1591</v>
      </c>
      <c r="F261" s="2">
        <v>6</v>
      </c>
      <c r="G261" s="2" t="str">
        <f t="shared" si="16"/>
        <v>f</v>
      </c>
      <c r="H261" s="2">
        <v>2013</v>
      </c>
      <c r="I261" s="2" t="str">
        <f t="shared" si="17"/>
        <v>cw13f009</v>
      </c>
      <c r="J261" s="2" t="s">
        <v>1592</v>
      </c>
      <c r="K261" s="8" t="s">
        <v>1593</v>
      </c>
      <c r="L261"/>
      <c r="M261" s="2" t="s">
        <v>1594</v>
      </c>
      <c r="P261" s="2" t="s">
        <v>1127</v>
      </c>
      <c r="Q261" t="s">
        <v>1127</v>
      </c>
    </row>
    <row r="262" spans="1:17" ht="18" customHeight="1" x14ac:dyDescent="0.2">
      <c r="A262" s="63" t="s">
        <v>777</v>
      </c>
      <c r="B262" s="63" t="str">
        <f t="shared" si="15"/>
        <v>cw14g</v>
      </c>
      <c r="C262" s="63" t="s">
        <v>4182</v>
      </c>
      <c r="D262" s="63" t="s">
        <v>1482</v>
      </c>
      <c r="E262" s="63" t="s">
        <v>1591</v>
      </c>
      <c r="F262" s="2">
        <v>7</v>
      </c>
      <c r="G262" s="2" t="str">
        <f t="shared" si="16"/>
        <v>g</v>
      </c>
      <c r="H262" s="2">
        <v>2014</v>
      </c>
      <c r="I262" s="2" t="str">
        <f t="shared" si="17"/>
        <v>cw14g009</v>
      </c>
      <c r="J262" s="2" t="s">
        <v>1592</v>
      </c>
      <c r="K262" s="8" t="s">
        <v>1593</v>
      </c>
      <c r="L262"/>
      <c r="M262" s="2" t="s">
        <v>1594</v>
      </c>
      <c r="P262" s="2" t="s">
        <v>1127</v>
      </c>
      <c r="Q262" t="s">
        <v>1127</v>
      </c>
    </row>
    <row r="263" spans="1:17" ht="18" customHeight="1" x14ac:dyDescent="0.2">
      <c r="A263" s="63" t="s">
        <v>777</v>
      </c>
      <c r="B263" s="63" t="str">
        <f t="shared" si="15"/>
        <v>cw15h</v>
      </c>
      <c r="C263" s="63" t="s">
        <v>4182</v>
      </c>
      <c r="D263" s="63" t="s">
        <v>1482</v>
      </c>
      <c r="E263" s="63" t="s">
        <v>1591</v>
      </c>
      <c r="F263" s="2">
        <v>8</v>
      </c>
      <c r="G263" s="2" t="str">
        <f t="shared" si="16"/>
        <v>h</v>
      </c>
      <c r="H263" s="2">
        <v>2015</v>
      </c>
      <c r="I263" s="2" t="str">
        <f t="shared" si="17"/>
        <v>cw15h009</v>
      </c>
      <c r="J263" s="2" t="s">
        <v>1592</v>
      </c>
      <c r="K263" s="8" t="s">
        <v>1593</v>
      </c>
      <c r="L263"/>
      <c r="M263" s="2" t="s">
        <v>1594</v>
      </c>
      <c r="P263" s="2" t="s">
        <v>1127</v>
      </c>
      <c r="Q263" t="s">
        <v>1127</v>
      </c>
    </row>
    <row r="264" spans="1:17" ht="18" customHeight="1" x14ac:dyDescent="0.2">
      <c r="A264" s="63" t="s">
        <v>777</v>
      </c>
      <c r="B264" s="63" t="str">
        <f t="shared" si="15"/>
        <v>cw16i</v>
      </c>
      <c r="C264" s="63" t="s">
        <v>4182</v>
      </c>
      <c r="D264" s="63" t="s">
        <v>1482</v>
      </c>
      <c r="E264" s="63" t="s">
        <v>1591</v>
      </c>
      <c r="F264" s="2">
        <v>9</v>
      </c>
      <c r="G264" s="2" t="str">
        <f t="shared" si="16"/>
        <v>i</v>
      </c>
      <c r="H264" s="2">
        <v>2016</v>
      </c>
      <c r="I264" s="2" t="str">
        <f t="shared" si="17"/>
        <v>cw16i009</v>
      </c>
      <c r="J264" s="2" t="s">
        <v>1592</v>
      </c>
      <c r="K264" s="8" t="s">
        <v>1593</v>
      </c>
      <c r="L264"/>
      <c r="M264" s="2" t="s">
        <v>1594</v>
      </c>
      <c r="P264" s="2" t="s">
        <v>1127</v>
      </c>
      <c r="Q264" t="s">
        <v>1127</v>
      </c>
    </row>
    <row r="265" spans="1:17" ht="18" customHeight="1" x14ac:dyDescent="0.2">
      <c r="A265" s="63" t="s">
        <v>777</v>
      </c>
      <c r="B265" s="63" t="str">
        <f t="shared" si="15"/>
        <v>cw17j</v>
      </c>
      <c r="C265" s="63" t="s">
        <v>4182</v>
      </c>
      <c r="D265" s="63" t="s">
        <v>1482</v>
      </c>
      <c r="E265" s="63" t="s">
        <v>1591</v>
      </c>
      <c r="F265" s="2">
        <v>10</v>
      </c>
      <c r="G265" s="2" t="str">
        <f t="shared" si="16"/>
        <v>j</v>
      </c>
      <c r="H265" s="2">
        <v>2017</v>
      </c>
      <c r="I265" s="2" t="str">
        <f t="shared" si="17"/>
        <v>cw17j009</v>
      </c>
      <c r="J265" s="2" t="s">
        <v>1592</v>
      </c>
      <c r="K265" s="8" t="s">
        <v>1593</v>
      </c>
      <c r="L265"/>
      <c r="M265" s="2" t="s">
        <v>1594</v>
      </c>
      <c r="P265" s="2" t="s">
        <v>1127</v>
      </c>
      <c r="Q265" t="s">
        <v>1127</v>
      </c>
    </row>
    <row r="266" spans="1:17" ht="18" customHeight="1" x14ac:dyDescent="0.2">
      <c r="A266" s="63" t="s">
        <v>777</v>
      </c>
      <c r="B266" s="63" t="str">
        <f t="shared" si="15"/>
        <v>cw18k</v>
      </c>
      <c r="C266" s="63" t="s">
        <v>4182</v>
      </c>
      <c r="D266" s="63" t="s">
        <v>1482</v>
      </c>
      <c r="E266" s="63" t="s">
        <v>1591</v>
      </c>
      <c r="F266" s="2">
        <v>11</v>
      </c>
      <c r="G266" s="2" t="str">
        <f t="shared" si="16"/>
        <v>k</v>
      </c>
      <c r="H266" s="2">
        <v>2018</v>
      </c>
      <c r="I266" s="2" t="str">
        <f t="shared" si="17"/>
        <v>cw18k009</v>
      </c>
      <c r="J266" s="2" t="s">
        <v>1592</v>
      </c>
      <c r="K266" s="8" t="s">
        <v>1593</v>
      </c>
      <c r="L266"/>
      <c r="M266" s="2" t="s">
        <v>1594</v>
      </c>
      <c r="P266" s="2" t="s">
        <v>1127</v>
      </c>
      <c r="Q266" t="s">
        <v>1127</v>
      </c>
    </row>
    <row r="267" spans="1:17" ht="18" customHeight="1" x14ac:dyDescent="0.2">
      <c r="A267" s="61" t="s">
        <v>777</v>
      </c>
      <c r="B267" s="61" t="str">
        <f t="shared" ref="B267:B288" si="18">"cw" &amp; RIGHT(H267, 2) &amp; G267</f>
        <v>cw08a</v>
      </c>
      <c r="C267" s="61" t="s">
        <v>4182</v>
      </c>
      <c r="D267" s="61" t="s">
        <v>1641</v>
      </c>
      <c r="E267" s="61" t="s">
        <v>3766</v>
      </c>
      <c r="F267" s="2">
        <v>1</v>
      </c>
      <c r="G267" s="2" t="str">
        <f t="shared" si="16"/>
        <v>a</v>
      </c>
      <c r="H267" s="2">
        <v>2008</v>
      </c>
      <c r="I267" s="2" t="str">
        <f t="shared" ref="I267:I277" si="19">B267&amp;"093"</f>
        <v>cw08a093</v>
      </c>
      <c r="J267" s="2" t="s">
        <v>3767</v>
      </c>
      <c r="K267" s="8" t="s">
        <v>1600</v>
      </c>
      <c r="L267"/>
      <c r="M267" s="2" t="s">
        <v>1601</v>
      </c>
      <c r="P267" s="2" t="s">
        <v>1127</v>
      </c>
      <c r="Q267" t="s">
        <v>1127</v>
      </c>
    </row>
    <row r="268" spans="1:17" ht="18" customHeight="1" x14ac:dyDescent="0.2">
      <c r="A268" s="61" t="s">
        <v>777</v>
      </c>
      <c r="B268" s="61" t="str">
        <f t="shared" si="18"/>
        <v>cw09b</v>
      </c>
      <c r="C268" s="61" t="s">
        <v>4182</v>
      </c>
      <c r="D268" s="61" t="s">
        <v>1641</v>
      </c>
      <c r="E268" s="61" t="s">
        <v>3766</v>
      </c>
      <c r="F268" s="2">
        <v>2</v>
      </c>
      <c r="G268" s="2" t="str">
        <f t="shared" si="16"/>
        <v>b</v>
      </c>
      <c r="H268" s="2">
        <v>2009</v>
      </c>
      <c r="I268" s="2" t="str">
        <f t="shared" si="19"/>
        <v>cw09b093</v>
      </c>
      <c r="J268" s="2" t="s">
        <v>3767</v>
      </c>
      <c r="K268" s="8" t="s">
        <v>1600</v>
      </c>
      <c r="L268"/>
      <c r="M268" s="2" t="s">
        <v>1601</v>
      </c>
      <c r="P268" s="2" t="s">
        <v>1127</v>
      </c>
      <c r="Q268" t="s">
        <v>1127</v>
      </c>
    </row>
    <row r="269" spans="1:17" ht="18" customHeight="1" x14ac:dyDescent="0.2">
      <c r="A269" s="61" t="s">
        <v>777</v>
      </c>
      <c r="B269" s="61" t="str">
        <f t="shared" si="18"/>
        <v>cw10c</v>
      </c>
      <c r="C269" s="61" t="s">
        <v>4182</v>
      </c>
      <c r="D269" s="61" t="s">
        <v>1641</v>
      </c>
      <c r="E269" s="61" t="s">
        <v>3766</v>
      </c>
      <c r="F269" s="2">
        <v>3</v>
      </c>
      <c r="G269" s="2" t="str">
        <f t="shared" si="16"/>
        <v>c</v>
      </c>
      <c r="H269" s="2">
        <v>2010</v>
      </c>
      <c r="I269" s="2" t="str">
        <f t="shared" si="19"/>
        <v>cw10c093</v>
      </c>
      <c r="J269" s="2" t="s">
        <v>3767</v>
      </c>
      <c r="K269" s="8" t="s">
        <v>1600</v>
      </c>
      <c r="L269"/>
      <c r="M269" s="2" t="s">
        <v>1601</v>
      </c>
      <c r="P269" s="2" t="s">
        <v>1127</v>
      </c>
      <c r="Q269" t="s">
        <v>1127</v>
      </c>
    </row>
    <row r="270" spans="1:17" ht="18" customHeight="1" x14ac:dyDescent="0.2">
      <c r="A270" s="61" t="s">
        <v>777</v>
      </c>
      <c r="B270" s="61" t="str">
        <f t="shared" si="18"/>
        <v>cw11d</v>
      </c>
      <c r="C270" s="61" t="s">
        <v>4182</v>
      </c>
      <c r="D270" s="61" t="s">
        <v>1641</v>
      </c>
      <c r="E270" s="61" t="s">
        <v>3766</v>
      </c>
      <c r="F270" s="2">
        <v>4</v>
      </c>
      <c r="G270" s="2" t="str">
        <f t="shared" si="16"/>
        <v>d</v>
      </c>
      <c r="H270" s="2">
        <v>2011</v>
      </c>
      <c r="I270" s="2" t="str">
        <f t="shared" si="19"/>
        <v>cw11d093</v>
      </c>
      <c r="J270" s="2" t="s">
        <v>3767</v>
      </c>
      <c r="K270" s="8" t="s">
        <v>1600</v>
      </c>
      <c r="L270"/>
      <c r="M270" s="2" t="s">
        <v>1601</v>
      </c>
      <c r="P270" s="2" t="s">
        <v>1127</v>
      </c>
      <c r="Q270" t="s">
        <v>1127</v>
      </c>
    </row>
    <row r="271" spans="1:17" ht="18" customHeight="1" x14ac:dyDescent="0.2">
      <c r="A271" s="61" t="s">
        <v>777</v>
      </c>
      <c r="B271" s="61" t="str">
        <f t="shared" si="18"/>
        <v>cw12e</v>
      </c>
      <c r="C271" s="61" t="s">
        <v>4182</v>
      </c>
      <c r="D271" s="61" t="s">
        <v>1641</v>
      </c>
      <c r="E271" s="61" t="s">
        <v>3766</v>
      </c>
      <c r="F271" s="2">
        <v>5</v>
      </c>
      <c r="G271" s="2" t="str">
        <f t="shared" si="16"/>
        <v>e</v>
      </c>
      <c r="H271" s="2">
        <v>2012</v>
      </c>
      <c r="I271" s="2" t="str">
        <f t="shared" si="19"/>
        <v>cw12e093</v>
      </c>
      <c r="J271" s="2" t="s">
        <v>3767</v>
      </c>
      <c r="K271" s="8" t="s">
        <v>1600</v>
      </c>
      <c r="L271"/>
      <c r="M271" s="2" t="s">
        <v>1601</v>
      </c>
      <c r="P271" s="2" t="s">
        <v>1127</v>
      </c>
      <c r="Q271" t="s">
        <v>1127</v>
      </c>
    </row>
    <row r="272" spans="1:17" ht="18" customHeight="1" x14ac:dyDescent="0.2">
      <c r="A272" s="61" t="s">
        <v>777</v>
      </c>
      <c r="B272" s="61" t="str">
        <f t="shared" si="18"/>
        <v>cw13f</v>
      </c>
      <c r="C272" s="61" t="s">
        <v>4182</v>
      </c>
      <c r="D272" s="61" t="s">
        <v>1641</v>
      </c>
      <c r="E272" s="61" t="s">
        <v>3766</v>
      </c>
      <c r="F272" s="2">
        <v>6</v>
      </c>
      <c r="G272" s="2" t="str">
        <f t="shared" si="16"/>
        <v>f</v>
      </c>
      <c r="H272" s="2">
        <v>2013</v>
      </c>
      <c r="I272" s="2" t="str">
        <f t="shared" si="19"/>
        <v>cw13f093</v>
      </c>
      <c r="J272" s="2" t="s">
        <v>3767</v>
      </c>
      <c r="K272" s="8" t="s">
        <v>1600</v>
      </c>
      <c r="L272"/>
      <c r="M272" s="2" t="s">
        <v>1601</v>
      </c>
      <c r="P272" s="2" t="s">
        <v>1127</v>
      </c>
      <c r="Q272" t="s">
        <v>1127</v>
      </c>
    </row>
    <row r="273" spans="1:17" ht="18" customHeight="1" x14ac:dyDescent="0.2">
      <c r="A273" s="61" t="s">
        <v>777</v>
      </c>
      <c r="B273" s="61" t="str">
        <f t="shared" si="18"/>
        <v>cw14g</v>
      </c>
      <c r="C273" s="61" t="s">
        <v>4182</v>
      </c>
      <c r="D273" s="61" t="s">
        <v>1641</v>
      </c>
      <c r="E273" s="61" t="s">
        <v>3766</v>
      </c>
      <c r="F273" s="2">
        <v>7</v>
      </c>
      <c r="G273" s="2" t="str">
        <f t="shared" si="16"/>
        <v>g</v>
      </c>
      <c r="H273" s="2">
        <v>2014</v>
      </c>
      <c r="I273" s="2" t="str">
        <f t="shared" si="19"/>
        <v>cw14g093</v>
      </c>
      <c r="J273" s="2" t="s">
        <v>3767</v>
      </c>
      <c r="K273" s="8" t="s">
        <v>1600</v>
      </c>
      <c r="L273"/>
      <c r="M273" s="2" t="s">
        <v>1601</v>
      </c>
      <c r="P273" s="2" t="s">
        <v>1127</v>
      </c>
      <c r="Q273" t="s">
        <v>1127</v>
      </c>
    </row>
    <row r="274" spans="1:17" ht="18" customHeight="1" x14ac:dyDescent="0.2">
      <c r="A274" s="61" t="s">
        <v>777</v>
      </c>
      <c r="B274" s="61" t="str">
        <f t="shared" si="18"/>
        <v>cw15h</v>
      </c>
      <c r="C274" s="61" t="s">
        <v>4182</v>
      </c>
      <c r="D274" s="61" t="s">
        <v>1641</v>
      </c>
      <c r="E274" s="61" t="s">
        <v>3766</v>
      </c>
      <c r="F274" s="2">
        <v>8</v>
      </c>
      <c r="G274" s="2" t="str">
        <f t="shared" si="16"/>
        <v>h</v>
      </c>
      <c r="H274" s="2">
        <v>2015</v>
      </c>
      <c r="I274" s="2" t="str">
        <f t="shared" si="19"/>
        <v>cw15h093</v>
      </c>
      <c r="J274" s="2" t="s">
        <v>3767</v>
      </c>
      <c r="K274" s="8" t="s">
        <v>1600</v>
      </c>
      <c r="L274"/>
      <c r="M274" s="2" t="s">
        <v>1601</v>
      </c>
      <c r="P274" s="2" t="s">
        <v>1127</v>
      </c>
      <c r="Q274" t="s">
        <v>1127</v>
      </c>
    </row>
    <row r="275" spans="1:17" ht="18" customHeight="1" x14ac:dyDescent="0.2">
      <c r="A275" s="61" t="s">
        <v>777</v>
      </c>
      <c r="B275" s="61" t="str">
        <f t="shared" si="18"/>
        <v>cw16i</v>
      </c>
      <c r="C275" s="61" t="s">
        <v>4182</v>
      </c>
      <c r="D275" s="61" t="s">
        <v>1641</v>
      </c>
      <c r="E275" s="61" t="s">
        <v>3766</v>
      </c>
      <c r="F275" s="2">
        <v>9</v>
      </c>
      <c r="G275" s="2" t="str">
        <f t="shared" si="16"/>
        <v>i</v>
      </c>
      <c r="H275" s="2">
        <v>2016</v>
      </c>
      <c r="I275" s="2" t="str">
        <f t="shared" si="19"/>
        <v>cw16i093</v>
      </c>
      <c r="J275" s="2" t="s">
        <v>3767</v>
      </c>
      <c r="K275" s="8" t="s">
        <v>1600</v>
      </c>
      <c r="L275"/>
      <c r="M275" s="2" t="s">
        <v>1601</v>
      </c>
      <c r="P275" s="2" t="s">
        <v>1127</v>
      </c>
      <c r="Q275" t="s">
        <v>1127</v>
      </c>
    </row>
    <row r="276" spans="1:17" x14ac:dyDescent="0.2">
      <c r="A276" s="61" t="s">
        <v>777</v>
      </c>
      <c r="B276" s="61" t="str">
        <f t="shared" si="18"/>
        <v>cw17j</v>
      </c>
      <c r="C276" s="61" t="s">
        <v>4182</v>
      </c>
      <c r="D276" s="61" t="s">
        <v>1641</v>
      </c>
      <c r="E276" s="61" t="s">
        <v>3766</v>
      </c>
      <c r="F276" s="2">
        <v>10</v>
      </c>
      <c r="G276" s="2" t="str">
        <f t="shared" si="16"/>
        <v>j</v>
      </c>
      <c r="H276" s="2">
        <v>2017</v>
      </c>
      <c r="I276" s="2" t="str">
        <f t="shared" si="19"/>
        <v>cw17j093</v>
      </c>
      <c r="J276" s="2" t="s">
        <v>3767</v>
      </c>
      <c r="K276" s="8" t="s">
        <v>1600</v>
      </c>
      <c r="L276"/>
      <c r="M276" s="2" t="s">
        <v>1601</v>
      </c>
      <c r="P276" s="2" t="s">
        <v>1127</v>
      </c>
      <c r="Q276" t="s">
        <v>1127</v>
      </c>
    </row>
    <row r="277" spans="1:17" x14ac:dyDescent="0.2">
      <c r="A277" s="61" t="s">
        <v>777</v>
      </c>
      <c r="B277" s="61" t="str">
        <f t="shared" si="18"/>
        <v>cw18k</v>
      </c>
      <c r="C277" s="61" t="s">
        <v>4182</v>
      </c>
      <c r="D277" s="61" t="s">
        <v>1641</v>
      </c>
      <c r="E277" s="61" t="s">
        <v>3766</v>
      </c>
      <c r="F277" s="2">
        <v>11</v>
      </c>
      <c r="G277" s="2" t="str">
        <f t="shared" si="16"/>
        <v>k</v>
      </c>
      <c r="H277" s="2">
        <v>2018</v>
      </c>
      <c r="I277" s="2" t="str">
        <f t="shared" si="19"/>
        <v>cw18k093</v>
      </c>
      <c r="J277" s="2" t="s">
        <v>3767</v>
      </c>
      <c r="K277" s="8" t="s">
        <v>1600</v>
      </c>
      <c r="L277"/>
      <c r="M277" s="2" t="s">
        <v>1601</v>
      </c>
      <c r="P277" s="2" t="s">
        <v>1127</v>
      </c>
      <c r="Q277" t="s">
        <v>1127</v>
      </c>
    </row>
    <row r="278" spans="1:17" x14ac:dyDescent="0.2">
      <c r="A278" s="61" t="s">
        <v>777</v>
      </c>
      <c r="B278" s="61" t="str">
        <f t="shared" si="18"/>
        <v>cw08a</v>
      </c>
      <c r="C278" s="61" t="s">
        <v>4182</v>
      </c>
      <c r="D278" s="61" t="s">
        <v>1641</v>
      </c>
      <c r="E278" s="61" t="s">
        <v>3768</v>
      </c>
      <c r="F278" s="2">
        <v>1</v>
      </c>
      <c r="G278" s="2" t="str">
        <f t="shared" si="16"/>
        <v>a</v>
      </c>
      <c r="H278" s="2">
        <v>2008</v>
      </c>
      <c r="I278" s="2" t="str">
        <f t="shared" ref="I278:I288" si="20">B278&amp;"088"</f>
        <v>cw08a088</v>
      </c>
      <c r="J278" s="2" t="s">
        <v>3769</v>
      </c>
      <c r="K278" s="8" t="s">
        <v>1600</v>
      </c>
      <c r="L278"/>
      <c r="M278" s="2" t="s">
        <v>1601</v>
      </c>
      <c r="P278" s="2" t="s">
        <v>1127</v>
      </c>
      <c r="Q278" t="s">
        <v>1127</v>
      </c>
    </row>
    <row r="279" spans="1:17" x14ac:dyDescent="0.2">
      <c r="A279" s="61" t="s">
        <v>777</v>
      </c>
      <c r="B279" s="61" t="str">
        <f t="shared" si="18"/>
        <v>cw09b</v>
      </c>
      <c r="C279" s="61" t="s">
        <v>4182</v>
      </c>
      <c r="D279" s="61" t="s">
        <v>1641</v>
      </c>
      <c r="E279" s="61" t="s">
        <v>3768</v>
      </c>
      <c r="F279" s="2">
        <v>2</v>
      </c>
      <c r="G279" s="2" t="str">
        <f t="shared" si="16"/>
        <v>b</v>
      </c>
      <c r="H279" s="2">
        <v>2009</v>
      </c>
      <c r="I279" s="2" t="str">
        <f t="shared" si="20"/>
        <v>cw09b088</v>
      </c>
      <c r="J279" s="2" t="s">
        <v>3769</v>
      </c>
      <c r="K279" s="8" t="s">
        <v>1600</v>
      </c>
      <c r="L279"/>
      <c r="M279" s="2" t="s">
        <v>1601</v>
      </c>
      <c r="P279" s="2" t="s">
        <v>1127</v>
      </c>
      <c r="Q279" t="s">
        <v>1127</v>
      </c>
    </row>
    <row r="280" spans="1:17" x14ac:dyDescent="0.2">
      <c r="A280" s="61" t="s">
        <v>777</v>
      </c>
      <c r="B280" s="61" t="str">
        <f t="shared" si="18"/>
        <v>cw10c</v>
      </c>
      <c r="C280" s="61" t="s">
        <v>4182</v>
      </c>
      <c r="D280" s="61" t="s">
        <v>1641</v>
      </c>
      <c r="E280" s="61" t="s">
        <v>3768</v>
      </c>
      <c r="F280" s="2">
        <v>3</v>
      </c>
      <c r="G280" s="2" t="str">
        <f t="shared" si="16"/>
        <v>c</v>
      </c>
      <c r="H280" s="2">
        <v>2010</v>
      </c>
      <c r="I280" s="2" t="str">
        <f t="shared" si="20"/>
        <v>cw10c088</v>
      </c>
      <c r="J280" s="2" t="s">
        <v>3769</v>
      </c>
      <c r="K280" s="8" t="s">
        <v>1600</v>
      </c>
      <c r="L280"/>
      <c r="M280" s="2" t="s">
        <v>1601</v>
      </c>
      <c r="P280" s="2" t="s">
        <v>1127</v>
      </c>
      <c r="Q280" t="s">
        <v>1127</v>
      </c>
    </row>
    <row r="281" spans="1:17" x14ac:dyDescent="0.2">
      <c r="A281" s="61" t="s">
        <v>777</v>
      </c>
      <c r="B281" s="61" t="str">
        <f t="shared" si="18"/>
        <v>cw11d</v>
      </c>
      <c r="C281" s="61" t="s">
        <v>4182</v>
      </c>
      <c r="D281" s="61" t="s">
        <v>1641</v>
      </c>
      <c r="E281" s="61" t="s">
        <v>3768</v>
      </c>
      <c r="F281" s="2">
        <v>4</v>
      </c>
      <c r="G281" s="2" t="str">
        <f t="shared" si="16"/>
        <v>d</v>
      </c>
      <c r="H281" s="2">
        <v>2011</v>
      </c>
      <c r="I281" s="2" t="str">
        <f t="shared" si="20"/>
        <v>cw11d088</v>
      </c>
      <c r="J281" s="2" t="s">
        <v>3769</v>
      </c>
      <c r="K281" s="8" t="s">
        <v>1600</v>
      </c>
      <c r="L281"/>
      <c r="M281" s="2" t="s">
        <v>1601</v>
      </c>
      <c r="P281" s="2" t="s">
        <v>1127</v>
      </c>
      <c r="Q281" t="s">
        <v>1127</v>
      </c>
    </row>
    <row r="282" spans="1:17" x14ac:dyDescent="0.2">
      <c r="A282" s="61" t="s">
        <v>777</v>
      </c>
      <c r="B282" s="61" t="str">
        <f t="shared" si="18"/>
        <v>cw12e</v>
      </c>
      <c r="C282" s="61" t="s">
        <v>4182</v>
      </c>
      <c r="D282" s="61" t="s">
        <v>1641</v>
      </c>
      <c r="E282" s="61" t="s">
        <v>3768</v>
      </c>
      <c r="F282" s="2">
        <v>5</v>
      </c>
      <c r="G282" s="2" t="str">
        <f t="shared" si="16"/>
        <v>e</v>
      </c>
      <c r="H282" s="2">
        <v>2012</v>
      </c>
      <c r="I282" s="2" t="str">
        <f t="shared" si="20"/>
        <v>cw12e088</v>
      </c>
      <c r="J282" s="2" t="s">
        <v>3769</v>
      </c>
      <c r="K282" s="8" t="s">
        <v>1600</v>
      </c>
      <c r="L282"/>
      <c r="M282" s="2" t="s">
        <v>1601</v>
      </c>
      <c r="P282" s="2" t="s">
        <v>1127</v>
      </c>
      <c r="Q282" t="s">
        <v>1127</v>
      </c>
    </row>
    <row r="283" spans="1:17" x14ac:dyDescent="0.2">
      <c r="A283" s="61" t="s">
        <v>777</v>
      </c>
      <c r="B283" s="61" t="str">
        <f t="shared" si="18"/>
        <v>cw13f</v>
      </c>
      <c r="C283" s="61" t="s">
        <v>4182</v>
      </c>
      <c r="D283" s="61" t="s">
        <v>1641</v>
      </c>
      <c r="E283" s="61" t="s">
        <v>3768</v>
      </c>
      <c r="F283" s="2">
        <v>6</v>
      </c>
      <c r="G283" s="2" t="str">
        <f t="shared" si="16"/>
        <v>f</v>
      </c>
      <c r="H283" s="2">
        <v>2013</v>
      </c>
      <c r="I283" s="2" t="str">
        <f t="shared" si="20"/>
        <v>cw13f088</v>
      </c>
      <c r="J283" s="2" t="s">
        <v>3769</v>
      </c>
      <c r="K283" s="8" t="s">
        <v>1600</v>
      </c>
      <c r="L283"/>
      <c r="M283" s="2" t="s">
        <v>1601</v>
      </c>
      <c r="P283" s="2" t="s">
        <v>1127</v>
      </c>
      <c r="Q283" t="s">
        <v>1127</v>
      </c>
    </row>
    <row r="284" spans="1:17" x14ac:dyDescent="0.2">
      <c r="A284" s="61" t="s">
        <v>777</v>
      </c>
      <c r="B284" s="61" t="str">
        <f t="shared" si="18"/>
        <v>cw14g</v>
      </c>
      <c r="C284" s="61" t="s">
        <v>4182</v>
      </c>
      <c r="D284" s="61" t="s">
        <v>1641</v>
      </c>
      <c r="E284" s="61" t="s">
        <v>3768</v>
      </c>
      <c r="F284" s="2">
        <v>7</v>
      </c>
      <c r="G284" s="2" t="str">
        <f t="shared" si="16"/>
        <v>g</v>
      </c>
      <c r="H284" s="2">
        <v>2014</v>
      </c>
      <c r="I284" s="2" t="str">
        <f t="shared" si="20"/>
        <v>cw14g088</v>
      </c>
      <c r="J284" s="2" t="s">
        <v>3769</v>
      </c>
      <c r="K284" s="8" t="s">
        <v>1600</v>
      </c>
      <c r="L284"/>
      <c r="M284" s="2" t="s">
        <v>1601</v>
      </c>
      <c r="P284" s="2" t="s">
        <v>1127</v>
      </c>
      <c r="Q284" t="s">
        <v>1127</v>
      </c>
    </row>
    <row r="285" spans="1:17" x14ac:dyDescent="0.2">
      <c r="A285" s="61" t="s">
        <v>777</v>
      </c>
      <c r="B285" s="61" t="str">
        <f t="shared" si="18"/>
        <v>cw15h</v>
      </c>
      <c r="C285" s="61" t="s">
        <v>4182</v>
      </c>
      <c r="D285" s="61" t="s">
        <v>1641</v>
      </c>
      <c r="E285" s="61" t="s">
        <v>3768</v>
      </c>
      <c r="F285" s="2">
        <v>8</v>
      </c>
      <c r="G285" s="2" t="str">
        <f t="shared" si="16"/>
        <v>h</v>
      </c>
      <c r="H285" s="2">
        <v>2015</v>
      </c>
      <c r="I285" s="2" t="str">
        <f t="shared" si="20"/>
        <v>cw15h088</v>
      </c>
      <c r="J285" s="2" t="s">
        <v>3769</v>
      </c>
      <c r="K285" s="8" t="s">
        <v>1600</v>
      </c>
      <c r="L285"/>
      <c r="M285" s="2" t="s">
        <v>1601</v>
      </c>
      <c r="P285" s="2" t="s">
        <v>1127</v>
      </c>
      <c r="Q285" t="s">
        <v>1127</v>
      </c>
    </row>
    <row r="286" spans="1:17" x14ac:dyDescent="0.2">
      <c r="A286" s="61" t="s">
        <v>777</v>
      </c>
      <c r="B286" s="61" t="str">
        <f t="shared" si="18"/>
        <v>cw16i</v>
      </c>
      <c r="C286" s="61" t="s">
        <v>4182</v>
      </c>
      <c r="D286" s="61" t="s">
        <v>1641</v>
      </c>
      <c r="E286" s="61" t="s">
        <v>3768</v>
      </c>
      <c r="F286" s="2">
        <v>9</v>
      </c>
      <c r="G286" s="2" t="str">
        <f t="shared" si="16"/>
        <v>i</v>
      </c>
      <c r="H286" s="2">
        <v>2016</v>
      </c>
      <c r="I286" s="2" t="str">
        <f t="shared" si="20"/>
        <v>cw16i088</v>
      </c>
      <c r="J286" s="2" t="s">
        <v>3769</v>
      </c>
      <c r="K286" s="8" t="s">
        <v>1600</v>
      </c>
      <c r="L286"/>
      <c r="M286" s="2" t="s">
        <v>1601</v>
      </c>
      <c r="P286" s="2" t="s">
        <v>1127</v>
      </c>
      <c r="Q286" t="s">
        <v>1127</v>
      </c>
    </row>
    <row r="287" spans="1:17" x14ac:dyDescent="0.2">
      <c r="A287" s="61" t="s">
        <v>777</v>
      </c>
      <c r="B287" s="61" t="str">
        <f t="shared" si="18"/>
        <v>cw17j</v>
      </c>
      <c r="C287" s="61" t="s">
        <v>4182</v>
      </c>
      <c r="D287" s="61" t="s">
        <v>1641</v>
      </c>
      <c r="E287" s="61" t="s">
        <v>3768</v>
      </c>
      <c r="F287" s="2">
        <v>10</v>
      </c>
      <c r="G287" s="2" t="str">
        <f t="shared" si="16"/>
        <v>j</v>
      </c>
      <c r="H287" s="2">
        <v>2017</v>
      </c>
      <c r="I287" s="2" t="str">
        <f t="shared" si="20"/>
        <v>cw17j088</v>
      </c>
      <c r="J287" s="2" t="s">
        <v>3769</v>
      </c>
      <c r="K287" s="8" t="s">
        <v>1600</v>
      </c>
      <c r="L287"/>
      <c r="M287" s="2" t="s">
        <v>1601</v>
      </c>
      <c r="P287" s="2" t="s">
        <v>1127</v>
      </c>
      <c r="Q287" t="s">
        <v>1127</v>
      </c>
    </row>
    <row r="288" spans="1:17" x14ac:dyDescent="0.2">
      <c r="A288" s="61" t="s">
        <v>777</v>
      </c>
      <c r="B288" s="61" t="str">
        <f t="shared" si="18"/>
        <v>cw18k</v>
      </c>
      <c r="C288" s="61" t="s">
        <v>4182</v>
      </c>
      <c r="D288" s="61" t="s">
        <v>1641</v>
      </c>
      <c r="E288" s="61" t="s">
        <v>3768</v>
      </c>
      <c r="F288" s="2">
        <v>11</v>
      </c>
      <c r="G288" s="2" t="str">
        <f t="shared" ref="G288:G319" si="21">MID("abcdefghijklmnopqrstuvwxyz",F288,1)</f>
        <v>k</v>
      </c>
      <c r="H288" s="2">
        <v>2018</v>
      </c>
      <c r="I288" s="2" t="str">
        <f t="shared" si="20"/>
        <v>cw18k088</v>
      </c>
      <c r="J288" s="2" t="s">
        <v>3769</v>
      </c>
      <c r="K288" s="8" t="s">
        <v>1600</v>
      </c>
      <c r="L288"/>
      <c r="M288" s="2" t="s">
        <v>1601</v>
      </c>
      <c r="P288" s="2" t="s">
        <v>1127</v>
      </c>
      <c r="Q288" t="s">
        <v>1127</v>
      </c>
    </row>
    <row r="289" spans="1:17" x14ac:dyDescent="0.2">
      <c r="A289" s="64" t="s">
        <v>777</v>
      </c>
      <c r="B289" s="65" t="str">
        <f t="shared" ref="B289:B320" si="22">"avars_" &amp;  H289</f>
        <v>avars_2008</v>
      </c>
      <c r="C289" s="64" t="s">
        <v>4182</v>
      </c>
      <c r="D289" s="64" t="s">
        <v>602</v>
      </c>
      <c r="E289" s="64" t="s">
        <v>602</v>
      </c>
      <c r="F289" s="2">
        <v>1</v>
      </c>
      <c r="G289" s="2" t="str">
        <f t="shared" si="21"/>
        <v>a</v>
      </c>
      <c r="H289" s="2">
        <v>2008</v>
      </c>
      <c r="I289" s="2" t="s">
        <v>964</v>
      </c>
      <c r="J289" s="2" t="s">
        <v>965</v>
      </c>
      <c r="K289" s="2" t="s">
        <v>966</v>
      </c>
      <c r="M289" s="2" t="s">
        <v>967</v>
      </c>
      <c r="P289" s="2" t="s">
        <v>4181</v>
      </c>
      <c r="Q289" t="s">
        <v>4181</v>
      </c>
    </row>
    <row r="290" spans="1:17" x14ac:dyDescent="0.2">
      <c r="A290" s="64" t="s">
        <v>777</v>
      </c>
      <c r="B290" s="64" t="str">
        <f t="shared" si="22"/>
        <v>avars_2009</v>
      </c>
      <c r="C290" s="64" t="s">
        <v>4182</v>
      </c>
      <c r="D290" s="64" t="s">
        <v>602</v>
      </c>
      <c r="E290" s="64" t="s">
        <v>602</v>
      </c>
      <c r="F290" s="2">
        <v>2</v>
      </c>
      <c r="G290" s="2" t="str">
        <f t="shared" si="21"/>
        <v>b</v>
      </c>
      <c r="H290" s="2">
        <v>2009</v>
      </c>
      <c r="I290" s="2" t="s">
        <v>964</v>
      </c>
      <c r="J290" s="2" t="s">
        <v>965</v>
      </c>
      <c r="K290" s="2" t="s">
        <v>966</v>
      </c>
      <c r="M290" s="2" t="s">
        <v>967</v>
      </c>
      <c r="P290" s="2" t="s">
        <v>4181</v>
      </c>
      <c r="Q290" t="s">
        <v>4181</v>
      </c>
    </row>
    <row r="291" spans="1:17" ht="18" customHeight="1" x14ac:dyDescent="0.2">
      <c r="A291" s="64" t="s">
        <v>777</v>
      </c>
      <c r="B291" s="64" t="str">
        <f t="shared" si="22"/>
        <v>avars_2010</v>
      </c>
      <c r="C291" s="64" t="s">
        <v>4182</v>
      </c>
      <c r="D291" s="64" t="s">
        <v>602</v>
      </c>
      <c r="E291" s="64" t="s">
        <v>602</v>
      </c>
      <c r="F291" s="2">
        <v>3</v>
      </c>
      <c r="G291" s="2" t="str">
        <f t="shared" si="21"/>
        <v>c</v>
      </c>
      <c r="H291" s="2">
        <v>2010</v>
      </c>
      <c r="I291" s="2" t="s">
        <v>964</v>
      </c>
      <c r="J291" s="2" t="s">
        <v>965</v>
      </c>
      <c r="K291" s="2" t="s">
        <v>966</v>
      </c>
      <c r="M291" s="2" t="s">
        <v>967</v>
      </c>
      <c r="P291" s="2" t="s">
        <v>4181</v>
      </c>
      <c r="Q291" t="s">
        <v>4181</v>
      </c>
    </row>
    <row r="292" spans="1:17" ht="18" customHeight="1" x14ac:dyDescent="0.2">
      <c r="A292" s="64" t="s">
        <v>777</v>
      </c>
      <c r="B292" s="64" t="str">
        <f t="shared" si="22"/>
        <v>avars_2011</v>
      </c>
      <c r="C292" s="64" t="s">
        <v>4182</v>
      </c>
      <c r="D292" s="64" t="s">
        <v>602</v>
      </c>
      <c r="E292" s="64" t="s">
        <v>602</v>
      </c>
      <c r="F292" s="2">
        <v>4</v>
      </c>
      <c r="G292" s="2" t="str">
        <f t="shared" si="21"/>
        <v>d</v>
      </c>
      <c r="H292" s="2">
        <v>2011</v>
      </c>
      <c r="I292" s="2" t="s">
        <v>964</v>
      </c>
      <c r="J292" s="2" t="s">
        <v>965</v>
      </c>
      <c r="K292" s="2" t="s">
        <v>966</v>
      </c>
      <c r="M292" s="2" t="s">
        <v>967</v>
      </c>
      <c r="P292" s="2" t="s">
        <v>4181</v>
      </c>
      <c r="Q292" t="s">
        <v>4181</v>
      </c>
    </row>
    <row r="293" spans="1:17" ht="18" customHeight="1" x14ac:dyDescent="0.2">
      <c r="A293" s="64" t="s">
        <v>777</v>
      </c>
      <c r="B293" s="64" t="str">
        <f t="shared" si="22"/>
        <v>avars_2012</v>
      </c>
      <c r="C293" s="64" t="s">
        <v>4182</v>
      </c>
      <c r="D293" s="64" t="s">
        <v>602</v>
      </c>
      <c r="E293" s="64" t="s">
        <v>602</v>
      </c>
      <c r="F293" s="2">
        <v>5</v>
      </c>
      <c r="G293" s="2" t="str">
        <f t="shared" si="21"/>
        <v>e</v>
      </c>
      <c r="H293" s="2">
        <v>2012</v>
      </c>
      <c r="I293" s="2" t="s">
        <v>964</v>
      </c>
      <c r="J293" s="2" t="s">
        <v>965</v>
      </c>
      <c r="K293" s="2" t="s">
        <v>966</v>
      </c>
      <c r="M293" s="2" t="s">
        <v>967</v>
      </c>
      <c r="P293" s="2" t="s">
        <v>4181</v>
      </c>
      <c r="Q293" t="s">
        <v>4181</v>
      </c>
    </row>
    <row r="294" spans="1:17" ht="18" customHeight="1" x14ac:dyDescent="0.2">
      <c r="A294" s="64" t="s">
        <v>777</v>
      </c>
      <c r="B294" s="64" t="str">
        <f t="shared" si="22"/>
        <v>avars_2013</v>
      </c>
      <c r="C294" s="64" t="s">
        <v>4182</v>
      </c>
      <c r="D294" s="64" t="s">
        <v>602</v>
      </c>
      <c r="E294" s="64" t="s">
        <v>602</v>
      </c>
      <c r="F294" s="2">
        <v>6</v>
      </c>
      <c r="G294" s="2" t="str">
        <f t="shared" si="21"/>
        <v>f</v>
      </c>
      <c r="H294" s="2">
        <v>2013</v>
      </c>
      <c r="I294" s="2" t="s">
        <v>964</v>
      </c>
      <c r="J294" s="2" t="s">
        <v>965</v>
      </c>
      <c r="K294" s="2" t="s">
        <v>966</v>
      </c>
      <c r="M294" s="2" t="s">
        <v>967</v>
      </c>
      <c r="P294" s="2" t="s">
        <v>4181</v>
      </c>
      <c r="Q294" t="s">
        <v>4181</v>
      </c>
    </row>
    <row r="295" spans="1:17" ht="18" customHeight="1" x14ac:dyDescent="0.2">
      <c r="A295" s="64" t="s">
        <v>777</v>
      </c>
      <c r="B295" s="64" t="str">
        <f t="shared" si="22"/>
        <v>avars_2014</v>
      </c>
      <c r="C295" s="64" t="s">
        <v>4182</v>
      </c>
      <c r="D295" s="64" t="s">
        <v>602</v>
      </c>
      <c r="E295" s="64" t="s">
        <v>602</v>
      </c>
      <c r="F295" s="2">
        <v>7</v>
      </c>
      <c r="G295" s="2" t="str">
        <f t="shared" si="21"/>
        <v>g</v>
      </c>
      <c r="H295" s="2">
        <v>2014</v>
      </c>
      <c r="I295" s="2" t="s">
        <v>964</v>
      </c>
      <c r="J295" s="2" t="s">
        <v>965</v>
      </c>
      <c r="K295" s="2" t="s">
        <v>966</v>
      </c>
      <c r="M295" s="2" t="s">
        <v>967</v>
      </c>
      <c r="P295" s="2" t="s">
        <v>4181</v>
      </c>
      <c r="Q295" t="s">
        <v>4181</v>
      </c>
    </row>
    <row r="296" spans="1:17" ht="18" customHeight="1" x14ac:dyDescent="0.2">
      <c r="A296" s="64" t="s">
        <v>777</v>
      </c>
      <c r="B296" s="64" t="str">
        <f t="shared" si="22"/>
        <v>avars_2015</v>
      </c>
      <c r="C296" s="64" t="s">
        <v>4182</v>
      </c>
      <c r="D296" s="64" t="s">
        <v>602</v>
      </c>
      <c r="E296" s="64" t="s">
        <v>602</v>
      </c>
      <c r="F296" s="2">
        <v>8</v>
      </c>
      <c r="G296" s="2" t="str">
        <f t="shared" si="21"/>
        <v>h</v>
      </c>
      <c r="H296" s="2">
        <v>2015</v>
      </c>
      <c r="I296" s="2" t="s">
        <v>964</v>
      </c>
      <c r="J296" s="2" t="s">
        <v>965</v>
      </c>
      <c r="K296" s="2" t="s">
        <v>966</v>
      </c>
      <c r="M296" s="2" t="s">
        <v>967</v>
      </c>
      <c r="P296" s="2" t="s">
        <v>4181</v>
      </c>
      <c r="Q296" t="s">
        <v>4181</v>
      </c>
    </row>
    <row r="297" spans="1:17" ht="18" customHeight="1" x14ac:dyDescent="0.2">
      <c r="A297" s="64" t="s">
        <v>777</v>
      </c>
      <c r="B297" s="64" t="str">
        <f t="shared" si="22"/>
        <v>avars_2016</v>
      </c>
      <c r="C297" s="64" t="s">
        <v>4182</v>
      </c>
      <c r="D297" s="64" t="s">
        <v>602</v>
      </c>
      <c r="E297" s="64" t="s">
        <v>602</v>
      </c>
      <c r="F297" s="2">
        <v>9</v>
      </c>
      <c r="G297" s="2" t="str">
        <f t="shared" si="21"/>
        <v>i</v>
      </c>
      <c r="H297" s="2">
        <v>2016</v>
      </c>
      <c r="I297" s="2" t="s">
        <v>964</v>
      </c>
      <c r="J297" s="2" t="s">
        <v>965</v>
      </c>
      <c r="K297" s="2" t="s">
        <v>966</v>
      </c>
      <c r="M297" s="2" t="s">
        <v>967</v>
      </c>
      <c r="P297" s="2" t="s">
        <v>4181</v>
      </c>
      <c r="Q297" t="s">
        <v>4181</v>
      </c>
    </row>
    <row r="298" spans="1:17" ht="18" customHeight="1" x14ac:dyDescent="0.2">
      <c r="A298" s="64" t="s">
        <v>777</v>
      </c>
      <c r="B298" s="64" t="str">
        <f t="shared" si="22"/>
        <v>avars_2017</v>
      </c>
      <c r="C298" s="64" t="s">
        <v>4182</v>
      </c>
      <c r="D298" s="64" t="s">
        <v>602</v>
      </c>
      <c r="E298" s="64" t="s">
        <v>602</v>
      </c>
      <c r="F298" s="2">
        <v>10</v>
      </c>
      <c r="G298" s="2" t="str">
        <f t="shared" si="21"/>
        <v>j</v>
      </c>
      <c r="H298" s="2">
        <v>2017</v>
      </c>
      <c r="I298" s="2" t="s">
        <v>964</v>
      </c>
      <c r="J298" s="2" t="s">
        <v>965</v>
      </c>
      <c r="K298" s="2" t="s">
        <v>966</v>
      </c>
      <c r="M298" s="2" t="s">
        <v>967</v>
      </c>
      <c r="P298" s="2" t="s">
        <v>4181</v>
      </c>
      <c r="Q298" t="s">
        <v>4181</v>
      </c>
    </row>
    <row r="299" spans="1:17" ht="18" customHeight="1" x14ac:dyDescent="0.2">
      <c r="A299" s="64" t="s">
        <v>777</v>
      </c>
      <c r="B299" s="64" t="str">
        <f t="shared" si="22"/>
        <v>avars_2018</v>
      </c>
      <c r="C299" s="64" t="s">
        <v>4182</v>
      </c>
      <c r="D299" s="64" t="s">
        <v>602</v>
      </c>
      <c r="E299" s="64" t="s">
        <v>602</v>
      </c>
      <c r="F299" s="2">
        <v>11</v>
      </c>
      <c r="G299" s="2" t="str">
        <f t="shared" si="21"/>
        <v>k</v>
      </c>
      <c r="H299" s="2">
        <v>2018</v>
      </c>
      <c r="I299" s="2" t="s">
        <v>964</v>
      </c>
      <c r="J299" s="2" t="s">
        <v>965</v>
      </c>
      <c r="K299" s="2" t="s">
        <v>966</v>
      </c>
      <c r="M299" s="2" t="s">
        <v>967</v>
      </c>
      <c r="P299" s="2" t="s">
        <v>4181</v>
      </c>
      <c r="Q299" t="s">
        <v>4181</v>
      </c>
    </row>
    <row r="300" spans="1:17" ht="18" customHeight="1" x14ac:dyDescent="0.2">
      <c r="A300" s="64" t="s">
        <v>777</v>
      </c>
      <c r="B300" s="64" t="str">
        <f t="shared" si="22"/>
        <v>avars_2008</v>
      </c>
      <c r="C300" s="64" t="s">
        <v>4182</v>
      </c>
      <c r="D300" s="64" t="s">
        <v>602</v>
      </c>
      <c r="E300" s="64" t="s">
        <v>602</v>
      </c>
      <c r="F300" s="2">
        <v>1</v>
      </c>
      <c r="G300" s="2" t="str">
        <f t="shared" si="21"/>
        <v>a</v>
      </c>
      <c r="H300" s="2">
        <v>2008</v>
      </c>
      <c r="I300" s="2" t="s">
        <v>964</v>
      </c>
      <c r="J300" s="2" t="s">
        <v>965</v>
      </c>
      <c r="K300" s="2" t="s">
        <v>966</v>
      </c>
      <c r="M300" s="2" t="s">
        <v>967</v>
      </c>
      <c r="P300" s="2" t="s">
        <v>4181</v>
      </c>
      <c r="Q300" t="s">
        <v>4181</v>
      </c>
    </row>
    <row r="301" spans="1:17" ht="18" customHeight="1" x14ac:dyDescent="0.2">
      <c r="A301" s="64" t="s">
        <v>777</v>
      </c>
      <c r="B301" s="64" t="str">
        <f t="shared" si="22"/>
        <v>avars_2009</v>
      </c>
      <c r="C301" s="64" t="s">
        <v>4182</v>
      </c>
      <c r="D301" s="64" t="s">
        <v>602</v>
      </c>
      <c r="E301" s="64" t="s">
        <v>602</v>
      </c>
      <c r="F301" s="2">
        <v>2</v>
      </c>
      <c r="G301" s="2" t="str">
        <f t="shared" si="21"/>
        <v>b</v>
      </c>
      <c r="H301" s="2">
        <v>2009</v>
      </c>
      <c r="I301" s="2" t="s">
        <v>964</v>
      </c>
      <c r="J301" s="2" t="s">
        <v>965</v>
      </c>
      <c r="K301" s="2" t="s">
        <v>966</v>
      </c>
      <c r="M301" s="2" t="s">
        <v>967</v>
      </c>
      <c r="P301" s="2" t="s">
        <v>4181</v>
      </c>
      <c r="Q301" t="s">
        <v>4181</v>
      </c>
    </row>
    <row r="302" spans="1:17" ht="18" customHeight="1" x14ac:dyDescent="0.2">
      <c r="A302" s="64" t="s">
        <v>777</v>
      </c>
      <c r="B302" s="64" t="str">
        <f t="shared" si="22"/>
        <v>avars_2010</v>
      </c>
      <c r="C302" s="64" t="s">
        <v>4182</v>
      </c>
      <c r="D302" s="64" t="s">
        <v>602</v>
      </c>
      <c r="E302" s="64" t="s">
        <v>602</v>
      </c>
      <c r="F302" s="2">
        <v>3</v>
      </c>
      <c r="G302" s="2" t="str">
        <f t="shared" si="21"/>
        <v>c</v>
      </c>
      <c r="H302" s="2">
        <v>2010</v>
      </c>
      <c r="I302" s="2" t="s">
        <v>964</v>
      </c>
      <c r="J302" s="2" t="s">
        <v>965</v>
      </c>
      <c r="K302" s="2" t="s">
        <v>966</v>
      </c>
      <c r="M302" s="2" t="s">
        <v>967</v>
      </c>
      <c r="P302" s="2" t="s">
        <v>4181</v>
      </c>
      <c r="Q302" t="s">
        <v>4181</v>
      </c>
    </row>
    <row r="303" spans="1:17" ht="18" customHeight="1" x14ac:dyDescent="0.2">
      <c r="A303" s="64" t="s">
        <v>777</v>
      </c>
      <c r="B303" s="64" t="str">
        <f t="shared" si="22"/>
        <v>avars_2011</v>
      </c>
      <c r="C303" s="64" t="s">
        <v>4182</v>
      </c>
      <c r="D303" s="64" t="s">
        <v>602</v>
      </c>
      <c r="E303" s="64" t="s">
        <v>602</v>
      </c>
      <c r="F303" s="2">
        <v>4</v>
      </c>
      <c r="G303" s="2" t="str">
        <f t="shared" si="21"/>
        <v>d</v>
      </c>
      <c r="H303" s="2">
        <v>2011</v>
      </c>
      <c r="I303" s="2" t="s">
        <v>964</v>
      </c>
      <c r="J303" s="2" t="s">
        <v>965</v>
      </c>
      <c r="K303" s="2" t="s">
        <v>966</v>
      </c>
      <c r="M303" s="2" t="s">
        <v>967</v>
      </c>
      <c r="P303" s="2" t="s">
        <v>4181</v>
      </c>
      <c r="Q303" t="s">
        <v>4181</v>
      </c>
    </row>
    <row r="304" spans="1:17" ht="18" customHeight="1" x14ac:dyDescent="0.2">
      <c r="A304" s="64" t="s">
        <v>777</v>
      </c>
      <c r="B304" s="64" t="str">
        <f t="shared" si="22"/>
        <v>avars_2012</v>
      </c>
      <c r="C304" s="64" t="s">
        <v>4182</v>
      </c>
      <c r="D304" s="64" t="s">
        <v>602</v>
      </c>
      <c r="E304" s="64" t="s">
        <v>602</v>
      </c>
      <c r="F304" s="2">
        <v>5</v>
      </c>
      <c r="G304" s="2" t="str">
        <f t="shared" si="21"/>
        <v>e</v>
      </c>
      <c r="H304" s="2">
        <v>2012</v>
      </c>
      <c r="I304" s="2" t="s">
        <v>964</v>
      </c>
      <c r="J304" s="2" t="s">
        <v>965</v>
      </c>
      <c r="K304" s="2" t="s">
        <v>966</v>
      </c>
      <c r="M304" s="2" t="s">
        <v>967</v>
      </c>
      <c r="P304" s="2" t="s">
        <v>4181</v>
      </c>
      <c r="Q304" t="s">
        <v>4181</v>
      </c>
    </row>
    <row r="305" spans="1:17" ht="18" customHeight="1" x14ac:dyDescent="0.2">
      <c r="A305" s="64" t="s">
        <v>777</v>
      </c>
      <c r="B305" s="64" t="str">
        <f t="shared" si="22"/>
        <v>avars_2013</v>
      </c>
      <c r="C305" s="64" t="s">
        <v>4182</v>
      </c>
      <c r="D305" s="64" t="s">
        <v>602</v>
      </c>
      <c r="E305" s="64" t="s">
        <v>602</v>
      </c>
      <c r="F305" s="2">
        <v>6</v>
      </c>
      <c r="G305" s="2" t="str">
        <f t="shared" si="21"/>
        <v>f</v>
      </c>
      <c r="H305" s="2">
        <v>2013</v>
      </c>
      <c r="I305" s="2" t="s">
        <v>964</v>
      </c>
      <c r="J305" s="2" t="s">
        <v>965</v>
      </c>
      <c r="K305" s="2" t="s">
        <v>966</v>
      </c>
      <c r="M305" s="2" t="s">
        <v>967</v>
      </c>
      <c r="P305" s="2" t="s">
        <v>4181</v>
      </c>
      <c r="Q305" t="s">
        <v>4181</v>
      </c>
    </row>
    <row r="306" spans="1:17" ht="18" customHeight="1" x14ac:dyDescent="0.2">
      <c r="A306" s="64" t="s">
        <v>777</v>
      </c>
      <c r="B306" s="64" t="str">
        <f t="shared" si="22"/>
        <v>avars_2014</v>
      </c>
      <c r="C306" s="64" t="s">
        <v>4182</v>
      </c>
      <c r="D306" s="64" t="s">
        <v>602</v>
      </c>
      <c r="E306" s="64" t="s">
        <v>602</v>
      </c>
      <c r="F306" s="2">
        <v>7</v>
      </c>
      <c r="G306" s="2" t="str">
        <f t="shared" si="21"/>
        <v>g</v>
      </c>
      <c r="H306" s="2">
        <v>2014</v>
      </c>
      <c r="I306" s="2" t="s">
        <v>964</v>
      </c>
      <c r="J306" s="2" t="s">
        <v>965</v>
      </c>
      <c r="K306" s="2" t="s">
        <v>966</v>
      </c>
      <c r="M306" s="2" t="s">
        <v>967</v>
      </c>
      <c r="P306" s="2" t="s">
        <v>4181</v>
      </c>
      <c r="Q306" t="s">
        <v>4181</v>
      </c>
    </row>
    <row r="307" spans="1:17" ht="18" customHeight="1" x14ac:dyDescent="0.2">
      <c r="A307" s="64" t="s">
        <v>777</v>
      </c>
      <c r="B307" s="64" t="str">
        <f t="shared" si="22"/>
        <v>avars_2015</v>
      </c>
      <c r="C307" s="64" t="s">
        <v>4182</v>
      </c>
      <c r="D307" s="64" t="s">
        <v>602</v>
      </c>
      <c r="E307" s="64" t="s">
        <v>602</v>
      </c>
      <c r="F307" s="2">
        <v>8</v>
      </c>
      <c r="G307" s="2" t="str">
        <f t="shared" si="21"/>
        <v>h</v>
      </c>
      <c r="H307" s="2">
        <v>2015</v>
      </c>
      <c r="I307" s="2" t="s">
        <v>964</v>
      </c>
      <c r="J307" s="2" t="s">
        <v>965</v>
      </c>
      <c r="K307" s="2" t="s">
        <v>966</v>
      </c>
      <c r="M307" s="2" t="s">
        <v>967</v>
      </c>
      <c r="P307" s="2" t="s">
        <v>4181</v>
      </c>
      <c r="Q307" t="s">
        <v>4181</v>
      </c>
    </row>
    <row r="308" spans="1:17" ht="18" customHeight="1" x14ac:dyDescent="0.2">
      <c r="A308" s="64" t="s">
        <v>777</v>
      </c>
      <c r="B308" s="64" t="str">
        <f t="shared" si="22"/>
        <v>avars_2016</v>
      </c>
      <c r="C308" s="64" t="s">
        <v>4182</v>
      </c>
      <c r="D308" s="64" t="s">
        <v>602</v>
      </c>
      <c r="E308" s="64" t="s">
        <v>602</v>
      </c>
      <c r="F308" s="2">
        <v>9</v>
      </c>
      <c r="G308" s="2" t="str">
        <f t="shared" si="21"/>
        <v>i</v>
      </c>
      <c r="H308" s="2">
        <v>2016</v>
      </c>
      <c r="I308" s="2" t="s">
        <v>964</v>
      </c>
      <c r="J308" s="2" t="s">
        <v>965</v>
      </c>
      <c r="K308" s="2" t="s">
        <v>966</v>
      </c>
      <c r="M308" s="2" t="s">
        <v>967</v>
      </c>
      <c r="P308" s="2" t="s">
        <v>4181</v>
      </c>
      <c r="Q308" t="s">
        <v>4181</v>
      </c>
    </row>
    <row r="309" spans="1:17" ht="18" customHeight="1" x14ac:dyDescent="0.2">
      <c r="A309" s="64" t="s">
        <v>777</v>
      </c>
      <c r="B309" s="64" t="str">
        <f t="shared" si="22"/>
        <v>avars_2017</v>
      </c>
      <c r="C309" s="64" t="s">
        <v>4182</v>
      </c>
      <c r="D309" s="64" t="s">
        <v>602</v>
      </c>
      <c r="E309" s="64" t="s">
        <v>602</v>
      </c>
      <c r="F309" s="2">
        <v>10</v>
      </c>
      <c r="G309" s="2" t="str">
        <f t="shared" si="21"/>
        <v>j</v>
      </c>
      <c r="H309" s="2">
        <v>2017</v>
      </c>
      <c r="I309" s="2" t="s">
        <v>964</v>
      </c>
      <c r="J309" s="2" t="s">
        <v>965</v>
      </c>
      <c r="K309" s="2" t="s">
        <v>966</v>
      </c>
      <c r="M309" s="2" t="s">
        <v>967</v>
      </c>
      <c r="P309" s="2" t="s">
        <v>4181</v>
      </c>
      <c r="Q309" t="s">
        <v>4181</v>
      </c>
    </row>
    <row r="310" spans="1:17" ht="18" customHeight="1" x14ac:dyDescent="0.2">
      <c r="A310" s="64" t="s">
        <v>777</v>
      </c>
      <c r="B310" s="64" t="str">
        <f t="shared" si="22"/>
        <v>avars_2018</v>
      </c>
      <c r="C310" s="64" t="s">
        <v>4182</v>
      </c>
      <c r="D310" s="64" t="s">
        <v>602</v>
      </c>
      <c r="E310" s="64" t="s">
        <v>602</v>
      </c>
      <c r="F310" s="2">
        <v>11</v>
      </c>
      <c r="G310" s="2" t="str">
        <f t="shared" si="21"/>
        <v>k</v>
      </c>
      <c r="H310" s="2">
        <v>2018</v>
      </c>
      <c r="I310" s="2" t="s">
        <v>964</v>
      </c>
      <c r="J310" s="2" t="s">
        <v>965</v>
      </c>
      <c r="K310" s="2" t="s">
        <v>966</v>
      </c>
      <c r="M310" s="2" t="s">
        <v>967</v>
      </c>
      <c r="P310" s="2" t="s">
        <v>4181</v>
      </c>
      <c r="Q310" t="s">
        <v>4181</v>
      </c>
    </row>
    <row r="311" spans="1:17" ht="18" customHeight="1" x14ac:dyDescent="0.2">
      <c r="A311" s="64" t="s">
        <v>777</v>
      </c>
      <c r="B311" s="64" t="str">
        <f t="shared" si="22"/>
        <v>avars_2008</v>
      </c>
      <c r="C311" s="64" t="s">
        <v>4182</v>
      </c>
      <c r="D311" s="64" t="s">
        <v>602</v>
      </c>
      <c r="E311" s="64" t="s">
        <v>602</v>
      </c>
      <c r="F311" s="2">
        <v>1</v>
      </c>
      <c r="G311" s="2" t="str">
        <f t="shared" si="21"/>
        <v>a</v>
      </c>
      <c r="H311" s="2">
        <v>2008</v>
      </c>
      <c r="I311" s="2" t="s">
        <v>964</v>
      </c>
      <c r="J311" s="2" t="s">
        <v>965</v>
      </c>
      <c r="K311" s="2" t="s">
        <v>966</v>
      </c>
      <c r="M311" s="2" t="s">
        <v>967</v>
      </c>
      <c r="P311" s="2" t="s">
        <v>4181</v>
      </c>
      <c r="Q311" t="s">
        <v>4181</v>
      </c>
    </row>
    <row r="312" spans="1:17" ht="18" customHeight="1" x14ac:dyDescent="0.2">
      <c r="A312" s="64" t="s">
        <v>777</v>
      </c>
      <c r="B312" s="64" t="str">
        <f t="shared" si="22"/>
        <v>avars_2009</v>
      </c>
      <c r="C312" s="64" t="s">
        <v>4182</v>
      </c>
      <c r="D312" s="64" t="s">
        <v>602</v>
      </c>
      <c r="E312" s="64" t="s">
        <v>602</v>
      </c>
      <c r="F312" s="2">
        <v>2</v>
      </c>
      <c r="G312" s="2" t="str">
        <f t="shared" si="21"/>
        <v>b</v>
      </c>
      <c r="H312" s="2">
        <v>2009</v>
      </c>
      <c r="I312" s="2" t="s">
        <v>964</v>
      </c>
      <c r="J312" s="2" t="s">
        <v>965</v>
      </c>
      <c r="K312" s="2" t="s">
        <v>966</v>
      </c>
      <c r="M312" s="2" t="s">
        <v>967</v>
      </c>
      <c r="P312" s="2" t="s">
        <v>4181</v>
      </c>
      <c r="Q312" t="s">
        <v>4181</v>
      </c>
    </row>
    <row r="313" spans="1:17" ht="18" customHeight="1" x14ac:dyDescent="0.2">
      <c r="A313" s="64" t="s">
        <v>777</v>
      </c>
      <c r="B313" s="64" t="str">
        <f t="shared" si="22"/>
        <v>avars_2010</v>
      </c>
      <c r="C313" s="64" t="s">
        <v>4182</v>
      </c>
      <c r="D313" s="64" t="s">
        <v>602</v>
      </c>
      <c r="E313" s="64" t="s">
        <v>602</v>
      </c>
      <c r="F313" s="2">
        <v>3</v>
      </c>
      <c r="G313" s="2" t="str">
        <f t="shared" si="21"/>
        <v>c</v>
      </c>
      <c r="H313" s="2">
        <v>2010</v>
      </c>
      <c r="I313" s="2" t="s">
        <v>964</v>
      </c>
      <c r="J313" s="2" t="s">
        <v>965</v>
      </c>
      <c r="K313" s="2" t="s">
        <v>966</v>
      </c>
      <c r="M313" s="2" t="s">
        <v>967</v>
      </c>
      <c r="P313" s="2" t="s">
        <v>4181</v>
      </c>
      <c r="Q313" t="s">
        <v>4181</v>
      </c>
    </row>
    <row r="314" spans="1:17" ht="18" customHeight="1" x14ac:dyDescent="0.2">
      <c r="A314" s="64" t="s">
        <v>777</v>
      </c>
      <c r="B314" s="64" t="str">
        <f t="shared" si="22"/>
        <v>avars_2011</v>
      </c>
      <c r="C314" s="64" t="s">
        <v>4182</v>
      </c>
      <c r="D314" s="64" t="s">
        <v>602</v>
      </c>
      <c r="E314" s="64" t="s">
        <v>602</v>
      </c>
      <c r="F314" s="2">
        <v>4</v>
      </c>
      <c r="G314" s="2" t="str">
        <f t="shared" si="21"/>
        <v>d</v>
      </c>
      <c r="H314" s="2">
        <v>2011</v>
      </c>
      <c r="I314" s="2" t="s">
        <v>964</v>
      </c>
      <c r="J314" s="2" t="s">
        <v>965</v>
      </c>
      <c r="K314" s="2" t="s">
        <v>966</v>
      </c>
      <c r="M314" s="2" t="s">
        <v>967</v>
      </c>
      <c r="P314" s="2" t="s">
        <v>4181</v>
      </c>
      <c r="Q314" t="s">
        <v>4181</v>
      </c>
    </row>
    <row r="315" spans="1:17" ht="18" customHeight="1" x14ac:dyDescent="0.2">
      <c r="A315" s="64" t="s">
        <v>777</v>
      </c>
      <c r="B315" s="64" t="str">
        <f t="shared" si="22"/>
        <v>avars_2012</v>
      </c>
      <c r="C315" s="64" t="s">
        <v>4182</v>
      </c>
      <c r="D315" s="64" t="s">
        <v>602</v>
      </c>
      <c r="E315" s="64" t="s">
        <v>602</v>
      </c>
      <c r="F315" s="2">
        <v>5</v>
      </c>
      <c r="G315" s="2" t="str">
        <f t="shared" si="21"/>
        <v>e</v>
      </c>
      <c r="H315" s="2">
        <v>2012</v>
      </c>
      <c r="I315" s="2" t="s">
        <v>964</v>
      </c>
      <c r="J315" s="2" t="s">
        <v>965</v>
      </c>
      <c r="K315" s="2" t="s">
        <v>966</v>
      </c>
      <c r="M315" s="2" t="s">
        <v>967</v>
      </c>
      <c r="P315" s="2" t="s">
        <v>4181</v>
      </c>
      <c r="Q315" t="s">
        <v>4181</v>
      </c>
    </row>
    <row r="316" spans="1:17" ht="18" customHeight="1" x14ac:dyDescent="0.2">
      <c r="A316" s="64" t="s">
        <v>777</v>
      </c>
      <c r="B316" s="64" t="str">
        <f t="shared" si="22"/>
        <v>avars_2013</v>
      </c>
      <c r="C316" s="64" t="s">
        <v>4182</v>
      </c>
      <c r="D316" s="64" t="s">
        <v>602</v>
      </c>
      <c r="E316" s="64" t="s">
        <v>602</v>
      </c>
      <c r="F316" s="2">
        <v>6</v>
      </c>
      <c r="G316" s="2" t="str">
        <f t="shared" si="21"/>
        <v>f</v>
      </c>
      <c r="H316" s="2">
        <v>2013</v>
      </c>
      <c r="I316" s="2" t="s">
        <v>964</v>
      </c>
      <c r="J316" s="2" t="s">
        <v>965</v>
      </c>
      <c r="K316" s="2" t="s">
        <v>966</v>
      </c>
      <c r="M316" s="2" t="s">
        <v>967</v>
      </c>
      <c r="P316" s="2" t="s">
        <v>4181</v>
      </c>
      <c r="Q316" t="s">
        <v>4181</v>
      </c>
    </row>
    <row r="317" spans="1:17" ht="18" customHeight="1" x14ac:dyDescent="0.2">
      <c r="A317" s="64" t="s">
        <v>777</v>
      </c>
      <c r="B317" s="64" t="str">
        <f t="shared" si="22"/>
        <v>avars_2014</v>
      </c>
      <c r="C317" s="64" t="s">
        <v>4182</v>
      </c>
      <c r="D317" s="64" t="s">
        <v>602</v>
      </c>
      <c r="E317" s="64" t="s">
        <v>602</v>
      </c>
      <c r="F317" s="2">
        <v>7</v>
      </c>
      <c r="G317" s="2" t="str">
        <f t="shared" si="21"/>
        <v>g</v>
      </c>
      <c r="H317" s="2">
        <v>2014</v>
      </c>
      <c r="I317" s="2" t="s">
        <v>964</v>
      </c>
      <c r="J317" s="2" t="s">
        <v>965</v>
      </c>
      <c r="K317" s="2" t="s">
        <v>966</v>
      </c>
      <c r="M317" s="2" t="s">
        <v>967</v>
      </c>
      <c r="P317" s="2" t="s">
        <v>4181</v>
      </c>
      <c r="Q317" t="s">
        <v>4181</v>
      </c>
    </row>
    <row r="318" spans="1:17" ht="18" customHeight="1" x14ac:dyDescent="0.2">
      <c r="A318" s="64" t="s">
        <v>777</v>
      </c>
      <c r="B318" s="64" t="str">
        <f t="shared" si="22"/>
        <v>avars_2015</v>
      </c>
      <c r="C318" s="64" t="s">
        <v>4182</v>
      </c>
      <c r="D318" s="64" t="s">
        <v>602</v>
      </c>
      <c r="E318" s="64" t="s">
        <v>602</v>
      </c>
      <c r="F318" s="2">
        <v>8</v>
      </c>
      <c r="G318" s="2" t="str">
        <f t="shared" si="21"/>
        <v>h</v>
      </c>
      <c r="H318" s="2">
        <v>2015</v>
      </c>
      <c r="I318" s="2" t="s">
        <v>964</v>
      </c>
      <c r="J318" s="2" t="s">
        <v>965</v>
      </c>
      <c r="K318" s="2" t="s">
        <v>966</v>
      </c>
      <c r="M318" s="2" t="s">
        <v>967</v>
      </c>
      <c r="P318" s="2" t="s">
        <v>4181</v>
      </c>
      <c r="Q318" t="s">
        <v>4181</v>
      </c>
    </row>
    <row r="319" spans="1:17" ht="18" customHeight="1" x14ac:dyDescent="0.2">
      <c r="A319" s="64" t="s">
        <v>777</v>
      </c>
      <c r="B319" s="64" t="str">
        <f t="shared" si="22"/>
        <v>avars_2016</v>
      </c>
      <c r="C319" s="64" t="s">
        <v>4182</v>
      </c>
      <c r="D319" s="64" t="s">
        <v>602</v>
      </c>
      <c r="E319" s="64" t="s">
        <v>602</v>
      </c>
      <c r="F319" s="2">
        <v>9</v>
      </c>
      <c r="G319" s="2" t="str">
        <f t="shared" si="21"/>
        <v>i</v>
      </c>
      <c r="H319" s="2">
        <v>2016</v>
      </c>
      <c r="I319" s="2" t="s">
        <v>964</v>
      </c>
      <c r="J319" s="2" t="s">
        <v>965</v>
      </c>
      <c r="K319" s="2" t="s">
        <v>966</v>
      </c>
      <c r="M319" s="2" t="s">
        <v>967</v>
      </c>
      <c r="P319" s="2" t="s">
        <v>4181</v>
      </c>
      <c r="Q319" t="s">
        <v>4181</v>
      </c>
    </row>
    <row r="320" spans="1:17" ht="18" customHeight="1" x14ac:dyDescent="0.2">
      <c r="A320" s="64" t="s">
        <v>777</v>
      </c>
      <c r="B320" s="64" t="str">
        <f t="shared" si="22"/>
        <v>avars_2017</v>
      </c>
      <c r="C320" s="64" t="s">
        <v>4182</v>
      </c>
      <c r="D320" s="64" t="s">
        <v>602</v>
      </c>
      <c r="E320" s="64" t="s">
        <v>602</v>
      </c>
      <c r="F320" s="2">
        <v>10</v>
      </c>
      <c r="G320" s="2" t="str">
        <f t="shared" ref="G320:G351" si="23">MID("abcdefghijklmnopqrstuvwxyz",F320,1)</f>
        <v>j</v>
      </c>
      <c r="H320" s="2">
        <v>2017</v>
      </c>
      <c r="I320" s="2" t="s">
        <v>964</v>
      </c>
      <c r="J320" s="2" t="s">
        <v>965</v>
      </c>
      <c r="K320" s="2" t="s">
        <v>966</v>
      </c>
      <c r="M320" s="2" t="s">
        <v>967</v>
      </c>
      <c r="P320" s="2" t="s">
        <v>4181</v>
      </c>
      <c r="Q320" t="s">
        <v>4181</v>
      </c>
    </row>
    <row r="321" spans="1:17" ht="18" customHeight="1" x14ac:dyDescent="0.2">
      <c r="A321" s="64" t="s">
        <v>777</v>
      </c>
      <c r="B321" s="64" t="str">
        <f t="shared" ref="B321:B352" si="24">"avars_" &amp;  H321</f>
        <v>avars_2018</v>
      </c>
      <c r="C321" s="64" t="s">
        <v>4182</v>
      </c>
      <c r="D321" s="64" t="s">
        <v>602</v>
      </c>
      <c r="E321" s="64" t="s">
        <v>602</v>
      </c>
      <c r="F321" s="2">
        <v>11</v>
      </c>
      <c r="G321" s="2" t="str">
        <f t="shared" si="23"/>
        <v>k</v>
      </c>
      <c r="H321" s="2">
        <v>2018</v>
      </c>
      <c r="I321" s="2" t="s">
        <v>964</v>
      </c>
      <c r="J321" s="2" t="s">
        <v>965</v>
      </c>
      <c r="K321" s="2" t="s">
        <v>966</v>
      </c>
      <c r="M321" s="2" t="s">
        <v>967</v>
      </c>
      <c r="P321" s="2" t="s">
        <v>4181</v>
      </c>
      <c r="Q321" t="s">
        <v>4181</v>
      </c>
    </row>
    <row r="322" spans="1:17" ht="18" customHeight="1" x14ac:dyDescent="0.2">
      <c r="A322" s="64" t="s">
        <v>777</v>
      </c>
      <c r="B322" s="64" t="str">
        <f t="shared" si="24"/>
        <v>avars_2008</v>
      </c>
      <c r="C322" s="64" t="s">
        <v>4182</v>
      </c>
      <c r="D322" s="64" t="s">
        <v>602</v>
      </c>
      <c r="E322" s="64" t="s">
        <v>602</v>
      </c>
      <c r="F322" s="2">
        <v>1</v>
      </c>
      <c r="G322" s="2" t="str">
        <f t="shared" si="23"/>
        <v>a</v>
      </c>
      <c r="H322" s="2">
        <v>2008</v>
      </c>
      <c r="I322" s="2" t="s">
        <v>964</v>
      </c>
      <c r="J322" s="2" t="s">
        <v>965</v>
      </c>
      <c r="K322" s="2" t="s">
        <v>966</v>
      </c>
      <c r="M322" s="2" t="s">
        <v>967</v>
      </c>
      <c r="P322" s="2" t="s">
        <v>4181</v>
      </c>
      <c r="Q322" t="s">
        <v>4181</v>
      </c>
    </row>
    <row r="323" spans="1:17" ht="18" customHeight="1" x14ac:dyDescent="0.2">
      <c r="A323" s="64" t="s">
        <v>777</v>
      </c>
      <c r="B323" s="64" t="str">
        <f t="shared" si="24"/>
        <v>avars_2009</v>
      </c>
      <c r="C323" s="64" t="s">
        <v>4182</v>
      </c>
      <c r="D323" s="64" t="s">
        <v>602</v>
      </c>
      <c r="E323" s="64" t="s">
        <v>602</v>
      </c>
      <c r="F323" s="2">
        <v>2</v>
      </c>
      <c r="G323" s="2" t="str">
        <f t="shared" si="23"/>
        <v>b</v>
      </c>
      <c r="H323" s="2">
        <v>2009</v>
      </c>
      <c r="I323" s="2" t="s">
        <v>964</v>
      </c>
      <c r="J323" s="2" t="s">
        <v>965</v>
      </c>
      <c r="K323" s="2" t="s">
        <v>966</v>
      </c>
      <c r="M323" s="2" t="s">
        <v>967</v>
      </c>
      <c r="P323" s="2" t="s">
        <v>4181</v>
      </c>
      <c r="Q323" t="s">
        <v>4181</v>
      </c>
    </row>
    <row r="324" spans="1:17" ht="18" customHeight="1" x14ac:dyDescent="0.2">
      <c r="A324" s="64" t="s">
        <v>777</v>
      </c>
      <c r="B324" s="64" t="str">
        <f t="shared" si="24"/>
        <v>avars_2010</v>
      </c>
      <c r="C324" s="64" t="s">
        <v>4182</v>
      </c>
      <c r="D324" s="64" t="s">
        <v>602</v>
      </c>
      <c r="E324" s="64" t="s">
        <v>602</v>
      </c>
      <c r="F324" s="2">
        <v>3</v>
      </c>
      <c r="G324" s="2" t="str">
        <f t="shared" si="23"/>
        <v>c</v>
      </c>
      <c r="H324" s="2">
        <v>2010</v>
      </c>
      <c r="I324" s="2" t="s">
        <v>964</v>
      </c>
      <c r="J324" s="2" t="s">
        <v>965</v>
      </c>
      <c r="K324" s="2" t="s">
        <v>966</v>
      </c>
      <c r="M324" s="2" t="s">
        <v>967</v>
      </c>
      <c r="P324" s="2" t="s">
        <v>4181</v>
      </c>
      <c r="Q324" t="s">
        <v>4181</v>
      </c>
    </row>
    <row r="325" spans="1:17" ht="18" customHeight="1" x14ac:dyDescent="0.2">
      <c r="A325" s="64" t="s">
        <v>777</v>
      </c>
      <c r="B325" s="64" t="str">
        <f t="shared" si="24"/>
        <v>avars_2011</v>
      </c>
      <c r="C325" s="64" t="s">
        <v>4182</v>
      </c>
      <c r="D325" s="64" t="s">
        <v>602</v>
      </c>
      <c r="E325" s="64" t="s">
        <v>602</v>
      </c>
      <c r="F325" s="2">
        <v>4</v>
      </c>
      <c r="G325" s="2" t="str">
        <f t="shared" si="23"/>
        <v>d</v>
      </c>
      <c r="H325" s="2">
        <v>2011</v>
      </c>
      <c r="I325" s="2" t="s">
        <v>964</v>
      </c>
      <c r="J325" s="2" t="s">
        <v>965</v>
      </c>
      <c r="K325" s="2" t="s">
        <v>966</v>
      </c>
      <c r="M325" s="2" t="s">
        <v>967</v>
      </c>
      <c r="P325" s="2" t="s">
        <v>4181</v>
      </c>
      <c r="Q325" t="s">
        <v>4181</v>
      </c>
    </row>
    <row r="326" spans="1:17" ht="18" customHeight="1" x14ac:dyDescent="0.2">
      <c r="A326" s="64" t="s">
        <v>777</v>
      </c>
      <c r="B326" s="64" t="str">
        <f t="shared" si="24"/>
        <v>avars_2012</v>
      </c>
      <c r="C326" s="64" t="s">
        <v>4182</v>
      </c>
      <c r="D326" s="64" t="s">
        <v>602</v>
      </c>
      <c r="E326" s="64" t="s">
        <v>602</v>
      </c>
      <c r="F326" s="2">
        <v>5</v>
      </c>
      <c r="G326" s="2" t="str">
        <f t="shared" si="23"/>
        <v>e</v>
      </c>
      <c r="H326" s="2">
        <v>2012</v>
      </c>
      <c r="I326" s="2" t="s">
        <v>964</v>
      </c>
      <c r="J326" s="2" t="s">
        <v>965</v>
      </c>
      <c r="K326" s="2" t="s">
        <v>966</v>
      </c>
      <c r="M326" s="2" t="s">
        <v>967</v>
      </c>
      <c r="P326" s="2" t="s">
        <v>4181</v>
      </c>
      <c r="Q326" t="s">
        <v>4181</v>
      </c>
    </row>
    <row r="327" spans="1:17" ht="18" customHeight="1" x14ac:dyDescent="0.2">
      <c r="A327" s="64" t="s">
        <v>777</v>
      </c>
      <c r="B327" s="64" t="str">
        <f t="shared" si="24"/>
        <v>avars_2013</v>
      </c>
      <c r="C327" s="64" t="s">
        <v>4182</v>
      </c>
      <c r="D327" s="64" t="s">
        <v>602</v>
      </c>
      <c r="E327" s="64" t="s">
        <v>602</v>
      </c>
      <c r="F327" s="2">
        <v>6</v>
      </c>
      <c r="G327" s="2" t="str">
        <f t="shared" si="23"/>
        <v>f</v>
      </c>
      <c r="H327" s="2">
        <v>2013</v>
      </c>
      <c r="I327" s="2" t="s">
        <v>964</v>
      </c>
      <c r="J327" s="2" t="s">
        <v>965</v>
      </c>
      <c r="K327" s="2" t="s">
        <v>966</v>
      </c>
      <c r="M327" s="2" t="s">
        <v>967</v>
      </c>
      <c r="P327" s="2" t="s">
        <v>4181</v>
      </c>
      <c r="Q327" t="s">
        <v>4181</v>
      </c>
    </row>
    <row r="328" spans="1:17" ht="18" customHeight="1" x14ac:dyDescent="0.2">
      <c r="A328" s="64" t="s">
        <v>777</v>
      </c>
      <c r="B328" s="64" t="str">
        <f t="shared" si="24"/>
        <v>avars_2014</v>
      </c>
      <c r="C328" s="64" t="s">
        <v>4182</v>
      </c>
      <c r="D328" s="64" t="s">
        <v>602</v>
      </c>
      <c r="E328" s="64" t="s">
        <v>602</v>
      </c>
      <c r="F328" s="2">
        <v>7</v>
      </c>
      <c r="G328" s="2" t="str">
        <f t="shared" si="23"/>
        <v>g</v>
      </c>
      <c r="H328" s="2">
        <v>2014</v>
      </c>
      <c r="I328" s="2" t="s">
        <v>964</v>
      </c>
      <c r="J328" s="2" t="s">
        <v>965</v>
      </c>
      <c r="K328" s="2" t="s">
        <v>966</v>
      </c>
      <c r="M328" s="2" t="s">
        <v>967</v>
      </c>
      <c r="P328" s="2" t="s">
        <v>4181</v>
      </c>
      <c r="Q328" t="s">
        <v>4181</v>
      </c>
    </row>
    <row r="329" spans="1:17" ht="18" customHeight="1" x14ac:dyDescent="0.2">
      <c r="A329" s="64" t="s">
        <v>777</v>
      </c>
      <c r="B329" s="64" t="str">
        <f t="shared" si="24"/>
        <v>avars_2015</v>
      </c>
      <c r="C329" s="64" t="s">
        <v>4182</v>
      </c>
      <c r="D329" s="64" t="s">
        <v>602</v>
      </c>
      <c r="E329" s="64" t="s">
        <v>602</v>
      </c>
      <c r="F329" s="2">
        <v>8</v>
      </c>
      <c r="G329" s="2" t="str">
        <f t="shared" si="23"/>
        <v>h</v>
      </c>
      <c r="H329" s="2">
        <v>2015</v>
      </c>
      <c r="I329" s="2" t="s">
        <v>964</v>
      </c>
      <c r="J329" s="2" t="s">
        <v>965</v>
      </c>
      <c r="K329" s="2" t="s">
        <v>966</v>
      </c>
      <c r="M329" s="2" t="s">
        <v>967</v>
      </c>
      <c r="P329" s="2" t="s">
        <v>4181</v>
      </c>
      <c r="Q329" t="s">
        <v>4181</v>
      </c>
    </row>
    <row r="330" spans="1:17" ht="18" customHeight="1" x14ac:dyDescent="0.2">
      <c r="A330" s="64" t="s">
        <v>777</v>
      </c>
      <c r="B330" s="64" t="str">
        <f t="shared" si="24"/>
        <v>avars_2016</v>
      </c>
      <c r="C330" s="64" t="s">
        <v>4182</v>
      </c>
      <c r="D330" s="64" t="s">
        <v>602</v>
      </c>
      <c r="E330" s="64" t="s">
        <v>602</v>
      </c>
      <c r="F330" s="2">
        <v>9</v>
      </c>
      <c r="G330" s="2" t="str">
        <f t="shared" si="23"/>
        <v>i</v>
      </c>
      <c r="H330" s="2">
        <v>2016</v>
      </c>
      <c r="I330" s="2" t="s">
        <v>964</v>
      </c>
      <c r="J330" s="2" t="s">
        <v>965</v>
      </c>
      <c r="K330" s="2" t="s">
        <v>966</v>
      </c>
      <c r="M330" s="2" t="s">
        <v>967</v>
      </c>
      <c r="P330" s="2" t="s">
        <v>4181</v>
      </c>
      <c r="Q330" t="s">
        <v>4181</v>
      </c>
    </row>
    <row r="331" spans="1:17" ht="18" customHeight="1" x14ac:dyDescent="0.2">
      <c r="A331" s="64" t="s">
        <v>777</v>
      </c>
      <c r="B331" s="64" t="str">
        <f t="shared" si="24"/>
        <v>avars_2017</v>
      </c>
      <c r="C331" s="64" t="s">
        <v>4182</v>
      </c>
      <c r="D331" s="64" t="s">
        <v>602</v>
      </c>
      <c r="E331" s="64" t="s">
        <v>602</v>
      </c>
      <c r="F331" s="2">
        <v>10</v>
      </c>
      <c r="G331" s="2" t="str">
        <f t="shared" si="23"/>
        <v>j</v>
      </c>
      <c r="H331" s="2">
        <v>2017</v>
      </c>
      <c r="I331" s="2" t="s">
        <v>964</v>
      </c>
      <c r="J331" s="2" t="s">
        <v>965</v>
      </c>
      <c r="K331" s="2" t="s">
        <v>966</v>
      </c>
      <c r="M331" s="2" t="s">
        <v>967</v>
      </c>
      <c r="P331" s="2" t="s">
        <v>4181</v>
      </c>
      <c r="Q331" t="s">
        <v>4181</v>
      </c>
    </row>
    <row r="332" spans="1:17" ht="18" customHeight="1" x14ac:dyDescent="0.2">
      <c r="A332" s="64" t="s">
        <v>777</v>
      </c>
      <c r="B332" s="64" t="str">
        <f t="shared" si="24"/>
        <v>avars_2018</v>
      </c>
      <c r="C332" s="64" t="s">
        <v>4182</v>
      </c>
      <c r="D332" s="64" t="s">
        <v>602</v>
      </c>
      <c r="E332" s="64" t="s">
        <v>602</v>
      </c>
      <c r="F332" s="2">
        <v>11</v>
      </c>
      <c r="G332" s="2" t="str">
        <f t="shared" si="23"/>
        <v>k</v>
      </c>
      <c r="H332" s="2">
        <v>2018</v>
      </c>
      <c r="I332" s="2" t="s">
        <v>964</v>
      </c>
      <c r="J332" s="2" t="s">
        <v>965</v>
      </c>
      <c r="K332" s="2" t="s">
        <v>966</v>
      </c>
      <c r="M332" s="2" t="s">
        <v>967</v>
      </c>
      <c r="P332" s="2" t="s">
        <v>4181</v>
      </c>
      <c r="Q332" t="s">
        <v>4181</v>
      </c>
    </row>
    <row r="333" spans="1:17" ht="18" customHeight="1" x14ac:dyDescent="0.2">
      <c r="A333" s="64" t="s">
        <v>777</v>
      </c>
      <c r="B333" s="64" t="str">
        <f t="shared" si="24"/>
        <v>avars_2008</v>
      </c>
      <c r="C333" s="64" t="s">
        <v>4182</v>
      </c>
      <c r="D333" s="64" t="s">
        <v>602</v>
      </c>
      <c r="E333" s="64" t="s">
        <v>602</v>
      </c>
      <c r="F333" s="2">
        <v>1</v>
      </c>
      <c r="G333" s="2" t="str">
        <f t="shared" si="23"/>
        <v>a</v>
      </c>
      <c r="H333" s="2">
        <v>2008</v>
      </c>
      <c r="I333" s="2" t="s">
        <v>964</v>
      </c>
      <c r="J333" s="2" t="s">
        <v>965</v>
      </c>
      <c r="K333" s="2" t="s">
        <v>966</v>
      </c>
      <c r="M333" s="2" t="s">
        <v>967</v>
      </c>
      <c r="P333" s="2" t="s">
        <v>4181</v>
      </c>
      <c r="Q333" t="s">
        <v>4181</v>
      </c>
    </row>
    <row r="334" spans="1:17" ht="18" customHeight="1" x14ac:dyDescent="0.2">
      <c r="A334" s="64" t="s">
        <v>777</v>
      </c>
      <c r="B334" s="64" t="str">
        <f t="shared" si="24"/>
        <v>avars_2009</v>
      </c>
      <c r="C334" s="64" t="s">
        <v>4182</v>
      </c>
      <c r="D334" s="64" t="s">
        <v>602</v>
      </c>
      <c r="E334" s="64" t="s">
        <v>602</v>
      </c>
      <c r="F334" s="2">
        <v>2</v>
      </c>
      <c r="G334" s="2" t="str">
        <f t="shared" si="23"/>
        <v>b</v>
      </c>
      <c r="H334" s="2">
        <v>2009</v>
      </c>
      <c r="I334" s="2" t="s">
        <v>964</v>
      </c>
      <c r="J334" s="2" t="s">
        <v>965</v>
      </c>
      <c r="K334" s="2" t="s">
        <v>966</v>
      </c>
      <c r="M334" s="2" t="s">
        <v>967</v>
      </c>
      <c r="P334" s="2" t="s">
        <v>4181</v>
      </c>
      <c r="Q334" t="s">
        <v>4181</v>
      </c>
    </row>
    <row r="335" spans="1:17" ht="18" customHeight="1" x14ac:dyDescent="0.2">
      <c r="A335" s="64" t="s">
        <v>777</v>
      </c>
      <c r="B335" s="64" t="str">
        <f t="shared" si="24"/>
        <v>avars_2010</v>
      </c>
      <c r="C335" s="64" t="s">
        <v>4182</v>
      </c>
      <c r="D335" s="64" t="s">
        <v>602</v>
      </c>
      <c r="E335" s="64" t="s">
        <v>602</v>
      </c>
      <c r="F335" s="2">
        <v>3</v>
      </c>
      <c r="G335" s="2" t="str">
        <f t="shared" si="23"/>
        <v>c</v>
      </c>
      <c r="H335" s="2">
        <v>2010</v>
      </c>
      <c r="I335" s="2" t="s">
        <v>964</v>
      </c>
      <c r="J335" s="2" t="s">
        <v>965</v>
      </c>
      <c r="K335" s="2" t="s">
        <v>966</v>
      </c>
      <c r="M335" s="2" t="s">
        <v>967</v>
      </c>
      <c r="P335" s="2" t="s">
        <v>4181</v>
      </c>
      <c r="Q335" t="s">
        <v>4181</v>
      </c>
    </row>
    <row r="336" spans="1:17" ht="18" customHeight="1" x14ac:dyDescent="0.2">
      <c r="A336" s="64" t="s">
        <v>777</v>
      </c>
      <c r="B336" s="64" t="str">
        <f t="shared" si="24"/>
        <v>avars_2011</v>
      </c>
      <c r="C336" s="64" t="s">
        <v>4182</v>
      </c>
      <c r="D336" s="64" t="s">
        <v>602</v>
      </c>
      <c r="E336" s="64" t="s">
        <v>602</v>
      </c>
      <c r="F336" s="2">
        <v>4</v>
      </c>
      <c r="G336" s="2" t="str">
        <f t="shared" si="23"/>
        <v>d</v>
      </c>
      <c r="H336" s="2">
        <v>2011</v>
      </c>
      <c r="I336" s="2" t="s">
        <v>964</v>
      </c>
      <c r="J336" s="2" t="s">
        <v>965</v>
      </c>
      <c r="K336" s="2" t="s">
        <v>966</v>
      </c>
      <c r="M336" s="2" t="s">
        <v>967</v>
      </c>
      <c r="P336" s="2" t="s">
        <v>4181</v>
      </c>
      <c r="Q336" t="s">
        <v>4181</v>
      </c>
    </row>
    <row r="337" spans="1:17" ht="18" customHeight="1" x14ac:dyDescent="0.2">
      <c r="A337" s="64" t="s">
        <v>777</v>
      </c>
      <c r="B337" s="64" t="str">
        <f t="shared" si="24"/>
        <v>avars_2012</v>
      </c>
      <c r="C337" s="64" t="s">
        <v>4182</v>
      </c>
      <c r="D337" s="64" t="s">
        <v>602</v>
      </c>
      <c r="E337" s="64" t="s">
        <v>602</v>
      </c>
      <c r="F337" s="2">
        <v>5</v>
      </c>
      <c r="G337" s="2" t="str">
        <f t="shared" si="23"/>
        <v>e</v>
      </c>
      <c r="H337" s="2">
        <v>2012</v>
      </c>
      <c r="I337" s="2" t="s">
        <v>964</v>
      </c>
      <c r="J337" s="2" t="s">
        <v>965</v>
      </c>
      <c r="K337" s="2" t="s">
        <v>966</v>
      </c>
      <c r="M337" s="2" t="s">
        <v>967</v>
      </c>
      <c r="P337" s="2" t="s">
        <v>4181</v>
      </c>
      <c r="Q337" t="s">
        <v>4181</v>
      </c>
    </row>
    <row r="338" spans="1:17" ht="18" customHeight="1" x14ac:dyDescent="0.2">
      <c r="A338" s="64" t="s">
        <v>777</v>
      </c>
      <c r="B338" s="64" t="str">
        <f t="shared" si="24"/>
        <v>avars_2013</v>
      </c>
      <c r="C338" s="64" t="s">
        <v>4182</v>
      </c>
      <c r="D338" s="64" t="s">
        <v>602</v>
      </c>
      <c r="E338" s="64" t="s">
        <v>602</v>
      </c>
      <c r="F338" s="2">
        <v>6</v>
      </c>
      <c r="G338" s="2" t="str">
        <f t="shared" si="23"/>
        <v>f</v>
      </c>
      <c r="H338" s="2">
        <v>2013</v>
      </c>
      <c r="I338" s="2" t="s">
        <v>964</v>
      </c>
      <c r="J338" s="2" t="s">
        <v>965</v>
      </c>
      <c r="K338" s="2" t="s">
        <v>966</v>
      </c>
      <c r="M338" s="2" t="s">
        <v>967</v>
      </c>
      <c r="P338" s="2" t="s">
        <v>4181</v>
      </c>
      <c r="Q338" t="s">
        <v>4181</v>
      </c>
    </row>
    <row r="339" spans="1:17" ht="18" customHeight="1" x14ac:dyDescent="0.2">
      <c r="A339" s="64" t="s">
        <v>777</v>
      </c>
      <c r="B339" s="64" t="str">
        <f t="shared" si="24"/>
        <v>avars_2014</v>
      </c>
      <c r="C339" s="64" t="s">
        <v>4182</v>
      </c>
      <c r="D339" s="64" t="s">
        <v>602</v>
      </c>
      <c r="E339" s="64" t="s">
        <v>602</v>
      </c>
      <c r="F339" s="2">
        <v>7</v>
      </c>
      <c r="G339" s="2" t="str">
        <f t="shared" si="23"/>
        <v>g</v>
      </c>
      <c r="H339" s="2">
        <v>2014</v>
      </c>
      <c r="I339" s="2" t="s">
        <v>964</v>
      </c>
      <c r="J339" s="2" t="s">
        <v>965</v>
      </c>
      <c r="K339" s="2" t="s">
        <v>966</v>
      </c>
      <c r="M339" s="2" t="s">
        <v>967</v>
      </c>
      <c r="P339" s="2" t="s">
        <v>4181</v>
      </c>
      <c r="Q339" t="s">
        <v>4181</v>
      </c>
    </row>
    <row r="340" spans="1:17" ht="18" customHeight="1" x14ac:dyDescent="0.2">
      <c r="A340" s="64" t="s">
        <v>777</v>
      </c>
      <c r="B340" s="64" t="str">
        <f t="shared" si="24"/>
        <v>avars_2015</v>
      </c>
      <c r="C340" s="64" t="s">
        <v>4182</v>
      </c>
      <c r="D340" s="64" t="s">
        <v>602</v>
      </c>
      <c r="E340" s="64" t="s">
        <v>602</v>
      </c>
      <c r="F340" s="2">
        <v>8</v>
      </c>
      <c r="G340" s="2" t="str">
        <f t="shared" si="23"/>
        <v>h</v>
      </c>
      <c r="H340" s="2">
        <v>2015</v>
      </c>
      <c r="I340" s="2" t="s">
        <v>964</v>
      </c>
      <c r="J340" s="2" t="s">
        <v>965</v>
      </c>
      <c r="K340" s="2" t="s">
        <v>966</v>
      </c>
      <c r="M340" s="2" t="s">
        <v>967</v>
      </c>
      <c r="P340" s="2" t="s">
        <v>4181</v>
      </c>
      <c r="Q340" t="s">
        <v>4181</v>
      </c>
    </row>
    <row r="341" spans="1:17" ht="18" customHeight="1" x14ac:dyDescent="0.2">
      <c r="A341" s="64" t="s">
        <v>777</v>
      </c>
      <c r="B341" s="64" t="str">
        <f t="shared" si="24"/>
        <v>avars_2016</v>
      </c>
      <c r="C341" s="64" t="s">
        <v>4182</v>
      </c>
      <c r="D341" s="64" t="s">
        <v>602</v>
      </c>
      <c r="E341" s="64" t="s">
        <v>602</v>
      </c>
      <c r="F341" s="2">
        <v>9</v>
      </c>
      <c r="G341" s="2" t="str">
        <f t="shared" si="23"/>
        <v>i</v>
      </c>
      <c r="H341" s="2">
        <v>2016</v>
      </c>
      <c r="I341" s="2" t="s">
        <v>964</v>
      </c>
      <c r="J341" s="2" t="s">
        <v>965</v>
      </c>
      <c r="K341" s="2" t="s">
        <v>966</v>
      </c>
      <c r="M341" s="2" t="s">
        <v>967</v>
      </c>
      <c r="P341" s="2" t="s">
        <v>4181</v>
      </c>
      <c r="Q341" t="s">
        <v>4181</v>
      </c>
    </row>
    <row r="342" spans="1:17" ht="18" customHeight="1" x14ac:dyDescent="0.2">
      <c r="A342" s="64" t="s">
        <v>777</v>
      </c>
      <c r="B342" s="64" t="str">
        <f t="shared" si="24"/>
        <v>avars_2017</v>
      </c>
      <c r="C342" s="64" t="s">
        <v>4182</v>
      </c>
      <c r="D342" s="64" t="s">
        <v>602</v>
      </c>
      <c r="E342" s="64" t="s">
        <v>602</v>
      </c>
      <c r="F342" s="2">
        <v>10</v>
      </c>
      <c r="G342" s="2" t="str">
        <f t="shared" si="23"/>
        <v>j</v>
      </c>
      <c r="H342" s="2">
        <v>2017</v>
      </c>
      <c r="I342" s="2" t="s">
        <v>964</v>
      </c>
      <c r="J342" s="2" t="s">
        <v>965</v>
      </c>
      <c r="K342" s="2" t="s">
        <v>966</v>
      </c>
      <c r="M342" s="2" t="s">
        <v>967</v>
      </c>
      <c r="P342" s="2" t="s">
        <v>4181</v>
      </c>
      <c r="Q342" t="s">
        <v>4181</v>
      </c>
    </row>
    <row r="343" spans="1:17" ht="18" customHeight="1" x14ac:dyDescent="0.2">
      <c r="A343" s="64" t="s">
        <v>777</v>
      </c>
      <c r="B343" s="64" t="str">
        <f t="shared" si="24"/>
        <v>avars_2018</v>
      </c>
      <c r="C343" s="64" t="s">
        <v>4182</v>
      </c>
      <c r="D343" s="64" t="s">
        <v>602</v>
      </c>
      <c r="E343" s="64" t="s">
        <v>602</v>
      </c>
      <c r="F343" s="2">
        <v>11</v>
      </c>
      <c r="G343" s="2" t="str">
        <f t="shared" si="23"/>
        <v>k</v>
      </c>
      <c r="H343" s="2">
        <v>2018</v>
      </c>
      <c r="I343" s="2" t="s">
        <v>964</v>
      </c>
      <c r="J343" s="2" t="s">
        <v>965</v>
      </c>
      <c r="K343" s="2" t="s">
        <v>966</v>
      </c>
      <c r="M343" s="2" t="s">
        <v>967</v>
      </c>
      <c r="P343" s="2" t="s">
        <v>4181</v>
      </c>
      <c r="Q343" t="s">
        <v>4181</v>
      </c>
    </row>
    <row r="344" spans="1:17" ht="18" customHeight="1" x14ac:dyDescent="0.2">
      <c r="A344" s="64" t="s">
        <v>777</v>
      </c>
      <c r="B344" s="64" t="str">
        <f t="shared" si="24"/>
        <v>avars_2008</v>
      </c>
      <c r="C344" s="64" t="s">
        <v>4182</v>
      </c>
      <c r="D344" s="64" t="s">
        <v>602</v>
      </c>
      <c r="E344" s="64" t="s">
        <v>602</v>
      </c>
      <c r="F344" s="2">
        <v>1</v>
      </c>
      <c r="G344" s="2" t="str">
        <f t="shared" si="23"/>
        <v>a</v>
      </c>
      <c r="H344" s="2">
        <v>2008</v>
      </c>
      <c r="I344" s="2" t="s">
        <v>964</v>
      </c>
      <c r="J344" s="2" t="s">
        <v>965</v>
      </c>
      <c r="K344" s="2" t="s">
        <v>966</v>
      </c>
      <c r="M344" s="2" t="s">
        <v>967</v>
      </c>
      <c r="P344" s="2" t="s">
        <v>4181</v>
      </c>
      <c r="Q344" t="s">
        <v>4181</v>
      </c>
    </row>
    <row r="345" spans="1:17" ht="18" customHeight="1" x14ac:dyDescent="0.2">
      <c r="A345" s="64" t="s">
        <v>777</v>
      </c>
      <c r="B345" s="64" t="str">
        <f t="shared" si="24"/>
        <v>avars_2009</v>
      </c>
      <c r="C345" s="64" t="s">
        <v>4182</v>
      </c>
      <c r="D345" s="64" t="s">
        <v>602</v>
      </c>
      <c r="E345" s="64" t="s">
        <v>602</v>
      </c>
      <c r="F345" s="2">
        <v>2</v>
      </c>
      <c r="G345" s="2" t="str">
        <f t="shared" si="23"/>
        <v>b</v>
      </c>
      <c r="H345" s="2">
        <v>2009</v>
      </c>
      <c r="I345" s="2" t="s">
        <v>964</v>
      </c>
      <c r="J345" s="2" t="s">
        <v>965</v>
      </c>
      <c r="K345" s="2" t="s">
        <v>966</v>
      </c>
      <c r="M345" s="2" t="s">
        <v>967</v>
      </c>
      <c r="P345" s="2" t="s">
        <v>4181</v>
      </c>
      <c r="Q345" t="s">
        <v>4181</v>
      </c>
    </row>
    <row r="346" spans="1:17" ht="18" customHeight="1" x14ac:dyDescent="0.2">
      <c r="A346" s="64" t="s">
        <v>777</v>
      </c>
      <c r="B346" s="64" t="str">
        <f t="shared" si="24"/>
        <v>avars_2010</v>
      </c>
      <c r="C346" s="64" t="s">
        <v>4182</v>
      </c>
      <c r="D346" s="64" t="s">
        <v>602</v>
      </c>
      <c r="E346" s="64" t="s">
        <v>602</v>
      </c>
      <c r="F346" s="2">
        <v>3</v>
      </c>
      <c r="G346" s="2" t="str">
        <f t="shared" si="23"/>
        <v>c</v>
      </c>
      <c r="H346" s="2">
        <v>2010</v>
      </c>
      <c r="I346" s="2" t="s">
        <v>964</v>
      </c>
      <c r="J346" s="2" t="s">
        <v>965</v>
      </c>
      <c r="K346" s="2" t="s">
        <v>966</v>
      </c>
      <c r="M346" s="2" t="s">
        <v>967</v>
      </c>
      <c r="P346" s="2" t="s">
        <v>4181</v>
      </c>
      <c r="Q346" t="s">
        <v>4181</v>
      </c>
    </row>
    <row r="347" spans="1:17" ht="18" customHeight="1" x14ac:dyDescent="0.2">
      <c r="A347" s="64" t="s">
        <v>777</v>
      </c>
      <c r="B347" s="64" t="str">
        <f t="shared" si="24"/>
        <v>avars_2011</v>
      </c>
      <c r="C347" s="64" t="s">
        <v>4182</v>
      </c>
      <c r="D347" s="64" t="s">
        <v>602</v>
      </c>
      <c r="E347" s="64" t="s">
        <v>602</v>
      </c>
      <c r="F347" s="2">
        <v>4</v>
      </c>
      <c r="G347" s="2" t="str">
        <f t="shared" si="23"/>
        <v>d</v>
      </c>
      <c r="H347" s="2">
        <v>2011</v>
      </c>
      <c r="I347" s="2" t="s">
        <v>964</v>
      </c>
      <c r="J347" s="2" t="s">
        <v>965</v>
      </c>
      <c r="K347" s="2" t="s">
        <v>966</v>
      </c>
      <c r="M347" s="2" t="s">
        <v>967</v>
      </c>
      <c r="P347" s="2" t="s">
        <v>4181</v>
      </c>
      <c r="Q347" t="s">
        <v>4181</v>
      </c>
    </row>
    <row r="348" spans="1:17" ht="18" customHeight="1" x14ac:dyDescent="0.2">
      <c r="A348" s="64" t="s">
        <v>777</v>
      </c>
      <c r="B348" s="64" t="str">
        <f t="shared" si="24"/>
        <v>avars_2012</v>
      </c>
      <c r="C348" s="64" t="s">
        <v>4182</v>
      </c>
      <c r="D348" s="64" t="s">
        <v>602</v>
      </c>
      <c r="E348" s="64" t="s">
        <v>602</v>
      </c>
      <c r="F348" s="2">
        <v>5</v>
      </c>
      <c r="G348" s="2" t="str">
        <f t="shared" si="23"/>
        <v>e</v>
      </c>
      <c r="H348" s="2">
        <v>2012</v>
      </c>
      <c r="I348" s="2" t="s">
        <v>964</v>
      </c>
      <c r="J348" s="2" t="s">
        <v>965</v>
      </c>
      <c r="K348" s="2" t="s">
        <v>966</v>
      </c>
      <c r="M348" s="2" t="s">
        <v>967</v>
      </c>
      <c r="P348" s="2" t="s">
        <v>4181</v>
      </c>
      <c r="Q348" t="s">
        <v>4181</v>
      </c>
    </row>
    <row r="349" spans="1:17" ht="18" customHeight="1" x14ac:dyDescent="0.2">
      <c r="A349" s="64" t="s">
        <v>777</v>
      </c>
      <c r="B349" s="64" t="str">
        <f t="shared" si="24"/>
        <v>avars_2013</v>
      </c>
      <c r="C349" s="64" t="s">
        <v>4182</v>
      </c>
      <c r="D349" s="64" t="s">
        <v>602</v>
      </c>
      <c r="E349" s="64" t="s">
        <v>602</v>
      </c>
      <c r="F349" s="2">
        <v>6</v>
      </c>
      <c r="G349" s="2" t="str">
        <f t="shared" si="23"/>
        <v>f</v>
      </c>
      <c r="H349" s="2">
        <v>2013</v>
      </c>
      <c r="I349" s="2" t="s">
        <v>964</v>
      </c>
      <c r="J349" s="2" t="s">
        <v>965</v>
      </c>
      <c r="K349" s="2" t="s">
        <v>966</v>
      </c>
      <c r="M349" s="2" t="s">
        <v>967</v>
      </c>
      <c r="P349" s="2" t="s">
        <v>4181</v>
      </c>
      <c r="Q349" t="s">
        <v>4181</v>
      </c>
    </row>
    <row r="350" spans="1:17" ht="18" customHeight="1" x14ac:dyDescent="0.2">
      <c r="A350" s="64" t="s">
        <v>777</v>
      </c>
      <c r="B350" s="64" t="str">
        <f t="shared" si="24"/>
        <v>avars_2014</v>
      </c>
      <c r="C350" s="64" t="s">
        <v>4182</v>
      </c>
      <c r="D350" s="64" t="s">
        <v>602</v>
      </c>
      <c r="E350" s="64" t="s">
        <v>602</v>
      </c>
      <c r="F350" s="2">
        <v>7</v>
      </c>
      <c r="G350" s="2" t="str">
        <f t="shared" si="23"/>
        <v>g</v>
      </c>
      <c r="H350" s="2">
        <v>2014</v>
      </c>
      <c r="I350" s="2" t="s">
        <v>964</v>
      </c>
      <c r="J350" s="2" t="s">
        <v>965</v>
      </c>
      <c r="K350" s="2" t="s">
        <v>966</v>
      </c>
      <c r="M350" s="2" t="s">
        <v>967</v>
      </c>
      <c r="P350" s="2" t="s">
        <v>4181</v>
      </c>
      <c r="Q350" t="s">
        <v>4181</v>
      </c>
    </row>
    <row r="351" spans="1:17" ht="18" customHeight="1" x14ac:dyDescent="0.2">
      <c r="A351" s="64" t="s">
        <v>777</v>
      </c>
      <c r="B351" s="64" t="str">
        <f t="shared" si="24"/>
        <v>avars_2015</v>
      </c>
      <c r="C351" s="64" t="s">
        <v>4182</v>
      </c>
      <c r="D351" s="64" t="s">
        <v>602</v>
      </c>
      <c r="E351" s="64" t="s">
        <v>602</v>
      </c>
      <c r="F351" s="2">
        <v>8</v>
      </c>
      <c r="G351" s="2" t="str">
        <f t="shared" si="23"/>
        <v>h</v>
      </c>
      <c r="H351" s="2">
        <v>2015</v>
      </c>
      <c r="I351" s="2" t="s">
        <v>964</v>
      </c>
      <c r="J351" s="2" t="s">
        <v>965</v>
      </c>
      <c r="K351" s="2" t="s">
        <v>966</v>
      </c>
      <c r="M351" s="2" t="s">
        <v>967</v>
      </c>
      <c r="P351" s="2" t="s">
        <v>4181</v>
      </c>
      <c r="Q351" t="s">
        <v>4181</v>
      </c>
    </row>
    <row r="352" spans="1:17" ht="18" customHeight="1" x14ac:dyDescent="0.2">
      <c r="A352" s="64" t="s">
        <v>777</v>
      </c>
      <c r="B352" s="64" t="str">
        <f t="shared" si="24"/>
        <v>avars_2016</v>
      </c>
      <c r="C352" s="64" t="s">
        <v>4182</v>
      </c>
      <c r="D352" s="64" t="s">
        <v>602</v>
      </c>
      <c r="E352" s="64" t="s">
        <v>602</v>
      </c>
      <c r="F352" s="2">
        <v>9</v>
      </c>
      <c r="G352" s="2" t="str">
        <f t="shared" ref="G352:G383" si="25">MID("abcdefghijklmnopqrstuvwxyz",F352,1)</f>
        <v>i</v>
      </c>
      <c r="H352" s="2">
        <v>2016</v>
      </c>
      <c r="I352" s="2" t="s">
        <v>964</v>
      </c>
      <c r="J352" s="2" t="s">
        <v>965</v>
      </c>
      <c r="K352" s="2" t="s">
        <v>966</v>
      </c>
      <c r="M352" s="2" t="s">
        <v>967</v>
      </c>
      <c r="P352" s="2" t="s">
        <v>4181</v>
      </c>
      <c r="Q352" t="s">
        <v>4181</v>
      </c>
    </row>
    <row r="353" spans="1:17" ht="18" customHeight="1" x14ac:dyDescent="0.2">
      <c r="A353" s="64" t="s">
        <v>777</v>
      </c>
      <c r="B353" s="64" t="str">
        <f t="shared" ref="B353:B384" si="26">"avars_" &amp;  H353</f>
        <v>avars_2017</v>
      </c>
      <c r="C353" s="64" t="s">
        <v>4182</v>
      </c>
      <c r="D353" s="64" t="s">
        <v>602</v>
      </c>
      <c r="E353" s="64" t="s">
        <v>602</v>
      </c>
      <c r="F353" s="2">
        <v>10</v>
      </c>
      <c r="G353" s="2" t="str">
        <f t="shared" si="25"/>
        <v>j</v>
      </c>
      <c r="H353" s="2">
        <v>2017</v>
      </c>
      <c r="I353" s="2" t="s">
        <v>964</v>
      </c>
      <c r="J353" s="2" t="s">
        <v>965</v>
      </c>
      <c r="K353" s="2" t="s">
        <v>966</v>
      </c>
      <c r="M353" s="2" t="s">
        <v>967</v>
      </c>
      <c r="P353" s="2" t="s">
        <v>4181</v>
      </c>
      <c r="Q353" t="s">
        <v>4181</v>
      </c>
    </row>
    <row r="354" spans="1:17" ht="18" customHeight="1" x14ac:dyDescent="0.2">
      <c r="A354" s="64" t="s">
        <v>777</v>
      </c>
      <c r="B354" s="64" t="str">
        <f t="shared" si="26"/>
        <v>avars_2018</v>
      </c>
      <c r="C354" s="64" t="s">
        <v>4182</v>
      </c>
      <c r="D354" s="64" t="s">
        <v>602</v>
      </c>
      <c r="E354" s="64" t="s">
        <v>602</v>
      </c>
      <c r="F354" s="2">
        <v>11</v>
      </c>
      <c r="G354" s="2" t="str">
        <f t="shared" si="25"/>
        <v>k</v>
      </c>
      <c r="H354" s="2">
        <v>2018</v>
      </c>
      <c r="I354" s="2" t="s">
        <v>964</v>
      </c>
      <c r="J354" s="2" t="s">
        <v>965</v>
      </c>
      <c r="K354" s="2" t="s">
        <v>966</v>
      </c>
      <c r="M354" s="2" t="s">
        <v>967</v>
      </c>
      <c r="P354" s="2" t="s">
        <v>4181</v>
      </c>
      <c r="Q354" t="s">
        <v>4181</v>
      </c>
    </row>
    <row r="355" spans="1:17" ht="18" customHeight="1" x14ac:dyDescent="0.2">
      <c r="A355" s="64" t="s">
        <v>777</v>
      </c>
      <c r="B355" s="64" t="str">
        <f t="shared" si="26"/>
        <v>avars_2008</v>
      </c>
      <c r="C355" s="64" t="s">
        <v>4182</v>
      </c>
      <c r="D355" s="64" t="s">
        <v>602</v>
      </c>
      <c r="E355" s="64" t="s">
        <v>602</v>
      </c>
      <c r="F355" s="2">
        <v>1</v>
      </c>
      <c r="G355" s="2" t="str">
        <f t="shared" si="25"/>
        <v>a</v>
      </c>
      <c r="H355" s="2">
        <v>2008</v>
      </c>
      <c r="I355" s="2" t="s">
        <v>964</v>
      </c>
      <c r="J355" s="2" t="s">
        <v>965</v>
      </c>
      <c r="K355" s="2" t="s">
        <v>966</v>
      </c>
      <c r="M355" s="2" t="s">
        <v>967</v>
      </c>
      <c r="P355" s="2" t="s">
        <v>4181</v>
      </c>
      <c r="Q355" t="s">
        <v>4181</v>
      </c>
    </row>
    <row r="356" spans="1:17" ht="18" customHeight="1" x14ac:dyDescent="0.2">
      <c r="A356" s="64" t="s">
        <v>777</v>
      </c>
      <c r="B356" s="64" t="str">
        <f t="shared" si="26"/>
        <v>avars_2009</v>
      </c>
      <c r="C356" s="64" t="s">
        <v>4182</v>
      </c>
      <c r="D356" s="64" t="s">
        <v>602</v>
      </c>
      <c r="E356" s="64" t="s">
        <v>602</v>
      </c>
      <c r="F356" s="2">
        <v>2</v>
      </c>
      <c r="G356" s="2" t="str">
        <f t="shared" si="25"/>
        <v>b</v>
      </c>
      <c r="H356" s="2">
        <v>2009</v>
      </c>
      <c r="I356" s="2" t="s">
        <v>964</v>
      </c>
      <c r="J356" s="2" t="s">
        <v>965</v>
      </c>
      <c r="K356" s="2" t="s">
        <v>966</v>
      </c>
      <c r="M356" s="2" t="s">
        <v>967</v>
      </c>
      <c r="P356" s="2" t="s">
        <v>4181</v>
      </c>
      <c r="Q356" t="s">
        <v>4181</v>
      </c>
    </row>
    <row r="357" spans="1:17" ht="18" customHeight="1" x14ac:dyDescent="0.2">
      <c r="A357" s="64" t="s">
        <v>777</v>
      </c>
      <c r="B357" s="64" t="str">
        <f t="shared" si="26"/>
        <v>avars_2010</v>
      </c>
      <c r="C357" s="64" t="s">
        <v>4182</v>
      </c>
      <c r="D357" s="64" t="s">
        <v>602</v>
      </c>
      <c r="E357" s="64" t="s">
        <v>602</v>
      </c>
      <c r="F357" s="2">
        <v>3</v>
      </c>
      <c r="G357" s="2" t="str">
        <f t="shared" si="25"/>
        <v>c</v>
      </c>
      <c r="H357" s="2">
        <v>2010</v>
      </c>
      <c r="I357" s="2" t="s">
        <v>964</v>
      </c>
      <c r="J357" s="2" t="s">
        <v>965</v>
      </c>
      <c r="K357" s="2" t="s">
        <v>966</v>
      </c>
      <c r="M357" s="2" t="s">
        <v>967</v>
      </c>
      <c r="P357" s="2" t="s">
        <v>4181</v>
      </c>
      <c r="Q357" t="s">
        <v>4181</v>
      </c>
    </row>
    <row r="358" spans="1:17" ht="18" customHeight="1" x14ac:dyDescent="0.2">
      <c r="A358" s="64" t="s">
        <v>777</v>
      </c>
      <c r="B358" s="64" t="str">
        <f t="shared" si="26"/>
        <v>avars_2011</v>
      </c>
      <c r="C358" s="64" t="s">
        <v>4182</v>
      </c>
      <c r="D358" s="64" t="s">
        <v>602</v>
      </c>
      <c r="E358" s="64" t="s">
        <v>602</v>
      </c>
      <c r="F358" s="2">
        <v>4</v>
      </c>
      <c r="G358" s="2" t="str">
        <f t="shared" si="25"/>
        <v>d</v>
      </c>
      <c r="H358" s="2">
        <v>2011</v>
      </c>
      <c r="I358" s="2" t="s">
        <v>964</v>
      </c>
      <c r="J358" s="2" t="s">
        <v>965</v>
      </c>
      <c r="K358" s="2" t="s">
        <v>966</v>
      </c>
      <c r="M358" s="2" t="s">
        <v>967</v>
      </c>
      <c r="P358" s="2" t="s">
        <v>4181</v>
      </c>
      <c r="Q358" t="s">
        <v>4181</v>
      </c>
    </row>
    <row r="359" spans="1:17" ht="18" customHeight="1" x14ac:dyDescent="0.2">
      <c r="A359" s="64" t="s">
        <v>777</v>
      </c>
      <c r="B359" s="64" t="str">
        <f t="shared" si="26"/>
        <v>avars_2012</v>
      </c>
      <c r="C359" s="64" t="s">
        <v>4182</v>
      </c>
      <c r="D359" s="64" t="s">
        <v>602</v>
      </c>
      <c r="E359" s="64" t="s">
        <v>602</v>
      </c>
      <c r="F359" s="2">
        <v>5</v>
      </c>
      <c r="G359" s="2" t="str">
        <f t="shared" si="25"/>
        <v>e</v>
      </c>
      <c r="H359" s="2">
        <v>2012</v>
      </c>
      <c r="I359" s="2" t="s">
        <v>964</v>
      </c>
      <c r="J359" s="2" t="s">
        <v>965</v>
      </c>
      <c r="K359" s="2" t="s">
        <v>966</v>
      </c>
      <c r="M359" s="2" t="s">
        <v>967</v>
      </c>
      <c r="P359" s="2" t="s">
        <v>4181</v>
      </c>
      <c r="Q359" t="s">
        <v>4181</v>
      </c>
    </row>
    <row r="360" spans="1:17" ht="18" customHeight="1" x14ac:dyDescent="0.2">
      <c r="A360" s="64" t="s">
        <v>777</v>
      </c>
      <c r="B360" s="64" t="str">
        <f t="shared" si="26"/>
        <v>avars_2013</v>
      </c>
      <c r="C360" s="64" t="s">
        <v>4182</v>
      </c>
      <c r="D360" s="64" t="s">
        <v>602</v>
      </c>
      <c r="E360" s="64" t="s">
        <v>602</v>
      </c>
      <c r="F360" s="2">
        <v>6</v>
      </c>
      <c r="G360" s="2" t="str">
        <f t="shared" si="25"/>
        <v>f</v>
      </c>
      <c r="H360" s="2">
        <v>2013</v>
      </c>
      <c r="I360" s="2" t="s">
        <v>964</v>
      </c>
      <c r="J360" s="2" t="s">
        <v>965</v>
      </c>
      <c r="K360" s="2" t="s">
        <v>966</v>
      </c>
      <c r="M360" s="2" t="s">
        <v>967</v>
      </c>
      <c r="P360" s="2" t="s">
        <v>4181</v>
      </c>
      <c r="Q360" t="s">
        <v>4181</v>
      </c>
    </row>
    <row r="361" spans="1:17" ht="18" customHeight="1" x14ac:dyDescent="0.2">
      <c r="A361" s="64" t="s">
        <v>777</v>
      </c>
      <c r="B361" s="64" t="str">
        <f t="shared" si="26"/>
        <v>avars_2014</v>
      </c>
      <c r="C361" s="64" t="s">
        <v>4182</v>
      </c>
      <c r="D361" s="64" t="s">
        <v>602</v>
      </c>
      <c r="E361" s="64" t="s">
        <v>602</v>
      </c>
      <c r="F361" s="2">
        <v>7</v>
      </c>
      <c r="G361" s="2" t="str">
        <f t="shared" si="25"/>
        <v>g</v>
      </c>
      <c r="H361" s="2">
        <v>2014</v>
      </c>
      <c r="I361" s="2" t="s">
        <v>964</v>
      </c>
      <c r="J361" s="2" t="s">
        <v>965</v>
      </c>
      <c r="K361" s="2" t="s">
        <v>966</v>
      </c>
      <c r="M361" s="2" t="s">
        <v>967</v>
      </c>
      <c r="P361" s="2" t="s">
        <v>4181</v>
      </c>
      <c r="Q361" t="s">
        <v>4181</v>
      </c>
    </row>
    <row r="362" spans="1:17" x14ac:dyDescent="0.2">
      <c r="A362" s="64" t="s">
        <v>777</v>
      </c>
      <c r="B362" s="64" t="str">
        <f t="shared" si="26"/>
        <v>avars_2015</v>
      </c>
      <c r="C362" s="64" t="s">
        <v>4182</v>
      </c>
      <c r="D362" s="64" t="s">
        <v>602</v>
      </c>
      <c r="E362" s="64" t="s">
        <v>602</v>
      </c>
      <c r="F362" s="2">
        <v>8</v>
      </c>
      <c r="G362" s="2" t="str">
        <f t="shared" si="25"/>
        <v>h</v>
      </c>
      <c r="H362" s="2">
        <v>2015</v>
      </c>
      <c r="I362" s="2" t="s">
        <v>964</v>
      </c>
      <c r="J362" s="2" t="s">
        <v>965</v>
      </c>
      <c r="K362" s="2" t="s">
        <v>966</v>
      </c>
      <c r="M362" s="2" t="s">
        <v>967</v>
      </c>
      <c r="P362" s="2" t="s">
        <v>4181</v>
      </c>
      <c r="Q362" t="s">
        <v>4181</v>
      </c>
    </row>
    <row r="363" spans="1:17" x14ac:dyDescent="0.2">
      <c r="A363" s="64" t="s">
        <v>777</v>
      </c>
      <c r="B363" s="64" t="str">
        <f t="shared" si="26"/>
        <v>avars_2016</v>
      </c>
      <c r="C363" s="64" t="s">
        <v>4182</v>
      </c>
      <c r="D363" s="64" t="s">
        <v>602</v>
      </c>
      <c r="E363" s="64" t="s">
        <v>602</v>
      </c>
      <c r="F363" s="2">
        <v>9</v>
      </c>
      <c r="G363" s="2" t="str">
        <f t="shared" si="25"/>
        <v>i</v>
      </c>
      <c r="H363" s="2">
        <v>2016</v>
      </c>
      <c r="I363" s="2" t="s">
        <v>964</v>
      </c>
      <c r="J363" s="2" t="s">
        <v>965</v>
      </c>
      <c r="K363" s="2" t="s">
        <v>966</v>
      </c>
      <c r="M363" s="2" t="s">
        <v>967</v>
      </c>
      <c r="P363" s="2" t="s">
        <v>4181</v>
      </c>
      <c r="Q363" t="s">
        <v>4181</v>
      </c>
    </row>
    <row r="364" spans="1:17" x14ac:dyDescent="0.2">
      <c r="A364" s="64" t="s">
        <v>777</v>
      </c>
      <c r="B364" s="64" t="str">
        <f t="shared" si="26"/>
        <v>avars_2017</v>
      </c>
      <c r="C364" s="64" t="s">
        <v>4182</v>
      </c>
      <c r="D364" s="64" t="s">
        <v>602</v>
      </c>
      <c r="E364" s="64" t="s">
        <v>602</v>
      </c>
      <c r="F364" s="2">
        <v>10</v>
      </c>
      <c r="G364" s="2" t="str">
        <f t="shared" si="25"/>
        <v>j</v>
      </c>
      <c r="H364" s="2">
        <v>2017</v>
      </c>
      <c r="I364" s="2" t="s">
        <v>964</v>
      </c>
      <c r="J364" s="2" t="s">
        <v>965</v>
      </c>
      <c r="K364" s="2" t="s">
        <v>966</v>
      </c>
      <c r="M364" s="2" t="s">
        <v>967</v>
      </c>
      <c r="P364" s="2" t="s">
        <v>4181</v>
      </c>
      <c r="Q364" t="s">
        <v>4181</v>
      </c>
    </row>
    <row r="365" spans="1:17" x14ac:dyDescent="0.2">
      <c r="A365" s="64" t="s">
        <v>777</v>
      </c>
      <c r="B365" s="64" t="str">
        <f t="shared" si="26"/>
        <v>avars_2018</v>
      </c>
      <c r="C365" s="64" t="s">
        <v>4182</v>
      </c>
      <c r="D365" s="64" t="s">
        <v>602</v>
      </c>
      <c r="E365" s="64" t="s">
        <v>602</v>
      </c>
      <c r="F365" s="2">
        <v>11</v>
      </c>
      <c r="G365" s="2" t="str">
        <f t="shared" si="25"/>
        <v>k</v>
      </c>
      <c r="H365" s="2">
        <v>2018</v>
      </c>
      <c r="I365" s="2" t="s">
        <v>964</v>
      </c>
      <c r="J365" s="2" t="s">
        <v>965</v>
      </c>
      <c r="K365" s="2" t="s">
        <v>966</v>
      </c>
      <c r="M365" s="2" t="s">
        <v>967</v>
      </c>
      <c r="P365" s="2" t="s">
        <v>4181</v>
      </c>
      <c r="Q365" t="s">
        <v>4181</v>
      </c>
    </row>
    <row r="366" spans="1:17" x14ac:dyDescent="0.2">
      <c r="A366" s="64" t="s">
        <v>777</v>
      </c>
      <c r="B366" s="64" t="str">
        <f t="shared" si="26"/>
        <v>avars_2008</v>
      </c>
      <c r="C366" s="64" t="s">
        <v>4182</v>
      </c>
      <c r="D366" s="64" t="s">
        <v>602</v>
      </c>
      <c r="E366" s="64" t="s">
        <v>602</v>
      </c>
      <c r="F366" s="2">
        <v>1</v>
      </c>
      <c r="G366" s="2" t="str">
        <f t="shared" si="25"/>
        <v>a</v>
      </c>
      <c r="H366" s="2">
        <v>2008</v>
      </c>
      <c r="I366" s="2" t="s">
        <v>964</v>
      </c>
      <c r="J366" s="2" t="s">
        <v>965</v>
      </c>
      <c r="K366" s="2" t="s">
        <v>966</v>
      </c>
      <c r="M366" s="2" t="s">
        <v>967</v>
      </c>
      <c r="P366" s="2" t="s">
        <v>4181</v>
      </c>
      <c r="Q366" t="s">
        <v>4181</v>
      </c>
    </row>
    <row r="367" spans="1:17" x14ac:dyDescent="0.2">
      <c r="A367" s="64" t="s">
        <v>777</v>
      </c>
      <c r="B367" s="64" t="str">
        <f t="shared" si="26"/>
        <v>avars_2009</v>
      </c>
      <c r="C367" s="64" t="s">
        <v>4182</v>
      </c>
      <c r="D367" s="64" t="s">
        <v>602</v>
      </c>
      <c r="E367" s="64" t="s">
        <v>602</v>
      </c>
      <c r="F367" s="2">
        <v>2</v>
      </c>
      <c r="G367" s="2" t="str">
        <f t="shared" si="25"/>
        <v>b</v>
      </c>
      <c r="H367" s="2">
        <v>2009</v>
      </c>
      <c r="I367" s="2" t="s">
        <v>964</v>
      </c>
      <c r="J367" s="2" t="s">
        <v>965</v>
      </c>
      <c r="K367" s="2" t="s">
        <v>966</v>
      </c>
      <c r="M367" s="2" t="s">
        <v>967</v>
      </c>
      <c r="P367" s="2" t="s">
        <v>4181</v>
      </c>
      <c r="Q367" t="s">
        <v>4181</v>
      </c>
    </row>
    <row r="368" spans="1:17" x14ac:dyDescent="0.2">
      <c r="A368" s="64" t="s">
        <v>777</v>
      </c>
      <c r="B368" s="64" t="str">
        <f t="shared" si="26"/>
        <v>avars_2010</v>
      </c>
      <c r="C368" s="64" t="s">
        <v>4182</v>
      </c>
      <c r="D368" s="64" t="s">
        <v>602</v>
      </c>
      <c r="E368" s="64" t="s">
        <v>602</v>
      </c>
      <c r="F368" s="2">
        <v>3</v>
      </c>
      <c r="G368" s="2" t="str">
        <f t="shared" si="25"/>
        <v>c</v>
      </c>
      <c r="H368" s="2">
        <v>2010</v>
      </c>
      <c r="I368" s="2" t="s">
        <v>964</v>
      </c>
      <c r="J368" s="2" t="s">
        <v>965</v>
      </c>
      <c r="K368" s="2" t="s">
        <v>966</v>
      </c>
      <c r="M368" s="2" t="s">
        <v>967</v>
      </c>
      <c r="P368" s="2" t="s">
        <v>4181</v>
      </c>
      <c r="Q368" t="s">
        <v>4181</v>
      </c>
    </row>
    <row r="369" spans="1:17" x14ac:dyDescent="0.2">
      <c r="A369" s="64" t="s">
        <v>777</v>
      </c>
      <c r="B369" s="64" t="str">
        <f t="shared" si="26"/>
        <v>avars_2011</v>
      </c>
      <c r="C369" s="64" t="s">
        <v>4182</v>
      </c>
      <c r="D369" s="64" t="s">
        <v>602</v>
      </c>
      <c r="E369" s="64" t="s">
        <v>602</v>
      </c>
      <c r="F369" s="2">
        <v>4</v>
      </c>
      <c r="G369" s="2" t="str">
        <f t="shared" si="25"/>
        <v>d</v>
      </c>
      <c r="H369" s="2">
        <v>2011</v>
      </c>
      <c r="I369" s="2" t="s">
        <v>964</v>
      </c>
      <c r="J369" s="2" t="s">
        <v>965</v>
      </c>
      <c r="K369" s="2" t="s">
        <v>966</v>
      </c>
      <c r="M369" s="2" t="s">
        <v>967</v>
      </c>
      <c r="P369" s="2" t="s">
        <v>4181</v>
      </c>
      <c r="Q369" t="s">
        <v>4181</v>
      </c>
    </row>
    <row r="370" spans="1:17" x14ac:dyDescent="0.2">
      <c r="A370" s="64" t="s">
        <v>777</v>
      </c>
      <c r="B370" s="64" t="str">
        <f t="shared" si="26"/>
        <v>avars_2012</v>
      </c>
      <c r="C370" s="64" t="s">
        <v>4182</v>
      </c>
      <c r="D370" s="64" t="s">
        <v>602</v>
      </c>
      <c r="E370" s="64" t="s">
        <v>602</v>
      </c>
      <c r="F370" s="2">
        <v>5</v>
      </c>
      <c r="G370" s="2" t="str">
        <f t="shared" si="25"/>
        <v>e</v>
      </c>
      <c r="H370" s="2">
        <v>2012</v>
      </c>
      <c r="I370" s="2" t="s">
        <v>964</v>
      </c>
      <c r="J370" s="2" t="s">
        <v>965</v>
      </c>
      <c r="K370" s="2" t="s">
        <v>966</v>
      </c>
      <c r="M370" s="2" t="s">
        <v>967</v>
      </c>
      <c r="P370" s="2" t="s">
        <v>4181</v>
      </c>
      <c r="Q370" t="s">
        <v>4181</v>
      </c>
    </row>
    <row r="371" spans="1:17" x14ac:dyDescent="0.2">
      <c r="A371" s="64" t="s">
        <v>777</v>
      </c>
      <c r="B371" s="64" t="str">
        <f t="shared" si="26"/>
        <v>avars_2013</v>
      </c>
      <c r="C371" s="64" t="s">
        <v>4182</v>
      </c>
      <c r="D371" s="64" t="s">
        <v>602</v>
      </c>
      <c r="E371" s="64" t="s">
        <v>602</v>
      </c>
      <c r="F371" s="2">
        <v>6</v>
      </c>
      <c r="G371" s="2" t="str">
        <f t="shared" si="25"/>
        <v>f</v>
      </c>
      <c r="H371" s="2">
        <v>2013</v>
      </c>
      <c r="I371" s="2" t="s">
        <v>964</v>
      </c>
      <c r="J371" s="2" t="s">
        <v>965</v>
      </c>
      <c r="K371" s="2" t="s">
        <v>966</v>
      </c>
      <c r="M371" s="2" t="s">
        <v>967</v>
      </c>
      <c r="P371" s="2" t="s">
        <v>4181</v>
      </c>
      <c r="Q371" t="s">
        <v>4181</v>
      </c>
    </row>
    <row r="372" spans="1:17" x14ac:dyDescent="0.2">
      <c r="A372" s="64" t="s">
        <v>777</v>
      </c>
      <c r="B372" s="64" t="str">
        <f t="shared" si="26"/>
        <v>avars_2014</v>
      </c>
      <c r="C372" s="64" t="s">
        <v>4182</v>
      </c>
      <c r="D372" s="64" t="s">
        <v>602</v>
      </c>
      <c r="E372" s="64" t="s">
        <v>602</v>
      </c>
      <c r="F372" s="2">
        <v>7</v>
      </c>
      <c r="G372" s="2" t="str">
        <f t="shared" si="25"/>
        <v>g</v>
      </c>
      <c r="H372" s="2">
        <v>2014</v>
      </c>
      <c r="I372" s="2" t="s">
        <v>964</v>
      </c>
      <c r="J372" s="2" t="s">
        <v>965</v>
      </c>
      <c r="K372" s="2" t="s">
        <v>966</v>
      </c>
      <c r="M372" s="2" t="s">
        <v>967</v>
      </c>
      <c r="P372" s="2" t="s">
        <v>4181</v>
      </c>
      <c r="Q372" t="s">
        <v>4181</v>
      </c>
    </row>
    <row r="373" spans="1:17" x14ac:dyDescent="0.2">
      <c r="A373" s="64" t="s">
        <v>777</v>
      </c>
      <c r="B373" s="64" t="str">
        <f t="shared" si="26"/>
        <v>avars_2015</v>
      </c>
      <c r="C373" s="64" t="s">
        <v>4182</v>
      </c>
      <c r="D373" s="64" t="s">
        <v>602</v>
      </c>
      <c r="E373" s="64" t="s">
        <v>602</v>
      </c>
      <c r="F373" s="2">
        <v>8</v>
      </c>
      <c r="G373" s="2" t="str">
        <f t="shared" si="25"/>
        <v>h</v>
      </c>
      <c r="H373" s="2">
        <v>2015</v>
      </c>
      <c r="I373" s="2" t="s">
        <v>964</v>
      </c>
      <c r="J373" s="2" t="s">
        <v>965</v>
      </c>
      <c r="K373" s="2" t="s">
        <v>966</v>
      </c>
      <c r="M373" s="2" t="s">
        <v>967</v>
      </c>
      <c r="P373" s="2" t="s">
        <v>4181</v>
      </c>
      <c r="Q373" t="s">
        <v>4181</v>
      </c>
    </row>
    <row r="374" spans="1:17" x14ac:dyDescent="0.2">
      <c r="A374" s="64" t="s">
        <v>777</v>
      </c>
      <c r="B374" s="64" t="str">
        <f t="shared" si="26"/>
        <v>avars_2016</v>
      </c>
      <c r="C374" s="64" t="s">
        <v>4182</v>
      </c>
      <c r="D374" s="64" t="s">
        <v>602</v>
      </c>
      <c r="E374" s="64" t="s">
        <v>602</v>
      </c>
      <c r="F374" s="2">
        <v>9</v>
      </c>
      <c r="G374" s="2" t="str">
        <f t="shared" si="25"/>
        <v>i</v>
      </c>
      <c r="H374" s="2">
        <v>2016</v>
      </c>
      <c r="I374" s="2" t="s">
        <v>964</v>
      </c>
      <c r="J374" s="2" t="s">
        <v>965</v>
      </c>
      <c r="K374" s="2" t="s">
        <v>966</v>
      </c>
      <c r="M374" s="2" t="s">
        <v>967</v>
      </c>
      <c r="P374" s="2" t="s">
        <v>4181</v>
      </c>
      <c r="Q374" t="s">
        <v>4181</v>
      </c>
    </row>
    <row r="375" spans="1:17" x14ac:dyDescent="0.2">
      <c r="A375" s="64" t="s">
        <v>777</v>
      </c>
      <c r="B375" s="64" t="str">
        <f t="shared" si="26"/>
        <v>avars_2017</v>
      </c>
      <c r="C375" s="64" t="s">
        <v>4182</v>
      </c>
      <c r="D375" s="64" t="s">
        <v>602</v>
      </c>
      <c r="E375" s="64" t="s">
        <v>602</v>
      </c>
      <c r="F375" s="2">
        <v>10</v>
      </c>
      <c r="G375" s="2" t="str">
        <f t="shared" si="25"/>
        <v>j</v>
      </c>
      <c r="H375" s="2">
        <v>2017</v>
      </c>
      <c r="I375" s="2" t="s">
        <v>964</v>
      </c>
      <c r="J375" s="2" t="s">
        <v>965</v>
      </c>
      <c r="K375" s="2" t="s">
        <v>966</v>
      </c>
      <c r="M375" s="2" t="s">
        <v>967</v>
      </c>
      <c r="P375" s="2" t="s">
        <v>4181</v>
      </c>
      <c r="Q375" t="s">
        <v>4181</v>
      </c>
    </row>
    <row r="376" spans="1:17" x14ac:dyDescent="0.2">
      <c r="A376" s="64" t="s">
        <v>777</v>
      </c>
      <c r="B376" s="64" t="str">
        <f t="shared" si="26"/>
        <v>avars_2018</v>
      </c>
      <c r="C376" s="64" t="s">
        <v>4182</v>
      </c>
      <c r="D376" s="64" t="s">
        <v>602</v>
      </c>
      <c r="E376" s="64" t="s">
        <v>602</v>
      </c>
      <c r="F376" s="2">
        <v>11</v>
      </c>
      <c r="G376" s="2" t="str">
        <f t="shared" si="25"/>
        <v>k</v>
      </c>
      <c r="H376" s="2">
        <v>2018</v>
      </c>
      <c r="I376" s="2" t="s">
        <v>964</v>
      </c>
      <c r="J376" s="2" t="s">
        <v>965</v>
      </c>
      <c r="K376" s="2" t="s">
        <v>966</v>
      </c>
      <c r="M376" s="2" t="s">
        <v>967</v>
      </c>
      <c r="P376" s="2" t="s">
        <v>4181</v>
      </c>
      <c r="Q376" t="s">
        <v>4181</v>
      </c>
    </row>
    <row r="377" spans="1:17" x14ac:dyDescent="0.2">
      <c r="A377" s="64" t="s">
        <v>777</v>
      </c>
      <c r="B377" s="64" t="str">
        <f t="shared" si="26"/>
        <v>avars_2008</v>
      </c>
      <c r="C377" s="64" t="s">
        <v>4182</v>
      </c>
      <c r="D377" s="64" t="s">
        <v>602</v>
      </c>
      <c r="E377" s="64" t="s">
        <v>602</v>
      </c>
      <c r="F377" s="2">
        <v>1</v>
      </c>
      <c r="G377" s="2" t="str">
        <f t="shared" si="25"/>
        <v>a</v>
      </c>
      <c r="H377" s="2">
        <v>2008</v>
      </c>
      <c r="I377" s="2" t="s">
        <v>964</v>
      </c>
      <c r="J377" s="2" t="s">
        <v>965</v>
      </c>
      <c r="K377" s="2" t="s">
        <v>966</v>
      </c>
      <c r="M377" s="2" t="s">
        <v>967</v>
      </c>
      <c r="P377" s="2" t="s">
        <v>4181</v>
      </c>
      <c r="Q377" t="s">
        <v>4181</v>
      </c>
    </row>
    <row r="378" spans="1:17" x14ac:dyDescent="0.2">
      <c r="A378" s="64" t="s">
        <v>777</v>
      </c>
      <c r="B378" s="64" t="str">
        <f t="shared" si="26"/>
        <v>avars_2009</v>
      </c>
      <c r="C378" s="64" t="s">
        <v>4182</v>
      </c>
      <c r="D378" s="64" t="s">
        <v>602</v>
      </c>
      <c r="E378" s="64" t="s">
        <v>602</v>
      </c>
      <c r="F378" s="2">
        <v>2</v>
      </c>
      <c r="G378" s="2" t="str">
        <f t="shared" si="25"/>
        <v>b</v>
      </c>
      <c r="H378" s="2">
        <v>2009</v>
      </c>
      <c r="I378" s="2" t="s">
        <v>964</v>
      </c>
      <c r="J378" s="2" t="s">
        <v>965</v>
      </c>
      <c r="K378" s="2" t="s">
        <v>966</v>
      </c>
      <c r="M378" s="2" t="s">
        <v>967</v>
      </c>
      <c r="P378" s="2" t="s">
        <v>4181</v>
      </c>
      <c r="Q378" t="s">
        <v>4181</v>
      </c>
    </row>
    <row r="379" spans="1:17" x14ac:dyDescent="0.2">
      <c r="A379" s="64" t="s">
        <v>777</v>
      </c>
      <c r="B379" s="64" t="str">
        <f t="shared" si="26"/>
        <v>avars_2010</v>
      </c>
      <c r="C379" s="64" t="s">
        <v>4182</v>
      </c>
      <c r="D379" s="64" t="s">
        <v>602</v>
      </c>
      <c r="E379" s="64" t="s">
        <v>602</v>
      </c>
      <c r="F379" s="2">
        <v>3</v>
      </c>
      <c r="G379" s="2" t="str">
        <f t="shared" si="25"/>
        <v>c</v>
      </c>
      <c r="H379" s="2">
        <v>2010</v>
      </c>
      <c r="I379" s="2" t="s">
        <v>964</v>
      </c>
      <c r="J379" s="2" t="s">
        <v>965</v>
      </c>
      <c r="K379" s="2" t="s">
        <v>966</v>
      </c>
      <c r="M379" s="2" t="s">
        <v>967</v>
      </c>
      <c r="P379" s="2" t="s">
        <v>4181</v>
      </c>
      <c r="Q379" t="s">
        <v>4181</v>
      </c>
    </row>
    <row r="380" spans="1:17" x14ac:dyDescent="0.2">
      <c r="A380" s="64" t="s">
        <v>777</v>
      </c>
      <c r="B380" s="64" t="str">
        <f t="shared" si="26"/>
        <v>avars_2011</v>
      </c>
      <c r="C380" s="64" t="s">
        <v>4182</v>
      </c>
      <c r="D380" s="64" t="s">
        <v>602</v>
      </c>
      <c r="E380" s="64" t="s">
        <v>602</v>
      </c>
      <c r="F380" s="2">
        <v>4</v>
      </c>
      <c r="G380" s="2" t="str">
        <f t="shared" si="25"/>
        <v>d</v>
      </c>
      <c r="H380" s="2">
        <v>2011</v>
      </c>
      <c r="I380" s="2" t="s">
        <v>964</v>
      </c>
      <c r="J380" s="2" t="s">
        <v>965</v>
      </c>
      <c r="K380" s="2" t="s">
        <v>966</v>
      </c>
      <c r="M380" s="2" t="s">
        <v>967</v>
      </c>
      <c r="P380" s="2" t="s">
        <v>4181</v>
      </c>
      <c r="Q380" t="s">
        <v>4181</v>
      </c>
    </row>
    <row r="381" spans="1:17" x14ac:dyDescent="0.2">
      <c r="A381" s="64" t="s">
        <v>777</v>
      </c>
      <c r="B381" s="64" t="str">
        <f t="shared" si="26"/>
        <v>avars_2012</v>
      </c>
      <c r="C381" s="64" t="s">
        <v>4182</v>
      </c>
      <c r="D381" s="64" t="s">
        <v>602</v>
      </c>
      <c r="E381" s="64" t="s">
        <v>602</v>
      </c>
      <c r="F381" s="2">
        <v>5</v>
      </c>
      <c r="G381" s="2" t="str">
        <f t="shared" si="25"/>
        <v>e</v>
      </c>
      <c r="H381" s="2">
        <v>2012</v>
      </c>
      <c r="I381" s="2" t="s">
        <v>964</v>
      </c>
      <c r="J381" s="2" t="s">
        <v>965</v>
      </c>
      <c r="K381" s="2" t="s">
        <v>966</v>
      </c>
      <c r="M381" s="2" t="s">
        <v>967</v>
      </c>
      <c r="P381" s="2" t="s">
        <v>4181</v>
      </c>
      <c r="Q381" t="s">
        <v>4181</v>
      </c>
    </row>
    <row r="382" spans="1:17" x14ac:dyDescent="0.2">
      <c r="A382" s="64" t="s">
        <v>777</v>
      </c>
      <c r="B382" s="64" t="str">
        <f t="shared" si="26"/>
        <v>avars_2013</v>
      </c>
      <c r="C382" s="64" t="s">
        <v>4182</v>
      </c>
      <c r="D382" s="64" t="s">
        <v>602</v>
      </c>
      <c r="E382" s="64" t="s">
        <v>602</v>
      </c>
      <c r="F382" s="2">
        <v>6</v>
      </c>
      <c r="G382" s="2" t="str">
        <f t="shared" si="25"/>
        <v>f</v>
      </c>
      <c r="H382" s="2">
        <v>2013</v>
      </c>
      <c r="I382" s="2" t="s">
        <v>964</v>
      </c>
      <c r="J382" s="2" t="s">
        <v>965</v>
      </c>
      <c r="K382" s="2" t="s">
        <v>966</v>
      </c>
      <c r="M382" s="2" t="s">
        <v>967</v>
      </c>
      <c r="P382" s="2" t="s">
        <v>4181</v>
      </c>
      <c r="Q382" t="s">
        <v>4181</v>
      </c>
    </row>
    <row r="383" spans="1:17" x14ac:dyDescent="0.2">
      <c r="A383" s="64" t="s">
        <v>777</v>
      </c>
      <c r="B383" s="64" t="str">
        <f t="shared" si="26"/>
        <v>avars_2014</v>
      </c>
      <c r="C383" s="64" t="s">
        <v>4182</v>
      </c>
      <c r="D383" s="64" t="s">
        <v>602</v>
      </c>
      <c r="E383" s="64" t="s">
        <v>602</v>
      </c>
      <c r="F383" s="2">
        <v>7</v>
      </c>
      <c r="G383" s="2" t="str">
        <f t="shared" si="25"/>
        <v>g</v>
      </c>
      <c r="H383" s="2">
        <v>2014</v>
      </c>
      <c r="I383" s="2" t="s">
        <v>964</v>
      </c>
      <c r="J383" s="2" t="s">
        <v>965</v>
      </c>
      <c r="K383" s="2" t="s">
        <v>966</v>
      </c>
      <c r="M383" s="2" t="s">
        <v>967</v>
      </c>
      <c r="P383" s="2" t="s">
        <v>4181</v>
      </c>
      <c r="Q383" t="s">
        <v>4181</v>
      </c>
    </row>
    <row r="384" spans="1:17" x14ac:dyDescent="0.2">
      <c r="A384" s="64" t="s">
        <v>777</v>
      </c>
      <c r="B384" s="64" t="str">
        <f t="shared" si="26"/>
        <v>avars_2015</v>
      </c>
      <c r="C384" s="64" t="s">
        <v>4182</v>
      </c>
      <c r="D384" s="64" t="s">
        <v>602</v>
      </c>
      <c r="E384" s="64" t="s">
        <v>602</v>
      </c>
      <c r="F384" s="2">
        <v>8</v>
      </c>
      <c r="G384" s="2" t="str">
        <f t="shared" ref="G384:G415" si="27">MID("abcdefghijklmnopqrstuvwxyz",F384,1)</f>
        <v>h</v>
      </c>
      <c r="H384" s="2">
        <v>2015</v>
      </c>
      <c r="I384" s="2" t="s">
        <v>964</v>
      </c>
      <c r="J384" s="2" t="s">
        <v>965</v>
      </c>
      <c r="K384" s="2" t="s">
        <v>966</v>
      </c>
      <c r="M384" s="2" t="s">
        <v>967</v>
      </c>
      <c r="P384" s="2" t="s">
        <v>4181</v>
      </c>
      <c r="Q384" t="s">
        <v>4181</v>
      </c>
    </row>
    <row r="385" spans="1:17" x14ac:dyDescent="0.2">
      <c r="A385" s="64" t="s">
        <v>777</v>
      </c>
      <c r="B385" s="64" t="str">
        <f t="shared" ref="B385:B420" si="28">"avars_" &amp;  H385</f>
        <v>avars_2016</v>
      </c>
      <c r="C385" s="64" t="s">
        <v>4182</v>
      </c>
      <c r="D385" s="64" t="s">
        <v>602</v>
      </c>
      <c r="E385" s="64" t="s">
        <v>602</v>
      </c>
      <c r="F385" s="2">
        <v>9</v>
      </c>
      <c r="G385" s="2" t="str">
        <f t="shared" si="27"/>
        <v>i</v>
      </c>
      <c r="H385" s="2">
        <v>2016</v>
      </c>
      <c r="I385" s="2" t="s">
        <v>964</v>
      </c>
      <c r="J385" s="2" t="s">
        <v>965</v>
      </c>
      <c r="K385" s="2" t="s">
        <v>966</v>
      </c>
      <c r="M385" s="2" t="s">
        <v>967</v>
      </c>
      <c r="P385" s="2" t="s">
        <v>4181</v>
      </c>
      <c r="Q385" t="s">
        <v>4181</v>
      </c>
    </row>
    <row r="386" spans="1:17" ht="18" customHeight="1" x14ac:dyDescent="0.2">
      <c r="A386" s="64" t="s">
        <v>777</v>
      </c>
      <c r="B386" s="64" t="str">
        <f t="shared" si="28"/>
        <v>avars_2017</v>
      </c>
      <c r="C386" s="64" t="s">
        <v>4182</v>
      </c>
      <c r="D386" s="64" t="s">
        <v>602</v>
      </c>
      <c r="E386" s="64" t="s">
        <v>602</v>
      </c>
      <c r="F386" s="2">
        <v>10</v>
      </c>
      <c r="G386" s="2" t="str">
        <f t="shared" si="27"/>
        <v>j</v>
      </c>
      <c r="H386" s="2">
        <v>2017</v>
      </c>
      <c r="I386" s="2" t="s">
        <v>964</v>
      </c>
      <c r="J386" s="2" t="s">
        <v>965</v>
      </c>
      <c r="K386" s="2" t="s">
        <v>966</v>
      </c>
      <c r="M386" s="2" t="s">
        <v>967</v>
      </c>
      <c r="P386" s="2" t="s">
        <v>4181</v>
      </c>
      <c r="Q386" t="s">
        <v>4181</v>
      </c>
    </row>
    <row r="387" spans="1:17" ht="18" customHeight="1" x14ac:dyDescent="0.2">
      <c r="A387" s="64" t="s">
        <v>777</v>
      </c>
      <c r="B387" s="64" t="str">
        <f t="shared" si="28"/>
        <v>avars_2018</v>
      </c>
      <c r="C387" s="64" t="s">
        <v>4182</v>
      </c>
      <c r="D387" s="64" t="s">
        <v>602</v>
      </c>
      <c r="E387" s="64" t="s">
        <v>602</v>
      </c>
      <c r="F387" s="2">
        <v>11</v>
      </c>
      <c r="G387" s="2" t="str">
        <f t="shared" si="27"/>
        <v>k</v>
      </c>
      <c r="H387" s="2">
        <v>2018</v>
      </c>
      <c r="I387" s="2" t="s">
        <v>964</v>
      </c>
      <c r="J387" s="2" t="s">
        <v>965</v>
      </c>
      <c r="K387" s="2" t="s">
        <v>966</v>
      </c>
      <c r="M387" s="2" t="s">
        <v>967</v>
      </c>
      <c r="P387" s="2" t="s">
        <v>4181</v>
      </c>
      <c r="Q387" t="s">
        <v>4181</v>
      </c>
    </row>
    <row r="388" spans="1:17" ht="18" customHeight="1" x14ac:dyDescent="0.2">
      <c r="A388" s="64" t="s">
        <v>777</v>
      </c>
      <c r="B388" s="64" t="str">
        <f t="shared" si="28"/>
        <v>avars_2008</v>
      </c>
      <c r="C388" s="64" t="s">
        <v>4182</v>
      </c>
      <c r="D388" s="64" t="s">
        <v>602</v>
      </c>
      <c r="E388" s="64" t="s">
        <v>602</v>
      </c>
      <c r="F388" s="2">
        <v>1</v>
      </c>
      <c r="G388" s="2" t="str">
        <f t="shared" si="27"/>
        <v>a</v>
      </c>
      <c r="H388" s="2">
        <v>2008</v>
      </c>
      <c r="I388" s="2" t="s">
        <v>964</v>
      </c>
      <c r="J388" s="2" t="s">
        <v>965</v>
      </c>
      <c r="K388" s="2" t="s">
        <v>966</v>
      </c>
      <c r="M388" s="2" t="s">
        <v>967</v>
      </c>
      <c r="P388" s="2" t="s">
        <v>4181</v>
      </c>
      <c r="Q388" t="s">
        <v>4181</v>
      </c>
    </row>
    <row r="389" spans="1:17" ht="18" customHeight="1" x14ac:dyDescent="0.2">
      <c r="A389" s="64" t="s">
        <v>777</v>
      </c>
      <c r="B389" s="64" t="str">
        <f t="shared" si="28"/>
        <v>avars_2009</v>
      </c>
      <c r="C389" s="64" t="s">
        <v>4182</v>
      </c>
      <c r="D389" s="64" t="s">
        <v>602</v>
      </c>
      <c r="E389" s="64" t="s">
        <v>602</v>
      </c>
      <c r="F389" s="2">
        <v>2</v>
      </c>
      <c r="G389" s="2" t="str">
        <f t="shared" si="27"/>
        <v>b</v>
      </c>
      <c r="H389" s="2">
        <v>2009</v>
      </c>
      <c r="I389" s="2" t="s">
        <v>964</v>
      </c>
      <c r="J389" s="2" t="s">
        <v>965</v>
      </c>
      <c r="K389" s="2" t="s">
        <v>966</v>
      </c>
      <c r="M389" s="2" t="s">
        <v>967</v>
      </c>
      <c r="P389" s="2" t="s">
        <v>4181</v>
      </c>
      <c r="Q389" t="s">
        <v>4181</v>
      </c>
    </row>
    <row r="390" spans="1:17" ht="18" customHeight="1" x14ac:dyDescent="0.2">
      <c r="A390" s="64" t="s">
        <v>777</v>
      </c>
      <c r="B390" s="64" t="str">
        <f t="shared" si="28"/>
        <v>avars_2010</v>
      </c>
      <c r="C390" s="64" t="s">
        <v>4182</v>
      </c>
      <c r="D390" s="64" t="s">
        <v>602</v>
      </c>
      <c r="E390" s="64" t="s">
        <v>602</v>
      </c>
      <c r="F390" s="2">
        <v>3</v>
      </c>
      <c r="G390" s="2" t="str">
        <f t="shared" si="27"/>
        <v>c</v>
      </c>
      <c r="H390" s="2">
        <v>2010</v>
      </c>
      <c r="I390" s="2" t="s">
        <v>964</v>
      </c>
      <c r="J390" s="2" t="s">
        <v>965</v>
      </c>
      <c r="K390" s="2" t="s">
        <v>966</v>
      </c>
      <c r="M390" s="2" t="s">
        <v>967</v>
      </c>
      <c r="P390" s="2" t="s">
        <v>4181</v>
      </c>
      <c r="Q390" t="s">
        <v>4181</v>
      </c>
    </row>
    <row r="391" spans="1:17" ht="18" customHeight="1" x14ac:dyDescent="0.2">
      <c r="A391" s="64" t="s">
        <v>777</v>
      </c>
      <c r="B391" s="64" t="str">
        <f t="shared" si="28"/>
        <v>avars_2011</v>
      </c>
      <c r="C391" s="64" t="s">
        <v>4182</v>
      </c>
      <c r="D391" s="64" t="s">
        <v>602</v>
      </c>
      <c r="E391" s="64" t="s">
        <v>602</v>
      </c>
      <c r="F391" s="2">
        <v>4</v>
      </c>
      <c r="G391" s="2" t="str">
        <f t="shared" si="27"/>
        <v>d</v>
      </c>
      <c r="H391" s="2">
        <v>2011</v>
      </c>
      <c r="I391" s="2" t="s">
        <v>964</v>
      </c>
      <c r="J391" s="2" t="s">
        <v>965</v>
      </c>
      <c r="K391" s="2" t="s">
        <v>966</v>
      </c>
      <c r="M391" s="2" t="s">
        <v>967</v>
      </c>
      <c r="P391" s="2" t="s">
        <v>4181</v>
      </c>
      <c r="Q391" t="s">
        <v>4181</v>
      </c>
    </row>
    <row r="392" spans="1:17" ht="18" customHeight="1" x14ac:dyDescent="0.2">
      <c r="A392" s="64" t="s">
        <v>777</v>
      </c>
      <c r="B392" s="64" t="str">
        <f t="shared" si="28"/>
        <v>avars_2012</v>
      </c>
      <c r="C392" s="64" t="s">
        <v>4182</v>
      </c>
      <c r="D392" s="64" t="s">
        <v>602</v>
      </c>
      <c r="E392" s="64" t="s">
        <v>602</v>
      </c>
      <c r="F392" s="2">
        <v>5</v>
      </c>
      <c r="G392" s="2" t="str">
        <f t="shared" si="27"/>
        <v>e</v>
      </c>
      <c r="H392" s="2">
        <v>2012</v>
      </c>
      <c r="I392" s="2" t="s">
        <v>964</v>
      </c>
      <c r="J392" s="2" t="s">
        <v>965</v>
      </c>
      <c r="K392" s="2" t="s">
        <v>966</v>
      </c>
      <c r="M392" s="2" t="s">
        <v>967</v>
      </c>
      <c r="P392" s="2" t="s">
        <v>4181</v>
      </c>
      <c r="Q392" t="s">
        <v>4181</v>
      </c>
    </row>
    <row r="393" spans="1:17" ht="18" customHeight="1" x14ac:dyDescent="0.2">
      <c r="A393" s="64" t="s">
        <v>777</v>
      </c>
      <c r="B393" s="64" t="str">
        <f t="shared" si="28"/>
        <v>avars_2013</v>
      </c>
      <c r="C393" s="64" t="s">
        <v>4182</v>
      </c>
      <c r="D393" s="64" t="s">
        <v>602</v>
      </c>
      <c r="E393" s="64" t="s">
        <v>602</v>
      </c>
      <c r="F393" s="2">
        <v>6</v>
      </c>
      <c r="G393" s="2" t="str">
        <f t="shared" si="27"/>
        <v>f</v>
      </c>
      <c r="H393" s="2">
        <v>2013</v>
      </c>
      <c r="I393" s="2" t="s">
        <v>964</v>
      </c>
      <c r="J393" s="2" t="s">
        <v>965</v>
      </c>
      <c r="K393" s="2" t="s">
        <v>966</v>
      </c>
      <c r="M393" s="2" t="s">
        <v>967</v>
      </c>
      <c r="P393" s="2" t="s">
        <v>4181</v>
      </c>
      <c r="Q393" t="s">
        <v>4181</v>
      </c>
    </row>
    <row r="394" spans="1:17" ht="18" customHeight="1" x14ac:dyDescent="0.2">
      <c r="A394" s="64" t="s">
        <v>777</v>
      </c>
      <c r="B394" s="64" t="str">
        <f t="shared" si="28"/>
        <v>avars_2014</v>
      </c>
      <c r="C394" s="64" t="s">
        <v>4182</v>
      </c>
      <c r="D394" s="64" t="s">
        <v>602</v>
      </c>
      <c r="E394" s="64" t="s">
        <v>602</v>
      </c>
      <c r="F394" s="2">
        <v>7</v>
      </c>
      <c r="G394" s="2" t="str">
        <f t="shared" si="27"/>
        <v>g</v>
      </c>
      <c r="H394" s="2">
        <v>2014</v>
      </c>
      <c r="I394" s="2" t="s">
        <v>964</v>
      </c>
      <c r="J394" s="2" t="s">
        <v>965</v>
      </c>
      <c r="K394" s="2" t="s">
        <v>966</v>
      </c>
      <c r="M394" s="2" t="s">
        <v>967</v>
      </c>
      <c r="P394" s="2" t="s">
        <v>4181</v>
      </c>
      <c r="Q394" t="s">
        <v>4181</v>
      </c>
    </row>
    <row r="395" spans="1:17" ht="18" customHeight="1" x14ac:dyDescent="0.2">
      <c r="A395" s="64" t="s">
        <v>777</v>
      </c>
      <c r="B395" s="64" t="str">
        <f t="shared" si="28"/>
        <v>avars_2015</v>
      </c>
      <c r="C395" s="64" t="s">
        <v>4182</v>
      </c>
      <c r="D395" s="64" t="s">
        <v>602</v>
      </c>
      <c r="E395" s="64" t="s">
        <v>602</v>
      </c>
      <c r="F395" s="2">
        <v>8</v>
      </c>
      <c r="G395" s="2" t="str">
        <f t="shared" si="27"/>
        <v>h</v>
      </c>
      <c r="H395" s="2">
        <v>2015</v>
      </c>
      <c r="I395" s="2" t="s">
        <v>964</v>
      </c>
      <c r="J395" s="2" t="s">
        <v>965</v>
      </c>
      <c r="K395" s="2" t="s">
        <v>966</v>
      </c>
      <c r="M395" s="2" t="s">
        <v>967</v>
      </c>
      <c r="P395" s="2" t="s">
        <v>4181</v>
      </c>
      <c r="Q395" t="s">
        <v>4181</v>
      </c>
    </row>
    <row r="396" spans="1:17" ht="18" customHeight="1" x14ac:dyDescent="0.2">
      <c r="A396" s="64" t="s">
        <v>777</v>
      </c>
      <c r="B396" s="64" t="str">
        <f t="shared" si="28"/>
        <v>avars_2016</v>
      </c>
      <c r="C396" s="64" t="s">
        <v>4182</v>
      </c>
      <c r="D396" s="64" t="s">
        <v>602</v>
      </c>
      <c r="E396" s="64" t="s">
        <v>602</v>
      </c>
      <c r="F396" s="2">
        <v>9</v>
      </c>
      <c r="G396" s="2" t="str">
        <f t="shared" si="27"/>
        <v>i</v>
      </c>
      <c r="H396" s="2">
        <v>2016</v>
      </c>
      <c r="I396" s="2" t="s">
        <v>964</v>
      </c>
      <c r="J396" s="2" t="s">
        <v>965</v>
      </c>
      <c r="K396" s="2" t="s">
        <v>966</v>
      </c>
      <c r="M396" s="2" t="s">
        <v>967</v>
      </c>
      <c r="P396" s="2" t="s">
        <v>4181</v>
      </c>
      <c r="Q396" t="s">
        <v>4181</v>
      </c>
    </row>
    <row r="397" spans="1:17" ht="18" customHeight="1" x14ac:dyDescent="0.2">
      <c r="A397" s="64" t="s">
        <v>777</v>
      </c>
      <c r="B397" s="64" t="str">
        <f t="shared" si="28"/>
        <v>avars_2017</v>
      </c>
      <c r="C397" s="64" t="s">
        <v>4182</v>
      </c>
      <c r="D397" s="64" t="s">
        <v>602</v>
      </c>
      <c r="E397" s="64" t="s">
        <v>602</v>
      </c>
      <c r="F397" s="2">
        <v>10</v>
      </c>
      <c r="G397" s="2" t="str">
        <f t="shared" si="27"/>
        <v>j</v>
      </c>
      <c r="H397" s="2">
        <v>2017</v>
      </c>
      <c r="I397" s="2" t="s">
        <v>964</v>
      </c>
      <c r="J397" s="2" t="s">
        <v>965</v>
      </c>
      <c r="K397" s="2" t="s">
        <v>966</v>
      </c>
      <c r="M397" s="2" t="s">
        <v>967</v>
      </c>
      <c r="P397" s="2" t="s">
        <v>4181</v>
      </c>
      <c r="Q397" t="s">
        <v>4181</v>
      </c>
    </row>
    <row r="398" spans="1:17" ht="18" customHeight="1" x14ac:dyDescent="0.2">
      <c r="A398" s="64" t="s">
        <v>777</v>
      </c>
      <c r="B398" s="64" t="str">
        <f t="shared" si="28"/>
        <v>avars_2018</v>
      </c>
      <c r="C398" s="64" t="s">
        <v>4182</v>
      </c>
      <c r="D398" s="64" t="s">
        <v>602</v>
      </c>
      <c r="E398" s="64" t="s">
        <v>602</v>
      </c>
      <c r="F398" s="2">
        <v>11</v>
      </c>
      <c r="G398" s="2" t="str">
        <f t="shared" si="27"/>
        <v>k</v>
      </c>
      <c r="H398" s="2">
        <v>2018</v>
      </c>
      <c r="I398" s="2" t="s">
        <v>964</v>
      </c>
      <c r="J398" s="2" t="s">
        <v>965</v>
      </c>
      <c r="K398" s="2" t="s">
        <v>966</v>
      </c>
      <c r="M398" s="2" t="s">
        <v>967</v>
      </c>
      <c r="P398" s="2" t="s">
        <v>4181</v>
      </c>
      <c r="Q398" t="s">
        <v>4181</v>
      </c>
    </row>
    <row r="399" spans="1:17" ht="18" customHeight="1" x14ac:dyDescent="0.2">
      <c r="A399" s="64" t="s">
        <v>777</v>
      </c>
      <c r="B399" s="64" t="str">
        <f t="shared" si="28"/>
        <v>avars_2008</v>
      </c>
      <c r="C399" s="64" t="s">
        <v>4182</v>
      </c>
      <c r="D399" s="64" t="s">
        <v>602</v>
      </c>
      <c r="E399" s="64" t="s">
        <v>602</v>
      </c>
      <c r="F399" s="2">
        <v>1</v>
      </c>
      <c r="G399" s="2" t="str">
        <f t="shared" si="27"/>
        <v>a</v>
      </c>
      <c r="H399" s="2">
        <v>2008</v>
      </c>
      <c r="I399" s="2" t="s">
        <v>964</v>
      </c>
      <c r="J399" s="2" t="s">
        <v>965</v>
      </c>
      <c r="K399" s="2" t="s">
        <v>966</v>
      </c>
      <c r="M399" s="2" t="s">
        <v>967</v>
      </c>
      <c r="P399" s="2" t="s">
        <v>4181</v>
      </c>
      <c r="Q399" t="s">
        <v>4181</v>
      </c>
    </row>
    <row r="400" spans="1:17" ht="18" customHeight="1" x14ac:dyDescent="0.2">
      <c r="A400" s="64" t="s">
        <v>777</v>
      </c>
      <c r="B400" s="64" t="str">
        <f t="shared" si="28"/>
        <v>avars_2009</v>
      </c>
      <c r="C400" s="64" t="s">
        <v>4182</v>
      </c>
      <c r="D400" s="64" t="s">
        <v>602</v>
      </c>
      <c r="E400" s="64" t="s">
        <v>602</v>
      </c>
      <c r="F400" s="2">
        <v>2</v>
      </c>
      <c r="G400" s="2" t="str">
        <f t="shared" si="27"/>
        <v>b</v>
      </c>
      <c r="H400" s="2">
        <v>2009</v>
      </c>
      <c r="I400" s="2" t="s">
        <v>964</v>
      </c>
      <c r="J400" s="2" t="s">
        <v>965</v>
      </c>
      <c r="K400" s="2" t="s">
        <v>966</v>
      </c>
      <c r="M400" s="2" t="s">
        <v>967</v>
      </c>
      <c r="P400" s="2" t="s">
        <v>4181</v>
      </c>
      <c r="Q400" t="s">
        <v>4181</v>
      </c>
    </row>
    <row r="401" spans="1:17" ht="18" customHeight="1" x14ac:dyDescent="0.2">
      <c r="A401" s="64" t="s">
        <v>777</v>
      </c>
      <c r="B401" s="64" t="str">
        <f t="shared" si="28"/>
        <v>avars_2010</v>
      </c>
      <c r="C401" s="64" t="s">
        <v>4182</v>
      </c>
      <c r="D401" s="64" t="s">
        <v>602</v>
      </c>
      <c r="E401" s="64" t="s">
        <v>602</v>
      </c>
      <c r="F401" s="2">
        <v>3</v>
      </c>
      <c r="G401" s="2" t="str">
        <f t="shared" si="27"/>
        <v>c</v>
      </c>
      <c r="H401" s="2">
        <v>2010</v>
      </c>
      <c r="I401" s="2" t="s">
        <v>964</v>
      </c>
      <c r="J401" s="2" t="s">
        <v>965</v>
      </c>
      <c r="K401" s="2" t="s">
        <v>966</v>
      </c>
      <c r="M401" s="2" t="s">
        <v>967</v>
      </c>
      <c r="P401" s="2" t="s">
        <v>4181</v>
      </c>
      <c r="Q401" t="s">
        <v>4181</v>
      </c>
    </row>
    <row r="402" spans="1:17" ht="18" customHeight="1" x14ac:dyDescent="0.2">
      <c r="A402" s="64" t="s">
        <v>777</v>
      </c>
      <c r="B402" s="64" t="str">
        <f t="shared" si="28"/>
        <v>avars_2011</v>
      </c>
      <c r="C402" s="64" t="s">
        <v>4182</v>
      </c>
      <c r="D402" s="64" t="s">
        <v>602</v>
      </c>
      <c r="E402" s="64" t="s">
        <v>602</v>
      </c>
      <c r="F402" s="2">
        <v>4</v>
      </c>
      <c r="G402" s="2" t="str">
        <f t="shared" si="27"/>
        <v>d</v>
      </c>
      <c r="H402" s="2">
        <v>2011</v>
      </c>
      <c r="I402" s="2" t="s">
        <v>964</v>
      </c>
      <c r="J402" s="2" t="s">
        <v>965</v>
      </c>
      <c r="K402" s="2" t="s">
        <v>966</v>
      </c>
      <c r="M402" s="2" t="s">
        <v>967</v>
      </c>
      <c r="P402" s="2" t="s">
        <v>4181</v>
      </c>
      <c r="Q402" t="s">
        <v>4181</v>
      </c>
    </row>
    <row r="403" spans="1:17" ht="18" customHeight="1" x14ac:dyDescent="0.2">
      <c r="A403" s="64" t="s">
        <v>777</v>
      </c>
      <c r="B403" s="64" t="str">
        <f t="shared" si="28"/>
        <v>avars_2012</v>
      </c>
      <c r="C403" s="64" t="s">
        <v>4182</v>
      </c>
      <c r="D403" s="64" t="s">
        <v>602</v>
      </c>
      <c r="E403" s="64" t="s">
        <v>602</v>
      </c>
      <c r="F403" s="2">
        <v>5</v>
      </c>
      <c r="G403" s="2" t="str">
        <f t="shared" si="27"/>
        <v>e</v>
      </c>
      <c r="H403" s="2">
        <v>2012</v>
      </c>
      <c r="I403" s="2" t="s">
        <v>964</v>
      </c>
      <c r="J403" s="2" t="s">
        <v>965</v>
      </c>
      <c r="K403" s="2" t="s">
        <v>966</v>
      </c>
      <c r="M403" s="2" t="s">
        <v>967</v>
      </c>
      <c r="P403" s="2" t="s">
        <v>4181</v>
      </c>
      <c r="Q403" t="s">
        <v>4181</v>
      </c>
    </row>
    <row r="404" spans="1:17" ht="18" customHeight="1" x14ac:dyDescent="0.2">
      <c r="A404" s="64" t="s">
        <v>777</v>
      </c>
      <c r="B404" s="64" t="str">
        <f t="shared" si="28"/>
        <v>avars_2013</v>
      </c>
      <c r="C404" s="64" t="s">
        <v>4182</v>
      </c>
      <c r="D404" s="64" t="s">
        <v>602</v>
      </c>
      <c r="E404" s="64" t="s">
        <v>602</v>
      </c>
      <c r="F404" s="2">
        <v>6</v>
      </c>
      <c r="G404" s="2" t="str">
        <f t="shared" si="27"/>
        <v>f</v>
      </c>
      <c r="H404" s="2">
        <v>2013</v>
      </c>
      <c r="I404" s="2" t="s">
        <v>964</v>
      </c>
      <c r="J404" s="2" t="s">
        <v>965</v>
      </c>
      <c r="K404" s="2" t="s">
        <v>966</v>
      </c>
      <c r="M404" s="2" t="s">
        <v>967</v>
      </c>
      <c r="P404" s="2" t="s">
        <v>4181</v>
      </c>
      <c r="Q404" t="s">
        <v>4181</v>
      </c>
    </row>
    <row r="405" spans="1:17" ht="18" customHeight="1" x14ac:dyDescent="0.2">
      <c r="A405" s="64" t="s">
        <v>777</v>
      </c>
      <c r="B405" s="64" t="str">
        <f t="shared" si="28"/>
        <v>avars_2014</v>
      </c>
      <c r="C405" s="64" t="s">
        <v>4182</v>
      </c>
      <c r="D405" s="64" t="s">
        <v>602</v>
      </c>
      <c r="E405" s="64" t="s">
        <v>602</v>
      </c>
      <c r="F405" s="2">
        <v>7</v>
      </c>
      <c r="G405" s="2" t="str">
        <f t="shared" si="27"/>
        <v>g</v>
      </c>
      <c r="H405" s="2">
        <v>2014</v>
      </c>
      <c r="I405" s="2" t="s">
        <v>964</v>
      </c>
      <c r="J405" s="2" t="s">
        <v>965</v>
      </c>
      <c r="K405" s="2" t="s">
        <v>966</v>
      </c>
      <c r="M405" s="2" t="s">
        <v>967</v>
      </c>
      <c r="P405" s="2" t="s">
        <v>4181</v>
      </c>
      <c r="Q405" t="s">
        <v>4181</v>
      </c>
    </row>
    <row r="406" spans="1:17" ht="18" customHeight="1" x14ac:dyDescent="0.2">
      <c r="A406" s="64" t="s">
        <v>777</v>
      </c>
      <c r="B406" s="64" t="str">
        <f t="shared" si="28"/>
        <v>avars_2015</v>
      </c>
      <c r="C406" s="64" t="s">
        <v>4182</v>
      </c>
      <c r="D406" s="64" t="s">
        <v>602</v>
      </c>
      <c r="E406" s="64" t="s">
        <v>602</v>
      </c>
      <c r="F406" s="2">
        <v>8</v>
      </c>
      <c r="G406" s="2" t="str">
        <f t="shared" si="27"/>
        <v>h</v>
      </c>
      <c r="H406" s="2">
        <v>2015</v>
      </c>
      <c r="I406" s="2" t="s">
        <v>964</v>
      </c>
      <c r="J406" s="2" t="s">
        <v>965</v>
      </c>
      <c r="K406" s="2" t="s">
        <v>966</v>
      </c>
      <c r="M406" s="2" t="s">
        <v>967</v>
      </c>
      <c r="P406" s="2" t="s">
        <v>4181</v>
      </c>
      <c r="Q406" t="s">
        <v>4181</v>
      </c>
    </row>
    <row r="407" spans="1:17" ht="18" customHeight="1" x14ac:dyDescent="0.2">
      <c r="A407" s="64" t="s">
        <v>777</v>
      </c>
      <c r="B407" s="64" t="str">
        <f t="shared" si="28"/>
        <v>avars_2016</v>
      </c>
      <c r="C407" s="64" t="s">
        <v>4182</v>
      </c>
      <c r="D407" s="64" t="s">
        <v>602</v>
      </c>
      <c r="E407" s="64" t="s">
        <v>602</v>
      </c>
      <c r="F407" s="2">
        <v>9</v>
      </c>
      <c r="G407" s="2" t="str">
        <f t="shared" si="27"/>
        <v>i</v>
      </c>
      <c r="H407" s="2">
        <v>2016</v>
      </c>
      <c r="I407" s="2" t="s">
        <v>964</v>
      </c>
      <c r="J407" s="2" t="s">
        <v>965</v>
      </c>
      <c r="K407" s="2" t="s">
        <v>966</v>
      </c>
      <c r="M407" s="2" t="s">
        <v>967</v>
      </c>
      <c r="P407" s="2" t="s">
        <v>4181</v>
      </c>
      <c r="Q407" t="s">
        <v>4181</v>
      </c>
    </row>
    <row r="408" spans="1:17" ht="18" customHeight="1" x14ac:dyDescent="0.2">
      <c r="A408" s="64" t="s">
        <v>777</v>
      </c>
      <c r="B408" s="64" t="str">
        <f t="shared" si="28"/>
        <v>avars_2017</v>
      </c>
      <c r="C408" s="64" t="s">
        <v>4182</v>
      </c>
      <c r="D408" s="64" t="s">
        <v>602</v>
      </c>
      <c r="E408" s="64" t="s">
        <v>602</v>
      </c>
      <c r="F408" s="2">
        <v>10</v>
      </c>
      <c r="G408" s="2" t="str">
        <f t="shared" si="27"/>
        <v>j</v>
      </c>
      <c r="H408" s="2">
        <v>2017</v>
      </c>
      <c r="I408" s="2" t="s">
        <v>964</v>
      </c>
      <c r="J408" s="2" t="s">
        <v>965</v>
      </c>
      <c r="K408" s="2" t="s">
        <v>966</v>
      </c>
      <c r="M408" s="2" t="s">
        <v>967</v>
      </c>
      <c r="P408" s="2" t="s">
        <v>4181</v>
      </c>
      <c r="Q408" t="s">
        <v>4181</v>
      </c>
    </row>
    <row r="409" spans="1:17" ht="18" customHeight="1" x14ac:dyDescent="0.2">
      <c r="A409" s="64" t="s">
        <v>777</v>
      </c>
      <c r="B409" s="64" t="str">
        <f t="shared" si="28"/>
        <v>avars_2018</v>
      </c>
      <c r="C409" s="64" t="s">
        <v>4182</v>
      </c>
      <c r="D409" s="64" t="s">
        <v>602</v>
      </c>
      <c r="E409" s="64" t="s">
        <v>602</v>
      </c>
      <c r="F409" s="2">
        <v>11</v>
      </c>
      <c r="G409" s="2" t="str">
        <f t="shared" si="27"/>
        <v>k</v>
      </c>
      <c r="H409" s="2">
        <v>2018</v>
      </c>
      <c r="I409" s="2" t="s">
        <v>964</v>
      </c>
      <c r="J409" s="2" t="s">
        <v>965</v>
      </c>
      <c r="K409" s="2" t="s">
        <v>966</v>
      </c>
      <c r="M409" s="2" t="s">
        <v>967</v>
      </c>
      <c r="P409" s="2" t="s">
        <v>4181</v>
      </c>
      <c r="Q409" t="s">
        <v>4181</v>
      </c>
    </row>
    <row r="410" spans="1:17" ht="18" customHeight="1" x14ac:dyDescent="0.2">
      <c r="A410" s="64" t="s">
        <v>777</v>
      </c>
      <c r="B410" s="64" t="str">
        <f t="shared" si="28"/>
        <v>avars_2008</v>
      </c>
      <c r="C410" s="64" t="s">
        <v>4182</v>
      </c>
      <c r="D410" s="64" t="s">
        <v>602</v>
      </c>
      <c r="E410" s="64" t="s">
        <v>602</v>
      </c>
      <c r="F410" s="2">
        <v>1</v>
      </c>
      <c r="G410" s="2" t="str">
        <f t="shared" si="27"/>
        <v>a</v>
      </c>
      <c r="H410" s="2">
        <v>2008</v>
      </c>
      <c r="I410" s="2" t="s">
        <v>964</v>
      </c>
      <c r="J410" s="2" t="s">
        <v>965</v>
      </c>
      <c r="K410" s="2" t="s">
        <v>966</v>
      </c>
      <c r="M410" s="2" t="s">
        <v>967</v>
      </c>
      <c r="P410" s="2" t="s">
        <v>4181</v>
      </c>
      <c r="Q410" t="s">
        <v>4181</v>
      </c>
    </row>
    <row r="411" spans="1:17" ht="18" customHeight="1" x14ac:dyDescent="0.2">
      <c r="A411" s="64" t="s">
        <v>777</v>
      </c>
      <c r="B411" s="64" t="str">
        <f t="shared" si="28"/>
        <v>avars_2009</v>
      </c>
      <c r="C411" s="64" t="s">
        <v>4182</v>
      </c>
      <c r="D411" s="64" t="s">
        <v>602</v>
      </c>
      <c r="E411" s="64" t="s">
        <v>602</v>
      </c>
      <c r="F411" s="2">
        <v>2</v>
      </c>
      <c r="G411" s="2" t="str">
        <f t="shared" si="27"/>
        <v>b</v>
      </c>
      <c r="H411" s="2">
        <v>2009</v>
      </c>
      <c r="I411" s="2" t="s">
        <v>964</v>
      </c>
      <c r="J411" s="2" t="s">
        <v>965</v>
      </c>
      <c r="K411" s="2" t="s">
        <v>966</v>
      </c>
      <c r="M411" s="2" t="s">
        <v>967</v>
      </c>
      <c r="P411" s="2" t="s">
        <v>4181</v>
      </c>
      <c r="Q411" t="s">
        <v>4181</v>
      </c>
    </row>
    <row r="412" spans="1:17" ht="18" customHeight="1" x14ac:dyDescent="0.2">
      <c r="A412" s="64" t="s">
        <v>777</v>
      </c>
      <c r="B412" s="64" t="str">
        <f t="shared" si="28"/>
        <v>avars_2010</v>
      </c>
      <c r="C412" s="64" t="s">
        <v>4182</v>
      </c>
      <c r="D412" s="64" t="s">
        <v>602</v>
      </c>
      <c r="E412" s="64" t="s">
        <v>602</v>
      </c>
      <c r="F412" s="2">
        <v>3</v>
      </c>
      <c r="G412" s="2" t="str">
        <f t="shared" si="27"/>
        <v>c</v>
      </c>
      <c r="H412" s="2">
        <v>2010</v>
      </c>
      <c r="I412" s="2" t="s">
        <v>964</v>
      </c>
      <c r="J412" s="2" t="s">
        <v>965</v>
      </c>
      <c r="K412" s="2" t="s">
        <v>966</v>
      </c>
      <c r="M412" s="2" t="s">
        <v>967</v>
      </c>
      <c r="P412" s="2" t="s">
        <v>4181</v>
      </c>
      <c r="Q412" t="s">
        <v>4181</v>
      </c>
    </row>
    <row r="413" spans="1:17" ht="18" customHeight="1" x14ac:dyDescent="0.2">
      <c r="A413" s="64" t="s">
        <v>777</v>
      </c>
      <c r="B413" s="64" t="str">
        <f t="shared" si="28"/>
        <v>avars_2011</v>
      </c>
      <c r="C413" s="64" t="s">
        <v>4182</v>
      </c>
      <c r="D413" s="64" t="s">
        <v>602</v>
      </c>
      <c r="E413" s="64" t="s">
        <v>602</v>
      </c>
      <c r="F413" s="2">
        <v>4</v>
      </c>
      <c r="G413" s="2" t="str">
        <f t="shared" si="27"/>
        <v>d</v>
      </c>
      <c r="H413" s="2">
        <v>2011</v>
      </c>
      <c r="I413" s="2" t="s">
        <v>964</v>
      </c>
      <c r="J413" s="2" t="s">
        <v>965</v>
      </c>
      <c r="K413" s="2" t="s">
        <v>966</v>
      </c>
      <c r="M413" s="2" t="s">
        <v>967</v>
      </c>
      <c r="P413" s="2" t="s">
        <v>4181</v>
      </c>
      <c r="Q413" t="s">
        <v>4181</v>
      </c>
    </row>
    <row r="414" spans="1:17" ht="18" customHeight="1" x14ac:dyDescent="0.2">
      <c r="A414" s="64" t="s">
        <v>777</v>
      </c>
      <c r="B414" s="64" t="str">
        <f t="shared" si="28"/>
        <v>avars_2012</v>
      </c>
      <c r="C414" s="64" t="s">
        <v>4182</v>
      </c>
      <c r="D414" s="64" t="s">
        <v>602</v>
      </c>
      <c r="E414" s="64" t="s">
        <v>602</v>
      </c>
      <c r="F414" s="2">
        <v>5</v>
      </c>
      <c r="G414" s="2" t="str">
        <f t="shared" si="27"/>
        <v>e</v>
      </c>
      <c r="H414" s="2">
        <v>2012</v>
      </c>
      <c r="I414" s="2" t="s">
        <v>964</v>
      </c>
      <c r="J414" s="2" t="s">
        <v>965</v>
      </c>
      <c r="K414" s="2" t="s">
        <v>966</v>
      </c>
      <c r="M414" s="2" t="s">
        <v>967</v>
      </c>
      <c r="P414" s="2" t="s">
        <v>4181</v>
      </c>
      <c r="Q414" t="s">
        <v>4181</v>
      </c>
    </row>
    <row r="415" spans="1:17" ht="18" customHeight="1" x14ac:dyDescent="0.2">
      <c r="A415" s="64" t="s">
        <v>777</v>
      </c>
      <c r="B415" s="64" t="str">
        <f t="shared" si="28"/>
        <v>avars_2013</v>
      </c>
      <c r="C415" s="64" t="s">
        <v>4182</v>
      </c>
      <c r="D415" s="64" t="s">
        <v>602</v>
      </c>
      <c r="E415" s="64" t="s">
        <v>602</v>
      </c>
      <c r="F415" s="2">
        <v>6</v>
      </c>
      <c r="G415" s="2" t="str">
        <f t="shared" si="27"/>
        <v>f</v>
      </c>
      <c r="H415" s="2">
        <v>2013</v>
      </c>
      <c r="I415" s="2" t="s">
        <v>964</v>
      </c>
      <c r="J415" s="2" t="s">
        <v>965</v>
      </c>
      <c r="K415" s="2" t="s">
        <v>966</v>
      </c>
      <c r="M415" s="2" t="s">
        <v>967</v>
      </c>
      <c r="P415" s="2" t="s">
        <v>4181</v>
      </c>
      <c r="Q415" t="s">
        <v>4181</v>
      </c>
    </row>
    <row r="416" spans="1:17" ht="18" customHeight="1" x14ac:dyDescent="0.2">
      <c r="A416" s="64" t="s">
        <v>777</v>
      </c>
      <c r="B416" s="64" t="str">
        <f t="shared" si="28"/>
        <v>avars_2014</v>
      </c>
      <c r="C416" s="64" t="s">
        <v>4182</v>
      </c>
      <c r="D416" s="64" t="s">
        <v>602</v>
      </c>
      <c r="E416" s="64" t="s">
        <v>602</v>
      </c>
      <c r="F416" s="2">
        <v>7</v>
      </c>
      <c r="G416" s="2" t="str">
        <f t="shared" ref="G416:G445" si="29">MID("abcdefghijklmnopqrstuvwxyz",F416,1)</f>
        <v>g</v>
      </c>
      <c r="H416" s="2">
        <v>2014</v>
      </c>
      <c r="I416" s="2" t="s">
        <v>964</v>
      </c>
      <c r="J416" s="2" t="s">
        <v>965</v>
      </c>
      <c r="K416" s="2" t="s">
        <v>966</v>
      </c>
      <c r="M416" s="2" t="s">
        <v>967</v>
      </c>
      <c r="P416" s="2" t="s">
        <v>4181</v>
      </c>
      <c r="Q416" t="s">
        <v>4181</v>
      </c>
    </row>
    <row r="417" spans="1:17" ht="18" customHeight="1" x14ac:dyDescent="0.2">
      <c r="A417" s="64" t="s">
        <v>777</v>
      </c>
      <c r="B417" s="64" t="str">
        <f t="shared" si="28"/>
        <v>avars_2015</v>
      </c>
      <c r="C417" s="64" t="s">
        <v>4182</v>
      </c>
      <c r="D417" s="64" t="s">
        <v>602</v>
      </c>
      <c r="E417" s="64" t="s">
        <v>602</v>
      </c>
      <c r="F417" s="2">
        <v>8</v>
      </c>
      <c r="G417" s="2" t="str">
        <f t="shared" si="29"/>
        <v>h</v>
      </c>
      <c r="H417" s="2">
        <v>2015</v>
      </c>
      <c r="I417" s="2" t="s">
        <v>964</v>
      </c>
      <c r="J417" s="2" t="s">
        <v>965</v>
      </c>
      <c r="K417" s="2" t="s">
        <v>966</v>
      </c>
      <c r="M417" s="2" t="s">
        <v>967</v>
      </c>
      <c r="P417" s="2" t="s">
        <v>4181</v>
      </c>
      <c r="Q417" t="s">
        <v>4181</v>
      </c>
    </row>
    <row r="418" spans="1:17" ht="18" customHeight="1" x14ac:dyDescent="0.2">
      <c r="A418" s="64" t="s">
        <v>777</v>
      </c>
      <c r="B418" s="64" t="str">
        <f t="shared" si="28"/>
        <v>avars_2016</v>
      </c>
      <c r="C418" s="64" t="s">
        <v>4182</v>
      </c>
      <c r="D418" s="64" t="s">
        <v>602</v>
      </c>
      <c r="E418" s="64" t="s">
        <v>602</v>
      </c>
      <c r="F418" s="2">
        <v>9</v>
      </c>
      <c r="G418" s="2" t="str">
        <f t="shared" si="29"/>
        <v>i</v>
      </c>
      <c r="H418" s="2">
        <v>2016</v>
      </c>
      <c r="I418" s="2" t="s">
        <v>964</v>
      </c>
      <c r="J418" s="2" t="s">
        <v>965</v>
      </c>
      <c r="K418" s="2" t="s">
        <v>966</v>
      </c>
      <c r="M418" s="2" t="s">
        <v>967</v>
      </c>
      <c r="P418" s="2" t="s">
        <v>4181</v>
      </c>
      <c r="Q418" t="s">
        <v>4181</v>
      </c>
    </row>
    <row r="419" spans="1:17" ht="18" customHeight="1" x14ac:dyDescent="0.2">
      <c r="A419" s="64" t="s">
        <v>777</v>
      </c>
      <c r="B419" s="64" t="str">
        <f t="shared" si="28"/>
        <v>avars_2017</v>
      </c>
      <c r="C419" s="64" t="s">
        <v>4182</v>
      </c>
      <c r="D419" s="64" t="s">
        <v>602</v>
      </c>
      <c r="E419" s="64" t="s">
        <v>602</v>
      </c>
      <c r="F419" s="2">
        <v>10</v>
      </c>
      <c r="G419" s="2" t="str">
        <f t="shared" si="29"/>
        <v>j</v>
      </c>
      <c r="H419" s="2">
        <v>2017</v>
      </c>
      <c r="I419" s="2" t="s">
        <v>964</v>
      </c>
      <c r="J419" s="2" t="s">
        <v>965</v>
      </c>
      <c r="K419" s="2" t="s">
        <v>966</v>
      </c>
      <c r="M419" s="2" t="s">
        <v>967</v>
      </c>
      <c r="P419" s="2" t="s">
        <v>4181</v>
      </c>
      <c r="Q419" t="s">
        <v>4181</v>
      </c>
    </row>
    <row r="420" spans="1:17" ht="18" customHeight="1" x14ac:dyDescent="0.2">
      <c r="A420" s="64" t="s">
        <v>777</v>
      </c>
      <c r="B420" s="64" t="str">
        <f t="shared" si="28"/>
        <v>avars_2018</v>
      </c>
      <c r="C420" s="64" t="s">
        <v>4182</v>
      </c>
      <c r="D420" s="64" t="s">
        <v>602</v>
      </c>
      <c r="E420" s="64" t="s">
        <v>602</v>
      </c>
      <c r="F420" s="2">
        <v>11</v>
      </c>
      <c r="G420" s="2" t="str">
        <f t="shared" si="29"/>
        <v>k</v>
      </c>
      <c r="H420" s="2">
        <v>2018</v>
      </c>
      <c r="I420" s="2" t="s">
        <v>964</v>
      </c>
      <c r="J420" s="2" t="s">
        <v>965</v>
      </c>
      <c r="K420" s="2" t="s">
        <v>966</v>
      </c>
      <c r="M420" s="2" t="s">
        <v>967</v>
      </c>
      <c r="P420" s="2" t="s">
        <v>4181</v>
      </c>
      <c r="Q420" t="s">
        <v>4181</v>
      </c>
    </row>
    <row r="421" spans="1:17" ht="18" customHeight="1" x14ac:dyDescent="0.2">
      <c r="A421" s="67" t="s">
        <v>777</v>
      </c>
      <c r="B421" s="67" t="s">
        <v>892</v>
      </c>
      <c r="C421" s="67" t="s">
        <v>4182</v>
      </c>
      <c r="D421" s="67" t="s">
        <v>1524</v>
      </c>
      <c r="E421" s="67" t="s">
        <v>3745</v>
      </c>
      <c r="F421" s="2">
        <v>1</v>
      </c>
      <c r="G421" s="2" t="str">
        <f t="shared" si="29"/>
        <v>a</v>
      </c>
      <c r="H421" s="2">
        <v>2008</v>
      </c>
      <c r="I421" s="2" t="s">
        <v>3746</v>
      </c>
      <c r="J421" s="2" t="s">
        <v>3747</v>
      </c>
      <c r="K421" s="8" t="s">
        <v>642</v>
      </c>
      <c r="L421"/>
      <c r="M421" s="2" t="s">
        <v>3748</v>
      </c>
      <c r="P421" s="2" t="s">
        <v>2175</v>
      </c>
      <c r="Q421" t="s">
        <v>3462</v>
      </c>
    </row>
    <row r="422" spans="1:17" ht="18" customHeight="1" x14ac:dyDescent="0.2">
      <c r="A422" s="67" t="s">
        <v>777</v>
      </c>
      <c r="B422" s="67" t="s">
        <v>897</v>
      </c>
      <c r="C422" s="67" t="s">
        <v>4182</v>
      </c>
      <c r="D422" s="67" t="s">
        <v>1524</v>
      </c>
      <c r="E422" s="67" t="s">
        <v>3745</v>
      </c>
      <c r="F422" s="2">
        <v>2</v>
      </c>
      <c r="G422" s="2" t="str">
        <f t="shared" si="29"/>
        <v>b</v>
      </c>
      <c r="H422" s="2">
        <v>2009</v>
      </c>
      <c r="I422" s="2" t="s">
        <v>3749</v>
      </c>
      <c r="J422" s="2" t="s">
        <v>3747</v>
      </c>
      <c r="K422" s="8" t="s">
        <v>642</v>
      </c>
      <c r="L422"/>
      <c r="M422" s="2" t="s">
        <v>3748</v>
      </c>
      <c r="P422" s="2" t="s">
        <v>2175</v>
      </c>
      <c r="Q422" t="s">
        <v>3462</v>
      </c>
    </row>
    <row r="423" spans="1:17" ht="18" customHeight="1" x14ac:dyDescent="0.2">
      <c r="A423" s="67" t="s">
        <v>777</v>
      </c>
      <c r="B423" s="67" t="s">
        <v>899</v>
      </c>
      <c r="C423" s="67" t="s">
        <v>4182</v>
      </c>
      <c r="D423" s="67" t="s">
        <v>1524</v>
      </c>
      <c r="E423" s="67" t="s">
        <v>3745</v>
      </c>
      <c r="F423" s="2">
        <v>3</v>
      </c>
      <c r="G423" s="2" t="str">
        <f t="shared" si="29"/>
        <v>c</v>
      </c>
      <c r="H423" s="2">
        <v>2010</v>
      </c>
      <c r="I423" s="2" t="s">
        <v>3750</v>
      </c>
      <c r="J423" s="2" t="s">
        <v>3747</v>
      </c>
      <c r="K423" s="8" t="s">
        <v>642</v>
      </c>
      <c r="L423"/>
      <c r="M423" s="2" t="s">
        <v>3748</v>
      </c>
      <c r="P423" s="2" t="s">
        <v>2175</v>
      </c>
      <c r="Q423" t="s">
        <v>3462</v>
      </c>
    </row>
    <row r="424" spans="1:17" ht="18" customHeight="1" x14ac:dyDescent="0.2">
      <c r="A424" s="67" t="s">
        <v>777</v>
      </c>
      <c r="B424" s="67" t="s">
        <v>901</v>
      </c>
      <c r="C424" s="67" t="s">
        <v>4182</v>
      </c>
      <c r="D424" s="67" t="s">
        <v>1524</v>
      </c>
      <c r="E424" s="67" t="s">
        <v>3745</v>
      </c>
      <c r="F424" s="2">
        <v>4</v>
      </c>
      <c r="G424" s="2" t="str">
        <f t="shared" si="29"/>
        <v>d</v>
      </c>
      <c r="H424" s="2">
        <v>2011</v>
      </c>
      <c r="I424" s="2" t="s">
        <v>3751</v>
      </c>
      <c r="J424" s="2" t="s">
        <v>3747</v>
      </c>
      <c r="K424" s="8" t="s">
        <v>642</v>
      </c>
      <c r="L424"/>
      <c r="M424" s="2" t="s">
        <v>3748</v>
      </c>
      <c r="P424" s="2" t="s">
        <v>2175</v>
      </c>
      <c r="Q424" t="s">
        <v>3462</v>
      </c>
    </row>
    <row r="425" spans="1:17" ht="18" customHeight="1" x14ac:dyDescent="0.2">
      <c r="A425" s="67" t="s">
        <v>777</v>
      </c>
      <c r="B425" s="67" t="s">
        <v>903</v>
      </c>
      <c r="C425" s="67" t="s">
        <v>4182</v>
      </c>
      <c r="D425" s="67" t="s">
        <v>1524</v>
      </c>
      <c r="E425" s="67" t="s">
        <v>3745</v>
      </c>
      <c r="F425" s="2">
        <v>5</v>
      </c>
      <c r="G425" s="2" t="str">
        <f t="shared" si="29"/>
        <v>e</v>
      </c>
      <c r="H425" s="2">
        <v>2012</v>
      </c>
      <c r="I425" s="2" t="s">
        <v>3752</v>
      </c>
      <c r="J425" s="2" t="s">
        <v>3747</v>
      </c>
      <c r="K425" s="8" t="s">
        <v>642</v>
      </c>
      <c r="L425"/>
      <c r="M425" s="2" t="s">
        <v>3748</v>
      </c>
      <c r="P425" s="2" t="s">
        <v>2175</v>
      </c>
      <c r="Q425" t="s">
        <v>3462</v>
      </c>
    </row>
    <row r="426" spans="1:17" ht="18" customHeight="1" x14ac:dyDescent="0.2">
      <c r="A426" s="67" t="s">
        <v>777</v>
      </c>
      <c r="B426" s="67" t="s">
        <v>905</v>
      </c>
      <c r="C426" s="67" t="s">
        <v>4182</v>
      </c>
      <c r="D426" s="67" t="s">
        <v>1524</v>
      </c>
      <c r="E426" s="67" t="s">
        <v>3745</v>
      </c>
      <c r="F426" s="2">
        <v>6</v>
      </c>
      <c r="G426" s="2" t="str">
        <f t="shared" si="29"/>
        <v>f</v>
      </c>
      <c r="H426" s="2">
        <v>2013</v>
      </c>
      <c r="I426" s="2" t="s">
        <v>3753</v>
      </c>
      <c r="J426" s="2" t="s">
        <v>3747</v>
      </c>
      <c r="K426" s="8" t="s">
        <v>642</v>
      </c>
      <c r="L426"/>
      <c r="M426" s="2" t="s">
        <v>3748</v>
      </c>
      <c r="P426" s="2" t="s">
        <v>2175</v>
      </c>
      <c r="Q426" t="s">
        <v>3462</v>
      </c>
    </row>
    <row r="427" spans="1:17" ht="18" customHeight="1" x14ac:dyDescent="0.2">
      <c r="A427" s="67" t="s">
        <v>777</v>
      </c>
      <c r="B427" s="67" t="s">
        <v>907</v>
      </c>
      <c r="C427" s="67" t="s">
        <v>4182</v>
      </c>
      <c r="D427" s="67" t="s">
        <v>1524</v>
      </c>
      <c r="E427" s="67" t="s">
        <v>3745</v>
      </c>
      <c r="F427" s="2">
        <v>7</v>
      </c>
      <c r="G427" s="2" t="str">
        <f t="shared" si="29"/>
        <v>g</v>
      </c>
      <c r="H427" s="2">
        <v>2014</v>
      </c>
      <c r="I427" s="2" t="s">
        <v>3754</v>
      </c>
      <c r="J427" s="2" t="s">
        <v>3755</v>
      </c>
      <c r="K427" s="8" t="s">
        <v>642</v>
      </c>
      <c r="L427"/>
      <c r="M427" s="2" t="s">
        <v>3748</v>
      </c>
      <c r="P427" s="2" t="s">
        <v>2175</v>
      </c>
      <c r="Q427" t="s">
        <v>3462</v>
      </c>
    </row>
    <row r="428" spans="1:17" ht="18" customHeight="1" x14ac:dyDescent="0.2">
      <c r="A428" s="67" t="s">
        <v>777</v>
      </c>
      <c r="B428" s="67" t="s">
        <v>909</v>
      </c>
      <c r="C428" s="67" t="s">
        <v>4182</v>
      </c>
      <c r="D428" s="67" t="s">
        <v>1524</v>
      </c>
      <c r="E428" s="67" t="s">
        <v>3745</v>
      </c>
      <c r="F428" s="2">
        <v>8</v>
      </c>
      <c r="G428" s="2" t="str">
        <f t="shared" si="29"/>
        <v>h</v>
      </c>
      <c r="H428" s="2">
        <v>2015</v>
      </c>
      <c r="I428" s="2" t="s">
        <v>3756</v>
      </c>
      <c r="J428" s="2" t="s">
        <v>3757</v>
      </c>
      <c r="K428" s="8" t="s">
        <v>642</v>
      </c>
      <c r="L428"/>
      <c r="M428" s="2" t="s">
        <v>3748</v>
      </c>
      <c r="P428" s="2" t="s">
        <v>2175</v>
      </c>
      <c r="Q428" t="s">
        <v>3462</v>
      </c>
    </row>
    <row r="429" spans="1:17" ht="18" customHeight="1" x14ac:dyDescent="0.2">
      <c r="A429" s="67" t="s">
        <v>777</v>
      </c>
      <c r="B429" s="67" t="s">
        <v>911</v>
      </c>
      <c r="C429" s="67" t="s">
        <v>4182</v>
      </c>
      <c r="D429" s="67" t="s">
        <v>1524</v>
      </c>
      <c r="E429" s="67" t="s">
        <v>3745</v>
      </c>
      <c r="F429" s="2">
        <v>9</v>
      </c>
      <c r="G429" s="2" t="str">
        <f t="shared" si="29"/>
        <v>i</v>
      </c>
      <c r="H429" s="2">
        <v>2016</v>
      </c>
      <c r="I429" s="2" t="s">
        <v>3758</v>
      </c>
      <c r="J429" s="2" t="s">
        <v>3759</v>
      </c>
      <c r="K429" s="8" t="s">
        <v>642</v>
      </c>
      <c r="L429"/>
      <c r="M429" s="2" t="s">
        <v>3748</v>
      </c>
      <c r="P429" s="2" t="s">
        <v>2175</v>
      </c>
      <c r="Q429" t="s">
        <v>3462</v>
      </c>
    </row>
    <row r="430" spans="1:17" ht="18" customHeight="1" x14ac:dyDescent="0.2">
      <c r="A430" s="67" t="s">
        <v>777</v>
      </c>
      <c r="B430" s="67" t="s">
        <v>913</v>
      </c>
      <c r="C430" s="67" t="s">
        <v>4182</v>
      </c>
      <c r="D430" s="67" t="s">
        <v>1524</v>
      </c>
      <c r="E430" s="67" t="s">
        <v>3745</v>
      </c>
      <c r="F430" s="2">
        <v>10</v>
      </c>
      <c r="G430" s="2" t="str">
        <f t="shared" si="29"/>
        <v>j</v>
      </c>
      <c r="H430" s="2">
        <v>2017</v>
      </c>
      <c r="I430" s="2" t="s">
        <v>3760</v>
      </c>
      <c r="J430" s="2" t="s">
        <v>3761</v>
      </c>
      <c r="K430" s="8" t="s">
        <v>642</v>
      </c>
      <c r="L430"/>
      <c r="M430" s="2" t="s">
        <v>3748</v>
      </c>
      <c r="P430" s="2" t="s">
        <v>2175</v>
      </c>
      <c r="Q430" t="s">
        <v>3462</v>
      </c>
    </row>
    <row r="431" spans="1:17" ht="18" customHeight="1" x14ac:dyDescent="0.2">
      <c r="A431" s="67" t="s">
        <v>777</v>
      </c>
      <c r="B431" s="67" t="s">
        <v>915</v>
      </c>
      <c r="C431" s="67" t="s">
        <v>4182</v>
      </c>
      <c r="D431" s="67" t="s">
        <v>1524</v>
      </c>
      <c r="E431" s="67" t="s">
        <v>3745</v>
      </c>
      <c r="F431" s="2">
        <v>11</v>
      </c>
      <c r="G431" s="2" t="str">
        <f t="shared" si="29"/>
        <v>k</v>
      </c>
      <c r="H431" s="2">
        <v>2018</v>
      </c>
      <c r="I431" s="2" t="s">
        <v>3762</v>
      </c>
      <c r="J431" s="2" t="s">
        <v>3763</v>
      </c>
      <c r="K431" s="8" t="s">
        <v>642</v>
      </c>
      <c r="L431"/>
      <c r="M431" s="2" t="s">
        <v>3748</v>
      </c>
      <c r="P431" s="2" t="s">
        <v>2175</v>
      </c>
      <c r="Q431" t="s">
        <v>3462</v>
      </c>
    </row>
    <row r="432" spans="1:17" ht="18" customHeight="1" x14ac:dyDescent="0.2">
      <c r="A432" s="67" t="s">
        <v>777</v>
      </c>
      <c r="B432" s="67" t="s">
        <v>949</v>
      </c>
      <c r="C432" s="67" t="s">
        <v>4182</v>
      </c>
      <c r="D432" s="67" t="s">
        <v>1524</v>
      </c>
      <c r="E432" s="67" t="s">
        <v>3745</v>
      </c>
      <c r="F432" s="2">
        <v>12</v>
      </c>
      <c r="G432" s="2" t="str">
        <f t="shared" si="29"/>
        <v>l</v>
      </c>
      <c r="H432" s="2">
        <v>2019</v>
      </c>
      <c r="I432" s="2" t="s">
        <v>3764</v>
      </c>
      <c r="J432" s="2" t="s">
        <v>3765</v>
      </c>
      <c r="K432" s="8" t="s">
        <v>642</v>
      </c>
      <c r="L432"/>
      <c r="M432" s="2" t="s">
        <v>3748</v>
      </c>
      <c r="P432" s="2" t="s">
        <v>2175</v>
      </c>
      <c r="Q432" t="s">
        <v>3462</v>
      </c>
    </row>
    <row r="433" spans="1:17" ht="18" customHeight="1" x14ac:dyDescent="0.2">
      <c r="A433" s="60" t="s">
        <v>777</v>
      </c>
      <c r="B433" s="60" t="str">
        <f t="shared" ref="B433:B445" si="30">"cd" &amp; RIGHT(H433, 2) &amp; G433</f>
        <v>cd07a</v>
      </c>
      <c r="C433" s="60" t="s">
        <v>4182</v>
      </c>
      <c r="D433" s="60" t="s">
        <v>1633</v>
      </c>
      <c r="E433" s="60" t="s">
        <v>1633</v>
      </c>
      <c r="F433" s="2">
        <v>1</v>
      </c>
      <c r="G433" s="2" t="str">
        <f t="shared" si="29"/>
        <v>a</v>
      </c>
      <c r="H433" s="2">
        <v>2007</v>
      </c>
      <c r="I433" s="2" t="str">
        <f t="shared" ref="I433:I445" si="31">"cd"&amp;RIGHT(H433,2)&amp;G433&amp;"003"</f>
        <v>cd07a003</v>
      </c>
      <c r="J433" s="2" t="s">
        <v>4169</v>
      </c>
      <c r="K433" s="7" t="s">
        <v>4170</v>
      </c>
      <c r="L433"/>
      <c r="M433" s="2" t="s">
        <v>4171</v>
      </c>
      <c r="P433" s="2" t="s">
        <v>1127</v>
      </c>
      <c r="Q433" t="s">
        <v>3462</v>
      </c>
    </row>
    <row r="434" spans="1:17" ht="18" customHeight="1" x14ac:dyDescent="0.2">
      <c r="A434" s="60" t="s">
        <v>777</v>
      </c>
      <c r="B434" s="60" t="str">
        <f t="shared" si="30"/>
        <v>cd08b</v>
      </c>
      <c r="C434" s="60" t="s">
        <v>4182</v>
      </c>
      <c r="D434" s="60" t="s">
        <v>1633</v>
      </c>
      <c r="E434" s="60" t="s">
        <v>1633</v>
      </c>
      <c r="F434" s="2">
        <v>2</v>
      </c>
      <c r="G434" s="2" t="str">
        <f t="shared" si="29"/>
        <v>b</v>
      </c>
      <c r="H434" s="2">
        <v>2008</v>
      </c>
      <c r="I434" s="2" t="str">
        <f t="shared" si="31"/>
        <v>cd08b003</v>
      </c>
      <c r="J434" s="2" t="s">
        <v>4169</v>
      </c>
      <c r="K434" s="7" t="s">
        <v>4170</v>
      </c>
      <c r="L434"/>
      <c r="M434" s="2" t="s">
        <v>4171</v>
      </c>
      <c r="P434" s="2" t="s">
        <v>1127</v>
      </c>
      <c r="Q434" t="s">
        <v>3462</v>
      </c>
    </row>
    <row r="435" spans="1:17" ht="18" customHeight="1" x14ac:dyDescent="0.2">
      <c r="A435" s="60" t="s">
        <v>777</v>
      </c>
      <c r="B435" s="60" t="str">
        <f t="shared" si="30"/>
        <v>cd09c</v>
      </c>
      <c r="C435" s="60" t="s">
        <v>4182</v>
      </c>
      <c r="D435" s="60" t="s">
        <v>1633</v>
      </c>
      <c r="E435" s="60" t="s">
        <v>1633</v>
      </c>
      <c r="F435" s="2">
        <v>3</v>
      </c>
      <c r="G435" s="2" t="str">
        <f t="shared" si="29"/>
        <v>c</v>
      </c>
      <c r="H435" s="2">
        <v>2009</v>
      </c>
      <c r="I435" s="2" t="str">
        <f t="shared" si="31"/>
        <v>cd09c003</v>
      </c>
      <c r="J435" s="2" t="s">
        <v>4169</v>
      </c>
      <c r="K435" s="7" t="s">
        <v>4170</v>
      </c>
      <c r="L435"/>
      <c r="M435" s="2" t="s">
        <v>4171</v>
      </c>
      <c r="P435" s="2" t="s">
        <v>1127</v>
      </c>
      <c r="Q435" t="s">
        <v>3462</v>
      </c>
    </row>
    <row r="436" spans="1:17" ht="18" customHeight="1" x14ac:dyDescent="0.2">
      <c r="A436" s="60" t="s">
        <v>777</v>
      </c>
      <c r="B436" s="60" t="str">
        <f t="shared" si="30"/>
        <v>cd10d</v>
      </c>
      <c r="C436" s="60" t="s">
        <v>4182</v>
      </c>
      <c r="D436" s="60" t="s">
        <v>1633</v>
      </c>
      <c r="E436" s="60" t="s">
        <v>1633</v>
      </c>
      <c r="F436" s="2">
        <v>4</v>
      </c>
      <c r="G436" s="2" t="str">
        <f t="shared" si="29"/>
        <v>d</v>
      </c>
      <c r="H436" s="2">
        <v>2010</v>
      </c>
      <c r="I436" s="2" t="str">
        <f t="shared" si="31"/>
        <v>cd10d003</v>
      </c>
      <c r="J436" s="2" t="s">
        <v>4169</v>
      </c>
      <c r="K436" s="7" t="s">
        <v>4170</v>
      </c>
      <c r="L436"/>
      <c r="M436" s="2" t="s">
        <v>4171</v>
      </c>
      <c r="P436" s="2" t="s">
        <v>1127</v>
      </c>
      <c r="Q436" t="s">
        <v>3462</v>
      </c>
    </row>
    <row r="437" spans="1:17" ht="18" customHeight="1" x14ac:dyDescent="0.2">
      <c r="A437" s="60" t="s">
        <v>777</v>
      </c>
      <c r="B437" s="60" t="str">
        <f t="shared" si="30"/>
        <v>cd11e</v>
      </c>
      <c r="C437" s="60" t="s">
        <v>4182</v>
      </c>
      <c r="D437" s="60" t="s">
        <v>1633</v>
      </c>
      <c r="E437" s="60" t="s">
        <v>1633</v>
      </c>
      <c r="F437" s="2">
        <v>5</v>
      </c>
      <c r="G437" s="2" t="str">
        <f t="shared" si="29"/>
        <v>e</v>
      </c>
      <c r="H437" s="2">
        <v>2011</v>
      </c>
      <c r="I437" s="2" t="str">
        <f t="shared" si="31"/>
        <v>cd11e003</v>
      </c>
      <c r="J437" s="2" t="s">
        <v>4169</v>
      </c>
      <c r="K437" s="7" t="s">
        <v>4170</v>
      </c>
      <c r="L437"/>
      <c r="M437" s="2" t="s">
        <v>4171</v>
      </c>
      <c r="P437" s="2" t="s">
        <v>1127</v>
      </c>
      <c r="Q437" t="s">
        <v>3462</v>
      </c>
    </row>
    <row r="438" spans="1:17" ht="18" customHeight="1" x14ac:dyDescent="0.2">
      <c r="A438" s="60" t="s">
        <v>777</v>
      </c>
      <c r="B438" s="60" t="str">
        <f t="shared" si="30"/>
        <v>cd12f</v>
      </c>
      <c r="C438" s="60" t="s">
        <v>4182</v>
      </c>
      <c r="D438" s="60" t="s">
        <v>1633</v>
      </c>
      <c r="E438" s="60" t="s">
        <v>1633</v>
      </c>
      <c r="F438" s="2">
        <v>6</v>
      </c>
      <c r="G438" s="2" t="str">
        <f t="shared" si="29"/>
        <v>f</v>
      </c>
      <c r="H438" s="2">
        <v>2012</v>
      </c>
      <c r="I438" s="2" t="str">
        <f t="shared" si="31"/>
        <v>cd12f003</v>
      </c>
      <c r="J438" s="2" t="s">
        <v>4169</v>
      </c>
      <c r="K438" s="7" t="s">
        <v>4170</v>
      </c>
      <c r="L438"/>
      <c r="M438" s="2" t="s">
        <v>4171</v>
      </c>
      <c r="P438" s="2" t="s">
        <v>1127</v>
      </c>
      <c r="Q438" t="s">
        <v>3462</v>
      </c>
    </row>
    <row r="439" spans="1:17" ht="18" customHeight="1" x14ac:dyDescent="0.2">
      <c r="A439" s="60" t="s">
        <v>777</v>
      </c>
      <c r="B439" s="60" t="str">
        <f t="shared" si="30"/>
        <v>cd13g</v>
      </c>
      <c r="C439" s="60" t="s">
        <v>4182</v>
      </c>
      <c r="D439" s="60" t="s">
        <v>1633</v>
      </c>
      <c r="E439" s="60" t="s">
        <v>1633</v>
      </c>
      <c r="F439" s="2">
        <v>7</v>
      </c>
      <c r="G439" s="2" t="str">
        <f t="shared" si="29"/>
        <v>g</v>
      </c>
      <c r="H439" s="2">
        <v>2013</v>
      </c>
      <c r="I439" s="2" t="str">
        <f t="shared" si="31"/>
        <v>cd13g003</v>
      </c>
      <c r="J439" s="2" t="s">
        <v>4169</v>
      </c>
      <c r="K439" s="7" t="s">
        <v>4170</v>
      </c>
      <c r="L439"/>
      <c r="M439" s="2" t="s">
        <v>4171</v>
      </c>
      <c r="P439" s="2" t="s">
        <v>1127</v>
      </c>
      <c r="Q439" t="s">
        <v>3462</v>
      </c>
    </row>
    <row r="440" spans="1:17" ht="18" customHeight="1" x14ac:dyDescent="0.2">
      <c r="A440" s="60" t="s">
        <v>777</v>
      </c>
      <c r="B440" s="60" t="str">
        <f t="shared" si="30"/>
        <v>cd15h</v>
      </c>
      <c r="C440" s="60" t="s">
        <v>4182</v>
      </c>
      <c r="D440" s="60" t="s">
        <v>1633</v>
      </c>
      <c r="E440" s="60" t="s">
        <v>1633</v>
      </c>
      <c r="F440" s="2">
        <v>8</v>
      </c>
      <c r="G440" s="2" t="str">
        <f t="shared" si="29"/>
        <v>h</v>
      </c>
      <c r="H440" s="2">
        <v>2015</v>
      </c>
      <c r="I440" s="2" t="str">
        <f t="shared" si="31"/>
        <v>cd15h003</v>
      </c>
      <c r="J440" s="2" t="s">
        <v>4169</v>
      </c>
      <c r="K440" s="7" t="s">
        <v>4170</v>
      </c>
      <c r="L440"/>
      <c r="M440" s="2" t="s">
        <v>4171</v>
      </c>
      <c r="P440" s="2" t="s">
        <v>1127</v>
      </c>
      <c r="Q440" t="s">
        <v>3462</v>
      </c>
    </row>
    <row r="441" spans="1:17" ht="18" customHeight="1" x14ac:dyDescent="0.2">
      <c r="A441" s="60" t="s">
        <v>777</v>
      </c>
      <c r="B441" s="60" t="str">
        <f t="shared" si="30"/>
        <v>cd16i</v>
      </c>
      <c r="C441" s="60" t="s">
        <v>4182</v>
      </c>
      <c r="D441" s="60" t="s">
        <v>1633</v>
      </c>
      <c r="E441" s="60" t="s">
        <v>1633</v>
      </c>
      <c r="F441" s="2">
        <v>9</v>
      </c>
      <c r="G441" s="2" t="str">
        <f t="shared" si="29"/>
        <v>i</v>
      </c>
      <c r="H441" s="2">
        <v>2016</v>
      </c>
      <c r="I441" s="2" t="str">
        <f t="shared" si="31"/>
        <v>cd16i003</v>
      </c>
      <c r="J441" s="2" t="s">
        <v>4169</v>
      </c>
      <c r="K441" s="7" t="s">
        <v>4170</v>
      </c>
      <c r="L441"/>
      <c r="M441" s="2" t="s">
        <v>4171</v>
      </c>
      <c r="P441" s="2" t="s">
        <v>1127</v>
      </c>
      <c r="Q441" t="s">
        <v>3462</v>
      </c>
    </row>
    <row r="442" spans="1:17" ht="18" customHeight="1" x14ac:dyDescent="0.2">
      <c r="A442" s="60" t="s">
        <v>777</v>
      </c>
      <c r="B442" s="60" t="str">
        <f t="shared" si="30"/>
        <v>cd17j</v>
      </c>
      <c r="C442" s="60" t="s">
        <v>4182</v>
      </c>
      <c r="D442" s="60" t="s">
        <v>1633</v>
      </c>
      <c r="E442" s="60" t="s">
        <v>1633</v>
      </c>
      <c r="F442" s="2">
        <v>10</v>
      </c>
      <c r="G442" s="2" t="str">
        <f t="shared" si="29"/>
        <v>j</v>
      </c>
      <c r="H442" s="2">
        <v>2017</v>
      </c>
      <c r="I442" s="2" t="str">
        <f t="shared" si="31"/>
        <v>cd17j003</v>
      </c>
      <c r="J442" s="2" t="s">
        <v>4169</v>
      </c>
      <c r="K442" s="7" t="s">
        <v>4170</v>
      </c>
      <c r="L442"/>
      <c r="M442" s="2" t="s">
        <v>4171</v>
      </c>
      <c r="P442" s="2" t="s">
        <v>1127</v>
      </c>
      <c r="Q442" t="s">
        <v>3462</v>
      </c>
    </row>
    <row r="443" spans="1:17" ht="18" customHeight="1" x14ac:dyDescent="0.2">
      <c r="A443" s="60" t="s">
        <v>777</v>
      </c>
      <c r="B443" s="60" t="str">
        <f t="shared" si="30"/>
        <v>cd18k</v>
      </c>
      <c r="C443" s="60" t="s">
        <v>4182</v>
      </c>
      <c r="D443" s="60" t="s">
        <v>1633</v>
      </c>
      <c r="E443" s="60" t="s">
        <v>1633</v>
      </c>
      <c r="F443" s="2">
        <v>11</v>
      </c>
      <c r="G443" s="2" t="str">
        <f t="shared" si="29"/>
        <v>k</v>
      </c>
      <c r="H443" s="2">
        <v>2018</v>
      </c>
      <c r="I443" s="2" t="str">
        <f t="shared" si="31"/>
        <v>cd18k003</v>
      </c>
      <c r="J443" s="2" t="s">
        <v>4169</v>
      </c>
      <c r="K443" s="7" t="s">
        <v>4170</v>
      </c>
      <c r="L443"/>
      <c r="M443" s="2" t="s">
        <v>4171</v>
      </c>
      <c r="P443" s="2" t="s">
        <v>1127</v>
      </c>
      <c r="Q443" t="s">
        <v>3462</v>
      </c>
    </row>
    <row r="444" spans="1:17" ht="18" customHeight="1" x14ac:dyDescent="0.2">
      <c r="A444" s="60" t="s">
        <v>777</v>
      </c>
      <c r="B444" s="60" t="str">
        <f t="shared" si="30"/>
        <v>cd19l</v>
      </c>
      <c r="C444" s="60" t="s">
        <v>4182</v>
      </c>
      <c r="D444" s="60" t="s">
        <v>1633</v>
      </c>
      <c r="E444" s="60" t="s">
        <v>1633</v>
      </c>
      <c r="F444" s="2">
        <v>12</v>
      </c>
      <c r="G444" s="2" t="str">
        <f t="shared" si="29"/>
        <v>l</v>
      </c>
      <c r="H444" s="2">
        <v>2019</v>
      </c>
      <c r="I444" s="2" t="str">
        <f t="shared" si="31"/>
        <v>cd19l003</v>
      </c>
      <c r="J444" s="2" t="s">
        <v>4169</v>
      </c>
      <c r="K444" s="7" t="s">
        <v>4170</v>
      </c>
      <c r="L444"/>
      <c r="M444" s="2" t="s">
        <v>4171</v>
      </c>
      <c r="P444" s="2" t="s">
        <v>1127</v>
      </c>
      <c r="Q444" t="s">
        <v>3462</v>
      </c>
    </row>
    <row r="445" spans="1:17" ht="18" customHeight="1" x14ac:dyDescent="0.2">
      <c r="A445" s="60" t="s">
        <v>777</v>
      </c>
      <c r="B445" s="60" t="str">
        <f t="shared" si="30"/>
        <v>cd20m</v>
      </c>
      <c r="C445" s="60" t="s">
        <v>4182</v>
      </c>
      <c r="D445" s="60" t="s">
        <v>1633</v>
      </c>
      <c r="E445" s="60" t="s">
        <v>1633</v>
      </c>
      <c r="F445" s="2">
        <v>13</v>
      </c>
      <c r="G445" s="2" t="str">
        <f t="shared" si="29"/>
        <v>m</v>
      </c>
      <c r="H445" s="2">
        <v>2020</v>
      </c>
      <c r="I445" s="2" t="str">
        <f t="shared" si="31"/>
        <v>cd20m003</v>
      </c>
      <c r="J445" s="2" t="s">
        <v>4169</v>
      </c>
      <c r="K445" s="7" t="s">
        <v>4170</v>
      </c>
      <c r="L445"/>
      <c r="M445" s="2" t="s">
        <v>4171</v>
      </c>
      <c r="P445" s="2" t="s">
        <v>1127</v>
      </c>
      <c r="Q445" t="s">
        <v>3462</v>
      </c>
    </row>
    <row r="446" spans="1:17" ht="18" customHeight="1" x14ac:dyDescent="0.2">
      <c r="A446" s="68" t="s">
        <v>777</v>
      </c>
      <c r="B446" s="68" t="s">
        <v>843</v>
      </c>
      <c r="C446" s="68" t="s">
        <v>4182</v>
      </c>
      <c r="D446" s="68" t="s">
        <v>1631</v>
      </c>
      <c r="E446" s="68" t="s">
        <v>3784</v>
      </c>
      <c r="F446" s="25"/>
      <c r="G446" s="25"/>
      <c r="H446" s="25">
        <v>2008</v>
      </c>
      <c r="I446" s="25" t="s">
        <v>3785</v>
      </c>
      <c r="J446" s="25" t="s">
        <v>3786</v>
      </c>
      <c r="K446" s="25" t="s">
        <v>3787</v>
      </c>
      <c r="L446" s="25" t="s">
        <v>398</v>
      </c>
      <c r="M446" s="25" t="s">
        <v>3788</v>
      </c>
      <c r="N446" s="25">
        <v>1</v>
      </c>
      <c r="O446" s="25">
        <v>3</v>
      </c>
      <c r="P446" s="25" t="s">
        <v>1527</v>
      </c>
      <c r="Q446" t="s">
        <v>3462</v>
      </c>
    </row>
    <row r="447" spans="1:17" ht="18" customHeight="1" x14ac:dyDescent="0.2">
      <c r="A447" s="68" t="s">
        <v>777</v>
      </c>
      <c r="B447" s="68" t="s">
        <v>848</v>
      </c>
      <c r="C447" s="68" t="s">
        <v>4182</v>
      </c>
      <c r="D447" s="68" t="s">
        <v>1631</v>
      </c>
      <c r="E447" s="68" t="s">
        <v>3784</v>
      </c>
      <c r="F447" s="25"/>
      <c r="G447" s="25"/>
      <c r="H447" s="25">
        <v>2009</v>
      </c>
      <c r="I447" s="25" t="s">
        <v>3789</v>
      </c>
      <c r="J447" s="25" t="s">
        <v>3786</v>
      </c>
      <c r="K447" s="25" t="s">
        <v>3787</v>
      </c>
      <c r="L447" s="25" t="s">
        <v>398</v>
      </c>
      <c r="M447" s="25" t="s">
        <v>3788</v>
      </c>
      <c r="N447" s="25">
        <v>1</v>
      </c>
      <c r="O447" s="25">
        <v>3</v>
      </c>
      <c r="P447" s="25" t="s">
        <v>1527</v>
      </c>
      <c r="Q447" t="s">
        <v>3462</v>
      </c>
    </row>
    <row r="448" spans="1:17" ht="18" customHeight="1" x14ac:dyDescent="0.2">
      <c r="A448" s="68" t="s">
        <v>777</v>
      </c>
      <c r="B448" s="68" t="s">
        <v>850</v>
      </c>
      <c r="C448" s="68" t="s">
        <v>4182</v>
      </c>
      <c r="D448" s="68" t="s">
        <v>1631</v>
      </c>
      <c r="E448" s="68" t="s">
        <v>3784</v>
      </c>
      <c r="F448" s="25"/>
      <c r="G448" s="25"/>
      <c r="H448" s="25">
        <v>2010</v>
      </c>
      <c r="I448" s="25" t="s">
        <v>3790</v>
      </c>
      <c r="J448" s="25" t="s">
        <v>3786</v>
      </c>
      <c r="K448" s="25" t="s">
        <v>3787</v>
      </c>
      <c r="L448" s="25" t="s">
        <v>398</v>
      </c>
      <c r="M448" s="25" t="s">
        <v>3788</v>
      </c>
      <c r="N448" s="25">
        <v>1</v>
      </c>
      <c r="O448" s="25">
        <v>3</v>
      </c>
      <c r="P448" s="25" t="s">
        <v>1527</v>
      </c>
      <c r="Q448" t="s">
        <v>3462</v>
      </c>
    </row>
    <row r="449" spans="1:17" ht="18" customHeight="1" x14ac:dyDescent="0.2">
      <c r="A449" s="68" t="s">
        <v>777</v>
      </c>
      <c r="B449" s="68" t="s">
        <v>852</v>
      </c>
      <c r="C449" s="68" t="s">
        <v>4182</v>
      </c>
      <c r="D449" s="68" t="s">
        <v>1631</v>
      </c>
      <c r="E449" s="68" t="s">
        <v>3784</v>
      </c>
      <c r="F449" s="25"/>
      <c r="G449" s="25"/>
      <c r="H449" s="25">
        <v>2011</v>
      </c>
      <c r="I449" s="25" t="s">
        <v>3791</v>
      </c>
      <c r="J449" s="25" t="s">
        <v>3786</v>
      </c>
      <c r="K449" s="25" t="s">
        <v>3787</v>
      </c>
      <c r="L449" s="25" t="s">
        <v>398</v>
      </c>
      <c r="M449" s="25" t="s">
        <v>3788</v>
      </c>
      <c r="N449" s="25">
        <v>1</v>
      </c>
      <c r="O449" s="25">
        <v>3</v>
      </c>
      <c r="P449" s="25" t="s">
        <v>1527</v>
      </c>
      <c r="Q449" t="s">
        <v>3462</v>
      </c>
    </row>
    <row r="450" spans="1:17" ht="18" customHeight="1" x14ac:dyDescent="0.2">
      <c r="A450" s="68" t="s">
        <v>777</v>
      </c>
      <c r="B450" s="68" t="s">
        <v>854</v>
      </c>
      <c r="C450" s="68" t="s">
        <v>4182</v>
      </c>
      <c r="D450" s="68" t="s">
        <v>1631</v>
      </c>
      <c r="E450" s="68" t="s">
        <v>3784</v>
      </c>
      <c r="F450" s="25"/>
      <c r="G450" s="25"/>
      <c r="H450" s="25">
        <v>2012</v>
      </c>
      <c r="I450" s="25" t="s">
        <v>3792</v>
      </c>
      <c r="J450" s="25" t="s">
        <v>3786</v>
      </c>
      <c r="K450" s="25" t="s">
        <v>3787</v>
      </c>
      <c r="L450" s="25" t="s">
        <v>398</v>
      </c>
      <c r="M450" s="25" t="s">
        <v>3788</v>
      </c>
      <c r="N450" s="25">
        <v>1</v>
      </c>
      <c r="O450" s="25">
        <v>3</v>
      </c>
      <c r="P450" s="25" t="s">
        <v>1527</v>
      </c>
      <c r="Q450" t="s">
        <v>3462</v>
      </c>
    </row>
    <row r="451" spans="1:17" ht="18" customHeight="1" x14ac:dyDescent="0.2">
      <c r="A451" s="68" t="s">
        <v>777</v>
      </c>
      <c r="B451" s="68" t="s">
        <v>856</v>
      </c>
      <c r="C451" s="68" t="s">
        <v>4182</v>
      </c>
      <c r="D451" s="68" t="s">
        <v>1631</v>
      </c>
      <c r="E451" s="68" t="s">
        <v>3784</v>
      </c>
      <c r="F451" s="25"/>
      <c r="G451" s="25"/>
      <c r="H451" s="25">
        <v>2013</v>
      </c>
      <c r="I451" s="25" t="s">
        <v>3793</v>
      </c>
      <c r="J451" s="25" t="s">
        <v>3786</v>
      </c>
      <c r="K451" s="25" t="s">
        <v>3787</v>
      </c>
      <c r="L451" s="25" t="s">
        <v>398</v>
      </c>
      <c r="M451" s="25" t="s">
        <v>3788</v>
      </c>
      <c r="N451" s="25">
        <v>1</v>
      </c>
      <c r="O451" s="25">
        <v>3</v>
      </c>
      <c r="P451" s="25" t="s">
        <v>1527</v>
      </c>
      <c r="Q451" t="s">
        <v>3462</v>
      </c>
    </row>
    <row r="452" spans="1:17" ht="18" customHeight="1" x14ac:dyDescent="0.2">
      <c r="A452" s="68" t="s">
        <v>777</v>
      </c>
      <c r="B452" s="68" t="s">
        <v>859</v>
      </c>
      <c r="C452" s="68" t="s">
        <v>4182</v>
      </c>
      <c r="D452" s="68" t="s">
        <v>1631</v>
      </c>
      <c r="E452" s="68" t="s">
        <v>3784</v>
      </c>
      <c r="F452" s="25"/>
      <c r="G452" s="25"/>
      <c r="H452" s="25">
        <v>2014</v>
      </c>
      <c r="I452" s="25" t="s">
        <v>3794</v>
      </c>
      <c r="J452" s="25" t="s">
        <v>3786</v>
      </c>
      <c r="K452" s="25" t="s">
        <v>3787</v>
      </c>
      <c r="L452" s="25" t="s">
        <v>398</v>
      </c>
      <c r="M452" s="25" t="s">
        <v>3788</v>
      </c>
      <c r="N452" s="25">
        <v>1</v>
      </c>
      <c r="O452" s="25">
        <v>3</v>
      </c>
      <c r="P452" s="25" t="s">
        <v>1527</v>
      </c>
      <c r="Q452" t="s">
        <v>3462</v>
      </c>
    </row>
    <row r="453" spans="1:17" ht="18" customHeight="1" x14ac:dyDescent="0.2">
      <c r="A453" s="68" t="s">
        <v>777</v>
      </c>
      <c r="B453" s="68" t="s">
        <v>861</v>
      </c>
      <c r="C453" s="68" t="s">
        <v>4182</v>
      </c>
      <c r="D453" s="68" t="s">
        <v>1631</v>
      </c>
      <c r="E453" s="68" t="s">
        <v>3784</v>
      </c>
      <c r="F453" s="25"/>
      <c r="G453" s="25"/>
      <c r="H453" s="25">
        <v>2015</v>
      </c>
      <c r="I453" s="25" t="s">
        <v>3795</v>
      </c>
      <c r="J453" s="25" t="s">
        <v>3786</v>
      </c>
      <c r="K453" s="25" t="s">
        <v>3787</v>
      </c>
      <c r="L453" s="25" t="s">
        <v>398</v>
      </c>
      <c r="M453" s="25" t="s">
        <v>3788</v>
      </c>
      <c r="N453" s="25">
        <v>1</v>
      </c>
      <c r="O453" s="25">
        <v>3</v>
      </c>
      <c r="P453" s="25" t="s">
        <v>1527</v>
      </c>
      <c r="Q453" t="s">
        <v>3462</v>
      </c>
    </row>
    <row r="454" spans="1:17" ht="18" customHeight="1" x14ac:dyDescent="0.2">
      <c r="A454" s="68" t="s">
        <v>777</v>
      </c>
      <c r="B454" s="68" t="s">
        <v>863</v>
      </c>
      <c r="C454" s="68" t="s">
        <v>4182</v>
      </c>
      <c r="D454" s="68" t="s">
        <v>1631</v>
      </c>
      <c r="E454" s="68" t="s">
        <v>3784</v>
      </c>
      <c r="F454" s="25"/>
      <c r="G454" s="25"/>
      <c r="H454" s="25">
        <v>2016</v>
      </c>
      <c r="I454" s="25" t="s">
        <v>3796</v>
      </c>
      <c r="J454" s="25" t="s">
        <v>3786</v>
      </c>
      <c r="K454" s="25" t="s">
        <v>3787</v>
      </c>
      <c r="L454" s="25" t="s">
        <v>398</v>
      </c>
      <c r="M454" s="25" t="s">
        <v>3788</v>
      </c>
      <c r="N454" s="25">
        <v>1</v>
      </c>
      <c r="O454" s="25">
        <v>3</v>
      </c>
      <c r="P454" s="25" t="s">
        <v>1527</v>
      </c>
      <c r="Q454" t="s">
        <v>3462</v>
      </c>
    </row>
    <row r="455" spans="1:17" ht="18" customHeight="1" x14ac:dyDescent="0.2">
      <c r="A455" s="68" t="s">
        <v>777</v>
      </c>
      <c r="B455" s="68" t="s">
        <v>865</v>
      </c>
      <c r="C455" s="68" t="s">
        <v>4182</v>
      </c>
      <c r="D455" s="68" t="s">
        <v>1631</v>
      </c>
      <c r="E455" s="68" t="s">
        <v>3784</v>
      </c>
      <c r="F455" s="25"/>
      <c r="G455" s="25"/>
      <c r="H455" s="25">
        <v>2017</v>
      </c>
      <c r="I455" s="25" t="s">
        <v>3797</v>
      </c>
      <c r="J455" s="25" t="s">
        <v>3786</v>
      </c>
      <c r="K455" s="25" t="s">
        <v>3787</v>
      </c>
      <c r="L455" s="25" t="s">
        <v>398</v>
      </c>
      <c r="M455" s="25" t="s">
        <v>3788</v>
      </c>
      <c r="N455" s="25">
        <v>1</v>
      </c>
      <c r="O455" s="25">
        <v>3</v>
      </c>
      <c r="P455" s="25" t="s">
        <v>1527</v>
      </c>
      <c r="Q455" t="s">
        <v>3462</v>
      </c>
    </row>
    <row r="456" spans="1:17" ht="18" customHeight="1" x14ac:dyDescent="0.2">
      <c r="A456" s="68" t="s">
        <v>777</v>
      </c>
      <c r="B456" s="68" t="s">
        <v>843</v>
      </c>
      <c r="C456" s="68" t="s">
        <v>4182</v>
      </c>
      <c r="D456" s="68" t="s">
        <v>1631</v>
      </c>
      <c r="E456" s="68" t="s">
        <v>3798</v>
      </c>
      <c r="F456" s="25"/>
      <c r="G456" s="25"/>
      <c r="H456" s="25">
        <v>2008</v>
      </c>
      <c r="I456" s="25" t="s">
        <v>3799</v>
      </c>
      <c r="J456" s="25" t="s">
        <v>3800</v>
      </c>
      <c r="K456" s="25" t="s">
        <v>3787</v>
      </c>
      <c r="L456" s="25" t="s">
        <v>2396</v>
      </c>
      <c r="M456" s="25" t="s">
        <v>3788</v>
      </c>
      <c r="N456" s="25">
        <v>1</v>
      </c>
      <c r="O456" s="25">
        <v>3</v>
      </c>
      <c r="P456" s="25" t="s">
        <v>1527</v>
      </c>
      <c r="Q456" t="s">
        <v>3462</v>
      </c>
    </row>
    <row r="457" spans="1:17" ht="18" customHeight="1" x14ac:dyDescent="0.2">
      <c r="A457" s="68" t="s">
        <v>777</v>
      </c>
      <c r="B457" s="68" t="s">
        <v>848</v>
      </c>
      <c r="C457" s="68" t="s">
        <v>4182</v>
      </c>
      <c r="D457" s="68" t="s">
        <v>1631</v>
      </c>
      <c r="E457" s="68" t="s">
        <v>3798</v>
      </c>
      <c r="F457" s="25"/>
      <c r="G457" s="25"/>
      <c r="H457" s="25">
        <v>2009</v>
      </c>
      <c r="I457" s="25" t="s">
        <v>3801</v>
      </c>
      <c r="J457" s="25" t="s">
        <v>3800</v>
      </c>
      <c r="K457" s="25" t="s">
        <v>3787</v>
      </c>
      <c r="L457" s="25" t="s">
        <v>2396</v>
      </c>
      <c r="M457" s="25" t="s">
        <v>3788</v>
      </c>
      <c r="N457" s="25">
        <v>1</v>
      </c>
      <c r="O457" s="25">
        <v>3</v>
      </c>
      <c r="P457" s="25" t="s">
        <v>1527</v>
      </c>
      <c r="Q457" t="s">
        <v>3462</v>
      </c>
    </row>
    <row r="458" spans="1:17" ht="18" customHeight="1" x14ac:dyDescent="0.2">
      <c r="A458" s="68" t="s">
        <v>777</v>
      </c>
      <c r="B458" s="68" t="s">
        <v>850</v>
      </c>
      <c r="C458" s="68" t="s">
        <v>4182</v>
      </c>
      <c r="D458" s="68" t="s">
        <v>1631</v>
      </c>
      <c r="E458" s="68" t="s">
        <v>3798</v>
      </c>
      <c r="F458" s="25"/>
      <c r="G458" s="25"/>
      <c r="H458" s="25">
        <v>2010</v>
      </c>
      <c r="I458" s="25" t="s">
        <v>3802</v>
      </c>
      <c r="J458" s="25" t="s">
        <v>3800</v>
      </c>
      <c r="K458" s="25" t="s">
        <v>3787</v>
      </c>
      <c r="L458" s="25" t="s">
        <v>2396</v>
      </c>
      <c r="M458" s="25" t="s">
        <v>3788</v>
      </c>
      <c r="N458" s="25">
        <v>1</v>
      </c>
      <c r="O458" s="25">
        <v>3</v>
      </c>
      <c r="P458" s="25" t="s">
        <v>1527</v>
      </c>
      <c r="Q458" t="s">
        <v>3462</v>
      </c>
    </row>
    <row r="459" spans="1:17" ht="18" customHeight="1" x14ac:dyDescent="0.2">
      <c r="A459" s="68" t="s">
        <v>777</v>
      </c>
      <c r="B459" s="68" t="s">
        <v>852</v>
      </c>
      <c r="C459" s="68" t="s">
        <v>4182</v>
      </c>
      <c r="D459" s="68" t="s">
        <v>1631</v>
      </c>
      <c r="E459" s="68" t="s">
        <v>3798</v>
      </c>
      <c r="F459" s="25"/>
      <c r="G459" s="25"/>
      <c r="H459" s="25">
        <v>2011</v>
      </c>
      <c r="I459" s="25" t="s">
        <v>3803</v>
      </c>
      <c r="J459" s="25" t="s">
        <v>3800</v>
      </c>
      <c r="K459" s="25" t="s">
        <v>3787</v>
      </c>
      <c r="L459" s="25" t="s">
        <v>2396</v>
      </c>
      <c r="M459" s="25" t="s">
        <v>3788</v>
      </c>
      <c r="N459" s="25">
        <v>1</v>
      </c>
      <c r="O459" s="25">
        <v>3</v>
      </c>
      <c r="P459" s="25" t="s">
        <v>1527</v>
      </c>
      <c r="Q459" t="s">
        <v>3462</v>
      </c>
    </row>
    <row r="460" spans="1:17" ht="18" customHeight="1" x14ac:dyDescent="0.2">
      <c r="A460" s="68" t="s">
        <v>777</v>
      </c>
      <c r="B460" s="68" t="s">
        <v>854</v>
      </c>
      <c r="C460" s="68" t="s">
        <v>4182</v>
      </c>
      <c r="D460" s="68" t="s">
        <v>1631</v>
      </c>
      <c r="E460" s="68" t="s">
        <v>3798</v>
      </c>
      <c r="F460" s="25"/>
      <c r="G460" s="25"/>
      <c r="H460" s="25">
        <v>2012</v>
      </c>
      <c r="I460" s="25" t="s">
        <v>3804</v>
      </c>
      <c r="J460" s="25" t="s">
        <v>3800</v>
      </c>
      <c r="K460" s="25" t="s">
        <v>3787</v>
      </c>
      <c r="L460" s="25" t="s">
        <v>2396</v>
      </c>
      <c r="M460" s="25" t="s">
        <v>3788</v>
      </c>
      <c r="N460" s="25">
        <v>1</v>
      </c>
      <c r="O460" s="25">
        <v>3</v>
      </c>
      <c r="P460" s="25" t="s">
        <v>1527</v>
      </c>
      <c r="Q460" t="s">
        <v>3462</v>
      </c>
    </row>
    <row r="461" spans="1:17" ht="18" customHeight="1" x14ac:dyDescent="0.2">
      <c r="A461" s="68" t="s">
        <v>777</v>
      </c>
      <c r="B461" s="68" t="s">
        <v>856</v>
      </c>
      <c r="C461" s="68" t="s">
        <v>4182</v>
      </c>
      <c r="D461" s="68" t="s">
        <v>1631</v>
      </c>
      <c r="E461" s="68" t="s">
        <v>3798</v>
      </c>
      <c r="F461" s="25"/>
      <c r="G461" s="25"/>
      <c r="H461" s="25">
        <v>2013</v>
      </c>
      <c r="I461" s="25" t="s">
        <v>3805</v>
      </c>
      <c r="J461" s="25" t="s">
        <v>3800</v>
      </c>
      <c r="K461" s="25" t="s">
        <v>3787</v>
      </c>
      <c r="L461" s="25" t="s">
        <v>2396</v>
      </c>
      <c r="M461" s="25" t="s">
        <v>3788</v>
      </c>
      <c r="N461" s="25">
        <v>1</v>
      </c>
      <c r="O461" s="25">
        <v>3</v>
      </c>
      <c r="P461" s="25" t="s">
        <v>1527</v>
      </c>
      <c r="Q461" t="s">
        <v>3462</v>
      </c>
    </row>
    <row r="462" spans="1:17" ht="18" customHeight="1" x14ac:dyDescent="0.2">
      <c r="A462" s="68" t="s">
        <v>777</v>
      </c>
      <c r="B462" s="68" t="s">
        <v>859</v>
      </c>
      <c r="C462" s="68" t="s">
        <v>4182</v>
      </c>
      <c r="D462" s="68" t="s">
        <v>1631</v>
      </c>
      <c r="E462" s="68" t="s">
        <v>3798</v>
      </c>
      <c r="F462" s="25"/>
      <c r="G462" s="25"/>
      <c r="H462" s="25">
        <v>2014</v>
      </c>
      <c r="I462" s="25" t="s">
        <v>3806</v>
      </c>
      <c r="J462" s="25" t="s">
        <v>3800</v>
      </c>
      <c r="K462" s="25" t="s">
        <v>3787</v>
      </c>
      <c r="L462" s="25" t="s">
        <v>2396</v>
      </c>
      <c r="M462" s="25" t="s">
        <v>3788</v>
      </c>
      <c r="N462" s="25">
        <v>1</v>
      </c>
      <c r="O462" s="25">
        <v>3</v>
      </c>
      <c r="P462" s="25" t="s">
        <v>1527</v>
      </c>
      <c r="Q462" t="s">
        <v>3462</v>
      </c>
    </row>
    <row r="463" spans="1:17" ht="18" customHeight="1" x14ac:dyDescent="0.2">
      <c r="A463" s="68" t="s">
        <v>777</v>
      </c>
      <c r="B463" s="68" t="s">
        <v>861</v>
      </c>
      <c r="C463" s="68" t="s">
        <v>4182</v>
      </c>
      <c r="D463" s="68" t="s">
        <v>1631</v>
      </c>
      <c r="E463" s="68" t="s">
        <v>3798</v>
      </c>
      <c r="F463" s="25"/>
      <c r="G463" s="25"/>
      <c r="H463" s="25">
        <v>2015</v>
      </c>
      <c r="I463" s="25" t="s">
        <v>3807</v>
      </c>
      <c r="J463" s="25" t="s">
        <v>3800</v>
      </c>
      <c r="K463" s="25" t="s">
        <v>3787</v>
      </c>
      <c r="L463" s="25" t="s">
        <v>2396</v>
      </c>
      <c r="M463" s="25" t="s">
        <v>3788</v>
      </c>
      <c r="N463" s="25">
        <v>1</v>
      </c>
      <c r="O463" s="25">
        <v>3</v>
      </c>
      <c r="P463" s="25" t="s">
        <v>1527</v>
      </c>
      <c r="Q463" t="s">
        <v>3462</v>
      </c>
    </row>
    <row r="464" spans="1:17" ht="18" customHeight="1" x14ac:dyDescent="0.2">
      <c r="A464" s="68" t="s">
        <v>777</v>
      </c>
      <c r="B464" s="68" t="s">
        <v>863</v>
      </c>
      <c r="C464" s="68" t="s">
        <v>4182</v>
      </c>
      <c r="D464" s="68" t="s">
        <v>1631</v>
      </c>
      <c r="E464" s="68" t="s">
        <v>3798</v>
      </c>
      <c r="F464" s="25"/>
      <c r="G464" s="25"/>
      <c r="H464" s="25">
        <v>2016</v>
      </c>
      <c r="I464" s="25" t="s">
        <v>3808</v>
      </c>
      <c r="J464" s="25" t="s">
        <v>3800</v>
      </c>
      <c r="K464" s="25" t="s">
        <v>3787</v>
      </c>
      <c r="L464" s="25" t="s">
        <v>2396</v>
      </c>
      <c r="M464" s="25" t="s">
        <v>3788</v>
      </c>
      <c r="N464" s="25">
        <v>1</v>
      </c>
      <c r="O464" s="25">
        <v>3</v>
      </c>
      <c r="P464" s="25" t="s">
        <v>1527</v>
      </c>
      <c r="Q464" t="s">
        <v>3462</v>
      </c>
    </row>
    <row r="465" spans="1:17" ht="18" customHeight="1" x14ac:dyDescent="0.2">
      <c r="A465" s="68" t="s">
        <v>777</v>
      </c>
      <c r="B465" s="68" t="s">
        <v>865</v>
      </c>
      <c r="C465" s="68" t="s">
        <v>4182</v>
      </c>
      <c r="D465" s="68" t="s">
        <v>1631</v>
      </c>
      <c r="E465" s="68" t="s">
        <v>3798</v>
      </c>
      <c r="F465" s="25"/>
      <c r="G465" s="25"/>
      <c r="H465" s="25">
        <v>2017</v>
      </c>
      <c r="I465" s="25" t="s">
        <v>3809</v>
      </c>
      <c r="J465" s="25" t="s">
        <v>3800</v>
      </c>
      <c r="K465" s="25" t="s">
        <v>3787</v>
      </c>
      <c r="L465" s="25" t="s">
        <v>2396</v>
      </c>
      <c r="M465" s="25" t="s">
        <v>3788</v>
      </c>
      <c r="N465" s="25">
        <v>1</v>
      </c>
      <c r="O465" s="25">
        <v>3</v>
      </c>
      <c r="P465" s="25" t="s">
        <v>1527</v>
      </c>
      <c r="Q465" t="s">
        <v>3462</v>
      </c>
    </row>
    <row r="466" spans="1:17" ht="18" customHeight="1" x14ac:dyDescent="0.2">
      <c r="A466" s="68" t="s">
        <v>777</v>
      </c>
      <c r="B466" s="68" t="s">
        <v>843</v>
      </c>
      <c r="C466" s="68" t="s">
        <v>4182</v>
      </c>
      <c r="D466" s="68" t="s">
        <v>1631</v>
      </c>
      <c r="E466" s="68" t="s">
        <v>3810</v>
      </c>
      <c r="F466" s="25"/>
      <c r="G466" s="25"/>
      <c r="H466" s="25">
        <v>2008</v>
      </c>
      <c r="I466" s="25" t="s">
        <v>3811</v>
      </c>
      <c r="J466" s="25" t="s">
        <v>3812</v>
      </c>
      <c r="K466" s="25" t="s">
        <v>3787</v>
      </c>
      <c r="L466" s="25" t="s">
        <v>2395</v>
      </c>
      <c r="M466" s="25" t="s">
        <v>3788</v>
      </c>
      <c r="N466" s="25">
        <v>1</v>
      </c>
      <c r="O466" s="25">
        <v>3</v>
      </c>
      <c r="P466" s="25" t="s">
        <v>1527</v>
      </c>
      <c r="Q466" t="s">
        <v>3462</v>
      </c>
    </row>
    <row r="467" spans="1:17" ht="18" customHeight="1" x14ac:dyDescent="0.2">
      <c r="A467" s="68" t="s">
        <v>777</v>
      </c>
      <c r="B467" s="68" t="s">
        <v>848</v>
      </c>
      <c r="C467" s="68" t="s">
        <v>4182</v>
      </c>
      <c r="D467" s="68" t="s">
        <v>1631</v>
      </c>
      <c r="E467" s="68" t="s">
        <v>3810</v>
      </c>
      <c r="F467" s="25"/>
      <c r="G467" s="25"/>
      <c r="H467" s="25">
        <v>2009</v>
      </c>
      <c r="I467" s="25" t="s">
        <v>3813</v>
      </c>
      <c r="J467" s="25" t="s">
        <v>3812</v>
      </c>
      <c r="K467" s="25" t="s">
        <v>3787</v>
      </c>
      <c r="L467" s="25" t="s">
        <v>2395</v>
      </c>
      <c r="M467" s="25" t="s">
        <v>3788</v>
      </c>
      <c r="N467" s="25">
        <v>1</v>
      </c>
      <c r="O467" s="25">
        <v>3</v>
      </c>
      <c r="P467" s="25" t="s">
        <v>1527</v>
      </c>
      <c r="Q467" t="s">
        <v>3462</v>
      </c>
    </row>
    <row r="468" spans="1:17" ht="18" customHeight="1" x14ac:dyDescent="0.2">
      <c r="A468" s="68" t="s">
        <v>777</v>
      </c>
      <c r="B468" s="68" t="s">
        <v>850</v>
      </c>
      <c r="C468" s="68" t="s">
        <v>4182</v>
      </c>
      <c r="D468" s="68" t="s">
        <v>1631</v>
      </c>
      <c r="E468" s="68" t="s">
        <v>3810</v>
      </c>
      <c r="F468" s="25"/>
      <c r="G468" s="25"/>
      <c r="H468" s="25">
        <v>2010</v>
      </c>
      <c r="I468" s="25" t="s">
        <v>3814</v>
      </c>
      <c r="J468" s="25" t="s">
        <v>3812</v>
      </c>
      <c r="K468" s="25" t="s">
        <v>3787</v>
      </c>
      <c r="L468" s="25" t="s">
        <v>2395</v>
      </c>
      <c r="M468" s="25" t="s">
        <v>3788</v>
      </c>
      <c r="N468" s="25">
        <v>1</v>
      </c>
      <c r="O468" s="25">
        <v>3</v>
      </c>
      <c r="P468" s="25" t="s">
        <v>1527</v>
      </c>
      <c r="Q468" t="s">
        <v>3462</v>
      </c>
    </row>
    <row r="469" spans="1:17" ht="18" customHeight="1" x14ac:dyDescent="0.2">
      <c r="A469" s="68" t="s">
        <v>777</v>
      </c>
      <c r="B469" s="68" t="s">
        <v>852</v>
      </c>
      <c r="C469" s="68" t="s">
        <v>4182</v>
      </c>
      <c r="D469" s="68" t="s">
        <v>1631</v>
      </c>
      <c r="E469" s="68" t="s">
        <v>3810</v>
      </c>
      <c r="F469" s="25"/>
      <c r="G469" s="25"/>
      <c r="H469" s="25">
        <v>2011</v>
      </c>
      <c r="I469" s="25" t="s">
        <v>3815</v>
      </c>
      <c r="J469" s="25" t="s">
        <v>3812</v>
      </c>
      <c r="K469" s="25" t="s">
        <v>3787</v>
      </c>
      <c r="L469" s="25" t="s">
        <v>2395</v>
      </c>
      <c r="M469" s="25" t="s">
        <v>3788</v>
      </c>
      <c r="N469" s="25">
        <v>1</v>
      </c>
      <c r="O469" s="25">
        <v>3</v>
      </c>
      <c r="P469" s="25" t="s">
        <v>1527</v>
      </c>
      <c r="Q469" t="s">
        <v>3462</v>
      </c>
    </row>
    <row r="470" spans="1:17" ht="18" customHeight="1" x14ac:dyDescent="0.2">
      <c r="A470" s="68" t="s">
        <v>777</v>
      </c>
      <c r="B470" s="68" t="s">
        <v>854</v>
      </c>
      <c r="C470" s="68" t="s">
        <v>4182</v>
      </c>
      <c r="D470" s="68" t="s">
        <v>1631</v>
      </c>
      <c r="E470" s="68" t="s">
        <v>3810</v>
      </c>
      <c r="F470" s="25"/>
      <c r="G470" s="25"/>
      <c r="H470" s="25">
        <v>2012</v>
      </c>
      <c r="I470" s="25" t="s">
        <v>3816</v>
      </c>
      <c r="J470" s="25" t="s">
        <v>3812</v>
      </c>
      <c r="K470" s="25" t="s">
        <v>3787</v>
      </c>
      <c r="L470" s="25" t="s">
        <v>2395</v>
      </c>
      <c r="M470" s="25" t="s">
        <v>3788</v>
      </c>
      <c r="N470" s="25">
        <v>1</v>
      </c>
      <c r="O470" s="25">
        <v>3</v>
      </c>
      <c r="P470" s="25" t="s">
        <v>1527</v>
      </c>
      <c r="Q470" t="s">
        <v>3462</v>
      </c>
    </row>
    <row r="471" spans="1:17" ht="18" customHeight="1" x14ac:dyDescent="0.2">
      <c r="A471" s="68" t="s">
        <v>777</v>
      </c>
      <c r="B471" s="68" t="s">
        <v>856</v>
      </c>
      <c r="C471" s="68" t="s">
        <v>4182</v>
      </c>
      <c r="D471" s="68" t="s">
        <v>1631</v>
      </c>
      <c r="E471" s="68" t="s">
        <v>3810</v>
      </c>
      <c r="F471" s="25"/>
      <c r="G471" s="25"/>
      <c r="H471" s="25">
        <v>2013</v>
      </c>
      <c r="I471" s="25" t="s">
        <v>3817</v>
      </c>
      <c r="J471" s="25" t="s">
        <v>3812</v>
      </c>
      <c r="K471" s="25" t="s">
        <v>3787</v>
      </c>
      <c r="L471" s="25" t="s">
        <v>2395</v>
      </c>
      <c r="M471" s="25" t="s">
        <v>3788</v>
      </c>
      <c r="N471" s="25">
        <v>1</v>
      </c>
      <c r="O471" s="25">
        <v>3</v>
      </c>
      <c r="P471" s="25" t="s">
        <v>1527</v>
      </c>
      <c r="Q471" t="s">
        <v>3462</v>
      </c>
    </row>
    <row r="472" spans="1:17" ht="18" customHeight="1" x14ac:dyDescent="0.2">
      <c r="A472" s="68" t="s">
        <v>777</v>
      </c>
      <c r="B472" s="68" t="s">
        <v>859</v>
      </c>
      <c r="C472" s="68" t="s">
        <v>4182</v>
      </c>
      <c r="D472" s="68" t="s">
        <v>1631</v>
      </c>
      <c r="E472" s="68" t="s">
        <v>3810</v>
      </c>
      <c r="F472" s="25"/>
      <c r="G472" s="25"/>
      <c r="H472" s="25">
        <v>2014</v>
      </c>
      <c r="I472" s="25" t="s">
        <v>3818</v>
      </c>
      <c r="J472" s="25" t="s">
        <v>3812</v>
      </c>
      <c r="K472" s="25" t="s">
        <v>3787</v>
      </c>
      <c r="L472" s="25" t="s">
        <v>2395</v>
      </c>
      <c r="M472" s="25" t="s">
        <v>3788</v>
      </c>
      <c r="N472" s="25">
        <v>1</v>
      </c>
      <c r="O472" s="25">
        <v>3</v>
      </c>
      <c r="P472" s="25" t="s">
        <v>1527</v>
      </c>
      <c r="Q472" t="s">
        <v>3462</v>
      </c>
    </row>
    <row r="473" spans="1:17" ht="18" customHeight="1" x14ac:dyDescent="0.2">
      <c r="A473" s="68" t="s">
        <v>777</v>
      </c>
      <c r="B473" s="68" t="s">
        <v>861</v>
      </c>
      <c r="C473" s="68" t="s">
        <v>4182</v>
      </c>
      <c r="D473" s="68" t="s">
        <v>1631</v>
      </c>
      <c r="E473" s="68" t="s">
        <v>3810</v>
      </c>
      <c r="F473" s="25"/>
      <c r="G473" s="25"/>
      <c r="H473" s="25">
        <v>2015</v>
      </c>
      <c r="I473" s="25" t="s">
        <v>3819</v>
      </c>
      <c r="J473" s="25" t="s">
        <v>3812</v>
      </c>
      <c r="K473" s="25" t="s">
        <v>3787</v>
      </c>
      <c r="L473" s="25" t="s">
        <v>2395</v>
      </c>
      <c r="M473" s="25" t="s">
        <v>3788</v>
      </c>
      <c r="N473" s="25">
        <v>1</v>
      </c>
      <c r="O473" s="25">
        <v>3</v>
      </c>
      <c r="P473" s="25" t="s">
        <v>1527</v>
      </c>
      <c r="Q473" t="s">
        <v>3462</v>
      </c>
    </row>
    <row r="474" spans="1:17" ht="18" customHeight="1" x14ac:dyDescent="0.2">
      <c r="A474" s="68" t="s">
        <v>777</v>
      </c>
      <c r="B474" s="68" t="s">
        <v>863</v>
      </c>
      <c r="C474" s="68" t="s">
        <v>4182</v>
      </c>
      <c r="D474" s="68" t="s">
        <v>1631</v>
      </c>
      <c r="E474" s="68" t="s">
        <v>3810</v>
      </c>
      <c r="F474" s="25"/>
      <c r="G474" s="25"/>
      <c r="H474" s="25">
        <v>2016</v>
      </c>
      <c r="I474" s="25" t="s">
        <v>3820</v>
      </c>
      <c r="J474" s="25" t="s">
        <v>3812</v>
      </c>
      <c r="K474" s="25" t="s">
        <v>3787</v>
      </c>
      <c r="L474" s="25" t="s">
        <v>2395</v>
      </c>
      <c r="M474" s="25" t="s">
        <v>3788</v>
      </c>
      <c r="N474" s="25">
        <v>1</v>
      </c>
      <c r="O474" s="25">
        <v>3</v>
      </c>
      <c r="P474" s="25" t="s">
        <v>1527</v>
      </c>
      <c r="Q474" t="s">
        <v>3462</v>
      </c>
    </row>
    <row r="475" spans="1:17" ht="18" customHeight="1" x14ac:dyDescent="0.2">
      <c r="A475" s="68" t="s">
        <v>777</v>
      </c>
      <c r="B475" s="68" t="s">
        <v>865</v>
      </c>
      <c r="C475" s="68" t="s">
        <v>4182</v>
      </c>
      <c r="D475" s="68" t="s">
        <v>1631</v>
      </c>
      <c r="E475" s="68" t="s">
        <v>3810</v>
      </c>
      <c r="F475" s="25"/>
      <c r="G475" s="25"/>
      <c r="H475" s="25">
        <v>2017</v>
      </c>
      <c r="I475" s="25" t="s">
        <v>3821</v>
      </c>
      <c r="J475" s="25" t="s">
        <v>3812</v>
      </c>
      <c r="K475" s="25" t="s">
        <v>3787</v>
      </c>
      <c r="L475" s="25" t="s">
        <v>2395</v>
      </c>
      <c r="M475" s="25" t="s">
        <v>3788</v>
      </c>
      <c r="N475" s="25">
        <v>1</v>
      </c>
      <c r="O475" s="25">
        <v>3</v>
      </c>
      <c r="P475" s="25" t="s">
        <v>1527</v>
      </c>
      <c r="Q475" t="s">
        <v>3462</v>
      </c>
    </row>
    <row r="476" spans="1:17" ht="18" customHeight="1" x14ac:dyDescent="0.2">
      <c r="A476" s="68" t="s">
        <v>777</v>
      </c>
      <c r="B476" s="68" t="s">
        <v>843</v>
      </c>
      <c r="C476" s="68" t="s">
        <v>4182</v>
      </c>
      <c r="D476" s="68" t="s">
        <v>1631</v>
      </c>
      <c r="E476" s="68" t="s">
        <v>3822</v>
      </c>
      <c r="F476" s="25"/>
      <c r="G476" s="25"/>
      <c r="H476" s="25">
        <v>2008</v>
      </c>
      <c r="I476" s="25" t="s">
        <v>3823</v>
      </c>
      <c r="J476" s="25" t="s">
        <v>3824</v>
      </c>
      <c r="K476" s="25" t="s">
        <v>3787</v>
      </c>
      <c r="L476" s="25" t="s">
        <v>2396</v>
      </c>
      <c r="M476" s="25" t="s">
        <v>3788</v>
      </c>
      <c r="N476" s="25">
        <v>1</v>
      </c>
      <c r="O476" s="25">
        <v>3</v>
      </c>
      <c r="P476" s="25" t="s">
        <v>1527</v>
      </c>
      <c r="Q476" t="s">
        <v>3462</v>
      </c>
    </row>
    <row r="477" spans="1:17" ht="18" customHeight="1" x14ac:dyDescent="0.2">
      <c r="A477" s="68" t="s">
        <v>777</v>
      </c>
      <c r="B477" s="68" t="s">
        <v>848</v>
      </c>
      <c r="C477" s="68" t="s">
        <v>4182</v>
      </c>
      <c r="D477" s="68" t="s">
        <v>1631</v>
      </c>
      <c r="E477" s="68" t="s">
        <v>3822</v>
      </c>
      <c r="F477" s="25"/>
      <c r="G477" s="25"/>
      <c r="H477" s="25">
        <v>2009</v>
      </c>
      <c r="I477" s="25" t="s">
        <v>3825</v>
      </c>
      <c r="J477" s="25" t="s">
        <v>3824</v>
      </c>
      <c r="K477" s="25" t="s">
        <v>3787</v>
      </c>
      <c r="L477" s="25" t="s">
        <v>2396</v>
      </c>
      <c r="M477" s="25" t="s">
        <v>3788</v>
      </c>
      <c r="N477" s="25">
        <v>1</v>
      </c>
      <c r="O477" s="25">
        <v>3</v>
      </c>
      <c r="P477" s="25" t="s">
        <v>1527</v>
      </c>
      <c r="Q477" t="s">
        <v>3462</v>
      </c>
    </row>
    <row r="478" spans="1:17" ht="18" customHeight="1" x14ac:dyDescent="0.2">
      <c r="A478" s="68" t="s">
        <v>777</v>
      </c>
      <c r="B478" s="68" t="s">
        <v>850</v>
      </c>
      <c r="C478" s="68" t="s">
        <v>4182</v>
      </c>
      <c r="D478" s="68" t="s">
        <v>1631</v>
      </c>
      <c r="E478" s="68" t="s">
        <v>3822</v>
      </c>
      <c r="F478" s="25"/>
      <c r="G478" s="25"/>
      <c r="H478" s="25">
        <v>2010</v>
      </c>
      <c r="I478" s="25" t="s">
        <v>3826</v>
      </c>
      <c r="J478" s="25" t="s">
        <v>3824</v>
      </c>
      <c r="K478" s="25" t="s">
        <v>3787</v>
      </c>
      <c r="L478" s="25" t="s">
        <v>2396</v>
      </c>
      <c r="M478" s="25" t="s">
        <v>3788</v>
      </c>
      <c r="N478" s="25">
        <v>1</v>
      </c>
      <c r="O478" s="25">
        <v>3</v>
      </c>
      <c r="P478" s="25" t="s">
        <v>1527</v>
      </c>
      <c r="Q478" t="s">
        <v>3462</v>
      </c>
    </row>
    <row r="479" spans="1:17" ht="18" customHeight="1" x14ac:dyDescent="0.2">
      <c r="A479" s="68" t="s">
        <v>777</v>
      </c>
      <c r="B479" s="68" t="s">
        <v>852</v>
      </c>
      <c r="C479" s="68" t="s">
        <v>4182</v>
      </c>
      <c r="D479" s="68" t="s">
        <v>1631</v>
      </c>
      <c r="E479" s="68" t="s">
        <v>3822</v>
      </c>
      <c r="F479" s="25"/>
      <c r="G479" s="25"/>
      <c r="H479" s="25">
        <v>2011</v>
      </c>
      <c r="I479" s="25" t="s">
        <v>3827</v>
      </c>
      <c r="J479" s="25" t="s">
        <v>3824</v>
      </c>
      <c r="K479" s="25" t="s">
        <v>3787</v>
      </c>
      <c r="L479" s="25" t="s">
        <v>2396</v>
      </c>
      <c r="M479" s="25" t="s">
        <v>3788</v>
      </c>
      <c r="N479" s="25">
        <v>1</v>
      </c>
      <c r="O479" s="25">
        <v>3</v>
      </c>
      <c r="P479" s="25" t="s">
        <v>1527</v>
      </c>
      <c r="Q479" t="s">
        <v>3462</v>
      </c>
    </row>
    <row r="480" spans="1:17" ht="18" customHeight="1" x14ac:dyDescent="0.2">
      <c r="A480" s="68" t="s">
        <v>777</v>
      </c>
      <c r="B480" s="68" t="s">
        <v>854</v>
      </c>
      <c r="C480" s="68" t="s">
        <v>4182</v>
      </c>
      <c r="D480" s="68" t="s">
        <v>1631</v>
      </c>
      <c r="E480" s="68" t="s">
        <v>3822</v>
      </c>
      <c r="F480" s="25"/>
      <c r="G480" s="25"/>
      <c r="H480" s="25">
        <v>2012</v>
      </c>
      <c r="I480" s="25" t="s">
        <v>3828</v>
      </c>
      <c r="J480" s="25" t="s">
        <v>3824</v>
      </c>
      <c r="K480" s="25" t="s">
        <v>3787</v>
      </c>
      <c r="L480" s="25" t="s">
        <v>2396</v>
      </c>
      <c r="M480" s="25" t="s">
        <v>3788</v>
      </c>
      <c r="N480" s="25">
        <v>1</v>
      </c>
      <c r="O480" s="25">
        <v>3</v>
      </c>
      <c r="P480" s="25" t="s">
        <v>1527</v>
      </c>
      <c r="Q480" t="s">
        <v>3462</v>
      </c>
    </row>
    <row r="481" spans="1:17" ht="18" customHeight="1" x14ac:dyDescent="0.2">
      <c r="A481" s="68" t="s">
        <v>777</v>
      </c>
      <c r="B481" s="68" t="s">
        <v>856</v>
      </c>
      <c r="C481" s="68" t="s">
        <v>4182</v>
      </c>
      <c r="D481" s="68" t="s">
        <v>1631</v>
      </c>
      <c r="E481" s="68" t="s">
        <v>3822</v>
      </c>
      <c r="F481" s="25"/>
      <c r="G481" s="25"/>
      <c r="H481" s="25">
        <v>2013</v>
      </c>
      <c r="I481" s="25" t="s">
        <v>3829</v>
      </c>
      <c r="J481" s="25" t="s">
        <v>3824</v>
      </c>
      <c r="K481" s="25" t="s">
        <v>3787</v>
      </c>
      <c r="L481" s="25" t="s">
        <v>2396</v>
      </c>
      <c r="M481" s="25" t="s">
        <v>3788</v>
      </c>
      <c r="N481" s="25">
        <v>1</v>
      </c>
      <c r="O481" s="25">
        <v>3</v>
      </c>
      <c r="P481" s="25" t="s">
        <v>1527</v>
      </c>
      <c r="Q481" t="s">
        <v>3462</v>
      </c>
    </row>
    <row r="482" spans="1:17" ht="18" customHeight="1" x14ac:dyDescent="0.2">
      <c r="A482" s="68" t="s">
        <v>777</v>
      </c>
      <c r="B482" s="68" t="s">
        <v>859</v>
      </c>
      <c r="C482" s="68" t="s">
        <v>4182</v>
      </c>
      <c r="D482" s="68" t="s">
        <v>1631</v>
      </c>
      <c r="E482" s="68" t="s">
        <v>3822</v>
      </c>
      <c r="F482" s="25"/>
      <c r="G482" s="25"/>
      <c r="H482" s="25">
        <v>2014</v>
      </c>
      <c r="I482" s="25" t="s">
        <v>3830</v>
      </c>
      <c r="J482" s="25" t="s">
        <v>3824</v>
      </c>
      <c r="K482" s="25" t="s">
        <v>3787</v>
      </c>
      <c r="L482" s="25" t="s">
        <v>2396</v>
      </c>
      <c r="M482" s="25" t="s">
        <v>3788</v>
      </c>
      <c r="N482" s="25">
        <v>1</v>
      </c>
      <c r="O482" s="25">
        <v>3</v>
      </c>
      <c r="P482" s="25" t="s">
        <v>1527</v>
      </c>
      <c r="Q482" t="s">
        <v>3462</v>
      </c>
    </row>
    <row r="483" spans="1:17" ht="18" customHeight="1" x14ac:dyDescent="0.2">
      <c r="A483" s="68" t="s">
        <v>777</v>
      </c>
      <c r="B483" s="68" t="s">
        <v>861</v>
      </c>
      <c r="C483" s="68" t="s">
        <v>4182</v>
      </c>
      <c r="D483" s="68" t="s">
        <v>1631</v>
      </c>
      <c r="E483" s="68" t="s">
        <v>3822</v>
      </c>
      <c r="F483" s="25"/>
      <c r="G483" s="25"/>
      <c r="H483" s="25">
        <v>2015</v>
      </c>
      <c r="I483" s="25" t="s">
        <v>3831</v>
      </c>
      <c r="J483" s="25" t="s">
        <v>3824</v>
      </c>
      <c r="K483" s="25" t="s">
        <v>3787</v>
      </c>
      <c r="L483" s="25" t="s">
        <v>2396</v>
      </c>
      <c r="M483" s="25" t="s">
        <v>3788</v>
      </c>
      <c r="N483" s="25">
        <v>1</v>
      </c>
      <c r="O483" s="25">
        <v>3</v>
      </c>
      <c r="P483" s="25" t="s">
        <v>1527</v>
      </c>
      <c r="Q483" t="s">
        <v>3462</v>
      </c>
    </row>
    <row r="484" spans="1:17" ht="18" customHeight="1" x14ac:dyDescent="0.2">
      <c r="A484" s="68" t="s">
        <v>777</v>
      </c>
      <c r="B484" s="68" t="s">
        <v>863</v>
      </c>
      <c r="C484" s="68" t="s">
        <v>4182</v>
      </c>
      <c r="D484" s="68" t="s">
        <v>1631</v>
      </c>
      <c r="E484" s="68" t="s">
        <v>3822</v>
      </c>
      <c r="F484" s="25"/>
      <c r="G484" s="25"/>
      <c r="H484" s="25">
        <v>2016</v>
      </c>
      <c r="I484" s="25" t="s">
        <v>3832</v>
      </c>
      <c r="J484" s="25" t="s">
        <v>3824</v>
      </c>
      <c r="K484" s="25" t="s">
        <v>3787</v>
      </c>
      <c r="L484" s="25" t="s">
        <v>2396</v>
      </c>
      <c r="M484" s="25" t="s">
        <v>3788</v>
      </c>
      <c r="N484" s="25">
        <v>1</v>
      </c>
      <c r="O484" s="25">
        <v>3</v>
      </c>
      <c r="P484" s="25" t="s">
        <v>1527</v>
      </c>
      <c r="Q484" t="s">
        <v>3462</v>
      </c>
    </row>
    <row r="485" spans="1:17" ht="18" customHeight="1" x14ac:dyDescent="0.2">
      <c r="A485" s="68" t="s">
        <v>777</v>
      </c>
      <c r="B485" s="68" t="s">
        <v>865</v>
      </c>
      <c r="C485" s="68" t="s">
        <v>4182</v>
      </c>
      <c r="D485" s="68" t="s">
        <v>1631</v>
      </c>
      <c r="E485" s="68" t="s">
        <v>3822</v>
      </c>
      <c r="F485" s="25"/>
      <c r="G485" s="25"/>
      <c r="H485" s="25">
        <v>2017</v>
      </c>
      <c r="I485" s="25" t="s">
        <v>3833</v>
      </c>
      <c r="J485" s="25" t="s">
        <v>3824</v>
      </c>
      <c r="K485" s="25" t="s">
        <v>3787</v>
      </c>
      <c r="L485" s="25" t="s">
        <v>2396</v>
      </c>
      <c r="M485" s="25" t="s">
        <v>3788</v>
      </c>
      <c r="N485" s="25">
        <v>1</v>
      </c>
      <c r="O485" s="25">
        <v>3</v>
      </c>
      <c r="P485" s="25" t="s">
        <v>1527</v>
      </c>
      <c r="Q485" t="s">
        <v>3462</v>
      </c>
    </row>
    <row r="486" spans="1:17" ht="18" customHeight="1" x14ac:dyDescent="0.2">
      <c r="A486" s="68" t="s">
        <v>777</v>
      </c>
      <c r="B486" s="68" t="s">
        <v>843</v>
      </c>
      <c r="C486" s="68" t="s">
        <v>4182</v>
      </c>
      <c r="D486" s="68" t="s">
        <v>1631</v>
      </c>
      <c r="E486" s="68" t="s">
        <v>3834</v>
      </c>
      <c r="F486" s="25"/>
      <c r="G486" s="25"/>
      <c r="H486" s="25">
        <v>2008</v>
      </c>
      <c r="I486" s="25" t="s">
        <v>3835</v>
      </c>
      <c r="J486" s="25" t="s">
        <v>3836</v>
      </c>
      <c r="K486" s="25" t="s">
        <v>3787</v>
      </c>
      <c r="L486" s="25" t="s">
        <v>2395</v>
      </c>
      <c r="M486" s="25" t="s">
        <v>3788</v>
      </c>
      <c r="N486" s="25">
        <v>1</v>
      </c>
      <c r="O486" s="25">
        <v>3</v>
      </c>
      <c r="P486" s="25" t="s">
        <v>1527</v>
      </c>
      <c r="Q486" t="s">
        <v>3462</v>
      </c>
    </row>
    <row r="487" spans="1:17" ht="18" customHeight="1" x14ac:dyDescent="0.2">
      <c r="A487" s="68" t="s">
        <v>777</v>
      </c>
      <c r="B487" s="68" t="s">
        <v>848</v>
      </c>
      <c r="C487" s="68" t="s">
        <v>4182</v>
      </c>
      <c r="D487" s="68" t="s">
        <v>1631</v>
      </c>
      <c r="E487" s="68" t="s">
        <v>3834</v>
      </c>
      <c r="F487" s="25"/>
      <c r="G487" s="25"/>
      <c r="H487" s="25">
        <v>2009</v>
      </c>
      <c r="I487" s="25" t="s">
        <v>3837</v>
      </c>
      <c r="J487" s="25" t="s">
        <v>3836</v>
      </c>
      <c r="K487" s="25" t="s">
        <v>3787</v>
      </c>
      <c r="L487" s="25" t="s">
        <v>2395</v>
      </c>
      <c r="M487" s="25" t="s">
        <v>3788</v>
      </c>
      <c r="N487" s="25">
        <v>1</v>
      </c>
      <c r="O487" s="25">
        <v>3</v>
      </c>
      <c r="P487" s="25" t="s">
        <v>1527</v>
      </c>
      <c r="Q487" t="s">
        <v>3462</v>
      </c>
    </row>
    <row r="488" spans="1:17" ht="18" customHeight="1" x14ac:dyDescent="0.2">
      <c r="A488" s="68" t="s">
        <v>777</v>
      </c>
      <c r="B488" s="68" t="s">
        <v>850</v>
      </c>
      <c r="C488" s="68" t="s">
        <v>4182</v>
      </c>
      <c r="D488" s="68" t="s">
        <v>1631</v>
      </c>
      <c r="E488" s="68" t="s">
        <v>3834</v>
      </c>
      <c r="F488" s="25"/>
      <c r="G488" s="25"/>
      <c r="H488" s="25">
        <v>2010</v>
      </c>
      <c r="I488" s="25" t="s">
        <v>3838</v>
      </c>
      <c r="J488" s="25" t="s">
        <v>3836</v>
      </c>
      <c r="K488" s="25" t="s">
        <v>3787</v>
      </c>
      <c r="L488" s="25" t="s">
        <v>2395</v>
      </c>
      <c r="M488" s="25" t="s">
        <v>3788</v>
      </c>
      <c r="N488" s="25">
        <v>1</v>
      </c>
      <c r="O488" s="25">
        <v>3</v>
      </c>
      <c r="P488" s="25" t="s">
        <v>1527</v>
      </c>
      <c r="Q488" t="s">
        <v>3462</v>
      </c>
    </row>
    <row r="489" spans="1:17" ht="18" customHeight="1" x14ac:dyDescent="0.2">
      <c r="A489" s="68" t="s">
        <v>777</v>
      </c>
      <c r="B489" s="68" t="s">
        <v>852</v>
      </c>
      <c r="C489" s="68" t="s">
        <v>4182</v>
      </c>
      <c r="D489" s="68" t="s">
        <v>1631</v>
      </c>
      <c r="E489" s="68" t="s">
        <v>3834</v>
      </c>
      <c r="F489" s="25"/>
      <c r="G489" s="25"/>
      <c r="H489" s="25">
        <v>2011</v>
      </c>
      <c r="I489" s="25" t="s">
        <v>3839</v>
      </c>
      <c r="J489" s="25" t="s">
        <v>3836</v>
      </c>
      <c r="K489" s="25" t="s">
        <v>3787</v>
      </c>
      <c r="L489" s="25" t="s">
        <v>2395</v>
      </c>
      <c r="M489" s="25" t="s">
        <v>3788</v>
      </c>
      <c r="N489" s="25">
        <v>1</v>
      </c>
      <c r="O489" s="25">
        <v>3</v>
      </c>
      <c r="P489" s="25" t="s">
        <v>1527</v>
      </c>
      <c r="Q489" t="s">
        <v>3462</v>
      </c>
    </row>
    <row r="490" spans="1:17" ht="18" customHeight="1" x14ac:dyDescent="0.2">
      <c r="A490" s="68" t="s">
        <v>777</v>
      </c>
      <c r="B490" s="68" t="s">
        <v>854</v>
      </c>
      <c r="C490" s="68" t="s">
        <v>4182</v>
      </c>
      <c r="D490" s="68" t="s">
        <v>1631</v>
      </c>
      <c r="E490" s="68" t="s">
        <v>3834</v>
      </c>
      <c r="F490" s="25"/>
      <c r="G490" s="25"/>
      <c r="H490" s="25">
        <v>2012</v>
      </c>
      <c r="I490" s="25" t="s">
        <v>3840</v>
      </c>
      <c r="J490" s="25" t="s">
        <v>3836</v>
      </c>
      <c r="K490" s="25" t="s">
        <v>3787</v>
      </c>
      <c r="L490" s="25" t="s">
        <v>2395</v>
      </c>
      <c r="M490" s="25" t="s">
        <v>3788</v>
      </c>
      <c r="N490" s="25">
        <v>1</v>
      </c>
      <c r="O490" s="25">
        <v>3</v>
      </c>
      <c r="P490" s="25" t="s">
        <v>1527</v>
      </c>
      <c r="Q490" t="s">
        <v>3462</v>
      </c>
    </row>
    <row r="491" spans="1:17" ht="18" customHeight="1" x14ac:dyDescent="0.2">
      <c r="A491" s="68" t="s">
        <v>777</v>
      </c>
      <c r="B491" s="68" t="s">
        <v>856</v>
      </c>
      <c r="C491" s="68" t="s">
        <v>4182</v>
      </c>
      <c r="D491" s="68" t="s">
        <v>1631</v>
      </c>
      <c r="E491" s="68" t="s">
        <v>3834</v>
      </c>
      <c r="F491" s="25"/>
      <c r="G491" s="25"/>
      <c r="H491" s="25">
        <v>2013</v>
      </c>
      <c r="I491" s="25" t="s">
        <v>3841</v>
      </c>
      <c r="J491" s="25" t="s">
        <v>3836</v>
      </c>
      <c r="K491" s="25" t="s">
        <v>3787</v>
      </c>
      <c r="L491" s="25" t="s">
        <v>2395</v>
      </c>
      <c r="M491" s="25" t="s">
        <v>3788</v>
      </c>
      <c r="N491" s="25">
        <v>1</v>
      </c>
      <c r="O491" s="25">
        <v>3</v>
      </c>
      <c r="P491" s="25" t="s">
        <v>1527</v>
      </c>
      <c r="Q491" t="s">
        <v>3462</v>
      </c>
    </row>
    <row r="492" spans="1:17" ht="18" customHeight="1" x14ac:dyDescent="0.2">
      <c r="A492" s="68" t="s">
        <v>777</v>
      </c>
      <c r="B492" s="68" t="s">
        <v>859</v>
      </c>
      <c r="C492" s="68" t="s">
        <v>4182</v>
      </c>
      <c r="D492" s="68" t="s">
        <v>1631</v>
      </c>
      <c r="E492" s="68" t="s">
        <v>3834</v>
      </c>
      <c r="F492" s="25"/>
      <c r="G492" s="25"/>
      <c r="H492" s="25">
        <v>2014</v>
      </c>
      <c r="I492" s="25" t="s">
        <v>3842</v>
      </c>
      <c r="J492" s="25" t="s">
        <v>3836</v>
      </c>
      <c r="K492" s="25" t="s">
        <v>3787</v>
      </c>
      <c r="L492" s="25" t="s">
        <v>2395</v>
      </c>
      <c r="M492" s="25" t="s">
        <v>3788</v>
      </c>
      <c r="N492" s="25">
        <v>1</v>
      </c>
      <c r="O492" s="25">
        <v>3</v>
      </c>
      <c r="P492" s="25" t="s">
        <v>1527</v>
      </c>
      <c r="Q492" t="s">
        <v>3462</v>
      </c>
    </row>
    <row r="493" spans="1:17" ht="18" customHeight="1" x14ac:dyDescent="0.2">
      <c r="A493" s="68" t="s">
        <v>777</v>
      </c>
      <c r="B493" s="68" t="s">
        <v>861</v>
      </c>
      <c r="C493" s="68" t="s">
        <v>4182</v>
      </c>
      <c r="D493" s="68" t="s">
        <v>1631</v>
      </c>
      <c r="E493" s="68" t="s">
        <v>3834</v>
      </c>
      <c r="F493" s="25"/>
      <c r="G493" s="25"/>
      <c r="H493" s="25">
        <v>2015</v>
      </c>
      <c r="I493" s="25" t="s">
        <v>3843</v>
      </c>
      <c r="J493" s="25" t="s">
        <v>3836</v>
      </c>
      <c r="K493" s="25" t="s">
        <v>3787</v>
      </c>
      <c r="L493" s="25" t="s">
        <v>2395</v>
      </c>
      <c r="M493" s="25" t="s">
        <v>3788</v>
      </c>
      <c r="N493" s="25">
        <v>1</v>
      </c>
      <c r="O493" s="25">
        <v>3</v>
      </c>
      <c r="P493" s="25" t="s">
        <v>1527</v>
      </c>
      <c r="Q493" t="s">
        <v>3462</v>
      </c>
    </row>
    <row r="494" spans="1:17" ht="18" customHeight="1" x14ac:dyDescent="0.2">
      <c r="A494" s="68" t="s">
        <v>777</v>
      </c>
      <c r="B494" s="68" t="s">
        <v>863</v>
      </c>
      <c r="C494" s="68" t="s">
        <v>4182</v>
      </c>
      <c r="D494" s="68" t="s">
        <v>1631</v>
      </c>
      <c r="E494" s="68" t="s">
        <v>3834</v>
      </c>
      <c r="F494" s="25"/>
      <c r="G494" s="25"/>
      <c r="H494" s="25">
        <v>2016</v>
      </c>
      <c r="I494" s="25" t="s">
        <v>3844</v>
      </c>
      <c r="J494" s="25" t="s">
        <v>3836</v>
      </c>
      <c r="K494" s="25" t="s">
        <v>3787</v>
      </c>
      <c r="L494" s="25" t="s">
        <v>2395</v>
      </c>
      <c r="M494" s="25" t="s">
        <v>3788</v>
      </c>
      <c r="N494" s="25">
        <v>1</v>
      </c>
      <c r="O494" s="25">
        <v>3</v>
      </c>
      <c r="P494" s="25" t="s">
        <v>1527</v>
      </c>
      <c r="Q494" t="s">
        <v>3462</v>
      </c>
    </row>
    <row r="495" spans="1:17" ht="18" customHeight="1" x14ac:dyDescent="0.2">
      <c r="A495" s="68" t="s">
        <v>777</v>
      </c>
      <c r="B495" s="68" t="s">
        <v>865</v>
      </c>
      <c r="C495" s="68" t="s">
        <v>4182</v>
      </c>
      <c r="D495" s="68" t="s">
        <v>1631</v>
      </c>
      <c r="E495" s="68" t="s">
        <v>3834</v>
      </c>
      <c r="F495" s="25"/>
      <c r="G495" s="25"/>
      <c r="H495" s="25">
        <v>2017</v>
      </c>
      <c r="I495" s="25" t="s">
        <v>3845</v>
      </c>
      <c r="J495" s="25" t="s">
        <v>3836</v>
      </c>
      <c r="K495" s="25" t="s">
        <v>3787</v>
      </c>
      <c r="L495" s="25" t="s">
        <v>2395</v>
      </c>
      <c r="M495" s="25" t="s">
        <v>3788</v>
      </c>
      <c r="N495" s="25">
        <v>1</v>
      </c>
      <c r="O495" s="25">
        <v>3</v>
      </c>
      <c r="P495" s="25" t="s">
        <v>1527</v>
      </c>
      <c r="Q495" t="s">
        <v>3462</v>
      </c>
    </row>
    <row r="496" spans="1:17" ht="18" customHeight="1" x14ac:dyDescent="0.2">
      <c r="A496" s="68" t="s">
        <v>777</v>
      </c>
      <c r="B496" s="68" t="s">
        <v>843</v>
      </c>
      <c r="C496" s="68" t="s">
        <v>4182</v>
      </c>
      <c r="D496" s="68" t="s">
        <v>1631</v>
      </c>
      <c r="E496" s="68" t="s">
        <v>3846</v>
      </c>
      <c r="F496" s="25"/>
      <c r="G496" s="25"/>
      <c r="H496" s="25">
        <v>2008</v>
      </c>
      <c r="I496" s="25" t="s">
        <v>3847</v>
      </c>
      <c r="J496" s="25" t="s">
        <v>3848</v>
      </c>
      <c r="K496" s="25" t="s">
        <v>3787</v>
      </c>
      <c r="L496" s="25" t="s">
        <v>2395</v>
      </c>
      <c r="M496" s="25" t="s">
        <v>3788</v>
      </c>
      <c r="N496" s="25">
        <v>1</v>
      </c>
      <c r="O496" s="25">
        <v>3</v>
      </c>
      <c r="P496" s="25" t="s">
        <v>1527</v>
      </c>
      <c r="Q496" t="s">
        <v>3462</v>
      </c>
    </row>
    <row r="497" spans="1:17" ht="18" customHeight="1" x14ac:dyDescent="0.2">
      <c r="A497" s="68" t="s">
        <v>777</v>
      </c>
      <c r="B497" s="68" t="s">
        <v>848</v>
      </c>
      <c r="C497" s="68" t="s">
        <v>4182</v>
      </c>
      <c r="D497" s="68" t="s">
        <v>1631</v>
      </c>
      <c r="E497" s="68" t="s">
        <v>3846</v>
      </c>
      <c r="F497" s="25"/>
      <c r="G497" s="25"/>
      <c r="H497" s="25">
        <v>2009</v>
      </c>
      <c r="I497" s="25" t="s">
        <v>3849</v>
      </c>
      <c r="J497" s="25" t="s">
        <v>3848</v>
      </c>
      <c r="K497" s="25" t="s">
        <v>3787</v>
      </c>
      <c r="L497" s="25" t="s">
        <v>2395</v>
      </c>
      <c r="M497" s="25" t="s">
        <v>3788</v>
      </c>
      <c r="N497" s="25">
        <v>1</v>
      </c>
      <c r="O497" s="25">
        <v>3</v>
      </c>
      <c r="P497" s="25" t="s">
        <v>1527</v>
      </c>
      <c r="Q497" t="s">
        <v>3462</v>
      </c>
    </row>
    <row r="498" spans="1:17" ht="18" customHeight="1" x14ac:dyDescent="0.2">
      <c r="A498" s="68" t="s">
        <v>777</v>
      </c>
      <c r="B498" s="68" t="s">
        <v>850</v>
      </c>
      <c r="C498" s="68" t="s">
        <v>4182</v>
      </c>
      <c r="D498" s="68" t="s">
        <v>1631</v>
      </c>
      <c r="E498" s="68" t="s">
        <v>3846</v>
      </c>
      <c r="F498" s="25"/>
      <c r="G498" s="25"/>
      <c r="H498" s="25">
        <v>2010</v>
      </c>
      <c r="I498" s="25" t="s">
        <v>3850</v>
      </c>
      <c r="J498" s="25" t="s">
        <v>3848</v>
      </c>
      <c r="K498" s="25" t="s">
        <v>3787</v>
      </c>
      <c r="L498" s="25" t="s">
        <v>2395</v>
      </c>
      <c r="M498" s="25" t="s">
        <v>3788</v>
      </c>
      <c r="N498" s="25">
        <v>1</v>
      </c>
      <c r="O498" s="25">
        <v>3</v>
      </c>
      <c r="P498" s="25" t="s">
        <v>1527</v>
      </c>
      <c r="Q498" t="s">
        <v>3462</v>
      </c>
    </row>
    <row r="499" spans="1:17" ht="18" customHeight="1" x14ac:dyDescent="0.2">
      <c r="A499" s="68" t="s">
        <v>777</v>
      </c>
      <c r="B499" s="68" t="s">
        <v>852</v>
      </c>
      <c r="C499" s="68" t="s">
        <v>4182</v>
      </c>
      <c r="D499" s="68" t="s">
        <v>1631</v>
      </c>
      <c r="E499" s="68" t="s">
        <v>3846</v>
      </c>
      <c r="F499" s="25"/>
      <c r="G499" s="25"/>
      <c r="H499" s="25">
        <v>2011</v>
      </c>
      <c r="I499" s="25" t="s">
        <v>3851</v>
      </c>
      <c r="J499" s="25" t="s">
        <v>3848</v>
      </c>
      <c r="K499" s="25" t="s">
        <v>3787</v>
      </c>
      <c r="L499" s="25" t="s">
        <v>2395</v>
      </c>
      <c r="M499" s="25" t="s">
        <v>3788</v>
      </c>
      <c r="N499" s="25">
        <v>1</v>
      </c>
      <c r="O499" s="25">
        <v>3</v>
      </c>
      <c r="P499" s="25" t="s">
        <v>1527</v>
      </c>
      <c r="Q499" t="s">
        <v>3462</v>
      </c>
    </row>
    <row r="500" spans="1:17" ht="18" customHeight="1" x14ac:dyDescent="0.2">
      <c r="A500" s="68" t="s">
        <v>777</v>
      </c>
      <c r="B500" s="68" t="s">
        <v>854</v>
      </c>
      <c r="C500" s="68" t="s">
        <v>4182</v>
      </c>
      <c r="D500" s="68" t="s">
        <v>1631</v>
      </c>
      <c r="E500" s="68" t="s">
        <v>3846</v>
      </c>
      <c r="F500" s="25"/>
      <c r="G500" s="25"/>
      <c r="H500" s="25">
        <v>2012</v>
      </c>
      <c r="I500" s="25" t="s">
        <v>3852</v>
      </c>
      <c r="J500" s="25" t="s">
        <v>3848</v>
      </c>
      <c r="K500" s="25" t="s">
        <v>3787</v>
      </c>
      <c r="L500" s="25" t="s">
        <v>2395</v>
      </c>
      <c r="M500" s="25" t="s">
        <v>3788</v>
      </c>
      <c r="N500" s="25">
        <v>1</v>
      </c>
      <c r="O500" s="25">
        <v>3</v>
      </c>
      <c r="P500" s="25" t="s">
        <v>1527</v>
      </c>
      <c r="Q500" t="s">
        <v>3462</v>
      </c>
    </row>
    <row r="501" spans="1:17" ht="18" customHeight="1" x14ac:dyDescent="0.2">
      <c r="A501" s="68" t="s">
        <v>777</v>
      </c>
      <c r="B501" s="68" t="s">
        <v>856</v>
      </c>
      <c r="C501" s="68" t="s">
        <v>4182</v>
      </c>
      <c r="D501" s="68" t="s">
        <v>1631</v>
      </c>
      <c r="E501" s="68" t="s">
        <v>3846</v>
      </c>
      <c r="F501" s="25"/>
      <c r="G501" s="25"/>
      <c r="H501" s="25">
        <v>2013</v>
      </c>
      <c r="I501" s="25" t="s">
        <v>3853</v>
      </c>
      <c r="J501" s="25" t="s">
        <v>3848</v>
      </c>
      <c r="K501" s="25" t="s">
        <v>3787</v>
      </c>
      <c r="L501" s="25" t="s">
        <v>2395</v>
      </c>
      <c r="M501" s="25" t="s">
        <v>3788</v>
      </c>
      <c r="N501" s="25">
        <v>1</v>
      </c>
      <c r="O501" s="25">
        <v>3</v>
      </c>
      <c r="P501" s="25" t="s">
        <v>1527</v>
      </c>
      <c r="Q501" t="s">
        <v>3462</v>
      </c>
    </row>
    <row r="502" spans="1:17" ht="18" customHeight="1" x14ac:dyDescent="0.2">
      <c r="A502" s="68" t="s">
        <v>777</v>
      </c>
      <c r="B502" s="68" t="s">
        <v>859</v>
      </c>
      <c r="C502" s="68" t="s">
        <v>4182</v>
      </c>
      <c r="D502" s="68" t="s">
        <v>1631</v>
      </c>
      <c r="E502" s="68" t="s">
        <v>3846</v>
      </c>
      <c r="F502" s="25"/>
      <c r="G502" s="25"/>
      <c r="H502" s="25">
        <v>2014</v>
      </c>
      <c r="I502" s="25" t="s">
        <v>3854</v>
      </c>
      <c r="J502" s="25" t="s">
        <v>3848</v>
      </c>
      <c r="K502" s="25" t="s">
        <v>3787</v>
      </c>
      <c r="L502" s="25" t="s">
        <v>2395</v>
      </c>
      <c r="M502" s="25" t="s">
        <v>3788</v>
      </c>
      <c r="N502" s="25">
        <v>1</v>
      </c>
      <c r="O502" s="25">
        <v>3</v>
      </c>
      <c r="P502" s="25" t="s">
        <v>1527</v>
      </c>
      <c r="Q502" t="s">
        <v>3462</v>
      </c>
    </row>
    <row r="503" spans="1:17" ht="18" customHeight="1" x14ac:dyDescent="0.2">
      <c r="A503" s="68" t="s">
        <v>777</v>
      </c>
      <c r="B503" s="68" t="s">
        <v>861</v>
      </c>
      <c r="C503" s="68" t="s">
        <v>4182</v>
      </c>
      <c r="D503" s="68" t="s">
        <v>1631</v>
      </c>
      <c r="E503" s="68" t="s">
        <v>3846</v>
      </c>
      <c r="F503" s="25"/>
      <c r="G503" s="25"/>
      <c r="H503" s="25">
        <v>2015</v>
      </c>
      <c r="I503" s="25" t="s">
        <v>3855</v>
      </c>
      <c r="J503" s="25" t="s">
        <v>3848</v>
      </c>
      <c r="K503" s="25" t="s">
        <v>3787</v>
      </c>
      <c r="L503" s="25" t="s">
        <v>2395</v>
      </c>
      <c r="M503" s="25" t="s">
        <v>3788</v>
      </c>
      <c r="N503" s="25">
        <v>1</v>
      </c>
      <c r="O503" s="25">
        <v>3</v>
      </c>
      <c r="P503" s="25" t="s">
        <v>1527</v>
      </c>
      <c r="Q503" t="s">
        <v>3462</v>
      </c>
    </row>
    <row r="504" spans="1:17" ht="18" customHeight="1" x14ac:dyDescent="0.2">
      <c r="A504" s="68" t="s">
        <v>777</v>
      </c>
      <c r="B504" s="68" t="s">
        <v>863</v>
      </c>
      <c r="C504" s="68" t="s">
        <v>4182</v>
      </c>
      <c r="D504" s="68" t="s">
        <v>1631</v>
      </c>
      <c r="E504" s="68" t="s">
        <v>3846</v>
      </c>
      <c r="F504" s="25"/>
      <c r="G504" s="25"/>
      <c r="H504" s="25">
        <v>2016</v>
      </c>
      <c r="I504" s="25" t="s">
        <v>3856</v>
      </c>
      <c r="J504" s="25" t="s">
        <v>3848</v>
      </c>
      <c r="K504" s="25" t="s">
        <v>3787</v>
      </c>
      <c r="L504" s="25" t="s">
        <v>2395</v>
      </c>
      <c r="M504" s="25" t="s">
        <v>3788</v>
      </c>
      <c r="N504" s="25">
        <v>1</v>
      </c>
      <c r="O504" s="25">
        <v>3</v>
      </c>
      <c r="P504" s="25" t="s">
        <v>1527</v>
      </c>
      <c r="Q504" t="s">
        <v>3462</v>
      </c>
    </row>
    <row r="505" spans="1:17" ht="18" customHeight="1" x14ac:dyDescent="0.2">
      <c r="A505" s="68" t="s">
        <v>777</v>
      </c>
      <c r="B505" s="68" t="s">
        <v>865</v>
      </c>
      <c r="C505" s="68" t="s">
        <v>4182</v>
      </c>
      <c r="D505" s="68" t="s">
        <v>1631</v>
      </c>
      <c r="E505" s="68" t="s">
        <v>3846</v>
      </c>
      <c r="F505" s="25"/>
      <c r="G505" s="25"/>
      <c r="H505" s="25">
        <v>2017</v>
      </c>
      <c r="I505" s="25" t="s">
        <v>3857</v>
      </c>
      <c r="J505" s="25" t="s">
        <v>3848</v>
      </c>
      <c r="K505" s="25" t="s">
        <v>3787</v>
      </c>
      <c r="L505" s="25" t="s">
        <v>2395</v>
      </c>
      <c r="M505" s="25" t="s">
        <v>3788</v>
      </c>
      <c r="N505" s="25">
        <v>1</v>
      </c>
      <c r="O505" s="25">
        <v>3</v>
      </c>
      <c r="P505" s="25" t="s">
        <v>1527</v>
      </c>
      <c r="Q505" t="s">
        <v>3462</v>
      </c>
    </row>
    <row r="506" spans="1:17" ht="18" customHeight="1" x14ac:dyDescent="0.2">
      <c r="A506" s="60" t="s">
        <v>777</v>
      </c>
      <c r="B506" s="60" t="str">
        <f t="shared" ref="B506:B516" si="32">"ch" &amp; RIGHT(H506, 2) &amp; G506</f>
        <v>ch07a</v>
      </c>
      <c r="C506" s="60" t="s">
        <v>4182</v>
      </c>
      <c r="D506" s="60" t="s">
        <v>1353</v>
      </c>
      <c r="E506" s="60" t="s">
        <v>1595</v>
      </c>
      <c r="F506" s="2">
        <v>1</v>
      </c>
      <c r="G506" s="2" t="str">
        <f t="shared" ref="G506:G529" si="33">MID("abcdefghijklmnopqrstuvwxyz",F506,1)</f>
        <v>a</v>
      </c>
      <c r="H506" s="2">
        <v>2007</v>
      </c>
      <c r="I506" s="2" t="str">
        <f t="shared" ref="I506:I516" si="34">B506&amp;"207"</f>
        <v>ch07a207</v>
      </c>
      <c r="J506" s="4" t="s">
        <v>1596</v>
      </c>
      <c r="K506" s="8" t="s">
        <v>642</v>
      </c>
      <c r="L506"/>
      <c r="M506" s="2" t="s">
        <v>1597</v>
      </c>
      <c r="P506" s="2" t="s">
        <v>1127</v>
      </c>
      <c r="Q506" t="s">
        <v>1127</v>
      </c>
    </row>
    <row r="507" spans="1:17" ht="18" customHeight="1" x14ac:dyDescent="0.2">
      <c r="A507" s="60" t="s">
        <v>777</v>
      </c>
      <c r="B507" s="60" t="str">
        <f t="shared" si="32"/>
        <v>ch08b</v>
      </c>
      <c r="C507" s="60" t="s">
        <v>4182</v>
      </c>
      <c r="D507" s="60" t="s">
        <v>1353</v>
      </c>
      <c r="E507" s="60" t="s">
        <v>1595</v>
      </c>
      <c r="F507" s="2">
        <v>2</v>
      </c>
      <c r="G507" s="2" t="str">
        <f t="shared" si="33"/>
        <v>b</v>
      </c>
      <c r="H507" s="2">
        <v>2008</v>
      </c>
      <c r="I507" s="2" t="str">
        <f t="shared" si="34"/>
        <v>ch08b207</v>
      </c>
      <c r="J507" s="4" t="s">
        <v>1596</v>
      </c>
      <c r="K507" s="8" t="s">
        <v>642</v>
      </c>
      <c r="L507"/>
      <c r="M507" s="2" t="s">
        <v>1597</v>
      </c>
      <c r="P507" s="2" t="s">
        <v>1127</v>
      </c>
      <c r="Q507" t="s">
        <v>1127</v>
      </c>
    </row>
    <row r="508" spans="1:17" ht="18" customHeight="1" x14ac:dyDescent="0.2">
      <c r="A508" s="60" t="s">
        <v>777</v>
      </c>
      <c r="B508" s="60" t="str">
        <f t="shared" si="32"/>
        <v>ch09c</v>
      </c>
      <c r="C508" s="60" t="s">
        <v>4182</v>
      </c>
      <c r="D508" s="60" t="s">
        <v>1353</v>
      </c>
      <c r="E508" s="60" t="s">
        <v>1595</v>
      </c>
      <c r="F508" s="2">
        <v>3</v>
      </c>
      <c r="G508" s="2" t="str">
        <f t="shared" si="33"/>
        <v>c</v>
      </c>
      <c r="H508" s="2">
        <v>2009</v>
      </c>
      <c r="I508" s="2" t="str">
        <f t="shared" si="34"/>
        <v>ch09c207</v>
      </c>
      <c r="J508" s="4" t="s">
        <v>1596</v>
      </c>
      <c r="K508" s="8" t="s">
        <v>642</v>
      </c>
      <c r="L508"/>
      <c r="M508" s="2" t="s">
        <v>1597</v>
      </c>
      <c r="P508" s="2" t="s">
        <v>1127</v>
      </c>
      <c r="Q508" t="s">
        <v>1127</v>
      </c>
    </row>
    <row r="509" spans="1:17" ht="18" customHeight="1" x14ac:dyDescent="0.2">
      <c r="A509" s="60" t="s">
        <v>777</v>
      </c>
      <c r="B509" s="60" t="str">
        <f t="shared" si="32"/>
        <v>ch10d</v>
      </c>
      <c r="C509" s="60" t="s">
        <v>4182</v>
      </c>
      <c r="D509" s="60" t="s">
        <v>1353</v>
      </c>
      <c r="E509" s="60" t="s">
        <v>1595</v>
      </c>
      <c r="F509" s="2">
        <v>4</v>
      </c>
      <c r="G509" s="2" t="str">
        <f t="shared" si="33"/>
        <v>d</v>
      </c>
      <c r="H509" s="2">
        <v>2010</v>
      </c>
      <c r="I509" s="2" t="str">
        <f t="shared" si="34"/>
        <v>ch10d207</v>
      </c>
      <c r="J509" s="4" t="s">
        <v>1596</v>
      </c>
      <c r="K509" s="8" t="s">
        <v>642</v>
      </c>
      <c r="L509"/>
      <c r="M509" s="2" t="s">
        <v>1597</v>
      </c>
      <c r="P509" s="2" t="s">
        <v>1127</v>
      </c>
      <c r="Q509" t="s">
        <v>1127</v>
      </c>
    </row>
    <row r="510" spans="1:17" ht="18" customHeight="1" x14ac:dyDescent="0.2">
      <c r="A510" s="60" t="s">
        <v>777</v>
      </c>
      <c r="B510" s="60" t="str">
        <f t="shared" si="32"/>
        <v>ch11e</v>
      </c>
      <c r="C510" s="60" t="s">
        <v>4182</v>
      </c>
      <c r="D510" s="60" t="s">
        <v>1353</v>
      </c>
      <c r="E510" s="60" t="s">
        <v>1595</v>
      </c>
      <c r="F510" s="2">
        <v>5</v>
      </c>
      <c r="G510" s="2" t="str">
        <f t="shared" si="33"/>
        <v>e</v>
      </c>
      <c r="H510" s="2">
        <v>2011</v>
      </c>
      <c r="I510" s="2" t="str">
        <f t="shared" si="34"/>
        <v>ch11e207</v>
      </c>
      <c r="J510" s="4" t="s">
        <v>1596</v>
      </c>
      <c r="K510" s="8" t="s">
        <v>642</v>
      </c>
      <c r="L510"/>
      <c r="M510" s="2" t="s">
        <v>1597</v>
      </c>
      <c r="P510" s="2" t="s">
        <v>1127</v>
      </c>
      <c r="Q510" t="s">
        <v>1127</v>
      </c>
    </row>
    <row r="511" spans="1:17" ht="18" customHeight="1" x14ac:dyDescent="0.2">
      <c r="A511" s="60" t="s">
        <v>777</v>
      </c>
      <c r="B511" s="60" t="str">
        <f t="shared" si="32"/>
        <v>ch12f</v>
      </c>
      <c r="C511" s="60" t="s">
        <v>4182</v>
      </c>
      <c r="D511" s="60" t="s">
        <v>1353</v>
      </c>
      <c r="E511" s="60" t="s">
        <v>1595</v>
      </c>
      <c r="F511" s="2">
        <v>6</v>
      </c>
      <c r="G511" s="2" t="str">
        <f t="shared" si="33"/>
        <v>f</v>
      </c>
      <c r="H511" s="2">
        <v>2012</v>
      </c>
      <c r="I511" s="2" t="str">
        <f t="shared" si="34"/>
        <v>ch12f207</v>
      </c>
      <c r="J511" s="4" t="s">
        <v>1596</v>
      </c>
      <c r="K511" s="8" t="s">
        <v>642</v>
      </c>
      <c r="L511"/>
      <c r="M511" s="2" t="s">
        <v>1597</v>
      </c>
      <c r="P511" s="2" t="s">
        <v>1127</v>
      </c>
      <c r="Q511" t="s">
        <v>1127</v>
      </c>
    </row>
    <row r="512" spans="1:17" ht="18" customHeight="1" x14ac:dyDescent="0.2">
      <c r="A512" s="60" t="s">
        <v>777</v>
      </c>
      <c r="B512" s="60" t="str">
        <f t="shared" si="32"/>
        <v>ch13g</v>
      </c>
      <c r="C512" s="60" t="s">
        <v>4182</v>
      </c>
      <c r="D512" s="60" t="s">
        <v>1353</v>
      </c>
      <c r="E512" s="60" t="s">
        <v>1595</v>
      </c>
      <c r="F512" s="2">
        <v>7</v>
      </c>
      <c r="G512" s="2" t="str">
        <f t="shared" si="33"/>
        <v>g</v>
      </c>
      <c r="H512" s="2">
        <v>2013</v>
      </c>
      <c r="I512" s="2" t="str">
        <f t="shared" si="34"/>
        <v>ch13g207</v>
      </c>
      <c r="J512" s="4" t="s">
        <v>1596</v>
      </c>
      <c r="K512" s="8" t="s">
        <v>642</v>
      </c>
      <c r="L512"/>
      <c r="M512" s="2" t="s">
        <v>1597</v>
      </c>
      <c r="P512" s="2" t="s">
        <v>1127</v>
      </c>
      <c r="Q512" t="s">
        <v>1127</v>
      </c>
    </row>
    <row r="513" spans="1:17" ht="18" customHeight="1" x14ac:dyDescent="0.2">
      <c r="A513" s="60" t="s">
        <v>777</v>
      </c>
      <c r="B513" s="60" t="str">
        <f t="shared" si="32"/>
        <v>ch15h</v>
      </c>
      <c r="C513" s="60" t="s">
        <v>4182</v>
      </c>
      <c r="D513" s="60" t="s">
        <v>1353</v>
      </c>
      <c r="E513" s="60" t="s">
        <v>1595</v>
      </c>
      <c r="F513" s="2">
        <v>8</v>
      </c>
      <c r="G513" s="2" t="str">
        <f t="shared" si="33"/>
        <v>h</v>
      </c>
      <c r="H513" s="2">
        <v>2015</v>
      </c>
      <c r="I513" s="2" t="str">
        <f t="shared" si="34"/>
        <v>ch15h207</v>
      </c>
      <c r="J513" s="4" t="s">
        <v>1596</v>
      </c>
      <c r="K513" s="8" t="s">
        <v>642</v>
      </c>
      <c r="L513"/>
      <c r="M513" s="2" t="s">
        <v>1597</v>
      </c>
      <c r="P513" s="2" t="s">
        <v>1127</v>
      </c>
      <c r="Q513" t="s">
        <v>1127</v>
      </c>
    </row>
    <row r="514" spans="1:17" ht="18" customHeight="1" x14ac:dyDescent="0.2">
      <c r="A514" s="60" t="s">
        <v>777</v>
      </c>
      <c r="B514" s="60" t="str">
        <f t="shared" si="32"/>
        <v>ch16i</v>
      </c>
      <c r="C514" s="60" t="s">
        <v>4182</v>
      </c>
      <c r="D514" s="60" t="s">
        <v>1353</v>
      </c>
      <c r="E514" s="60" t="s">
        <v>1595</v>
      </c>
      <c r="F514" s="2">
        <v>9</v>
      </c>
      <c r="G514" s="2" t="str">
        <f t="shared" si="33"/>
        <v>i</v>
      </c>
      <c r="H514" s="2">
        <v>2016</v>
      </c>
      <c r="I514" s="2" t="str">
        <f t="shared" si="34"/>
        <v>ch16i207</v>
      </c>
      <c r="J514" s="4" t="s">
        <v>1596</v>
      </c>
      <c r="K514" s="8" t="s">
        <v>642</v>
      </c>
      <c r="L514"/>
      <c r="M514" s="2" t="s">
        <v>1597</v>
      </c>
      <c r="P514" s="2" t="s">
        <v>1127</v>
      </c>
      <c r="Q514" t="s">
        <v>1127</v>
      </c>
    </row>
    <row r="515" spans="1:17" ht="18" customHeight="1" x14ac:dyDescent="0.2">
      <c r="A515" s="60" t="s">
        <v>777</v>
      </c>
      <c r="B515" s="60" t="str">
        <f t="shared" si="32"/>
        <v>ch17j</v>
      </c>
      <c r="C515" s="60" t="s">
        <v>4182</v>
      </c>
      <c r="D515" s="60" t="s">
        <v>1353</v>
      </c>
      <c r="E515" s="60" t="s">
        <v>1595</v>
      </c>
      <c r="F515" s="2">
        <v>10</v>
      </c>
      <c r="G515" s="2" t="str">
        <f t="shared" si="33"/>
        <v>j</v>
      </c>
      <c r="H515" s="2">
        <v>2017</v>
      </c>
      <c r="I515" s="2" t="str">
        <f t="shared" si="34"/>
        <v>ch17j207</v>
      </c>
      <c r="J515" s="4" t="s">
        <v>1596</v>
      </c>
      <c r="K515" s="8" t="s">
        <v>642</v>
      </c>
      <c r="L515"/>
      <c r="M515" s="2" t="s">
        <v>1597</v>
      </c>
      <c r="P515" s="2" t="s">
        <v>1127</v>
      </c>
      <c r="Q515" t="s">
        <v>1127</v>
      </c>
    </row>
    <row r="516" spans="1:17" ht="18" customHeight="1" x14ac:dyDescent="0.2">
      <c r="A516" s="60" t="s">
        <v>777</v>
      </c>
      <c r="B516" s="60" t="str">
        <f t="shared" si="32"/>
        <v>ch18k</v>
      </c>
      <c r="C516" s="60" t="s">
        <v>4182</v>
      </c>
      <c r="D516" s="60" t="s">
        <v>1353</v>
      </c>
      <c r="E516" s="60" t="s">
        <v>1595</v>
      </c>
      <c r="F516" s="2">
        <v>11</v>
      </c>
      <c r="G516" s="2" t="str">
        <f t="shared" si="33"/>
        <v>k</v>
      </c>
      <c r="H516" s="2">
        <v>2018</v>
      </c>
      <c r="I516" s="2" t="str">
        <f t="shared" si="34"/>
        <v>ch18k207</v>
      </c>
      <c r="J516" s="4" t="s">
        <v>1596</v>
      </c>
      <c r="K516" s="8" t="s">
        <v>642</v>
      </c>
      <c r="L516"/>
      <c r="M516" s="2" t="s">
        <v>1597</v>
      </c>
      <c r="P516" s="2" t="s">
        <v>1127</v>
      </c>
      <c r="Q516" t="s">
        <v>1127</v>
      </c>
    </row>
    <row r="517" spans="1:17" ht="18" customHeight="1" x14ac:dyDescent="0.2">
      <c r="A517" s="61" t="s">
        <v>777</v>
      </c>
      <c r="B517" s="61" t="str">
        <f t="shared" ref="B517:B529" si="35">"cd" &amp; RIGHT(H517, 2) &amp; G517</f>
        <v>cd07a</v>
      </c>
      <c r="C517" s="61" t="s">
        <v>4182</v>
      </c>
      <c r="D517" s="61" t="s">
        <v>1632</v>
      </c>
      <c r="E517" s="61" t="s">
        <v>4172</v>
      </c>
      <c r="F517" s="2">
        <v>1</v>
      </c>
      <c r="G517" s="2" t="str">
        <f t="shared" si="33"/>
        <v>a</v>
      </c>
      <c r="H517" s="2">
        <v>2007</v>
      </c>
      <c r="I517" s="2" t="str">
        <f t="shared" ref="I517:I529" si="36">"cd"&amp;RIGHT(H517,2)&amp;G517&amp;"036"</f>
        <v>cd07a036</v>
      </c>
      <c r="J517" s="2" t="s">
        <v>4173</v>
      </c>
      <c r="K517" s="7" t="s">
        <v>2712</v>
      </c>
      <c r="L517"/>
      <c r="M517" s="2" t="s">
        <v>4174</v>
      </c>
      <c r="P517" s="2" t="s">
        <v>1127</v>
      </c>
      <c r="Q517" t="s">
        <v>1127</v>
      </c>
    </row>
    <row r="518" spans="1:17" ht="18" customHeight="1" x14ac:dyDescent="0.2">
      <c r="A518" s="61" t="s">
        <v>777</v>
      </c>
      <c r="B518" s="61" t="str">
        <f t="shared" si="35"/>
        <v>cd08b</v>
      </c>
      <c r="C518" s="61" t="s">
        <v>4182</v>
      </c>
      <c r="D518" s="61" t="s">
        <v>1632</v>
      </c>
      <c r="E518" s="61" t="s">
        <v>4172</v>
      </c>
      <c r="F518" s="2">
        <v>2</v>
      </c>
      <c r="G518" s="2" t="str">
        <f t="shared" si="33"/>
        <v>b</v>
      </c>
      <c r="H518" s="2">
        <v>2008</v>
      </c>
      <c r="I518" s="2" t="str">
        <f t="shared" si="36"/>
        <v>cd08b036</v>
      </c>
      <c r="J518" s="2" t="s">
        <v>4173</v>
      </c>
      <c r="K518" s="7" t="s">
        <v>2712</v>
      </c>
      <c r="L518"/>
      <c r="M518" s="2" t="s">
        <v>4174</v>
      </c>
      <c r="P518" s="2" t="s">
        <v>1127</v>
      </c>
      <c r="Q518" t="s">
        <v>1127</v>
      </c>
    </row>
    <row r="519" spans="1:17" ht="18" customHeight="1" x14ac:dyDescent="0.2">
      <c r="A519" s="61" t="s">
        <v>777</v>
      </c>
      <c r="B519" s="61" t="str">
        <f t="shared" si="35"/>
        <v>cd09c</v>
      </c>
      <c r="C519" s="61" t="s">
        <v>4182</v>
      </c>
      <c r="D519" s="61" t="s">
        <v>1632</v>
      </c>
      <c r="E519" s="61" t="s">
        <v>4172</v>
      </c>
      <c r="F519" s="2">
        <v>3</v>
      </c>
      <c r="G519" s="2" t="str">
        <f t="shared" si="33"/>
        <v>c</v>
      </c>
      <c r="H519" s="2">
        <v>2009</v>
      </c>
      <c r="I519" s="2" t="str">
        <f t="shared" si="36"/>
        <v>cd09c036</v>
      </c>
      <c r="J519" s="2" t="s">
        <v>4173</v>
      </c>
      <c r="K519" s="7" t="s">
        <v>2712</v>
      </c>
      <c r="L519"/>
      <c r="M519" s="2" t="s">
        <v>4174</v>
      </c>
      <c r="P519" s="2" t="s">
        <v>1127</v>
      </c>
      <c r="Q519" t="s">
        <v>1127</v>
      </c>
    </row>
    <row r="520" spans="1:17" ht="18" customHeight="1" x14ac:dyDescent="0.2">
      <c r="A520" s="61" t="s">
        <v>777</v>
      </c>
      <c r="B520" s="61" t="str">
        <f t="shared" si="35"/>
        <v>cd10d</v>
      </c>
      <c r="C520" s="61" t="s">
        <v>4182</v>
      </c>
      <c r="D520" s="61" t="s">
        <v>1632</v>
      </c>
      <c r="E520" s="61" t="s">
        <v>4172</v>
      </c>
      <c r="F520" s="2">
        <v>4</v>
      </c>
      <c r="G520" s="2" t="str">
        <f t="shared" si="33"/>
        <v>d</v>
      </c>
      <c r="H520" s="2">
        <v>2010</v>
      </c>
      <c r="I520" s="2" t="str">
        <f t="shared" si="36"/>
        <v>cd10d036</v>
      </c>
      <c r="J520" s="2" t="s">
        <v>4173</v>
      </c>
      <c r="K520" s="7" t="s">
        <v>2712</v>
      </c>
      <c r="L520"/>
      <c r="M520" s="2" t="s">
        <v>4174</v>
      </c>
      <c r="P520" s="2" t="s">
        <v>1127</v>
      </c>
      <c r="Q520" t="s">
        <v>1127</v>
      </c>
    </row>
    <row r="521" spans="1:17" ht="18" customHeight="1" x14ac:dyDescent="0.2">
      <c r="A521" s="61" t="s">
        <v>777</v>
      </c>
      <c r="B521" s="61" t="str">
        <f t="shared" si="35"/>
        <v>cd11e</v>
      </c>
      <c r="C521" s="61" t="s">
        <v>4182</v>
      </c>
      <c r="D521" s="61" t="s">
        <v>1632</v>
      </c>
      <c r="E521" s="61" t="s">
        <v>4172</v>
      </c>
      <c r="F521" s="2">
        <v>5</v>
      </c>
      <c r="G521" s="2" t="str">
        <f t="shared" si="33"/>
        <v>e</v>
      </c>
      <c r="H521" s="2">
        <v>2011</v>
      </c>
      <c r="I521" s="2" t="str">
        <f t="shared" si="36"/>
        <v>cd11e036</v>
      </c>
      <c r="J521" s="2" t="s">
        <v>4173</v>
      </c>
      <c r="K521" s="7" t="s">
        <v>2712</v>
      </c>
      <c r="L521"/>
      <c r="M521" s="2" t="s">
        <v>4174</v>
      </c>
      <c r="P521" s="2" t="s">
        <v>1127</v>
      </c>
      <c r="Q521" t="s">
        <v>1127</v>
      </c>
    </row>
    <row r="522" spans="1:17" ht="18" customHeight="1" x14ac:dyDescent="0.2">
      <c r="A522" s="61" t="s">
        <v>777</v>
      </c>
      <c r="B522" s="61" t="str">
        <f t="shared" si="35"/>
        <v>cd12f</v>
      </c>
      <c r="C522" s="61" t="s">
        <v>4182</v>
      </c>
      <c r="D522" s="61" t="s">
        <v>1632</v>
      </c>
      <c r="E522" s="61" t="s">
        <v>4172</v>
      </c>
      <c r="F522" s="2">
        <v>6</v>
      </c>
      <c r="G522" s="2" t="str">
        <f t="shared" si="33"/>
        <v>f</v>
      </c>
      <c r="H522" s="2">
        <v>2012</v>
      </c>
      <c r="I522" s="2" t="str">
        <f t="shared" si="36"/>
        <v>cd12f036</v>
      </c>
      <c r="J522" s="2" t="s">
        <v>4173</v>
      </c>
      <c r="K522" s="7" t="s">
        <v>2712</v>
      </c>
      <c r="L522"/>
      <c r="M522" s="2" t="s">
        <v>4174</v>
      </c>
      <c r="P522" s="2" t="s">
        <v>1127</v>
      </c>
      <c r="Q522" t="s">
        <v>1127</v>
      </c>
    </row>
    <row r="523" spans="1:17" ht="18" customHeight="1" x14ac:dyDescent="0.2">
      <c r="A523" s="61" t="s">
        <v>777</v>
      </c>
      <c r="B523" s="61" t="str">
        <f t="shared" si="35"/>
        <v>cd13g</v>
      </c>
      <c r="C523" s="61" t="s">
        <v>4182</v>
      </c>
      <c r="D523" s="61" t="s">
        <v>1632</v>
      </c>
      <c r="E523" s="61" t="s">
        <v>4172</v>
      </c>
      <c r="F523" s="2">
        <v>7</v>
      </c>
      <c r="G523" s="2" t="str">
        <f t="shared" si="33"/>
        <v>g</v>
      </c>
      <c r="H523" s="2">
        <v>2013</v>
      </c>
      <c r="I523" s="2" t="str">
        <f t="shared" si="36"/>
        <v>cd13g036</v>
      </c>
      <c r="J523" s="2" t="s">
        <v>4173</v>
      </c>
      <c r="K523" s="7" t="s">
        <v>2712</v>
      </c>
      <c r="L523"/>
      <c r="M523" s="2" t="s">
        <v>4174</v>
      </c>
      <c r="P523" s="2" t="s">
        <v>1127</v>
      </c>
      <c r="Q523" t="s">
        <v>1127</v>
      </c>
    </row>
    <row r="524" spans="1:17" ht="18" customHeight="1" x14ac:dyDescent="0.2">
      <c r="A524" s="61" t="s">
        <v>777</v>
      </c>
      <c r="B524" s="61" t="str">
        <f t="shared" si="35"/>
        <v>cd15h</v>
      </c>
      <c r="C524" s="61" t="s">
        <v>4182</v>
      </c>
      <c r="D524" s="61" t="s">
        <v>1632</v>
      </c>
      <c r="E524" s="61" t="s">
        <v>4172</v>
      </c>
      <c r="F524" s="2">
        <v>8</v>
      </c>
      <c r="G524" s="2" t="str">
        <f t="shared" si="33"/>
        <v>h</v>
      </c>
      <c r="H524" s="2">
        <v>2015</v>
      </c>
      <c r="I524" s="2" t="str">
        <f t="shared" si="36"/>
        <v>cd15h036</v>
      </c>
      <c r="J524" s="2" t="s">
        <v>4173</v>
      </c>
      <c r="K524" s="7" t="s">
        <v>2712</v>
      </c>
      <c r="L524"/>
      <c r="M524" s="2" t="s">
        <v>4174</v>
      </c>
      <c r="P524" s="2" t="s">
        <v>1127</v>
      </c>
      <c r="Q524" t="s">
        <v>1127</v>
      </c>
    </row>
    <row r="525" spans="1:17" ht="18" customHeight="1" x14ac:dyDescent="0.2">
      <c r="A525" s="61" t="s">
        <v>777</v>
      </c>
      <c r="B525" s="61" t="str">
        <f t="shared" si="35"/>
        <v>cd16i</v>
      </c>
      <c r="C525" s="61" t="s">
        <v>4182</v>
      </c>
      <c r="D525" s="61" t="s">
        <v>1632</v>
      </c>
      <c r="E525" s="61" t="s">
        <v>4172</v>
      </c>
      <c r="F525" s="2">
        <v>9</v>
      </c>
      <c r="G525" s="2" t="str">
        <f t="shared" si="33"/>
        <v>i</v>
      </c>
      <c r="H525" s="2">
        <v>2016</v>
      </c>
      <c r="I525" s="2" t="str">
        <f t="shared" si="36"/>
        <v>cd16i036</v>
      </c>
      <c r="J525" s="2" t="s">
        <v>4173</v>
      </c>
      <c r="K525" s="7" t="s">
        <v>2712</v>
      </c>
      <c r="L525"/>
      <c r="M525" s="2" t="s">
        <v>4174</v>
      </c>
      <c r="P525" s="2" t="s">
        <v>1127</v>
      </c>
      <c r="Q525" t="s">
        <v>1127</v>
      </c>
    </row>
    <row r="526" spans="1:17" ht="18" customHeight="1" x14ac:dyDescent="0.2">
      <c r="A526" s="61" t="s">
        <v>777</v>
      </c>
      <c r="B526" s="61" t="str">
        <f t="shared" si="35"/>
        <v>cd17j</v>
      </c>
      <c r="C526" s="61" t="s">
        <v>4182</v>
      </c>
      <c r="D526" s="61" t="s">
        <v>1632</v>
      </c>
      <c r="E526" s="61" t="s">
        <v>4172</v>
      </c>
      <c r="F526" s="2">
        <v>10</v>
      </c>
      <c r="G526" s="2" t="str">
        <f t="shared" si="33"/>
        <v>j</v>
      </c>
      <c r="H526" s="2">
        <v>2017</v>
      </c>
      <c r="I526" s="2" t="str">
        <f t="shared" si="36"/>
        <v>cd17j036</v>
      </c>
      <c r="J526" s="2" t="s">
        <v>4173</v>
      </c>
      <c r="K526" s="7" t="s">
        <v>2712</v>
      </c>
      <c r="L526"/>
      <c r="M526" s="2" t="s">
        <v>4174</v>
      </c>
      <c r="P526" s="2" t="s">
        <v>1127</v>
      </c>
      <c r="Q526" t="s">
        <v>1127</v>
      </c>
    </row>
    <row r="527" spans="1:17" ht="18" customHeight="1" x14ac:dyDescent="0.2">
      <c r="A527" s="61" t="s">
        <v>777</v>
      </c>
      <c r="B527" s="61" t="str">
        <f t="shared" si="35"/>
        <v>cd18k</v>
      </c>
      <c r="C527" s="61" t="s">
        <v>4182</v>
      </c>
      <c r="D527" s="61" t="s">
        <v>1632</v>
      </c>
      <c r="E527" s="61" t="s">
        <v>4172</v>
      </c>
      <c r="F527" s="2">
        <v>11</v>
      </c>
      <c r="G527" s="2" t="str">
        <f t="shared" si="33"/>
        <v>k</v>
      </c>
      <c r="H527" s="2">
        <v>2018</v>
      </c>
      <c r="I527" s="2" t="str">
        <f t="shared" si="36"/>
        <v>cd18k036</v>
      </c>
      <c r="J527" s="2" t="s">
        <v>4173</v>
      </c>
      <c r="K527" s="7" t="s">
        <v>2712</v>
      </c>
      <c r="L527"/>
      <c r="M527" s="2" t="s">
        <v>4174</v>
      </c>
      <c r="P527" s="2" t="s">
        <v>1127</v>
      </c>
      <c r="Q527" t="s">
        <v>1127</v>
      </c>
    </row>
    <row r="528" spans="1:17" ht="18" customHeight="1" x14ac:dyDescent="0.2">
      <c r="A528" s="61" t="s">
        <v>777</v>
      </c>
      <c r="B528" s="61" t="str">
        <f t="shared" si="35"/>
        <v>cd19l</v>
      </c>
      <c r="C528" s="61" t="s">
        <v>4182</v>
      </c>
      <c r="D528" s="61" t="s">
        <v>1632</v>
      </c>
      <c r="E528" s="61" t="s">
        <v>4172</v>
      </c>
      <c r="F528" s="2">
        <v>12</v>
      </c>
      <c r="G528" s="2" t="str">
        <f t="shared" si="33"/>
        <v>l</v>
      </c>
      <c r="H528" s="2">
        <v>2019</v>
      </c>
      <c r="I528" s="2" t="str">
        <f t="shared" si="36"/>
        <v>cd19l036</v>
      </c>
      <c r="J528" s="2" t="s">
        <v>4173</v>
      </c>
      <c r="K528" s="7" t="s">
        <v>2712</v>
      </c>
      <c r="L528"/>
      <c r="M528" s="2" t="s">
        <v>4174</v>
      </c>
      <c r="P528" s="2" t="s">
        <v>1127</v>
      </c>
      <c r="Q528" t="s">
        <v>1127</v>
      </c>
    </row>
    <row r="529" spans="1:17" ht="18" customHeight="1" x14ac:dyDescent="0.2">
      <c r="A529" s="61" t="s">
        <v>777</v>
      </c>
      <c r="B529" s="61" t="str">
        <f t="shared" si="35"/>
        <v>cd20m</v>
      </c>
      <c r="C529" s="61" t="s">
        <v>4182</v>
      </c>
      <c r="D529" s="61" t="s">
        <v>1632</v>
      </c>
      <c r="E529" s="61" t="s">
        <v>4172</v>
      </c>
      <c r="F529" s="2">
        <v>13</v>
      </c>
      <c r="G529" s="2" t="str">
        <f t="shared" si="33"/>
        <v>m</v>
      </c>
      <c r="H529" s="2">
        <v>2020</v>
      </c>
      <c r="I529" s="2" t="str">
        <f t="shared" si="36"/>
        <v>cd20m036</v>
      </c>
      <c r="J529" s="2" t="s">
        <v>4173</v>
      </c>
      <c r="K529" s="7" t="s">
        <v>2712</v>
      </c>
      <c r="L529"/>
      <c r="M529" s="2" t="s">
        <v>4174</v>
      </c>
      <c r="P529" s="2" t="s">
        <v>1127</v>
      </c>
      <c r="Q529" t="s">
        <v>1127</v>
      </c>
    </row>
    <row r="530" spans="1:17" ht="18" customHeight="1" x14ac:dyDescent="0.2">
      <c r="A530" s="64" t="s">
        <v>777</v>
      </c>
      <c r="B530" s="64" t="s">
        <v>3858</v>
      </c>
      <c r="C530" s="64" t="s">
        <v>4182</v>
      </c>
      <c r="D530" s="64" t="s">
        <v>1630</v>
      </c>
      <c r="E530" s="64" t="s">
        <v>3859</v>
      </c>
      <c r="F530" s="2"/>
      <c r="G530" s="2"/>
      <c r="H530" s="2">
        <v>2015</v>
      </c>
      <c r="I530" s="2" t="s">
        <v>3860</v>
      </c>
      <c r="J530" s="2" t="s">
        <v>3861</v>
      </c>
      <c r="K530" s="2" t="s">
        <v>3862</v>
      </c>
      <c r="L530"/>
      <c r="M530" s="2" t="s">
        <v>3863</v>
      </c>
      <c r="P530" s="2" t="s">
        <v>2175</v>
      </c>
      <c r="Q530" t="s">
        <v>1127</v>
      </c>
    </row>
    <row r="531" spans="1:17" ht="18" customHeight="1" x14ac:dyDescent="0.2">
      <c r="A531" s="64" t="s">
        <v>777</v>
      </c>
      <c r="B531" s="64" t="s">
        <v>3864</v>
      </c>
      <c r="C531" s="64" t="s">
        <v>4182</v>
      </c>
      <c r="D531" s="64" t="s">
        <v>1630</v>
      </c>
      <c r="E531" s="64" t="s">
        <v>3859</v>
      </c>
      <c r="F531" s="2"/>
      <c r="G531" s="2"/>
      <c r="H531" s="2">
        <v>2016</v>
      </c>
      <c r="I531" s="2" t="s">
        <v>3865</v>
      </c>
      <c r="J531" s="2" t="s">
        <v>3861</v>
      </c>
      <c r="K531" s="2" t="s">
        <v>3862</v>
      </c>
      <c r="L531"/>
      <c r="M531" s="2" t="s">
        <v>3863</v>
      </c>
      <c r="P531" s="2" t="s">
        <v>2175</v>
      </c>
      <c r="Q531" t="s">
        <v>1127</v>
      </c>
    </row>
    <row r="532" spans="1:17" ht="18" customHeight="1" x14ac:dyDescent="0.2">
      <c r="A532" s="64" t="s">
        <v>777</v>
      </c>
      <c r="B532" s="64" t="s">
        <v>3866</v>
      </c>
      <c r="C532" s="64" t="s">
        <v>4182</v>
      </c>
      <c r="D532" s="64" t="s">
        <v>1630</v>
      </c>
      <c r="E532" s="64" t="s">
        <v>3859</v>
      </c>
      <c r="F532" s="2"/>
      <c r="G532" s="2"/>
      <c r="H532" s="2">
        <v>2017</v>
      </c>
      <c r="I532" s="2" t="s">
        <v>3867</v>
      </c>
      <c r="J532" s="2" t="s">
        <v>3861</v>
      </c>
      <c r="K532" s="2" t="s">
        <v>3862</v>
      </c>
      <c r="L532"/>
      <c r="M532" s="2" t="s">
        <v>3863</v>
      </c>
      <c r="P532" s="2" t="s">
        <v>2175</v>
      </c>
      <c r="Q532" t="s">
        <v>1127</v>
      </c>
    </row>
    <row r="533" spans="1:17" ht="18" customHeight="1" x14ac:dyDescent="0.2">
      <c r="A533" s="64" t="s">
        <v>777</v>
      </c>
      <c r="B533" s="64" t="s">
        <v>3868</v>
      </c>
      <c r="C533" s="64" t="s">
        <v>4182</v>
      </c>
      <c r="D533" s="64" t="s">
        <v>1630</v>
      </c>
      <c r="E533" s="64" t="s">
        <v>1630</v>
      </c>
      <c r="F533" s="2"/>
      <c r="G533" s="2"/>
      <c r="H533" s="2">
        <v>2008</v>
      </c>
      <c r="I533" s="2" t="s">
        <v>3869</v>
      </c>
      <c r="J533" s="2" t="s">
        <v>3870</v>
      </c>
      <c r="K533" s="2" t="s">
        <v>3862</v>
      </c>
      <c r="L533"/>
      <c r="M533" s="2" t="s">
        <v>3863</v>
      </c>
      <c r="P533" s="2" t="s">
        <v>2175</v>
      </c>
      <c r="Q533" t="s">
        <v>1127</v>
      </c>
    </row>
    <row r="534" spans="1:17" ht="18" customHeight="1" x14ac:dyDescent="0.2">
      <c r="A534" s="64" t="s">
        <v>777</v>
      </c>
      <c r="B534" s="64" t="s">
        <v>3871</v>
      </c>
      <c r="C534" s="64" t="s">
        <v>4182</v>
      </c>
      <c r="D534" s="64" t="s">
        <v>1630</v>
      </c>
      <c r="E534" s="64" t="s">
        <v>1630</v>
      </c>
      <c r="F534" s="2"/>
      <c r="G534" s="2"/>
      <c r="H534" s="2">
        <v>2009</v>
      </c>
      <c r="I534" s="2" t="s">
        <v>3872</v>
      </c>
      <c r="J534" s="2" t="s">
        <v>3870</v>
      </c>
      <c r="K534" s="2" t="s">
        <v>3862</v>
      </c>
      <c r="L534"/>
      <c r="M534" s="2" t="s">
        <v>3863</v>
      </c>
      <c r="P534" s="2" t="s">
        <v>2175</v>
      </c>
      <c r="Q534" t="s">
        <v>1127</v>
      </c>
    </row>
    <row r="535" spans="1:17" ht="18" customHeight="1" x14ac:dyDescent="0.2">
      <c r="A535" s="64" t="s">
        <v>777</v>
      </c>
      <c r="B535" s="64" t="s">
        <v>3873</v>
      </c>
      <c r="C535" s="64" t="s">
        <v>4182</v>
      </c>
      <c r="D535" s="64" t="s">
        <v>1630</v>
      </c>
      <c r="E535" s="64" t="s">
        <v>1630</v>
      </c>
      <c r="F535" s="2"/>
      <c r="G535" s="2"/>
      <c r="H535" s="2">
        <v>2010</v>
      </c>
      <c r="I535" s="2" t="s">
        <v>3874</v>
      </c>
      <c r="J535" s="2" t="s">
        <v>3870</v>
      </c>
      <c r="K535" s="2" t="s">
        <v>3862</v>
      </c>
      <c r="L535"/>
      <c r="M535" s="2" t="s">
        <v>3863</v>
      </c>
      <c r="P535" s="2" t="s">
        <v>2175</v>
      </c>
      <c r="Q535" t="s">
        <v>1127</v>
      </c>
    </row>
    <row r="536" spans="1:17" ht="18" customHeight="1" x14ac:dyDescent="0.2">
      <c r="A536" s="64" t="s">
        <v>777</v>
      </c>
      <c r="B536" s="64" t="s">
        <v>3875</v>
      </c>
      <c r="C536" s="64" t="s">
        <v>4182</v>
      </c>
      <c r="D536" s="64" t="s">
        <v>1630</v>
      </c>
      <c r="E536" s="64" t="s">
        <v>1630</v>
      </c>
      <c r="F536" s="2"/>
      <c r="G536" s="2"/>
      <c r="H536" s="2">
        <v>2011</v>
      </c>
      <c r="I536" s="2" t="s">
        <v>3876</v>
      </c>
      <c r="J536" s="2" t="s">
        <v>3870</v>
      </c>
      <c r="K536" s="2" t="s">
        <v>3862</v>
      </c>
      <c r="L536"/>
      <c r="M536" s="2" t="s">
        <v>3863</v>
      </c>
      <c r="P536" s="2" t="s">
        <v>2175</v>
      </c>
      <c r="Q536" t="s">
        <v>1127</v>
      </c>
    </row>
    <row r="537" spans="1:17" ht="18" customHeight="1" x14ac:dyDescent="0.2">
      <c r="A537" s="64" t="s">
        <v>777</v>
      </c>
      <c r="B537" s="64" t="s">
        <v>3877</v>
      </c>
      <c r="C537" s="64" t="s">
        <v>4182</v>
      </c>
      <c r="D537" s="64" t="s">
        <v>1630</v>
      </c>
      <c r="E537" s="64" t="s">
        <v>1630</v>
      </c>
      <c r="F537" s="2"/>
      <c r="G537" s="2"/>
      <c r="H537" s="2">
        <v>2012</v>
      </c>
      <c r="I537" s="2" t="s">
        <v>3878</v>
      </c>
      <c r="J537" s="2" t="s">
        <v>3870</v>
      </c>
      <c r="K537" s="2" t="s">
        <v>3862</v>
      </c>
      <c r="L537"/>
      <c r="M537" s="2" t="s">
        <v>3863</v>
      </c>
      <c r="P537" s="2" t="s">
        <v>2175</v>
      </c>
      <c r="Q537" t="s">
        <v>1127</v>
      </c>
    </row>
    <row r="538" spans="1:17" ht="18" customHeight="1" x14ac:dyDescent="0.2">
      <c r="A538" s="64" t="s">
        <v>777</v>
      </c>
      <c r="B538" s="64" t="s">
        <v>3879</v>
      </c>
      <c r="C538" s="64" t="s">
        <v>4182</v>
      </c>
      <c r="D538" s="64" t="s">
        <v>1630</v>
      </c>
      <c r="E538" s="64" t="s">
        <v>1630</v>
      </c>
      <c r="F538" s="2"/>
      <c r="G538" s="2"/>
      <c r="H538" s="2">
        <v>2013</v>
      </c>
      <c r="I538" s="2" t="s">
        <v>3880</v>
      </c>
      <c r="J538" s="2" t="s">
        <v>3870</v>
      </c>
      <c r="K538" s="2" t="s">
        <v>3862</v>
      </c>
      <c r="L538"/>
      <c r="M538" s="2" t="s">
        <v>3863</v>
      </c>
      <c r="P538" s="2" t="s">
        <v>2175</v>
      </c>
      <c r="Q538" t="s">
        <v>1127</v>
      </c>
    </row>
    <row r="539" spans="1:17" ht="18" customHeight="1" x14ac:dyDescent="0.2">
      <c r="A539" s="64" t="s">
        <v>777</v>
      </c>
      <c r="B539" s="64" t="s">
        <v>3881</v>
      </c>
      <c r="C539" s="64" t="s">
        <v>4182</v>
      </c>
      <c r="D539" s="64" t="s">
        <v>1630</v>
      </c>
      <c r="E539" s="64" t="s">
        <v>1630</v>
      </c>
      <c r="F539" s="2"/>
      <c r="G539" s="2"/>
      <c r="H539" s="2">
        <v>2014</v>
      </c>
      <c r="I539" s="2" t="s">
        <v>3882</v>
      </c>
      <c r="J539" s="2" t="s">
        <v>3870</v>
      </c>
      <c r="K539" s="2" t="s">
        <v>3862</v>
      </c>
      <c r="L539"/>
      <c r="M539" s="2" t="s">
        <v>3863</v>
      </c>
      <c r="P539" s="2" t="s">
        <v>2175</v>
      </c>
      <c r="Q539" t="s">
        <v>1127</v>
      </c>
    </row>
    <row r="540" spans="1:17" ht="18" customHeight="1" x14ac:dyDescent="0.2">
      <c r="A540" s="64" t="s">
        <v>777</v>
      </c>
      <c r="B540" s="64" t="s">
        <v>3858</v>
      </c>
      <c r="C540" s="64" t="s">
        <v>4182</v>
      </c>
      <c r="D540" s="64" t="s">
        <v>1630</v>
      </c>
      <c r="E540" s="64" t="s">
        <v>3883</v>
      </c>
      <c r="F540" s="2"/>
      <c r="G540" s="2"/>
      <c r="H540" s="2">
        <v>2015</v>
      </c>
      <c r="I540" s="2" t="s">
        <v>3884</v>
      </c>
      <c r="J540" s="2" t="s">
        <v>3885</v>
      </c>
      <c r="K540" s="2" t="s">
        <v>3862</v>
      </c>
      <c r="L540"/>
      <c r="M540" s="2" t="s">
        <v>3863</v>
      </c>
      <c r="P540" s="2" t="s">
        <v>2175</v>
      </c>
      <c r="Q540" t="s">
        <v>1127</v>
      </c>
    </row>
    <row r="541" spans="1:17" ht="18" customHeight="1" x14ac:dyDescent="0.2">
      <c r="A541" s="64" t="s">
        <v>777</v>
      </c>
      <c r="B541" s="64" t="s">
        <v>3864</v>
      </c>
      <c r="C541" s="64" t="s">
        <v>4182</v>
      </c>
      <c r="D541" s="64" t="s">
        <v>1630</v>
      </c>
      <c r="E541" s="64" t="s">
        <v>3883</v>
      </c>
      <c r="F541" s="2"/>
      <c r="G541" s="2"/>
      <c r="H541" s="2">
        <v>2016</v>
      </c>
      <c r="I541" s="2" t="s">
        <v>3886</v>
      </c>
      <c r="J541" s="2" t="s">
        <v>3885</v>
      </c>
      <c r="K541" s="2" t="s">
        <v>3862</v>
      </c>
      <c r="L541"/>
      <c r="M541" s="2" t="s">
        <v>3863</v>
      </c>
      <c r="P541" s="2" t="s">
        <v>2175</v>
      </c>
      <c r="Q541" t="s">
        <v>1127</v>
      </c>
    </row>
    <row r="542" spans="1:17" ht="18" customHeight="1" x14ac:dyDescent="0.2">
      <c r="A542" s="64" t="s">
        <v>777</v>
      </c>
      <c r="B542" s="64" t="s">
        <v>3866</v>
      </c>
      <c r="C542" s="64" t="s">
        <v>4182</v>
      </c>
      <c r="D542" s="64" t="s">
        <v>1630</v>
      </c>
      <c r="E542" s="64" t="s">
        <v>3883</v>
      </c>
      <c r="F542" s="2"/>
      <c r="G542" s="2"/>
      <c r="H542" s="2">
        <v>2017</v>
      </c>
      <c r="I542" s="2" t="s">
        <v>3887</v>
      </c>
      <c r="J542" s="2" t="s">
        <v>3885</v>
      </c>
      <c r="K542" s="2" t="s">
        <v>3862</v>
      </c>
      <c r="L542"/>
      <c r="M542" s="2" t="s">
        <v>3863</v>
      </c>
      <c r="P542" s="2" t="s">
        <v>2175</v>
      </c>
      <c r="Q542" t="s">
        <v>1127</v>
      </c>
    </row>
    <row r="543" spans="1:17" ht="18" customHeight="1" x14ac:dyDescent="0.2">
      <c r="A543" s="67" t="s">
        <v>777</v>
      </c>
      <c r="B543" s="67" t="str">
        <f>"cb" &amp; RIGHT(H543, 2) &amp; G543</f>
        <v>cb12a</v>
      </c>
      <c r="C543" s="67" t="s">
        <v>4182</v>
      </c>
      <c r="D543" s="67" t="s">
        <v>1625</v>
      </c>
      <c r="E543" s="67" t="s">
        <v>1474</v>
      </c>
      <c r="F543" s="2">
        <v>1</v>
      </c>
      <c r="G543" s="2" t="str">
        <f t="shared" ref="G543:G606" si="37">MID("abcdefghijklmnopqrstuvwxyz",F543,1)</f>
        <v>a</v>
      </c>
      <c r="H543" s="2">
        <v>2012</v>
      </c>
      <c r="I543" s="2" t="str">
        <f>B543&amp;"058"</f>
        <v>cb12a058</v>
      </c>
      <c r="J543" s="2" t="s">
        <v>1521</v>
      </c>
      <c r="K543" s="8" t="s">
        <v>1522</v>
      </c>
      <c r="L543"/>
      <c r="M543" s="2" t="s">
        <v>1523</v>
      </c>
      <c r="P543" s="2" t="s">
        <v>1127</v>
      </c>
      <c r="Q543" t="s">
        <v>1127</v>
      </c>
    </row>
    <row r="544" spans="1:17" ht="18" customHeight="1" x14ac:dyDescent="0.2">
      <c r="A544" s="67" t="s">
        <v>777</v>
      </c>
      <c r="B544" s="67" t="str">
        <f>"cb" &amp; RIGHT(H544, 2) &amp; G544</f>
        <v>cb13b</v>
      </c>
      <c r="C544" s="67" t="s">
        <v>4182</v>
      </c>
      <c r="D544" s="67" t="s">
        <v>1625</v>
      </c>
      <c r="E544" s="67" t="s">
        <v>1474</v>
      </c>
      <c r="F544" s="2">
        <v>2</v>
      </c>
      <c r="G544" s="2" t="str">
        <f t="shared" si="37"/>
        <v>b</v>
      </c>
      <c r="H544" s="2">
        <v>2013</v>
      </c>
      <c r="I544" s="2" t="str">
        <f>B544&amp;"058"</f>
        <v>cb13b058</v>
      </c>
      <c r="J544" s="2" t="s">
        <v>1521</v>
      </c>
      <c r="K544" s="8" t="s">
        <v>1522</v>
      </c>
      <c r="L544"/>
      <c r="M544" s="2" t="s">
        <v>1523</v>
      </c>
      <c r="P544" s="2" t="s">
        <v>1127</v>
      </c>
      <c r="Q544" t="s">
        <v>1127</v>
      </c>
    </row>
    <row r="545" spans="1:17" ht="18" customHeight="1" x14ac:dyDescent="0.2">
      <c r="A545" s="67" t="s">
        <v>777</v>
      </c>
      <c r="B545" s="67" t="str">
        <f>"cb" &amp; RIGHT(H545, 2) &amp; G545</f>
        <v>cb12a</v>
      </c>
      <c r="C545" s="67" t="s">
        <v>4182</v>
      </c>
      <c r="D545" s="67" t="s">
        <v>1625</v>
      </c>
      <c r="E545" s="67" t="s">
        <v>1479</v>
      </c>
      <c r="F545" s="2">
        <v>1</v>
      </c>
      <c r="G545" s="2" t="str">
        <f t="shared" si="37"/>
        <v>a</v>
      </c>
      <c r="H545" s="2">
        <v>2012</v>
      </c>
      <c r="I545" s="2" t="str">
        <f>B545&amp;"048"</f>
        <v>cb12a048</v>
      </c>
      <c r="J545" s="2" t="s">
        <v>1521</v>
      </c>
      <c r="K545" s="8" t="s">
        <v>1522</v>
      </c>
      <c r="L545"/>
      <c r="M545" s="2" t="s">
        <v>1523</v>
      </c>
      <c r="P545" s="2" t="s">
        <v>1127</v>
      </c>
      <c r="Q545" t="s">
        <v>1127</v>
      </c>
    </row>
    <row r="546" spans="1:17" ht="18" customHeight="1" x14ac:dyDescent="0.2">
      <c r="A546" s="67" t="s">
        <v>777</v>
      </c>
      <c r="B546" s="67" t="str">
        <f>"cb" &amp; RIGHT(H546, 2) &amp; G546</f>
        <v>cb13b</v>
      </c>
      <c r="C546" s="67" t="s">
        <v>4182</v>
      </c>
      <c r="D546" s="67" t="s">
        <v>1625</v>
      </c>
      <c r="E546" s="67" t="s">
        <v>1479</v>
      </c>
      <c r="F546" s="2">
        <v>2</v>
      </c>
      <c r="G546" s="2" t="str">
        <f t="shared" si="37"/>
        <v>b</v>
      </c>
      <c r="H546" s="2">
        <v>2013</v>
      </c>
      <c r="I546" s="2" t="str">
        <f>B546&amp;"048"</f>
        <v>cb13b048</v>
      </c>
      <c r="J546" s="2" t="s">
        <v>1521</v>
      </c>
      <c r="K546" s="8" t="s">
        <v>1522</v>
      </c>
      <c r="L546"/>
      <c r="M546" s="2" t="s">
        <v>1523</v>
      </c>
      <c r="P546" s="2" t="s">
        <v>1127</v>
      </c>
      <c r="Q546" t="s">
        <v>1127</v>
      </c>
    </row>
    <row r="547" spans="1:17" ht="18" customHeight="1" x14ac:dyDescent="0.2">
      <c r="A547" s="64" t="s">
        <v>777</v>
      </c>
      <c r="B547" s="64" t="str">
        <f t="shared" ref="B547:B610" si="38">"ch" &amp; RIGHT(H547, 2) &amp; G547</f>
        <v>ch07a</v>
      </c>
      <c r="C547" s="64" t="s">
        <v>4182</v>
      </c>
      <c r="D547" s="64" t="s">
        <v>1838</v>
      </c>
      <c r="E547" s="64" t="s">
        <v>1913</v>
      </c>
      <c r="F547" s="2">
        <v>1</v>
      </c>
      <c r="G547" s="2" t="str">
        <f t="shared" si="37"/>
        <v>a</v>
      </c>
      <c r="H547" s="2">
        <v>2007</v>
      </c>
      <c r="I547" s="2" t="s">
        <v>4192</v>
      </c>
      <c r="J547" s="2" t="s">
        <v>3979</v>
      </c>
      <c r="K547" s="2" t="s">
        <v>3980</v>
      </c>
      <c r="L547" s="2"/>
      <c r="M547" s="4" t="s">
        <v>4195</v>
      </c>
      <c r="N547" s="2"/>
      <c r="O547" s="2"/>
      <c r="P547" s="2" t="s">
        <v>1843</v>
      </c>
      <c r="Q547" t="s">
        <v>1127</v>
      </c>
    </row>
    <row r="548" spans="1:17" ht="18" customHeight="1" x14ac:dyDescent="0.2">
      <c r="A548" s="64" t="s">
        <v>777</v>
      </c>
      <c r="B548" s="64" t="str">
        <f t="shared" si="38"/>
        <v>ch08b</v>
      </c>
      <c r="C548" s="64" t="s">
        <v>4182</v>
      </c>
      <c r="D548" s="64" t="s">
        <v>1838</v>
      </c>
      <c r="E548" s="64" t="s">
        <v>1913</v>
      </c>
      <c r="F548" s="2">
        <v>2</v>
      </c>
      <c r="G548" s="2" t="str">
        <f t="shared" si="37"/>
        <v>b</v>
      </c>
      <c r="H548" s="2">
        <v>2008</v>
      </c>
      <c r="I548" s="2" t="s">
        <v>4192</v>
      </c>
      <c r="J548" s="2" t="s">
        <v>3979</v>
      </c>
      <c r="K548" s="2" t="s">
        <v>3980</v>
      </c>
      <c r="L548" s="2"/>
      <c r="M548" s="4" t="s">
        <v>4195</v>
      </c>
      <c r="N548" s="2"/>
      <c r="O548" s="2"/>
      <c r="P548" s="2" t="s">
        <v>1843</v>
      </c>
      <c r="Q548" t="s">
        <v>1127</v>
      </c>
    </row>
    <row r="549" spans="1:17" ht="18" customHeight="1" x14ac:dyDescent="0.2">
      <c r="A549" s="64" t="s">
        <v>777</v>
      </c>
      <c r="B549" s="64" t="str">
        <f t="shared" si="38"/>
        <v>ch09c</v>
      </c>
      <c r="C549" s="64" t="s">
        <v>4182</v>
      </c>
      <c r="D549" s="64" t="s">
        <v>1838</v>
      </c>
      <c r="E549" s="64" t="s">
        <v>1913</v>
      </c>
      <c r="F549" s="2">
        <v>3</v>
      </c>
      <c r="G549" s="2" t="str">
        <f t="shared" si="37"/>
        <v>c</v>
      </c>
      <c r="H549" s="2">
        <v>2009</v>
      </c>
      <c r="I549" s="2" t="s">
        <v>4192</v>
      </c>
      <c r="J549" s="2" t="s">
        <v>3979</v>
      </c>
      <c r="K549" s="2" t="s">
        <v>3980</v>
      </c>
      <c r="L549" s="2"/>
      <c r="M549" s="4" t="s">
        <v>4195</v>
      </c>
      <c r="N549" s="2"/>
      <c r="O549" s="2"/>
      <c r="P549" s="2" t="s">
        <v>1843</v>
      </c>
      <c r="Q549" t="s">
        <v>1127</v>
      </c>
    </row>
    <row r="550" spans="1:17" ht="18" customHeight="1" x14ac:dyDescent="0.2">
      <c r="A550" s="64" t="s">
        <v>777</v>
      </c>
      <c r="B550" s="64" t="str">
        <f t="shared" si="38"/>
        <v>ch10d</v>
      </c>
      <c r="C550" s="64" t="s">
        <v>4182</v>
      </c>
      <c r="D550" s="64" t="s">
        <v>1838</v>
      </c>
      <c r="E550" s="64" t="s">
        <v>1913</v>
      </c>
      <c r="F550" s="2">
        <v>4</v>
      </c>
      <c r="G550" s="2" t="str">
        <f t="shared" si="37"/>
        <v>d</v>
      </c>
      <c r="H550" s="2">
        <v>2010</v>
      </c>
      <c r="I550" s="2" t="s">
        <v>4192</v>
      </c>
      <c r="J550" s="2" t="s">
        <v>3979</v>
      </c>
      <c r="K550" s="2" t="s">
        <v>3980</v>
      </c>
      <c r="L550" s="2"/>
      <c r="M550" s="4" t="s">
        <v>4195</v>
      </c>
      <c r="N550" s="2"/>
      <c r="O550" s="2"/>
      <c r="P550" s="2" t="s">
        <v>1843</v>
      </c>
      <c r="Q550" t="s">
        <v>1127</v>
      </c>
    </row>
    <row r="551" spans="1:17" ht="18" customHeight="1" x14ac:dyDescent="0.2">
      <c r="A551" s="64" t="s">
        <v>777</v>
      </c>
      <c r="B551" s="64" t="str">
        <f t="shared" si="38"/>
        <v>ch11e</v>
      </c>
      <c r="C551" s="64" t="s">
        <v>4182</v>
      </c>
      <c r="D551" s="64" t="s">
        <v>1838</v>
      </c>
      <c r="E551" s="64" t="s">
        <v>1913</v>
      </c>
      <c r="F551" s="2">
        <v>5</v>
      </c>
      <c r="G551" s="2" t="str">
        <f t="shared" si="37"/>
        <v>e</v>
      </c>
      <c r="H551" s="2">
        <v>2011</v>
      </c>
      <c r="I551" s="2" t="s">
        <v>4192</v>
      </c>
      <c r="J551" s="2" t="s">
        <v>3979</v>
      </c>
      <c r="K551" s="2" t="s">
        <v>3980</v>
      </c>
      <c r="L551" s="2"/>
      <c r="M551" s="4" t="s">
        <v>4195</v>
      </c>
      <c r="N551" s="2"/>
      <c r="O551" s="2"/>
      <c r="P551" s="2" t="s">
        <v>1843</v>
      </c>
      <c r="Q551" t="s">
        <v>1127</v>
      </c>
    </row>
    <row r="552" spans="1:17" ht="18" customHeight="1" x14ac:dyDescent="0.2">
      <c r="A552" s="64" t="s">
        <v>777</v>
      </c>
      <c r="B552" s="64" t="str">
        <f t="shared" si="38"/>
        <v>ch12f</v>
      </c>
      <c r="C552" s="64" t="s">
        <v>4182</v>
      </c>
      <c r="D552" s="64" t="s">
        <v>1838</v>
      </c>
      <c r="E552" s="64" t="s">
        <v>1913</v>
      </c>
      <c r="F552" s="2">
        <v>6</v>
      </c>
      <c r="G552" s="2" t="str">
        <f t="shared" si="37"/>
        <v>f</v>
      </c>
      <c r="H552" s="2">
        <v>2012</v>
      </c>
      <c r="I552" s="2" t="s">
        <v>4192</v>
      </c>
      <c r="J552" s="2" t="s">
        <v>3979</v>
      </c>
      <c r="K552" s="2" t="s">
        <v>3980</v>
      </c>
      <c r="L552" s="2"/>
      <c r="M552" s="4" t="s">
        <v>4195</v>
      </c>
      <c r="N552" s="2"/>
      <c r="O552" s="2"/>
      <c r="P552" s="2" t="s">
        <v>1843</v>
      </c>
      <c r="Q552" t="s">
        <v>1127</v>
      </c>
    </row>
    <row r="553" spans="1:17" ht="18" customHeight="1" x14ac:dyDescent="0.2">
      <c r="A553" s="64" t="s">
        <v>777</v>
      </c>
      <c r="B553" s="64" t="str">
        <f t="shared" si="38"/>
        <v>ch13g</v>
      </c>
      <c r="C553" s="64" t="s">
        <v>4182</v>
      </c>
      <c r="D553" s="64" t="s">
        <v>1838</v>
      </c>
      <c r="E553" s="64" t="s">
        <v>1913</v>
      </c>
      <c r="F553" s="2">
        <v>7</v>
      </c>
      <c r="G553" s="2" t="str">
        <f t="shared" si="37"/>
        <v>g</v>
      </c>
      <c r="H553" s="2">
        <v>2013</v>
      </c>
      <c r="I553" s="2" t="s">
        <v>4192</v>
      </c>
      <c r="J553" s="2" t="s">
        <v>3979</v>
      </c>
      <c r="K553" s="2" t="s">
        <v>3980</v>
      </c>
      <c r="L553" s="2"/>
      <c r="M553" s="4" t="s">
        <v>4195</v>
      </c>
      <c r="N553" s="2"/>
      <c r="O553" s="2"/>
      <c r="P553" s="2" t="s">
        <v>1843</v>
      </c>
      <c r="Q553" t="s">
        <v>1127</v>
      </c>
    </row>
    <row r="554" spans="1:17" ht="18" customHeight="1" x14ac:dyDescent="0.2">
      <c r="A554" s="64" t="s">
        <v>777</v>
      </c>
      <c r="B554" s="64" t="str">
        <f t="shared" si="38"/>
        <v>ch15h</v>
      </c>
      <c r="C554" s="64" t="s">
        <v>4182</v>
      </c>
      <c r="D554" s="64" t="s">
        <v>1838</v>
      </c>
      <c r="E554" s="64" t="s">
        <v>1913</v>
      </c>
      <c r="F554" s="2">
        <v>8</v>
      </c>
      <c r="G554" s="2" t="str">
        <f t="shared" si="37"/>
        <v>h</v>
      </c>
      <c r="H554" s="2">
        <v>2015</v>
      </c>
      <c r="I554" s="2" t="s">
        <v>4192</v>
      </c>
      <c r="J554" s="2" t="s">
        <v>3979</v>
      </c>
      <c r="K554" s="2" t="s">
        <v>3980</v>
      </c>
      <c r="L554" s="2"/>
      <c r="M554" s="4" t="s">
        <v>4195</v>
      </c>
      <c r="N554" s="2"/>
      <c r="O554" s="2"/>
      <c r="P554" s="2" t="s">
        <v>1843</v>
      </c>
      <c r="Q554" t="s">
        <v>1127</v>
      </c>
    </row>
    <row r="555" spans="1:17" ht="18" customHeight="1" x14ac:dyDescent="0.2">
      <c r="A555" s="64" t="s">
        <v>777</v>
      </c>
      <c r="B555" s="64" t="str">
        <f t="shared" si="38"/>
        <v>ch16i</v>
      </c>
      <c r="C555" s="64" t="s">
        <v>4182</v>
      </c>
      <c r="D555" s="64" t="s">
        <v>1838</v>
      </c>
      <c r="E555" s="64" t="s">
        <v>1913</v>
      </c>
      <c r="F555" s="2">
        <v>9</v>
      </c>
      <c r="G555" s="2" t="str">
        <f t="shared" si="37"/>
        <v>i</v>
      </c>
      <c r="H555" s="2">
        <v>2016</v>
      </c>
      <c r="I555" s="2" t="s">
        <v>4192</v>
      </c>
      <c r="J555" s="2" t="s">
        <v>3979</v>
      </c>
      <c r="K555" s="2" t="s">
        <v>3980</v>
      </c>
      <c r="L555" s="2"/>
      <c r="M555" s="4" t="s">
        <v>4195</v>
      </c>
      <c r="N555" s="2"/>
      <c r="O555" s="2"/>
      <c r="P555" s="2" t="s">
        <v>1843</v>
      </c>
      <c r="Q555" t="s">
        <v>1127</v>
      </c>
    </row>
    <row r="556" spans="1:17" ht="18" customHeight="1" x14ac:dyDescent="0.2">
      <c r="A556" s="64" t="s">
        <v>777</v>
      </c>
      <c r="B556" s="64" t="str">
        <f t="shared" si="38"/>
        <v>ch17j</v>
      </c>
      <c r="C556" s="64" t="s">
        <v>4182</v>
      </c>
      <c r="D556" s="64" t="s">
        <v>1838</v>
      </c>
      <c r="E556" s="64" t="s">
        <v>1913</v>
      </c>
      <c r="F556" s="2">
        <v>10</v>
      </c>
      <c r="G556" s="2" t="str">
        <f t="shared" si="37"/>
        <v>j</v>
      </c>
      <c r="H556" s="2">
        <v>2017</v>
      </c>
      <c r="I556" s="2" t="s">
        <v>4192</v>
      </c>
      <c r="J556" s="2" t="s">
        <v>3979</v>
      </c>
      <c r="K556" s="2" t="s">
        <v>3980</v>
      </c>
      <c r="L556" s="2"/>
      <c r="M556" s="4" t="s">
        <v>4195</v>
      </c>
      <c r="N556" s="2"/>
      <c r="O556" s="2"/>
      <c r="P556" s="2" t="s">
        <v>1843</v>
      </c>
      <c r="Q556" t="s">
        <v>1127</v>
      </c>
    </row>
    <row r="557" spans="1:17" ht="18" customHeight="1" x14ac:dyDescent="0.2">
      <c r="A557" s="64" t="s">
        <v>777</v>
      </c>
      <c r="B557" s="64" t="str">
        <f t="shared" si="38"/>
        <v>ch18k</v>
      </c>
      <c r="C557" s="64" t="s">
        <v>4182</v>
      </c>
      <c r="D557" s="64" t="s">
        <v>1838</v>
      </c>
      <c r="E557" s="64" t="s">
        <v>1913</v>
      </c>
      <c r="F557" s="2">
        <v>11</v>
      </c>
      <c r="G557" s="2" t="str">
        <f t="shared" si="37"/>
        <v>k</v>
      </c>
      <c r="H557" s="2">
        <v>2018</v>
      </c>
      <c r="I557" s="2" t="s">
        <v>4192</v>
      </c>
      <c r="J557" s="2" t="s">
        <v>3979</v>
      </c>
      <c r="K557" s="2" t="s">
        <v>3980</v>
      </c>
      <c r="L557" s="2"/>
      <c r="M557" s="4" t="s">
        <v>4195</v>
      </c>
      <c r="N557" s="2"/>
      <c r="O557" s="2"/>
      <c r="P557" s="2" t="s">
        <v>1843</v>
      </c>
      <c r="Q557" t="s">
        <v>1127</v>
      </c>
    </row>
    <row r="558" spans="1:17" ht="18" customHeight="1" x14ac:dyDescent="0.2">
      <c r="A558" s="64" t="s">
        <v>777</v>
      </c>
      <c r="B558" s="64" t="str">
        <f t="shared" si="38"/>
        <v>ch07a</v>
      </c>
      <c r="C558" s="64" t="s">
        <v>4182</v>
      </c>
      <c r="D558" s="64" t="s">
        <v>1838</v>
      </c>
      <c r="E558" s="64" t="s">
        <v>3981</v>
      </c>
      <c r="F558" s="2">
        <v>1</v>
      </c>
      <c r="G558" s="2" t="str">
        <f t="shared" si="37"/>
        <v>a</v>
      </c>
      <c r="H558" s="2">
        <v>2007</v>
      </c>
      <c r="I558" s="2" t="s">
        <v>4192</v>
      </c>
      <c r="J558" s="2" t="s">
        <v>3982</v>
      </c>
      <c r="K558" s="2" t="s">
        <v>3980</v>
      </c>
      <c r="L558" s="2"/>
      <c r="M558" s="4" t="s">
        <v>4195</v>
      </c>
      <c r="N558" s="2"/>
      <c r="O558" s="2"/>
      <c r="P558" s="2" t="s">
        <v>1843</v>
      </c>
      <c r="Q558" t="s">
        <v>1127</v>
      </c>
    </row>
    <row r="559" spans="1:17" ht="18" customHeight="1" x14ac:dyDescent="0.2">
      <c r="A559" s="64" t="s">
        <v>777</v>
      </c>
      <c r="B559" s="64" t="str">
        <f t="shared" si="38"/>
        <v>ch08b</v>
      </c>
      <c r="C559" s="64" t="s">
        <v>4182</v>
      </c>
      <c r="D559" s="64" t="s">
        <v>1838</v>
      </c>
      <c r="E559" s="64" t="s">
        <v>3981</v>
      </c>
      <c r="F559" s="2">
        <v>2</v>
      </c>
      <c r="G559" s="2" t="str">
        <f t="shared" si="37"/>
        <v>b</v>
      </c>
      <c r="H559" s="2">
        <v>2008</v>
      </c>
      <c r="I559" s="2" t="s">
        <v>4192</v>
      </c>
      <c r="J559" s="2" t="s">
        <v>3982</v>
      </c>
      <c r="K559" s="2" t="s">
        <v>3980</v>
      </c>
      <c r="L559" s="2"/>
      <c r="M559" s="4" t="s">
        <v>4195</v>
      </c>
      <c r="N559" s="2"/>
      <c r="O559" s="2"/>
      <c r="P559" s="2" t="s">
        <v>1843</v>
      </c>
      <c r="Q559" t="s">
        <v>1127</v>
      </c>
    </row>
    <row r="560" spans="1:17" ht="18" customHeight="1" x14ac:dyDescent="0.2">
      <c r="A560" s="64" t="s">
        <v>777</v>
      </c>
      <c r="B560" s="64" t="str">
        <f t="shared" si="38"/>
        <v>ch09c</v>
      </c>
      <c r="C560" s="64" t="s">
        <v>4182</v>
      </c>
      <c r="D560" s="64" t="s">
        <v>1838</v>
      </c>
      <c r="E560" s="64" t="s">
        <v>3981</v>
      </c>
      <c r="F560" s="2">
        <v>3</v>
      </c>
      <c r="G560" s="2" t="str">
        <f t="shared" si="37"/>
        <v>c</v>
      </c>
      <c r="H560" s="2">
        <v>2009</v>
      </c>
      <c r="I560" s="2" t="s">
        <v>4192</v>
      </c>
      <c r="J560" s="2" t="s">
        <v>3982</v>
      </c>
      <c r="K560" s="2" t="s">
        <v>3980</v>
      </c>
      <c r="L560" s="2"/>
      <c r="M560" s="4" t="s">
        <v>4195</v>
      </c>
      <c r="N560" s="2"/>
      <c r="O560" s="2"/>
      <c r="P560" s="2" t="s">
        <v>1843</v>
      </c>
      <c r="Q560" t="s">
        <v>1127</v>
      </c>
    </row>
    <row r="561" spans="1:17" ht="18" customHeight="1" x14ac:dyDescent="0.2">
      <c r="A561" s="64" t="s">
        <v>777</v>
      </c>
      <c r="B561" s="64" t="str">
        <f t="shared" si="38"/>
        <v>ch10d</v>
      </c>
      <c r="C561" s="64" t="s">
        <v>4182</v>
      </c>
      <c r="D561" s="64" t="s">
        <v>1838</v>
      </c>
      <c r="E561" s="64" t="s">
        <v>3981</v>
      </c>
      <c r="F561" s="2">
        <v>4</v>
      </c>
      <c r="G561" s="2" t="str">
        <f t="shared" si="37"/>
        <v>d</v>
      </c>
      <c r="H561" s="2">
        <v>2010</v>
      </c>
      <c r="I561" s="2" t="s">
        <v>4192</v>
      </c>
      <c r="J561" s="2" t="s">
        <v>3982</v>
      </c>
      <c r="K561" s="2" t="s">
        <v>3980</v>
      </c>
      <c r="L561" s="2"/>
      <c r="M561" s="4" t="s">
        <v>4195</v>
      </c>
      <c r="N561" s="2"/>
      <c r="O561" s="2"/>
      <c r="P561" s="2" t="s">
        <v>1843</v>
      </c>
      <c r="Q561" t="s">
        <v>1127</v>
      </c>
    </row>
    <row r="562" spans="1:17" ht="18" customHeight="1" x14ac:dyDescent="0.2">
      <c r="A562" s="64" t="s">
        <v>777</v>
      </c>
      <c r="B562" s="64" t="str">
        <f t="shared" si="38"/>
        <v>ch11e</v>
      </c>
      <c r="C562" s="64" t="s">
        <v>4182</v>
      </c>
      <c r="D562" s="64" t="s">
        <v>1838</v>
      </c>
      <c r="E562" s="64" t="s">
        <v>3981</v>
      </c>
      <c r="F562" s="2">
        <v>5</v>
      </c>
      <c r="G562" s="2" t="str">
        <f t="shared" si="37"/>
        <v>e</v>
      </c>
      <c r="H562" s="2">
        <v>2011</v>
      </c>
      <c r="I562" s="2" t="s">
        <v>4192</v>
      </c>
      <c r="J562" s="2" t="s">
        <v>3982</v>
      </c>
      <c r="K562" s="2" t="s">
        <v>3980</v>
      </c>
      <c r="L562" s="2"/>
      <c r="M562" s="4" t="s">
        <v>4195</v>
      </c>
      <c r="N562" s="2"/>
      <c r="O562" s="2"/>
      <c r="P562" s="2" t="s">
        <v>1843</v>
      </c>
      <c r="Q562" t="s">
        <v>1127</v>
      </c>
    </row>
    <row r="563" spans="1:17" ht="18" customHeight="1" x14ac:dyDescent="0.2">
      <c r="A563" s="64" t="s">
        <v>777</v>
      </c>
      <c r="B563" s="64" t="str">
        <f t="shared" si="38"/>
        <v>ch12f</v>
      </c>
      <c r="C563" s="64" t="s">
        <v>4182</v>
      </c>
      <c r="D563" s="64" t="s">
        <v>1838</v>
      </c>
      <c r="E563" s="64" t="s">
        <v>3981</v>
      </c>
      <c r="F563" s="2">
        <v>6</v>
      </c>
      <c r="G563" s="2" t="str">
        <f t="shared" si="37"/>
        <v>f</v>
      </c>
      <c r="H563" s="2">
        <v>2012</v>
      </c>
      <c r="I563" s="2" t="s">
        <v>4192</v>
      </c>
      <c r="J563" s="2" t="s">
        <v>3982</v>
      </c>
      <c r="K563" s="2" t="s">
        <v>3980</v>
      </c>
      <c r="L563" s="2"/>
      <c r="M563" s="4" t="s">
        <v>4195</v>
      </c>
      <c r="N563" s="2"/>
      <c r="O563" s="2"/>
      <c r="P563" s="2" t="s">
        <v>1843</v>
      </c>
      <c r="Q563" t="s">
        <v>1127</v>
      </c>
    </row>
    <row r="564" spans="1:17" ht="18" customHeight="1" x14ac:dyDescent="0.2">
      <c r="A564" s="64" t="s">
        <v>777</v>
      </c>
      <c r="B564" s="64" t="str">
        <f t="shared" si="38"/>
        <v>ch13g</v>
      </c>
      <c r="C564" s="64" t="s">
        <v>4182</v>
      </c>
      <c r="D564" s="64" t="s">
        <v>1838</v>
      </c>
      <c r="E564" s="64" t="s">
        <v>3981</v>
      </c>
      <c r="F564" s="2">
        <v>7</v>
      </c>
      <c r="G564" s="2" t="str">
        <f t="shared" si="37"/>
        <v>g</v>
      </c>
      <c r="H564" s="2">
        <v>2013</v>
      </c>
      <c r="I564" s="2" t="s">
        <v>4192</v>
      </c>
      <c r="J564" s="2" t="s">
        <v>3982</v>
      </c>
      <c r="K564" s="2" t="s">
        <v>3980</v>
      </c>
      <c r="L564" s="2"/>
      <c r="M564" s="4" t="s">
        <v>4195</v>
      </c>
      <c r="N564" s="2"/>
      <c r="O564" s="2"/>
      <c r="P564" s="2" t="s">
        <v>1843</v>
      </c>
      <c r="Q564" t="s">
        <v>1127</v>
      </c>
    </row>
    <row r="565" spans="1:17" ht="18" customHeight="1" x14ac:dyDescent="0.2">
      <c r="A565" s="64" t="s">
        <v>777</v>
      </c>
      <c r="B565" s="64" t="str">
        <f t="shared" si="38"/>
        <v>ch15h</v>
      </c>
      <c r="C565" s="64" t="s">
        <v>4182</v>
      </c>
      <c r="D565" s="64" t="s">
        <v>1838</v>
      </c>
      <c r="E565" s="64" t="s">
        <v>3981</v>
      </c>
      <c r="F565" s="2">
        <v>8</v>
      </c>
      <c r="G565" s="2" t="str">
        <f t="shared" si="37"/>
        <v>h</v>
      </c>
      <c r="H565" s="2">
        <v>2015</v>
      </c>
      <c r="I565" s="2" t="s">
        <v>4192</v>
      </c>
      <c r="J565" s="2" t="s">
        <v>3982</v>
      </c>
      <c r="K565" s="2" t="s">
        <v>3980</v>
      </c>
      <c r="L565" s="2"/>
      <c r="M565" s="4" t="s">
        <v>4195</v>
      </c>
      <c r="N565" s="2"/>
      <c r="O565" s="2"/>
      <c r="P565" s="2" t="s">
        <v>1843</v>
      </c>
      <c r="Q565" t="s">
        <v>1127</v>
      </c>
    </row>
    <row r="566" spans="1:17" ht="18" customHeight="1" x14ac:dyDescent="0.2">
      <c r="A566" s="64" t="s">
        <v>777</v>
      </c>
      <c r="B566" s="64" t="str">
        <f t="shared" si="38"/>
        <v>ch16i</v>
      </c>
      <c r="C566" s="64" t="s">
        <v>4182</v>
      </c>
      <c r="D566" s="64" t="s">
        <v>1838</v>
      </c>
      <c r="E566" s="64" t="s">
        <v>3981</v>
      </c>
      <c r="F566" s="2">
        <v>9</v>
      </c>
      <c r="G566" s="2" t="str">
        <f t="shared" si="37"/>
        <v>i</v>
      </c>
      <c r="H566" s="2">
        <v>2016</v>
      </c>
      <c r="I566" s="2" t="s">
        <v>4192</v>
      </c>
      <c r="J566" s="2" t="s">
        <v>3982</v>
      </c>
      <c r="K566" s="2" t="s">
        <v>3980</v>
      </c>
      <c r="L566" s="2"/>
      <c r="M566" s="4" t="s">
        <v>4195</v>
      </c>
      <c r="N566" s="2"/>
      <c r="O566" s="2"/>
      <c r="P566" s="2" t="s">
        <v>1843</v>
      </c>
      <c r="Q566" t="s">
        <v>1127</v>
      </c>
    </row>
    <row r="567" spans="1:17" ht="18" customHeight="1" x14ac:dyDescent="0.2">
      <c r="A567" s="64" t="s">
        <v>777</v>
      </c>
      <c r="B567" s="64" t="str">
        <f t="shared" si="38"/>
        <v>ch17j</v>
      </c>
      <c r="C567" s="64" t="s">
        <v>4182</v>
      </c>
      <c r="D567" s="64" t="s">
        <v>1838</v>
      </c>
      <c r="E567" s="64" t="s">
        <v>3981</v>
      </c>
      <c r="F567" s="2">
        <v>10</v>
      </c>
      <c r="G567" s="2" t="str">
        <f t="shared" si="37"/>
        <v>j</v>
      </c>
      <c r="H567" s="2">
        <v>2017</v>
      </c>
      <c r="I567" s="2" t="s">
        <v>4192</v>
      </c>
      <c r="J567" s="2" t="s">
        <v>3982</v>
      </c>
      <c r="K567" s="2" t="s">
        <v>3980</v>
      </c>
      <c r="L567" s="2"/>
      <c r="M567" s="4" t="s">
        <v>4195</v>
      </c>
      <c r="N567" s="2"/>
      <c r="O567" s="2"/>
      <c r="P567" s="2" t="s">
        <v>1843</v>
      </c>
      <c r="Q567" t="s">
        <v>1127</v>
      </c>
    </row>
    <row r="568" spans="1:17" ht="18" customHeight="1" x14ac:dyDescent="0.2">
      <c r="A568" s="64" t="s">
        <v>777</v>
      </c>
      <c r="B568" s="64" t="str">
        <f t="shared" si="38"/>
        <v>ch18k</v>
      </c>
      <c r="C568" s="64" t="s">
        <v>4182</v>
      </c>
      <c r="D568" s="64" t="s">
        <v>1838</v>
      </c>
      <c r="E568" s="64" t="s">
        <v>3981</v>
      </c>
      <c r="F568" s="2">
        <v>11</v>
      </c>
      <c r="G568" s="2" t="str">
        <f t="shared" si="37"/>
        <v>k</v>
      </c>
      <c r="H568" s="2">
        <v>2018</v>
      </c>
      <c r="I568" s="2" t="s">
        <v>4192</v>
      </c>
      <c r="J568" s="2" t="s">
        <v>3982</v>
      </c>
      <c r="K568" s="2" t="s">
        <v>3980</v>
      </c>
      <c r="L568" s="2"/>
      <c r="M568" s="4" t="s">
        <v>4195</v>
      </c>
      <c r="N568" s="2"/>
      <c r="O568" s="2"/>
      <c r="P568" s="2" t="s">
        <v>1843</v>
      </c>
      <c r="Q568" t="s">
        <v>1127</v>
      </c>
    </row>
    <row r="569" spans="1:17" ht="18" customHeight="1" x14ac:dyDescent="0.2">
      <c r="A569" s="64" t="s">
        <v>777</v>
      </c>
      <c r="B569" s="64" t="str">
        <f t="shared" si="38"/>
        <v>ch07a</v>
      </c>
      <c r="C569" s="64" t="s">
        <v>4182</v>
      </c>
      <c r="D569" s="64" t="s">
        <v>1838</v>
      </c>
      <c r="E569" s="64" t="s">
        <v>1949</v>
      </c>
      <c r="F569" s="2">
        <v>1</v>
      </c>
      <c r="G569" s="2" t="str">
        <f t="shared" si="37"/>
        <v>a</v>
      </c>
      <c r="H569" s="2">
        <v>2007</v>
      </c>
      <c r="I569" s="2" t="s">
        <v>4192</v>
      </c>
      <c r="J569" s="2" t="s">
        <v>3983</v>
      </c>
      <c r="K569" s="2" t="s">
        <v>3980</v>
      </c>
      <c r="L569" s="2"/>
      <c r="M569" s="4" t="s">
        <v>4195</v>
      </c>
      <c r="N569" s="2"/>
      <c r="O569" s="2"/>
      <c r="P569" s="2" t="s">
        <v>1843</v>
      </c>
      <c r="Q569" t="s">
        <v>1127</v>
      </c>
    </row>
    <row r="570" spans="1:17" ht="18" customHeight="1" x14ac:dyDescent="0.2">
      <c r="A570" s="64" t="s">
        <v>777</v>
      </c>
      <c r="B570" s="64" t="str">
        <f t="shared" si="38"/>
        <v>ch08b</v>
      </c>
      <c r="C570" s="64" t="s">
        <v>4182</v>
      </c>
      <c r="D570" s="64" t="s">
        <v>1838</v>
      </c>
      <c r="E570" s="64" t="s">
        <v>1949</v>
      </c>
      <c r="F570" s="2">
        <v>2</v>
      </c>
      <c r="G570" s="2" t="str">
        <f t="shared" si="37"/>
        <v>b</v>
      </c>
      <c r="H570" s="2">
        <v>2008</v>
      </c>
      <c r="I570" s="2" t="s">
        <v>4192</v>
      </c>
      <c r="J570" s="2" t="s">
        <v>3983</v>
      </c>
      <c r="K570" s="2" t="s">
        <v>3980</v>
      </c>
      <c r="L570" s="2"/>
      <c r="M570" s="4" t="s">
        <v>4195</v>
      </c>
      <c r="N570" s="2"/>
      <c r="O570" s="2"/>
      <c r="P570" s="2" t="s">
        <v>1843</v>
      </c>
      <c r="Q570" t="s">
        <v>1127</v>
      </c>
    </row>
    <row r="571" spans="1:17" ht="18" customHeight="1" x14ac:dyDescent="0.2">
      <c r="A571" s="64" t="s">
        <v>777</v>
      </c>
      <c r="B571" s="64" t="str">
        <f t="shared" si="38"/>
        <v>ch09c</v>
      </c>
      <c r="C571" s="64" t="s">
        <v>4182</v>
      </c>
      <c r="D571" s="64" t="s">
        <v>1838</v>
      </c>
      <c r="E571" s="64" t="s">
        <v>1949</v>
      </c>
      <c r="F571" s="2">
        <v>3</v>
      </c>
      <c r="G571" s="2" t="str">
        <f t="shared" si="37"/>
        <v>c</v>
      </c>
      <c r="H571" s="2">
        <v>2009</v>
      </c>
      <c r="I571" s="2" t="s">
        <v>4192</v>
      </c>
      <c r="J571" s="2" t="s">
        <v>3983</v>
      </c>
      <c r="K571" s="2" t="s">
        <v>3980</v>
      </c>
      <c r="L571" s="2"/>
      <c r="M571" s="4" t="s">
        <v>4195</v>
      </c>
      <c r="N571" s="2"/>
      <c r="O571" s="2"/>
      <c r="P571" s="2" t="s">
        <v>1843</v>
      </c>
      <c r="Q571" t="s">
        <v>1127</v>
      </c>
    </row>
    <row r="572" spans="1:17" ht="18" customHeight="1" x14ac:dyDescent="0.2">
      <c r="A572" s="64" t="s">
        <v>777</v>
      </c>
      <c r="B572" s="64" t="str">
        <f t="shared" si="38"/>
        <v>ch10d</v>
      </c>
      <c r="C572" s="64" t="s">
        <v>4182</v>
      </c>
      <c r="D572" s="64" t="s">
        <v>1838</v>
      </c>
      <c r="E572" s="64" t="s">
        <v>1949</v>
      </c>
      <c r="F572" s="2">
        <v>4</v>
      </c>
      <c r="G572" s="2" t="str">
        <f t="shared" si="37"/>
        <v>d</v>
      </c>
      <c r="H572" s="2">
        <v>2010</v>
      </c>
      <c r="I572" s="2" t="s">
        <v>4192</v>
      </c>
      <c r="J572" s="2" t="s">
        <v>3983</v>
      </c>
      <c r="K572" s="2" t="s">
        <v>3980</v>
      </c>
      <c r="L572" s="2"/>
      <c r="M572" s="4" t="s">
        <v>4195</v>
      </c>
      <c r="N572" s="2"/>
      <c r="O572" s="2"/>
      <c r="P572" s="2" t="s">
        <v>1843</v>
      </c>
      <c r="Q572" t="s">
        <v>1127</v>
      </c>
    </row>
    <row r="573" spans="1:17" ht="18" customHeight="1" x14ac:dyDescent="0.2">
      <c r="A573" s="64" t="s">
        <v>777</v>
      </c>
      <c r="B573" s="64" t="str">
        <f t="shared" si="38"/>
        <v>ch11e</v>
      </c>
      <c r="C573" s="64" t="s">
        <v>4182</v>
      </c>
      <c r="D573" s="64" t="s">
        <v>1838</v>
      </c>
      <c r="E573" s="64" t="s">
        <v>1949</v>
      </c>
      <c r="F573" s="2">
        <v>5</v>
      </c>
      <c r="G573" s="2" t="str">
        <f t="shared" si="37"/>
        <v>e</v>
      </c>
      <c r="H573" s="2">
        <v>2011</v>
      </c>
      <c r="I573" s="2" t="s">
        <v>4192</v>
      </c>
      <c r="J573" s="2" t="s">
        <v>3983</v>
      </c>
      <c r="K573" s="2" t="s">
        <v>3980</v>
      </c>
      <c r="L573" s="2"/>
      <c r="M573" s="4" t="s">
        <v>4195</v>
      </c>
      <c r="N573" s="2"/>
      <c r="O573" s="2"/>
      <c r="P573" s="2" t="s">
        <v>1843</v>
      </c>
      <c r="Q573" t="s">
        <v>1127</v>
      </c>
    </row>
    <row r="574" spans="1:17" ht="18" customHeight="1" x14ac:dyDescent="0.2">
      <c r="A574" s="64" t="s">
        <v>777</v>
      </c>
      <c r="B574" s="64" t="str">
        <f t="shared" si="38"/>
        <v>ch12f</v>
      </c>
      <c r="C574" s="64" t="s">
        <v>4182</v>
      </c>
      <c r="D574" s="64" t="s">
        <v>1838</v>
      </c>
      <c r="E574" s="64" t="s">
        <v>1949</v>
      </c>
      <c r="F574" s="2">
        <v>6</v>
      </c>
      <c r="G574" s="2" t="str">
        <f t="shared" si="37"/>
        <v>f</v>
      </c>
      <c r="H574" s="2">
        <v>2012</v>
      </c>
      <c r="I574" s="2" t="s">
        <v>4192</v>
      </c>
      <c r="J574" s="2" t="s">
        <v>3983</v>
      </c>
      <c r="K574" s="2" t="s">
        <v>3980</v>
      </c>
      <c r="L574" s="2"/>
      <c r="M574" s="4" t="s">
        <v>4195</v>
      </c>
      <c r="N574" s="2"/>
      <c r="O574" s="2"/>
      <c r="P574" s="2" t="s">
        <v>1843</v>
      </c>
      <c r="Q574" t="s">
        <v>1127</v>
      </c>
    </row>
    <row r="575" spans="1:17" ht="18" customHeight="1" x14ac:dyDescent="0.2">
      <c r="A575" s="64" t="s">
        <v>777</v>
      </c>
      <c r="B575" s="64" t="str">
        <f t="shared" si="38"/>
        <v>ch13g</v>
      </c>
      <c r="C575" s="64" t="s">
        <v>4182</v>
      </c>
      <c r="D575" s="64" t="s">
        <v>1838</v>
      </c>
      <c r="E575" s="64" t="s">
        <v>1949</v>
      </c>
      <c r="F575" s="2">
        <v>7</v>
      </c>
      <c r="G575" s="2" t="str">
        <f t="shared" si="37"/>
        <v>g</v>
      </c>
      <c r="H575" s="2">
        <v>2013</v>
      </c>
      <c r="I575" s="2" t="s">
        <v>4192</v>
      </c>
      <c r="J575" s="2" t="s">
        <v>3983</v>
      </c>
      <c r="K575" s="2" t="s">
        <v>3980</v>
      </c>
      <c r="L575" s="2"/>
      <c r="M575" s="4" t="s">
        <v>4195</v>
      </c>
      <c r="N575" s="2"/>
      <c r="O575" s="2"/>
      <c r="P575" s="2" t="s">
        <v>1843</v>
      </c>
      <c r="Q575" t="s">
        <v>1127</v>
      </c>
    </row>
    <row r="576" spans="1:17" ht="18" customHeight="1" x14ac:dyDescent="0.2">
      <c r="A576" s="64" t="s">
        <v>777</v>
      </c>
      <c r="B576" s="64" t="str">
        <f t="shared" si="38"/>
        <v>ch15h</v>
      </c>
      <c r="C576" s="64" t="s">
        <v>4182</v>
      </c>
      <c r="D576" s="64" t="s">
        <v>1838</v>
      </c>
      <c r="E576" s="64" t="s">
        <v>1949</v>
      </c>
      <c r="F576" s="2">
        <v>8</v>
      </c>
      <c r="G576" s="2" t="str">
        <f t="shared" si="37"/>
        <v>h</v>
      </c>
      <c r="H576" s="2">
        <v>2015</v>
      </c>
      <c r="I576" s="2" t="s">
        <v>4192</v>
      </c>
      <c r="J576" s="2" t="s">
        <v>3983</v>
      </c>
      <c r="K576" s="2" t="s">
        <v>3980</v>
      </c>
      <c r="L576" s="2"/>
      <c r="M576" s="4" t="s">
        <v>4195</v>
      </c>
      <c r="N576" s="2"/>
      <c r="O576" s="2"/>
      <c r="P576" s="2" t="s">
        <v>1843</v>
      </c>
      <c r="Q576" t="s">
        <v>1127</v>
      </c>
    </row>
    <row r="577" spans="1:17" ht="18" customHeight="1" x14ac:dyDescent="0.2">
      <c r="A577" s="64" t="s">
        <v>777</v>
      </c>
      <c r="B577" s="64" t="str">
        <f t="shared" si="38"/>
        <v>ch16i</v>
      </c>
      <c r="C577" s="64" t="s">
        <v>4182</v>
      </c>
      <c r="D577" s="64" t="s">
        <v>1838</v>
      </c>
      <c r="E577" s="64" t="s">
        <v>1949</v>
      </c>
      <c r="F577" s="2">
        <v>9</v>
      </c>
      <c r="G577" s="2" t="str">
        <f t="shared" si="37"/>
        <v>i</v>
      </c>
      <c r="H577" s="2">
        <v>2016</v>
      </c>
      <c r="I577" s="2" t="s">
        <v>4192</v>
      </c>
      <c r="J577" s="2" t="s">
        <v>3983</v>
      </c>
      <c r="K577" s="2" t="s">
        <v>3980</v>
      </c>
      <c r="L577" s="2"/>
      <c r="M577" s="4" t="s">
        <v>4195</v>
      </c>
      <c r="N577" s="2"/>
      <c r="O577" s="2"/>
      <c r="P577" s="2" t="s">
        <v>1843</v>
      </c>
      <c r="Q577" t="s">
        <v>1127</v>
      </c>
    </row>
    <row r="578" spans="1:17" ht="18" customHeight="1" x14ac:dyDescent="0.2">
      <c r="A578" s="64" t="s">
        <v>777</v>
      </c>
      <c r="B578" s="64" t="str">
        <f t="shared" si="38"/>
        <v>ch17j</v>
      </c>
      <c r="C578" s="64" t="s">
        <v>4182</v>
      </c>
      <c r="D578" s="64" t="s">
        <v>1838</v>
      </c>
      <c r="E578" s="64" t="s">
        <v>1949</v>
      </c>
      <c r="F578" s="2">
        <v>10</v>
      </c>
      <c r="G578" s="2" t="str">
        <f t="shared" si="37"/>
        <v>j</v>
      </c>
      <c r="H578" s="2">
        <v>2017</v>
      </c>
      <c r="I578" s="2" t="s">
        <v>4192</v>
      </c>
      <c r="J578" s="2" t="s">
        <v>3983</v>
      </c>
      <c r="K578" s="2" t="s">
        <v>3980</v>
      </c>
      <c r="L578" s="2"/>
      <c r="M578" s="4" t="s">
        <v>4195</v>
      </c>
      <c r="N578" s="2"/>
      <c r="O578" s="2"/>
      <c r="P578" s="2" t="s">
        <v>1843</v>
      </c>
      <c r="Q578" t="s">
        <v>1127</v>
      </c>
    </row>
    <row r="579" spans="1:17" ht="18" customHeight="1" x14ac:dyDescent="0.2">
      <c r="A579" s="64" t="s">
        <v>777</v>
      </c>
      <c r="B579" s="64" t="str">
        <f t="shared" si="38"/>
        <v>ch18k</v>
      </c>
      <c r="C579" s="64" t="s">
        <v>4182</v>
      </c>
      <c r="D579" s="64" t="s">
        <v>1838</v>
      </c>
      <c r="E579" s="64" t="s">
        <v>1949</v>
      </c>
      <c r="F579" s="2">
        <v>11</v>
      </c>
      <c r="G579" s="2" t="str">
        <f t="shared" si="37"/>
        <v>k</v>
      </c>
      <c r="H579" s="2">
        <v>2018</v>
      </c>
      <c r="I579" s="2" t="s">
        <v>4192</v>
      </c>
      <c r="J579" s="2" t="s">
        <v>3983</v>
      </c>
      <c r="K579" s="2" t="s">
        <v>3980</v>
      </c>
      <c r="L579" s="2"/>
      <c r="M579" s="4" t="s">
        <v>4195</v>
      </c>
      <c r="N579" s="2"/>
      <c r="O579" s="2"/>
      <c r="P579" s="2" t="s">
        <v>1843</v>
      </c>
      <c r="Q579" t="s">
        <v>1127</v>
      </c>
    </row>
    <row r="580" spans="1:17" ht="18" customHeight="1" x14ac:dyDescent="0.2">
      <c r="A580" s="64" t="s">
        <v>777</v>
      </c>
      <c r="B580" s="64" t="str">
        <f t="shared" si="38"/>
        <v>ch07a</v>
      </c>
      <c r="C580" s="64" t="s">
        <v>4182</v>
      </c>
      <c r="D580" s="64" t="s">
        <v>1838</v>
      </c>
      <c r="E580" s="64" t="s">
        <v>3984</v>
      </c>
      <c r="F580" s="2">
        <v>1</v>
      </c>
      <c r="G580" s="2" t="str">
        <f t="shared" si="37"/>
        <v>a</v>
      </c>
      <c r="H580" s="2">
        <v>2007</v>
      </c>
      <c r="I580" s="2" t="s">
        <v>4192</v>
      </c>
      <c r="J580" s="2" t="s">
        <v>3985</v>
      </c>
      <c r="K580" s="2" t="s">
        <v>3980</v>
      </c>
      <c r="L580" s="2"/>
      <c r="M580" s="4" t="s">
        <v>4195</v>
      </c>
      <c r="N580" s="2"/>
      <c r="O580" s="2"/>
      <c r="P580" s="2" t="s">
        <v>1843</v>
      </c>
      <c r="Q580" t="s">
        <v>1127</v>
      </c>
    </row>
    <row r="581" spans="1:17" ht="18" customHeight="1" x14ac:dyDescent="0.2">
      <c r="A581" s="64" t="s">
        <v>777</v>
      </c>
      <c r="B581" s="64" t="str">
        <f t="shared" si="38"/>
        <v>ch08b</v>
      </c>
      <c r="C581" s="64" t="s">
        <v>4182</v>
      </c>
      <c r="D581" s="64" t="s">
        <v>1838</v>
      </c>
      <c r="E581" s="64" t="s">
        <v>3984</v>
      </c>
      <c r="F581" s="2">
        <v>2</v>
      </c>
      <c r="G581" s="2" t="str">
        <f t="shared" si="37"/>
        <v>b</v>
      </c>
      <c r="H581" s="2">
        <v>2008</v>
      </c>
      <c r="I581" s="2" t="s">
        <v>4192</v>
      </c>
      <c r="J581" s="2" t="s">
        <v>3985</v>
      </c>
      <c r="K581" s="2" t="s">
        <v>3980</v>
      </c>
      <c r="L581" s="2"/>
      <c r="M581" s="4" t="s">
        <v>4195</v>
      </c>
      <c r="N581" s="2"/>
      <c r="O581" s="2"/>
      <c r="P581" s="2" t="s">
        <v>1843</v>
      </c>
      <c r="Q581" t="s">
        <v>1127</v>
      </c>
    </row>
    <row r="582" spans="1:17" ht="18" customHeight="1" x14ac:dyDescent="0.2">
      <c r="A582" s="64" t="s">
        <v>777</v>
      </c>
      <c r="B582" s="64" t="str">
        <f t="shared" si="38"/>
        <v>ch09c</v>
      </c>
      <c r="C582" s="64" t="s">
        <v>4182</v>
      </c>
      <c r="D582" s="64" t="s">
        <v>1838</v>
      </c>
      <c r="E582" s="64" t="s">
        <v>3984</v>
      </c>
      <c r="F582" s="2">
        <v>3</v>
      </c>
      <c r="G582" s="2" t="str">
        <f t="shared" si="37"/>
        <v>c</v>
      </c>
      <c r="H582" s="2">
        <v>2009</v>
      </c>
      <c r="I582" s="2" t="s">
        <v>4192</v>
      </c>
      <c r="J582" s="2" t="s">
        <v>3985</v>
      </c>
      <c r="K582" s="2" t="s">
        <v>3980</v>
      </c>
      <c r="L582" s="2"/>
      <c r="M582" s="4" t="s">
        <v>4195</v>
      </c>
      <c r="N582" s="2"/>
      <c r="O582" s="2"/>
      <c r="P582" s="2" t="s">
        <v>1843</v>
      </c>
      <c r="Q582" t="s">
        <v>1127</v>
      </c>
    </row>
    <row r="583" spans="1:17" ht="18" customHeight="1" x14ac:dyDescent="0.2">
      <c r="A583" s="64" t="s">
        <v>777</v>
      </c>
      <c r="B583" s="64" t="str">
        <f t="shared" si="38"/>
        <v>ch10d</v>
      </c>
      <c r="C583" s="64" t="s">
        <v>4182</v>
      </c>
      <c r="D583" s="64" t="s">
        <v>1838</v>
      </c>
      <c r="E583" s="64" t="s">
        <v>3984</v>
      </c>
      <c r="F583" s="2">
        <v>4</v>
      </c>
      <c r="G583" s="2" t="str">
        <f t="shared" si="37"/>
        <v>d</v>
      </c>
      <c r="H583" s="2">
        <v>2010</v>
      </c>
      <c r="I583" s="2" t="s">
        <v>4192</v>
      </c>
      <c r="J583" s="2" t="s">
        <v>3985</v>
      </c>
      <c r="K583" s="2" t="s">
        <v>3980</v>
      </c>
      <c r="L583" s="2"/>
      <c r="M583" s="4" t="s">
        <v>4195</v>
      </c>
      <c r="N583" s="2"/>
      <c r="O583" s="2"/>
      <c r="P583" s="2" t="s">
        <v>1843</v>
      </c>
      <c r="Q583" t="s">
        <v>1127</v>
      </c>
    </row>
    <row r="584" spans="1:17" ht="18" customHeight="1" x14ac:dyDescent="0.2">
      <c r="A584" s="64" t="s">
        <v>777</v>
      </c>
      <c r="B584" s="64" t="str">
        <f t="shared" si="38"/>
        <v>ch11e</v>
      </c>
      <c r="C584" s="64" t="s">
        <v>4182</v>
      </c>
      <c r="D584" s="64" t="s">
        <v>1838</v>
      </c>
      <c r="E584" s="64" t="s">
        <v>3984</v>
      </c>
      <c r="F584" s="2">
        <v>5</v>
      </c>
      <c r="G584" s="2" t="str">
        <f t="shared" si="37"/>
        <v>e</v>
      </c>
      <c r="H584" s="2">
        <v>2011</v>
      </c>
      <c r="I584" s="2" t="s">
        <v>4192</v>
      </c>
      <c r="J584" s="2" t="s">
        <v>3985</v>
      </c>
      <c r="K584" s="2" t="s">
        <v>3980</v>
      </c>
      <c r="L584" s="2"/>
      <c r="M584" s="4" t="s">
        <v>4195</v>
      </c>
      <c r="N584" s="2"/>
      <c r="O584" s="2"/>
      <c r="P584" s="2" t="s">
        <v>1843</v>
      </c>
      <c r="Q584" t="s">
        <v>1127</v>
      </c>
    </row>
    <row r="585" spans="1:17" ht="18" customHeight="1" x14ac:dyDescent="0.2">
      <c r="A585" s="64" t="s">
        <v>777</v>
      </c>
      <c r="B585" s="64" t="str">
        <f t="shared" si="38"/>
        <v>ch12f</v>
      </c>
      <c r="C585" s="64" t="s">
        <v>4182</v>
      </c>
      <c r="D585" s="64" t="s">
        <v>1838</v>
      </c>
      <c r="E585" s="64" t="s">
        <v>3984</v>
      </c>
      <c r="F585" s="2">
        <v>6</v>
      </c>
      <c r="G585" s="2" t="str">
        <f t="shared" si="37"/>
        <v>f</v>
      </c>
      <c r="H585" s="2">
        <v>2012</v>
      </c>
      <c r="I585" s="2" t="s">
        <v>4192</v>
      </c>
      <c r="J585" s="2" t="s">
        <v>3985</v>
      </c>
      <c r="K585" s="2" t="s">
        <v>3980</v>
      </c>
      <c r="L585" s="2"/>
      <c r="M585" s="4" t="s">
        <v>4195</v>
      </c>
      <c r="N585" s="2"/>
      <c r="O585" s="2"/>
      <c r="P585" s="2" t="s">
        <v>1843</v>
      </c>
      <c r="Q585" t="s">
        <v>1127</v>
      </c>
    </row>
    <row r="586" spans="1:17" ht="18" customHeight="1" x14ac:dyDescent="0.2">
      <c r="A586" s="64" t="s">
        <v>777</v>
      </c>
      <c r="B586" s="64" t="str">
        <f t="shared" si="38"/>
        <v>ch13g</v>
      </c>
      <c r="C586" s="64" t="s">
        <v>4182</v>
      </c>
      <c r="D586" s="64" t="s">
        <v>1838</v>
      </c>
      <c r="E586" s="64" t="s">
        <v>3984</v>
      </c>
      <c r="F586" s="2">
        <v>7</v>
      </c>
      <c r="G586" s="2" t="str">
        <f t="shared" si="37"/>
        <v>g</v>
      </c>
      <c r="H586" s="2">
        <v>2013</v>
      </c>
      <c r="I586" s="2" t="s">
        <v>4192</v>
      </c>
      <c r="J586" s="2" t="s">
        <v>3985</v>
      </c>
      <c r="K586" s="2" t="s">
        <v>3980</v>
      </c>
      <c r="L586" s="2"/>
      <c r="M586" s="4" t="s">
        <v>4195</v>
      </c>
      <c r="N586" s="2"/>
      <c r="O586" s="2"/>
      <c r="P586" s="2" t="s">
        <v>1843</v>
      </c>
      <c r="Q586" t="s">
        <v>1127</v>
      </c>
    </row>
    <row r="587" spans="1:17" ht="18" customHeight="1" x14ac:dyDescent="0.2">
      <c r="A587" s="64" t="s">
        <v>777</v>
      </c>
      <c r="B587" s="64" t="str">
        <f t="shared" si="38"/>
        <v>ch15h</v>
      </c>
      <c r="C587" s="64" t="s">
        <v>4182</v>
      </c>
      <c r="D587" s="64" t="s">
        <v>1838</v>
      </c>
      <c r="E587" s="64" t="s">
        <v>3984</v>
      </c>
      <c r="F587" s="2">
        <v>8</v>
      </c>
      <c r="G587" s="2" t="str">
        <f t="shared" si="37"/>
        <v>h</v>
      </c>
      <c r="H587" s="2">
        <v>2015</v>
      </c>
      <c r="I587" s="2" t="s">
        <v>4192</v>
      </c>
      <c r="J587" s="2" t="s">
        <v>3985</v>
      </c>
      <c r="K587" s="2" t="s">
        <v>3980</v>
      </c>
      <c r="L587" s="2"/>
      <c r="M587" s="4" t="s">
        <v>4195</v>
      </c>
      <c r="N587" s="2"/>
      <c r="O587" s="2"/>
      <c r="P587" s="2" t="s">
        <v>1843</v>
      </c>
      <c r="Q587" t="s">
        <v>1127</v>
      </c>
    </row>
    <row r="588" spans="1:17" ht="18" customHeight="1" x14ac:dyDescent="0.2">
      <c r="A588" s="64" t="s">
        <v>777</v>
      </c>
      <c r="B588" s="64" t="str">
        <f t="shared" si="38"/>
        <v>ch16i</v>
      </c>
      <c r="C588" s="64" t="s">
        <v>4182</v>
      </c>
      <c r="D588" s="64" t="s">
        <v>1838</v>
      </c>
      <c r="E588" s="64" t="s">
        <v>3984</v>
      </c>
      <c r="F588" s="2">
        <v>9</v>
      </c>
      <c r="G588" s="2" t="str">
        <f t="shared" si="37"/>
        <v>i</v>
      </c>
      <c r="H588" s="2">
        <v>2016</v>
      </c>
      <c r="I588" s="2" t="s">
        <v>4192</v>
      </c>
      <c r="J588" s="2" t="s">
        <v>3985</v>
      </c>
      <c r="K588" s="2" t="s">
        <v>3980</v>
      </c>
      <c r="L588" s="2"/>
      <c r="M588" s="4" t="s">
        <v>4195</v>
      </c>
      <c r="N588" s="2"/>
      <c r="O588" s="2"/>
      <c r="P588" s="2" t="s">
        <v>1843</v>
      </c>
      <c r="Q588" t="s">
        <v>1127</v>
      </c>
    </row>
    <row r="589" spans="1:17" ht="18" customHeight="1" x14ac:dyDescent="0.2">
      <c r="A589" s="64" t="s">
        <v>777</v>
      </c>
      <c r="B589" s="64" t="str">
        <f t="shared" si="38"/>
        <v>ch17j</v>
      </c>
      <c r="C589" s="64" t="s">
        <v>4182</v>
      </c>
      <c r="D589" s="64" t="s">
        <v>1838</v>
      </c>
      <c r="E589" s="64" t="s">
        <v>3984</v>
      </c>
      <c r="F589" s="2">
        <v>10</v>
      </c>
      <c r="G589" s="2" t="str">
        <f t="shared" si="37"/>
        <v>j</v>
      </c>
      <c r="H589" s="2">
        <v>2017</v>
      </c>
      <c r="I589" s="2" t="s">
        <v>4192</v>
      </c>
      <c r="J589" s="2" t="s">
        <v>3985</v>
      </c>
      <c r="K589" s="2" t="s">
        <v>3980</v>
      </c>
      <c r="L589" s="2"/>
      <c r="M589" s="4" t="s">
        <v>4195</v>
      </c>
      <c r="N589" s="2"/>
      <c r="O589" s="2"/>
      <c r="P589" s="2" t="s">
        <v>1843</v>
      </c>
      <c r="Q589" t="s">
        <v>1127</v>
      </c>
    </row>
    <row r="590" spans="1:17" ht="18" customHeight="1" x14ac:dyDescent="0.2">
      <c r="A590" s="64" t="s">
        <v>777</v>
      </c>
      <c r="B590" s="64" t="str">
        <f t="shared" si="38"/>
        <v>ch18k</v>
      </c>
      <c r="C590" s="64" t="s">
        <v>4182</v>
      </c>
      <c r="D590" s="64" t="s">
        <v>1838</v>
      </c>
      <c r="E590" s="64" t="s">
        <v>3984</v>
      </c>
      <c r="F590" s="2">
        <v>11</v>
      </c>
      <c r="G590" s="2" t="str">
        <f t="shared" si="37"/>
        <v>k</v>
      </c>
      <c r="H590" s="2">
        <v>2018</v>
      </c>
      <c r="I590" s="2" t="s">
        <v>4192</v>
      </c>
      <c r="J590" s="2" t="s">
        <v>3985</v>
      </c>
      <c r="K590" s="2" t="s">
        <v>3980</v>
      </c>
      <c r="L590" s="2"/>
      <c r="M590" s="4" t="s">
        <v>4195</v>
      </c>
      <c r="N590" s="2"/>
      <c r="O590" s="2"/>
      <c r="P590" s="2" t="s">
        <v>1843</v>
      </c>
      <c r="Q590" t="s">
        <v>1127</v>
      </c>
    </row>
    <row r="591" spans="1:17" ht="18" customHeight="1" x14ac:dyDescent="0.2">
      <c r="A591" s="64" t="s">
        <v>777</v>
      </c>
      <c r="B591" s="64" t="str">
        <f t="shared" si="38"/>
        <v>ch07a</v>
      </c>
      <c r="C591" s="64" t="s">
        <v>4182</v>
      </c>
      <c r="D591" s="64" t="s">
        <v>1838</v>
      </c>
      <c r="E591" s="64" t="s">
        <v>3986</v>
      </c>
      <c r="F591" s="2">
        <v>1</v>
      </c>
      <c r="G591" s="2" t="str">
        <f t="shared" si="37"/>
        <v>a</v>
      </c>
      <c r="H591" s="2">
        <v>2007</v>
      </c>
      <c r="I591" s="2" t="s">
        <v>4192</v>
      </c>
      <c r="J591" s="2" t="s">
        <v>3987</v>
      </c>
      <c r="K591" s="2" t="s">
        <v>3980</v>
      </c>
      <c r="L591" s="2"/>
      <c r="M591" s="4" t="s">
        <v>4195</v>
      </c>
      <c r="N591" s="2"/>
      <c r="O591" s="2"/>
      <c r="P591" s="2" t="s">
        <v>1843</v>
      </c>
      <c r="Q591" t="s">
        <v>1127</v>
      </c>
    </row>
    <row r="592" spans="1:17" ht="18" customHeight="1" x14ac:dyDescent="0.2">
      <c r="A592" s="64" t="s">
        <v>777</v>
      </c>
      <c r="B592" s="64" t="str">
        <f t="shared" si="38"/>
        <v>ch08b</v>
      </c>
      <c r="C592" s="64" t="s">
        <v>4182</v>
      </c>
      <c r="D592" s="64" t="s">
        <v>1838</v>
      </c>
      <c r="E592" s="64" t="s">
        <v>3986</v>
      </c>
      <c r="F592" s="2">
        <v>2</v>
      </c>
      <c r="G592" s="2" t="str">
        <f t="shared" si="37"/>
        <v>b</v>
      </c>
      <c r="H592" s="2">
        <v>2008</v>
      </c>
      <c r="I592" s="2" t="s">
        <v>4192</v>
      </c>
      <c r="J592" s="2" t="s">
        <v>3987</v>
      </c>
      <c r="K592" s="2" t="s">
        <v>3980</v>
      </c>
      <c r="L592" s="2"/>
      <c r="M592" s="4" t="s">
        <v>4195</v>
      </c>
      <c r="N592" s="2"/>
      <c r="O592" s="2"/>
      <c r="P592" s="2" t="s">
        <v>1843</v>
      </c>
      <c r="Q592" t="s">
        <v>1127</v>
      </c>
    </row>
    <row r="593" spans="1:17" ht="18" customHeight="1" x14ac:dyDescent="0.2">
      <c r="A593" s="64" t="s">
        <v>777</v>
      </c>
      <c r="B593" s="64" t="str">
        <f t="shared" si="38"/>
        <v>ch09c</v>
      </c>
      <c r="C593" s="64" t="s">
        <v>4182</v>
      </c>
      <c r="D593" s="64" t="s">
        <v>1838</v>
      </c>
      <c r="E593" s="64" t="s">
        <v>3986</v>
      </c>
      <c r="F593" s="2">
        <v>3</v>
      </c>
      <c r="G593" s="2" t="str">
        <f t="shared" si="37"/>
        <v>c</v>
      </c>
      <c r="H593" s="2">
        <v>2009</v>
      </c>
      <c r="I593" s="2" t="s">
        <v>4192</v>
      </c>
      <c r="J593" s="2" t="s">
        <v>3987</v>
      </c>
      <c r="K593" s="2" t="s">
        <v>3980</v>
      </c>
      <c r="L593" s="2"/>
      <c r="M593" s="4" t="s">
        <v>4195</v>
      </c>
      <c r="N593" s="2"/>
      <c r="O593" s="2"/>
      <c r="P593" s="2" t="s">
        <v>1843</v>
      </c>
      <c r="Q593" t="s">
        <v>1127</v>
      </c>
    </row>
    <row r="594" spans="1:17" ht="18" customHeight="1" x14ac:dyDescent="0.2">
      <c r="A594" s="64" t="s">
        <v>777</v>
      </c>
      <c r="B594" s="64" t="str">
        <f t="shared" si="38"/>
        <v>ch10d</v>
      </c>
      <c r="C594" s="64" t="s">
        <v>4182</v>
      </c>
      <c r="D594" s="64" t="s">
        <v>1838</v>
      </c>
      <c r="E594" s="64" t="s">
        <v>3986</v>
      </c>
      <c r="F594" s="2">
        <v>4</v>
      </c>
      <c r="G594" s="2" t="str">
        <f t="shared" si="37"/>
        <v>d</v>
      </c>
      <c r="H594" s="2">
        <v>2010</v>
      </c>
      <c r="I594" s="2" t="s">
        <v>4192</v>
      </c>
      <c r="J594" s="2" t="s">
        <v>3987</v>
      </c>
      <c r="K594" s="2" t="s">
        <v>3980</v>
      </c>
      <c r="L594" s="2"/>
      <c r="M594" s="4" t="s">
        <v>4195</v>
      </c>
      <c r="N594" s="2"/>
      <c r="O594" s="2"/>
      <c r="P594" s="2" t="s">
        <v>1843</v>
      </c>
      <c r="Q594" t="s">
        <v>1127</v>
      </c>
    </row>
    <row r="595" spans="1:17" ht="18" customHeight="1" x14ac:dyDescent="0.2">
      <c r="A595" s="64" t="s">
        <v>777</v>
      </c>
      <c r="B595" s="64" t="str">
        <f t="shared" si="38"/>
        <v>ch11e</v>
      </c>
      <c r="C595" s="64" t="s">
        <v>4182</v>
      </c>
      <c r="D595" s="64" t="s">
        <v>1838</v>
      </c>
      <c r="E595" s="64" t="s">
        <v>3986</v>
      </c>
      <c r="F595" s="2">
        <v>5</v>
      </c>
      <c r="G595" s="2" t="str">
        <f t="shared" si="37"/>
        <v>e</v>
      </c>
      <c r="H595" s="2">
        <v>2011</v>
      </c>
      <c r="I595" s="2" t="s">
        <v>4192</v>
      </c>
      <c r="J595" s="2" t="s">
        <v>3987</v>
      </c>
      <c r="K595" s="2" t="s">
        <v>3980</v>
      </c>
      <c r="L595" s="2"/>
      <c r="M595" s="4" t="s">
        <v>4195</v>
      </c>
      <c r="N595" s="2"/>
      <c r="O595" s="2"/>
      <c r="P595" s="2" t="s">
        <v>1843</v>
      </c>
      <c r="Q595" t="s">
        <v>1127</v>
      </c>
    </row>
    <row r="596" spans="1:17" ht="18" customHeight="1" x14ac:dyDescent="0.2">
      <c r="A596" s="64" t="s">
        <v>777</v>
      </c>
      <c r="B596" s="64" t="str">
        <f t="shared" si="38"/>
        <v>ch12f</v>
      </c>
      <c r="C596" s="64" t="s">
        <v>4182</v>
      </c>
      <c r="D596" s="64" t="s">
        <v>1838</v>
      </c>
      <c r="E596" s="64" t="s">
        <v>3986</v>
      </c>
      <c r="F596" s="2">
        <v>6</v>
      </c>
      <c r="G596" s="2" t="str">
        <f t="shared" si="37"/>
        <v>f</v>
      </c>
      <c r="H596" s="2">
        <v>2012</v>
      </c>
      <c r="I596" s="2" t="s">
        <v>4192</v>
      </c>
      <c r="J596" s="2" t="s">
        <v>3987</v>
      </c>
      <c r="K596" s="2" t="s">
        <v>3980</v>
      </c>
      <c r="L596" s="2"/>
      <c r="M596" s="4" t="s">
        <v>4195</v>
      </c>
      <c r="N596" s="2"/>
      <c r="O596" s="2"/>
      <c r="P596" s="2" t="s">
        <v>1843</v>
      </c>
      <c r="Q596" t="s">
        <v>1127</v>
      </c>
    </row>
    <row r="597" spans="1:17" ht="18" customHeight="1" x14ac:dyDescent="0.2">
      <c r="A597" s="64" t="s">
        <v>777</v>
      </c>
      <c r="B597" s="64" t="str">
        <f t="shared" si="38"/>
        <v>ch13g</v>
      </c>
      <c r="C597" s="64" t="s">
        <v>4182</v>
      </c>
      <c r="D597" s="64" t="s">
        <v>1838</v>
      </c>
      <c r="E597" s="64" t="s">
        <v>3986</v>
      </c>
      <c r="F597" s="2">
        <v>7</v>
      </c>
      <c r="G597" s="2" t="str">
        <f t="shared" si="37"/>
        <v>g</v>
      </c>
      <c r="H597" s="2">
        <v>2013</v>
      </c>
      <c r="I597" s="2" t="s">
        <v>4192</v>
      </c>
      <c r="J597" s="2" t="s">
        <v>3987</v>
      </c>
      <c r="K597" s="2" t="s">
        <v>3980</v>
      </c>
      <c r="L597" s="2"/>
      <c r="M597" s="4" t="s">
        <v>4195</v>
      </c>
      <c r="N597" s="2"/>
      <c r="O597" s="2"/>
      <c r="P597" s="2" t="s">
        <v>1843</v>
      </c>
      <c r="Q597" t="s">
        <v>1127</v>
      </c>
    </row>
    <row r="598" spans="1:17" ht="18" customHeight="1" x14ac:dyDescent="0.2">
      <c r="A598" s="64" t="s">
        <v>777</v>
      </c>
      <c r="B598" s="64" t="str">
        <f t="shared" si="38"/>
        <v>ch15h</v>
      </c>
      <c r="C598" s="64" t="s">
        <v>4182</v>
      </c>
      <c r="D598" s="64" t="s">
        <v>1838</v>
      </c>
      <c r="E598" s="64" t="s">
        <v>3986</v>
      </c>
      <c r="F598" s="2">
        <v>8</v>
      </c>
      <c r="G598" s="2" t="str">
        <f t="shared" si="37"/>
        <v>h</v>
      </c>
      <c r="H598" s="2">
        <v>2015</v>
      </c>
      <c r="I598" s="2" t="s">
        <v>4192</v>
      </c>
      <c r="J598" s="2" t="s">
        <v>3987</v>
      </c>
      <c r="K598" s="2" t="s">
        <v>3980</v>
      </c>
      <c r="L598" s="2"/>
      <c r="M598" s="4" t="s">
        <v>4195</v>
      </c>
      <c r="N598" s="2"/>
      <c r="O598" s="2"/>
      <c r="P598" s="2" t="s">
        <v>1843</v>
      </c>
      <c r="Q598" t="s">
        <v>1127</v>
      </c>
    </row>
    <row r="599" spans="1:17" ht="18" customHeight="1" x14ac:dyDescent="0.2">
      <c r="A599" s="64" t="s">
        <v>777</v>
      </c>
      <c r="B599" s="64" t="str">
        <f t="shared" si="38"/>
        <v>ch16i</v>
      </c>
      <c r="C599" s="64" t="s">
        <v>4182</v>
      </c>
      <c r="D599" s="64" t="s">
        <v>1838</v>
      </c>
      <c r="E599" s="64" t="s">
        <v>3986</v>
      </c>
      <c r="F599" s="2">
        <v>9</v>
      </c>
      <c r="G599" s="2" t="str">
        <f t="shared" si="37"/>
        <v>i</v>
      </c>
      <c r="H599" s="2">
        <v>2016</v>
      </c>
      <c r="I599" s="2" t="s">
        <v>4192</v>
      </c>
      <c r="J599" s="2" t="s">
        <v>3987</v>
      </c>
      <c r="K599" s="2" t="s">
        <v>3980</v>
      </c>
      <c r="L599" s="2"/>
      <c r="M599" s="4" t="s">
        <v>4195</v>
      </c>
      <c r="N599" s="2"/>
      <c r="O599" s="2"/>
      <c r="P599" s="2" t="s">
        <v>1843</v>
      </c>
      <c r="Q599" t="s">
        <v>1127</v>
      </c>
    </row>
    <row r="600" spans="1:17" ht="18" customHeight="1" x14ac:dyDescent="0.2">
      <c r="A600" s="64" t="s">
        <v>777</v>
      </c>
      <c r="B600" s="64" t="str">
        <f t="shared" si="38"/>
        <v>ch17j</v>
      </c>
      <c r="C600" s="64" t="s">
        <v>4182</v>
      </c>
      <c r="D600" s="64" t="s">
        <v>1838</v>
      </c>
      <c r="E600" s="64" t="s">
        <v>3986</v>
      </c>
      <c r="F600" s="2">
        <v>10</v>
      </c>
      <c r="G600" s="2" t="str">
        <f t="shared" si="37"/>
        <v>j</v>
      </c>
      <c r="H600" s="2">
        <v>2017</v>
      </c>
      <c r="I600" s="2" t="s">
        <v>4192</v>
      </c>
      <c r="J600" s="2" t="s">
        <v>3987</v>
      </c>
      <c r="K600" s="2" t="s">
        <v>3980</v>
      </c>
      <c r="L600" s="2"/>
      <c r="M600" s="4" t="s">
        <v>4195</v>
      </c>
      <c r="N600" s="2"/>
      <c r="O600" s="2"/>
      <c r="P600" s="2" t="s">
        <v>1843</v>
      </c>
      <c r="Q600" t="s">
        <v>1127</v>
      </c>
    </row>
    <row r="601" spans="1:17" ht="18" customHeight="1" x14ac:dyDescent="0.2">
      <c r="A601" s="64" t="s">
        <v>777</v>
      </c>
      <c r="B601" s="64" t="str">
        <f t="shared" si="38"/>
        <v>ch18k</v>
      </c>
      <c r="C601" s="64" t="s">
        <v>4182</v>
      </c>
      <c r="D601" s="64" t="s">
        <v>1838</v>
      </c>
      <c r="E601" s="64" t="s">
        <v>3986</v>
      </c>
      <c r="F601" s="2">
        <v>11</v>
      </c>
      <c r="G601" s="2" t="str">
        <f t="shared" si="37"/>
        <v>k</v>
      </c>
      <c r="H601" s="2">
        <v>2018</v>
      </c>
      <c r="I601" s="2" t="s">
        <v>4192</v>
      </c>
      <c r="J601" s="2" t="s">
        <v>3987</v>
      </c>
      <c r="K601" s="2" t="s">
        <v>3980</v>
      </c>
      <c r="L601" s="2"/>
      <c r="M601" s="4" t="s">
        <v>4195</v>
      </c>
      <c r="N601" s="2"/>
      <c r="O601" s="2"/>
      <c r="P601" s="2" t="s">
        <v>1843</v>
      </c>
      <c r="Q601" t="s">
        <v>1127</v>
      </c>
    </row>
    <row r="602" spans="1:17" ht="18" customHeight="1" x14ac:dyDescent="0.2">
      <c r="A602" s="64" t="s">
        <v>777</v>
      </c>
      <c r="B602" s="64" t="str">
        <f t="shared" si="38"/>
        <v>ch07a</v>
      </c>
      <c r="C602" s="64" t="s">
        <v>4182</v>
      </c>
      <c r="D602" s="64" t="s">
        <v>1838</v>
      </c>
      <c r="E602" s="64" t="s">
        <v>3988</v>
      </c>
      <c r="F602" s="2">
        <v>1</v>
      </c>
      <c r="G602" s="2" t="str">
        <f t="shared" si="37"/>
        <v>a</v>
      </c>
      <c r="H602" s="2">
        <v>2007</v>
      </c>
      <c r="I602" s="2" t="s">
        <v>4192</v>
      </c>
      <c r="J602" s="2" t="s">
        <v>3989</v>
      </c>
      <c r="K602" s="2" t="s">
        <v>3980</v>
      </c>
      <c r="L602" s="2"/>
      <c r="M602" s="4" t="s">
        <v>4195</v>
      </c>
      <c r="N602" s="2"/>
      <c r="O602" s="2"/>
      <c r="P602" s="2" t="s">
        <v>1843</v>
      </c>
      <c r="Q602" t="s">
        <v>1127</v>
      </c>
    </row>
    <row r="603" spans="1:17" ht="18" customHeight="1" x14ac:dyDescent="0.2">
      <c r="A603" s="64" t="s">
        <v>777</v>
      </c>
      <c r="B603" s="64" t="str">
        <f t="shared" si="38"/>
        <v>ch08b</v>
      </c>
      <c r="C603" s="64" t="s">
        <v>4182</v>
      </c>
      <c r="D603" s="64" t="s">
        <v>1838</v>
      </c>
      <c r="E603" s="64" t="s">
        <v>3988</v>
      </c>
      <c r="F603" s="2">
        <v>2</v>
      </c>
      <c r="G603" s="2" t="str">
        <f t="shared" si="37"/>
        <v>b</v>
      </c>
      <c r="H603" s="2">
        <v>2008</v>
      </c>
      <c r="I603" s="2" t="s">
        <v>4192</v>
      </c>
      <c r="J603" s="2" t="s">
        <v>3989</v>
      </c>
      <c r="K603" s="2" t="s">
        <v>3980</v>
      </c>
      <c r="L603" s="2"/>
      <c r="M603" s="4" t="s">
        <v>4195</v>
      </c>
      <c r="N603" s="2"/>
      <c r="O603" s="2"/>
      <c r="P603" s="2" t="s">
        <v>1843</v>
      </c>
      <c r="Q603" t="s">
        <v>1127</v>
      </c>
    </row>
    <row r="604" spans="1:17" ht="18" customHeight="1" x14ac:dyDescent="0.2">
      <c r="A604" s="64" t="s">
        <v>777</v>
      </c>
      <c r="B604" s="64" t="str">
        <f t="shared" si="38"/>
        <v>ch09c</v>
      </c>
      <c r="C604" s="64" t="s">
        <v>4182</v>
      </c>
      <c r="D604" s="64" t="s">
        <v>1838</v>
      </c>
      <c r="E604" s="64" t="s">
        <v>3988</v>
      </c>
      <c r="F604" s="2">
        <v>3</v>
      </c>
      <c r="G604" s="2" t="str">
        <f t="shared" si="37"/>
        <v>c</v>
      </c>
      <c r="H604" s="2">
        <v>2009</v>
      </c>
      <c r="I604" s="2" t="s">
        <v>4192</v>
      </c>
      <c r="J604" s="2" t="s">
        <v>3989</v>
      </c>
      <c r="K604" s="2" t="s">
        <v>3980</v>
      </c>
      <c r="L604" s="2"/>
      <c r="M604" s="4" t="s">
        <v>4195</v>
      </c>
      <c r="N604" s="2"/>
      <c r="O604" s="2"/>
      <c r="P604" s="2" t="s">
        <v>1843</v>
      </c>
      <c r="Q604" t="s">
        <v>1127</v>
      </c>
    </row>
    <row r="605" spans="1:17" ht="18" customHeight="1" x14ac:dyDescent="0.2">
      <c r="A605" s="64" t="s">
        <v>777</v>
      </c>
      <c r="B605" s="64" t="str">
        <f t="shared" si="38"/>
        <v>ch10d</v>
      </c>
      <c r="C605" s="64" t="s">
        <v>4182</v>
      </c>
      <c r="D605" s="64" t="s">
        <v>1838</v>
      </c>
      <c r="E605" s="64" t="s">
        <v>3988</v>
      </c>
      <c r="F605" s="2">
        <v>4</v>
      </c>
      <c r="G605" s="2" t="str">
        <f t="shared" si="37"/>
        <v>d</v>
      </c>
      <c r="H605" s="2">
        <v>2010</v>
      </c>
      <c r="I605" s="2" t="s">
        <v>4192</v>
      </c>
      <c r="J605" s="2" t="s">
        <v>3989</v>
      </c>
      <c r="K605" s="2" t="s">
        <v>3980</v>
      </c>
      <c r="L605" s="2"/>
      <c r="M605" s="4" t="s">
        <v>4195</v>
      </c>
      <c r="N605" s="2"/>
      <c r="O605" s="2"/>
      <c r="P605" s="2" t="s">
        <v>1843</v>
      </c>
      <c r="Q605" t="s">
        <v>1127</v>
      </c>
    </row>
    <row r="606" spans="1:17" ht="18" customHeight="1" x14ac:dyDescent="0.2">
      <c r="A606" s="64" t="s">
        <v>777</v>
      </c>
      <c r="B606" s="64" t="str">
        <f t="shared" si="38"/>
        <v>ch11e</v>
      </c>
      <c r="C606" s="64" t="s">
        <v>4182</v>
      </c>
      <c r="D606" s="64" t="s">
        <v>1838</v>
      </c>
      <c r="E606" s="64" t="s">
        <v>3988</v>
      </c>
      <c r="F606" s="2">
        <v>5</v>
      </c>
      <c r="G606" s="2" t="str">
        <f t="shared" si="37"/>
        <v>e</v>
      </c>
      <c r="H606" s="2">
        <v>2011</v>
      </c>
      <c r="I606" s="2" t="s">
        <v>4192</v>
      </c>
      <c r="J606" s="2" t="s">
        <v>3989</v>
      </c>
      <c r="K606" s="2" t="s">
        <v>3980</v>
      </c>
      <c r="L606" s="2"/>
      <c r="M606" s="4" t="s">
        <v>4195</v>
      </c>
      <c r="N606" s="2"/>
      <c r="O606" s="2"/>
      <c r="P606" s="2" t="s">
        <v>1843</v>
      </c>
      <c r="Q606" t="s">
        <v>1127</v>
      </c>
    </row>
    <row r="607" spans="1:17" ht="18" customHeight="1" x14ac:dyDescent="0.2">
      <c r="A607" s="64" t="s">
        <v>777</v>
      </c>
      <c r="B607" s="64" t="str">
        <f t="shared" si="38"/>
        <v>ch12f</v>
      </c>
      <c r="C607" s="64" t="s">
        <v>4182</v>
      </c>
      <c r="D607" s="64" t="s">
        <v>1838</v>
      </c>
      <c r="E607" s="64" t="s">
        <v>3988</v>
      </c>
      <c r="F607" s="2">
        <v>6</v>
      </c>
      <c r="G607" s="2" t="str">
        <f t="shared" ref="G607:G670" si="39">MID("abcdefghijklmnopqrstuvwxyz",F607,1)</f>
        <v>f</v>
      </c>
      <c r="H607" s="2">
        <v>2012</v>
      </c>
      <c r="I607" s="2" t="s">
        <v>4192</v>
      </c>
      <c r="J607" s="2" t="s">
        <v>3989</v>
      </c>
      <c r="K607" s="2" t="s">
        <v>3980</v>
      </c>
      <c r="L607" s="2"/>
      <c r="M607" s="4" t="s">
        <v>4195</v>
      </c>
      <c r="N607" s="2"/>
      <c r="O607" s="2"/>
      <c r="P607" s="2" t="s">
        <v>1843</v>
      </c>
      <c r="Q607" t="s">
        <v>1127</v>
      </c>
    </row>
    <row r="608" spans="1:17" ht="18" customHeight="1" x14ac:dyDescent="0.2">
      <c r="A608" s="64" t="s">
        <v>777</v>
      </c>
      <c r="B608" s="64" t="str">
        <f t="shared" si="38"/>
        <v>ch13g</v>
      </c>
      <c r="C608" s="64" t="s">
        <v>4182</v>
      </c>
      <c r="D608" s="64" t="s">
        <v>1838</v>
      </c>
      <c r="E608" s="64" t="s">
        <v>3988</v>
      </c>
      <c r="F608" s="2">
        <v>7</v>
      </c>
      <c r="G608" s="2" t="str">
        <f t="shared" si="39"/>
        <v>g</v>
      </c>
      <c r="H608" s="2">
        <v>2013</v>
      </c>
      <c r="I608" s="2" t="s">
        <v>4192</v>
      </c>
      <c r="J608" s="2" t="s">
        <v>3989</v>
      </c>
      <c r="K608" s="2" t="s">
        <v>3980</v>
      </c>
      <c r="L608" s="2"/>
      <c r="M608" s="4" t="s">
        <v>4195</v>
      </c>
      <c r="N608" s="2"/>
      <c r="O608" s="2"/>
      <c r="P608" s="2" t="s">
        <v>1843</v>
      </c>
      <c r="Q608" t="s">
        <v>1127</v>
      </c>
    </row>
    <row r="609" spans="1:17" ht="18" customHeight="1" x14ac:dyDescent="0.2">
      <c r="A609" s="64" t="s">
        <v>777</v>
      </c>
      <c r="B609" s="64" t="str">
        <f t="shared" si="38"/>
        <v>ch15h</v>
      </c>
      <c r="C609" s="64" t="s">
        <v>4182</v>
      </c>
      <c r="D609" s="64" t="s">
        <v>1838</v>
      </c>
      <c r="E609" s="64" t="s">
        <v>3988</v>
      </c>
      <c r="F609" s="2">
        <v>8</v>
      </c>
      <c r="G609" s="2" t="str">
        <f t="shared" si="39"/>
        <v>h</v>
      </c>
      <c r="H609" s="2">
        <v>2015</v>
      </c>
      <c r="I609" s="2" t="s">
        <v>4192</v>
      </c>
      <c r="J609" s="2" t="s">
        <v>3989</v>
      </c>
      <c r="K609" s="2" t="s">
        <v>3980</v>
      </c>
      <c r="L609" s="2"/>
      <c r="M609" s="4" t="s">
        <v>4195</v>
      </c>
      <c r="N609" s="2"/>
      <c r="O609" s="2"/>
      <c r="P609" s="2" t="s">
        <v>1843</v>
      </c>
      <c r="Q609" t="s">
        <v>1127</v>
      </c>
    </row>
    <row r="610" spans="1:17" ht="18" customHeight="1" x14ac:dyDescent="0.2">
      <c r="A610" s="64" t="s">
        <v>777</v>
      </c>
      <c r="B610" s="64" t="str">
        <f t="shared" si="38"/>
        <v>ch16i</v>
      </c>
      <c r="C610" s="64" t="s">
        <v>4182</v>
      </c>
      <c r="D610" s="64" t="s">
        <v>1838</v>
      </c>
      <c r="E610" s="64" t="s">
        <v>3988</v>
      </c>
      <c r="F610" s="2">
        <v>9</v>
      </c>
      <c r="G610" s="2" t="str">
        <f t="shared" si="39"/>
        <v>i</v>
      </c>
      <c r="H610" s="2">
        <v>2016</v>
      </c>
      <c r="I610" s="2" t="s">
        <v>4192</v>
      </c>
      <c r="J610" s="2" t="s">
        <v>3989</v>
      </c>
      <c r="K610" s="2" t="s">
        <v>3980</v>
      </c>
      <c r="L610" s="2"/>
      <c r="M610" s="4" t="s">
        <v>4195</v>
      </c>
      <c r="N610" s="2"/>
      <c r="O610" s="2"/>
      <c r="P610" s="2" t="s">
        <v>1843</v>
      </c>
      <c r="Q610" t="s">
        <v>1127</v>
      </c>
    </row>
    <row r="611" spans="1:17" ht="18" customHeight="1" x14ac:dyDescent="0.2">
      <c r="A611" s="64" t="s">
        <v>777</v>
      </c>
      <c r="B611" s="64" t="str">
        <f t="shared" ref="B611:B674" si="40">"ch" &amp; RIGHT(H611, 2) &amp; G611</f>
        <v>ch17j</v>
      </c>
      <c r="C611" s="64" t="s">
        <v>4182</v>
      </c>
      <c r="D611" s="64" t="s">
        <v>1838</v>
      </c>
      <c r="E611" s="64" t="s">
        <v>3988</v>
      </c>
      <c r="F611" s="2">
        <v>10</v>
      </c>
      <c r="G611" s="2" t="str">
        <f t="shared" si="39"/>
        <v>j</v>
      </c>
      <c r="H611" s="2">
        <v>2017</v>
      </c>
      <c r="I611" s="2" t="s">
        <v>4192</v>
      </c>
      <c r="J611" s="2" t="s">
        <v>3989</v>
      </c>
      <c r="K611" s="2" t="s">
        <v>3980</v>
      </c>
      <c r="L611" s="2"/>
      <c r="M611" s="4" t="s">
        <v>4195</v>
      </c>
      <c r="N611" s="2"/>
      <c r="O611" s="2"/>
      <c r="P611" s="2" t="s">
        <v>1843</v>
      </c>
      <c r="Q611" t="s">
        <v>1127</v>
      </c>
    </row>
    <row r="612" spans="1:17" ht="18" customHeight="1" x14ac:dyDescent="0.2">
      <c r="A612" s="64" t="s">
        <v>777</v>
      </c>
      <c r="B612" s="64" t="str">
        <f t="shared" si="40"/>
        <v>ch18k</v>
      </c>
      <c r="C612" s="64" t="s">
        <v>4182</v>
      </c>
      <c r="D612" s="64" t="s">
        <v>1838</v>
      </c>
      <c r="E612" s="64" t="s">
        <v>3988</v>
      </c>
      <c r="F612" s="2">
        <v>11</v>
      </c>
      <c r="G612" s="2" t="str">
        <f t="shared" si="39"/>
        <v>k</v>
      </c>
      <c r="H612" s="2">
        <v>2018</v>
      </c>
      <c r="I612" s="2" t="s">
        <v>4192</v>
      </c>
      <c r="J612" s="2" t="s">
        <v>3989</v>
      </c>
      <c r="K612" s="2" t="s">
        <v>3980</v>
      </c>
      <c r="L612" s="2"/>
      <c r="M612" s="4" t="s">
        <v>4195</v>
      </c>
      <c r="N612" s="2"/>
      <c r="O612" s="2"/>
      <c r="P612" s="2" t="s">
        <v>1843</v>
      </c>
      <c r="Q612" t="s">
        <v>1127</v>
      </c>
    </row>
    <row r="613" spans="1:17" ht="18" customHeight="1" x14ac:dyDescent="0.2">
      <c r="A613" s="64" t="s">
        <v>777</v>
      </c>
      <c r="B613" s="64" t="str">
        <f t="shared" si="40"/>
        <v>ch07a</v>
      </c>
      <c r="C613" s="64" t="s">
        <v>4182</v>
      </c>
      <c r="D613" s="64" t="s">
        <v>1838</v>
      </c>
      <c r="E613" s="64" t="s">
        <v>3990</v>
      </c>
      <c r="F613" s="2">
        <v>1</v>
      </c>
      <c r="G613" s="2" t="str">
        <f t="shared" si="39"/>
        <v>a</v>
      </c>
      <c r="H613" s="2">
        <v>2007</v>
      </c>
      <c r="I613" s="2" t="s">
        <v>4192</v>
      </c>
      <c r="J613" s="2" t="s">
        <v>3991</v>
      </c>
      <c r="K613" s="2" t="s">
        <v>3980</v>
      </c>
      <c r="L613" s="2"/>
      <c r="M613" s="4" t="s">
        <v>4195</v>
      </c>
      <c r="N613" s="2"/>
      <c r="O613" s="2"/>
      <c r="P613" s="2" t="s">
        <v>1843</v>
      </c>
      <c r="Q613" t="s">
        <v>1127</v>
      </c>
    </row>
    <row r="614" spans="1:17" ht="18" customHeight="1" x14ac:dyDescent="0.2">
      <c r="A614" s="64" t="s">
        <v>777</v>
      </c>
      <c r="B614" s="64" t="str">
        <f t="shared" si="40"/>
        <v>ch08b</v>
      </c>
      <c r="C614" s="64" t="s">
        <v>4182</v>
      </c>
      <c r="D614" s="64" t="s">
        <v>1838</v>
      </c>
      <c r="E614" s="64" t="s">
        <v>3990</v>
      </c>
      <c r="F614" s="2">
        <v>2</v>
      </c>
      <c r="G614" s="2" t="str">
        <f t="shared" si="39"/>
        <v>b</v>
      </c>
      <c r="H614" s="2">
        <v>2008</v>
      </c>
      <c r="I614" s="2" t="s">
        <v>4192</v>
      </c>
      <c r="J614" s="2" t="s">
        <v>3991</v>
      </c>
      <c r="K614" s="2" t="s">
        <v>3980</v>
      </c>
      <c r="L614" s="2"/>
      <c r="M614" s="4" t="s">
        <v>4195</v>
      </c>
      <c r="N614" s="2"/>
      <c r="O614" s="2"/>
      <c r="P614" s="2" t="s">
        <v>1843</v>
      </c>
      <c r="Q614" t="s">
        <v>1127</v>
      </c>
    </row>
    <row r="615" spans="1:17" ht="18" customHeight="1" x14ac:dyDescent="0.2">
      <c r="A615" s="64" t="s">
        <v>777</v>
      </c>
      <c r="B615" s="64" t="str">
        <f t="shared" si="40"/>
        <v>ch09c</v>
      </c>
      <c r="C615" s="64" t="s">
        <v>4182</v>
      </c>
      <c r="D615" s="64" t="s">
        <v>1838</v>
      </c>
      <c r="E615" s="64" t="s">
        <v>3990</v>
      </c>
      <c r="F615" s="2">
        <v>3</v>
      </c>
      <c r="G615" s="2" t="str">
        <f t="shared" si="39"/>
        <v>c</v>
      </c>
      <c r="H615" s="2">
        <v>2009</v>
      </c>
      <c r="I615" s="2" t="s">
        <v>4192</v>
      </c>
      <c r="J615" s="2" t="s">
        <v>3991</v>
      </c>
      <c r="K615" s="2" t="s">
        <v>3980</v>
      </c>
      <c r="L615" s="2"/>
      <c r="M615" s="4" t="s">
        <v>4195</v>
      </c>
      <c r="N615" s="2"/>
      <c r="O615" s="2"/>
      <c r="P615" s="2" t="s">
        <v>1843</v>
      </c>
      <c r="Q615" t="s">
        <v>1127</v>
      </c>
    </row>
    <row r="616" spans="1:17" ht="18" customHeight="1" x14ac:dyDescent="0.2">
      <c r="A616" s="64" t="s">
        <v>777</v>
      </c>
      <c r="B616" s="64" t="str">
        <f t="shared" si="40"/>
        <v>ch10d</v>
      </c>
      <c r="C616" s="64" t="s">
        <v>4182</v>
      </c>
      <c r="D616" s="64" t="s">
        <v>1838</v>
      </c>
      <c r="E616" s="64" t="s">
        <v>3990</v>
      </c>
      <c r="F616" s="2">
        <v>4</v>
      </c>
      <c r="G616" s="2" t="str">
        <f t="shared" si="39"/>
        <v>d</v>
      </c>
      <c r="H616" s="2">
        <v>2010</v>
      </c>
      <c r="I616" s="2" t="s">
        <v>4192</v>
      </c>
      <c r="J616" s="2" t="s">
        <v>3991</v>
      </c>
      <c r="K616" s="2" t="s">
        <v>3980</v>
      </c>
      <c r="L616" s="2"/>
      <c r="M616" s="4" t="s">
        <v>4195</v>
      </c>
      <c r="N616" s="2"/>
      <c r="O616" s="2"/>
      <c r="P616" s="2" t="s">
        <v>1843</v>
      </c>
      <c r="Q616" t="s">
        <v>1127</v>
      </c>
    </row>
    <row r="617" spans="1:17" ht="18" customHeight="1" x14ac:dyDescent="0.2">
      <c r="A617" s="64" t="s">
        <v>777</v>
      </c>
      <c r="B617" s="64" t="str">
        <f t="shared" si="40"/>
        <v>ch11e</v>
      </c>
      <c r="C617" s="64" t="s">
        <v>4182</v>
      </c>
      <c r="D617" s="64" t="s">
        <v>1838</v>
      </c>
      <c r="E617" s="64" t="s">
        <v>3990</v>
      </c>
      <c r="F617" s="2">
        <v>5</v>
      </c>
      <c r="G617" s="2" t="str">
        <f t="shared" si="39"/>
        <v>e</v>
      </c>
      <c r="H617" s="2">
        <v>2011</v>
      </c>
      <c r="I617" s="2" t="s">
        <v>4192</v>
      </c>
      <c r="J617" s="2" t="s">
        <v>3991</v>
      </c>
      <c r="K617" s="2" t="s">
        <v>3980</v>
      </c>
      <c r="L617" s="2"/>
      <c r="M617" s="4" t="s">
        <v>4195</v>
      </c>
      <c r="N617" s="2"/>
      <c r="O617" s="2"/>
      <c r="P617" s="2" t="s">
        <v>1843</v>
      </c>
      <c r="Q617" t="s">
        <v>1127</v>
      </c>
    </row>
    <row r="618" spans="1:17" ht="18" customHeight="1" x14ac:dyDescent="0.2">
      <c r="A618" s="64" t="s">
        <v>777</v>
      </c>
      <c r="B618" s="64" t="str">
        <f t="shared" si="40"/>
        <v>ch12f</v>
      </c>
      <c r="C618" s="64" t="s">
        <v>4182</v>
      </c>
      <c r="D618" s="64" t="s">
        <v>1838</v>
      </c>
      <c r="E618" s="64" t="s">
        <v>3990</v>
      </c>
      <c r="F618" s="2">
        <v>6</v>
      </c>
      <c r="G618" s="2" t="str">
        <f t="shared" si="39"/>
        <v>f</v>
      </c>
      <c r="H618" s="2">
        <v>2012</v>
      </c>
      <c r="I618" s="2" t="s">
        <v>4192</v>
      </c>
      <c r="J618" s="2" t="s">
        <v>3991</v>
      </c>
      <c r="K618" s="2" t="s">
        <v>3980</v>
      </c>
      <c r="L618" s="2"/>
      <c r="M618" s="4" t="s">
        <v>4195</v>
      </c>
      <c r="N618" s="2"/>
      <c r="O618" s="2"/>
      <c r="P618" s="2" t="s">
        <v>1843</v>
      </c>
      <c r="Q618" t="s">
        <v>1127</v>
      </c>
    </row>
    <row r="619" spans="1:17" ht="18" customHeight="1" x14ac:dyDescent="0.2">
      <c r="A619" s="64" t="s">
        <v>777</v>
      </c>
      <c r="B619" s="64" t="str">
        <f t="shared" si="40"/>
        <v>ch13g</v>
      </c>
      <c r="C619" s="64" t="s">
        <v>4182</v>
      </c>
      <c r="D619" s="64" t="s">
        <v>1838</v>
      </c>
      <c r="E619" s="64" t="s">
        <v>3990</v>
      </c>
      <c r="F619" s="2">
        <v>7</v>
      </c>
      <c r="G619" s="2" t="str">
        <f t="shared" si="39"/>
        <v>g</v>
      </c>
      <c r="H619" s="2">
        <v>2013</v>
      </c>
      <c r="I619" s="2" t="s">
        <v>4192</v>
      </c>
      <c r="J619" s="2" t="s">
        <v>3991</v>
      </c>
      <c r="K619" s="2" t="s">
        <v>3980</v>
      </c>
      <c r="L619" s="2"/>
      <c r="M619" s="4" t="s">
        <v>4195</v>
      </c>
      <c r="N619" s="2"/>
      <c r="O619" s="2"/>
      <c r="P619" s="2" t="s">
        <v>1843</v>
      </c>
      <c r="Q619" t="s">
        <v>1127</v>
      </c>
    </row>
    <row r="620" spans="1:17" ht="18" customHeight="1" x14ac:dyDescent="0.2">
      <c r="A620" s="64" t="s">
        <v>777</v>
      </c>
      <c r="B620" s="64" t="str">
        <f t="shared" si="40"/>
        <v>ch15h</v>
      </c>
      <c r="C620" s="64" t="s">
        <v>4182</v>
      </c>
      <c r="D620" s="64" t="s">
        <v>1838</v>
      </c>
      <c r="E620" s="64" t="s">
        <v>3990</v>
      </c>
      <c r="F620" s="2">
        <v>8</v>
      </c>
      <c r="G620" s="2" t="str">
        <f t="shared" si="39"/>
        <v>h</v>
      </c>
      <c r="H620" s="2">
        <v>2015</v>
      </c>
      <c r="I620" s="2" t="s">
        <v>4192</v>
      </c>
      <c r="J620" s="2" t="s">
        <v>3991</v>
      </c>
      <c r="K620" s="2" t="s">
        <v>3980</v>
      </c>
      <c r="L620" s="2"/>
      <c r="M620" s="4" t="s">
        <v>4195</v>
      </c>
      <c r="N620" s="2"/>
      <c r="O620" s="2"/>
      <c r="P620" s="2" t="s">
        <v>1843</v>
      </c>
      <c r="Q620" t="s">
        <v>1127</v>
      </c>
    </row>
    <row r="621" spans="1:17" ht="18" customHeight="1" x14ac:dyDescent="0.2">
      <c r="A621" s="64" t="s">
        <v>777</v>
      </c>
      <c r="B621" s="64" t="str">
        <f t="shared" si="40"/>
        <v>ch16i</v>
      </c>
      <c r="C621" s="64" t="s">
        <v>4182</v>
      </c>
      <c r="D621" s="64" t="s">
        <v>1838</v>
      </c>
      <c r="E621" s="64" t="s">
        <v>3990</v>
      </c>
      <c r="F621" s="2">
        <v>9</v>
      </c>
      <c r="G621" s="2" t="str">
        <f t="shared" si="39"/>
        <v>i</v>
      </c>
      <c r="H621" s="2">
        <v>2016</v>
      </c>
      <c r="I621" s="2" t="s">
        <v>4192</v>
      </c>
      <c r="J621" s="2" t="s">
        <v>3991</v>
      </c>
      <c r="K621" s="2" t="s">
        <v>3980</v>
      </c>
      <c r="L621" s="2"/>
      <c r="M621" s="4" t="s">
        <v>4195</v>
      </c>
      <c r="N621" s="2"/>
      <c r="O621" s="2"/>
      <c r="P621" s="2" t="s">
        <v>1843</v>
      </c>
      <c r="Q621" t="s">
        <v>1127</v>
      </c>
    </row>
    <row r="622" spans="1:17" ht="18" customHeight="1" x14ac:dyDescent="0.2">
      <c r="A622" s="64" t="s">
        <v>777</v>
      </c>
      <c r="B622" s="64" t="str">
        <f t="shared" si="40"/>
        <v>ch17j</v>
      </c>
      <c r="C622" s="64" t="s">
        <v>4182</v>
      </c>
      <c r="D622" s="64" t="s">
        <v>1838</v>
      </c>
      <c r="E622" s="64" t="s">
        <v>3990</v>
      </c>
      <c r="F622" s="2">
        <v>10</v>
      </c>
      <c r="G622" s="2" t="str">
        <f t="shared" si="39"/>
        <v>j</v>
      </c>
      <c r="H622" s="2">
        <v>2017</v>
      </c>
      <c r="I622" s="2" t="s">
        <v>4192</v>
      </c>
      <c r="J622" s="2" t="s">
        <v>3991</v>
      </c>
      <c r="K622" s="2" t="s">
        <v>3980</v>
      </c>
      <c r="L622" s="2"/>
      <c r="M622" s="4" t="s">
        <v>4195</v>
      </c>
      <c r="N622" s="2"/>
      <c r="O622" s="2"/>
      <c r="P622" s="2" t="s">
        <v>1843</v>
      </c>
      <c r="Q622" t="s">
        <v>1127</v>
      </c>
    </row>
    <row r="623" spans="1:17" ht="18" customHeight="1" x14ac:dyDescent="0.2">
      <c r="A623" s="64" t="s">
        <v>777</v>
      </c>
      <c r="B623" s="64" t="str">
        <f t="shared" si="40"/>
        <v>ch18k</v>
      </c>
      <c r="C623" s="64" t="s">
        <v>4182</v>
      </c>
      <c r="D623" s="64" t="s">
        <v>1838</v>
      </c>
      <c r="E623" s="64" t="s">
        <v>3990</v>
      </c>
      <c r="F623" s="2">
        <v>11</v>
      </c>
      <c r="G623" s="2" t="str">
        <f t="shared" si="39"/>
        <v>k</v>
      </c>
      <c r="H623" s="2">
        <v>2018</v>
      </c>
      <c r="I623" s="2" t="s">
        <v>4192</v>
      </c>
      <c r="J623" s="2" t="s">
        <v>3991</v>
      </c>
      <c r="K623" s="2" t="s">
        <v>3980</v>
      </c>
      <c r="L623" s="2"/>
      <c r="M623" s="4" t="s">
        <v>4195</v>
      </c>
      <c r="N623" s="2"/>
      <c r="O623" s="2"/>
      <c r="P623" s="2" t="s">
        <v>1843</v>
      </c>
      <c r="Q623" t="s">
        <v>1127</v>
      </c>
    </row>
    <row r="624" spans="1:17" ht="18" customHeight="1" x14ac:dyDescent="0.2">
      <c r="A624" s="64" t="s">
        <v>777</v>
      </c>
      <c r="B624" s="64" t="str">
        <f t="shared" si="40"/>
        <v>ch07a</v>
      </c>
      <c r="C624" s="64" t="s">
        <v>4182</v>
      </c>
      <c r="D624" s="64" t="s">
        <v>1838</v>
      </c>
      <c r="E624" s="64" t="s">
        <v>3992</v>
      </c>
      <c r="F624" s="2">
        <v>1</v>
      </c>
      <c r="G624" s="2" t="str">
        <f t="shared" si="39"/>
        <v>a</v>
      </c>
      <c r="H624" s="2">
        <v>2007</v>
      </c>
      <c r="I624" s="2" t="s">
        <v>4192</v>
      </c>
      <c r="J624" s="2" t="s">
        <v>3993</v>
      </c>
      <c r="K624" s="2" t="s">
        <v>3980</v>
      </c>
      <c r="L624" s="2"/>
      <c r="M624" s="4" t="s">
        <v>4195</v>
      </c>
      <c r="N624" s="2"/>
      <c r="O624" s="2"/>
      <c r="P624" s="2" t="s">
        <v>1843</v>
      </c>
      <c r="Q624" t="s">
        <v>1127</v>
      </c>
    </row>
    <row r="625" spans="1:17" ht="18" customHeight="1" x14ac:dyDescent="0.2">
      <c r="A625" s="64" t="s">
        <v>777</v>
      </c>
      <c r="B625" s="64" t="str">
        <f t="shared" si="40"/>
        <v>ch08b</v>
      </c>
      <c r="C625" s="64" t="s">
        <v>4182</v>
      </c>
      <c r="D625" s="64" t="s">
        <v>1838</v>
      </c>
      <c r="E625" s="64" t="s">
        <v>3992</v>
      </c>
      <c r="F625" s="2">
        <v>2</v>
      </c>
      <c r="G625" s="2" t="str">
        <f t="shared" si="39"/>
        <v>b</v>
      </c>
      <c r="H625" s="2">
        <v>2008</v>
      </c>
      <c r="I625" s="2" t="s">
        <v>4192</v>
      </c>
      <c r="J625" s="2" t="s">
        <v>3993</v>
      </c>
      <c r="K625" s="2" t="s">
        <v>3980</v>
      </c>
      <c r="L625" s="2"/>
      <c r="M625" s="4" t="s">
        <v>4195</v>
      </c>
      <c r="N625" s="2"/>
      <c r="O625" s="2"/>
      <c r="P625" s="2" t="s">
        <v>1843</v>
      </c>
      <c r="Q625" t="s">
        <v>1127</v>
      </c>
    </row>
    <row r="626" spans="1:17" ht="18" customHeight="1" x14ac:dyDescent="0.2">
      <c r="A626" s="64" t="s">
        <v>777</v>
      </c>
      <c r="B626" s="64" t="str">
        <f t="shared" si="40"/>
        <v>ch09c</v>
      </c>
      <c r="C626" s="64" t="s">
        <v>4182</v>
      </c>
      <c r="D626" s="64" t="s">
        <v>1838</v>
      </c>
      <c r="E626" s="64" t="s">
        <v>3992</v>
      </c>
      <c r="F626" s="2">
        <v>3</v>
      </c>
      <c r="G626" s="2" t="str">
        <f t="shared" si="39"/>
        <v>c</v>
      </c>
      <c r="H626" s="2">
        <v>2009</v>
      </c>
      <c r="I626" s="2" t="s">
        <v>4192</v>
      </c>
      <c r="J626" s="2" t="s">
        <v>3993</v>
      </c>
      <c r="K626" s="2" t="s">
        <v>3980</v>
      </c>
      <c r="L626" s="2"/>
      <c r="M626" s="4" t="s">
        <v>4195</v>
      </c>
      <c r="N626" s="2"/>
      <c r="O626" s="2"/>
      <c r="P626" s="2" t="s">
        <v>1843</v>
      </c>
      <c r="Q626" t="s">
        <v>1127</v>
      </c>
    </row>
    <row r="627" spans="1:17" ht="18" customHeight="1" x14ac:dyDescent="0.2">
      <c r="A627" s="64" t="s">
        <v>777</v>
      </c>
      <c r="B627" s="64" t="str">
        <f t="shared" si="40"/>
        <v>ch10d</v>
      </c>
      <c r="C627" s="64" t="s">
        <v>4182</v>
      </c>
      <c r="D627" s="64" t="s">
        <v>1838</v>
      </c>
      <c r="E627" s="64" t="s">
        <v>3992</v>
      </c>
      <c r="F627" s="2">
        <v>4</v>
      </c>
      <c r="G627" s="2" t="str">
        <f t="shared" si="39"/>
        <v>d</v>
      </c>
      <c r="H627" s="2">
        <v>2010</v>
      </c>
      <c r="I627" s="2" t="s">
        <v>4192</v>
      </c>
      <c r="J627" s="2" t="s">
        <v>3993</v>
      </c>
      <c r="K627" s="2" t="s">
        <v>3980</v>
      </c>
      <c r="L627" s="2"/>
      <c r="M627" s="4" t="s">
        <v>4195</v>
      </c>
      <c r="N627" s="2"/>
      <c r="O627" s="2"/>
      <c r="P627" s="2" t="s">
        <v>1843</v>
      </c>
      <c r="Q627" t="s">
        <v>1127</v>
      </c>
    </row>
    <row r="628" spans="1:17" ht="18" customHeight="1" x14ac:dyDescent="0.2">
      <c r="A628" s="64" t="s">
        <v>777</v>
      </c>
      <c r="B628" s="64" t="str">
        <f t="shared" si="40"/>
        <v>ch11e</v>
      </c>
      <c r="C628" s="64" t="s">
        <v>4182</v>
      </c>
      <c r="D628" s="64" t="s">
        <v>1838</v>
      </c>
      <c r="E628" s="64" t="s">
        <v>3992</v>
      </c>
      <c r="F628" s="2">
        <v>5</v>
      </c>
      <c r="G628" s="2" t="str">
        <f t="shared" si="39"/>
        <v>e</v>
      </c>
      <c r="H628" s="2">
        <v>2011</v>
      </c>
      <c r="I628" s="2" t="s">
        <v>4192</v>
      </c>
      <c r="J628" s="2" t="s">
        <v>3993</v>
      </c>
      <c r="K628" s="2" t="s">
        <v>3980</v>
      </c>
      <c r="L628" s="2"/>
      <c r="M628" s="4" t="s">
        <v>4195</v>
      </c>
      <c r="N628" s="2"/>
      <c r="O628" s="2"/>
      <c r="P628" s="2" t="s">
        <v>1843</v>
      </c>
      <c r="Q628" t="s">
        <v>1127</v>
      </c>
    </row>
    <row r="629" spans="1:17" ht="18" customHeight="1" x14ac:dyDescent="0.2">
      <c r="A629" s="64" t="s">
        <v>777</v>
      </c>
      <c r="B629" s="64" t="str">
        <f t="shared" si="40"/>
        <v>ch12f</v>
      </c>
      <c r="C629" s="64" t="s">
        <v>4182</v>
      </c>
      <c r="D629" s="64" t="s">
        <v>1838</v>
      </c>
      <c r="E629" s="64" t="s">
        <v>3992</v>
      </c>
      <c r="F629" s="2">
        <v>6</v>
      </c>
      <c r="G629" s="2" t="str">
        <f t="shared" si="39"/>
        <v>f</v>
      </c>
      <c r="H629" s="2">
        <v>2012</v>
      </c>
      <c r="I629" s="2" t="s">
        <v>4192</v>
      </c>
      <c r="J629" s="2" t="s">
        <v>3993</v>
      </c>
      <c r="K629" s="2" t="s">
        <v>3980</v>
      </c>
      <c r="L629" s="2"/>
      <c r="M629" s="4" t="s">
        <v>4195</v>
      </c>
      <c r="N629" s="2"/>
      <c r="O629" s="2"/>
      <c r="P629" s="2" t="s">
        <v>1843</v>
      </c>
      <c r="Q629" t="s">
        <v>1127</v>
      </c>
    </row>
    <row r="630" spans="1:17" ht="18" customHeight="1" x14ac:dyDescent="0.2">
      <c r="A630" s="64" t="s">
        <v>777</v>
      </c>
      <c r="B630" s="64" t="str">
        <f t="shared" si="40"/>
        <v>ch13g</v>
      </c>
      <c r="C630" s="64" t="s">
        <v>4182</v>
      </c>
      <c r="D630" s="64" t="s">
        <v>1838</v>
      </c>
      <c r="E630" s="64" t="s">
        <v>3992</v>
      </c>
      <c r="F630" s="2">
        <v>7</v>
      </c>
      <c r="G630" s="2" t="str">
        <f t="shared" si="39"/>
        <v>g</v>
      </c>
      <c r="H630" s="2">
        <v>2013</v>
      </c>
      <c r="I630" s="2" t="s">
        <v>4192</v>
      </c>
      <c r="J630" s="2" t="s">
        <v>3993</v>
      </c>
      <c r="K630" s="2" t="s">
        <v>3980</v>
      </c>
      <c r="L630" s="2"/>
      <c r="M630" s="4" t="s">
        <v>4195</v>
      </c>
      <c r="N630" s="2"/>
      <c r="O630" s="2"/>
      <c r="P630" s="2" t="s">
        <v>1843</v>
      </c>
      <c r="Q630" t="s">
        <v>1127</v>
      </c>
    </row>
    <row r="631" spans="1:17" ht="18" customHeight="1" x14ac:dyDescent="0.2">
      <c r="A631" s="64" t="s">
        <v>777</v>
      </c>
      <c r="B631" s="64" t="str">
        <f t="shared" si="40"/>
        <v>ch15h</v>
      </c>
      <c r="C631" s="64" t="s">
        <v>4182</v>
      </c>
      <c r="D631" s="64" t="s">
        <v>1838</v>
      </c>
      <c r="E631" s="64" t="s">
        <v>3992</v>
      </c>
      <c r="F631" s="2">
        <v>8</v>
      </c>
      <c r="G631" s="2" t="str">
        <f t="shared" si="39"/>
        <v>h</v>
      </c>
      <c r="H631" s="2">
        <v>2015</v>
      </c>
      <c r="I631" s="2" t="s">
        <v>4192</v>
      </c>
      <c r="J631" s="2" t="s">
        <v>3993</v>
      </c>
      <c r="K631" s="2" t="s">
        <v>3980</v>
      </c>
      <c r="L631" s="2"/>
      <c r="M631" s="4" t="s">
        <v>4195</v>
      </c>
      <c r="N631" s="2"/>
      <c r="O631" s="2"/>
      <c r="P631" s="2" t="s">
        <v>1843</v>
      </c>
      <c r="Q631" t="s">
        <v>1127</v>
      </c>
    </row>
    <row r="632" spans="1:17" ht="18" customHeight="1" x14ac:dyDescent="0.2">
      <c r="A632" s="64" t="s">
        <v>777</v>
      </c>
      <c r="B632" s="64" t="str">
        <f t="shared" si="40"/>
        <v>ch16i</v>
      </c>
      <c r="C632" s="64" t="s">
        <v>4182</v>
      </c>
      <c r="D632" s="64" t="s">
        <v>1838</v>
      </c>
      <c r="E632" s="64" t="s">
        <v>3992</v>
      </c>
      <c r="F632" s="2">
        <v>9</v>
      </c>
      <c r="G632" s="2" t="str">
        <f t="shared" si="39"/>
        <v>i</v>
      </c>
      <c r="H632" s="2">
        <v>2016</v>
      </c>
      <c r="I632" s="2" t="s">
        <v>4192</v>
      </c>
      <c r="J632" s="2" t="s">
        <v>3993</v>
      </c>
      <c r="K632" s="2" t="s">
        <v>3980</v>
      </c>
      <c r="L632" s="2"/>
      <c r="M632" s="4" t="s">
        <v>4195</v>
      </c>
      <c r="N632" s="2"/>
      <c r="O632" s="2"/>
      <c r="P632" s="2" t="s">
        <v>1843</v>
      </c>
      <c r="Q632" t="s">
        <v>1127</v>
      </c>
    </row>
    <row r="633" spans="1:17" ht="18" customHeight="1" x14ac:dyDescent="0.2">
      <c r="A633" s="64" t="s">
        <v>777</v>
      </c>
      <c r="B633" s="64" t="str">
        <f t="shared" si="40"/>
        <v>ch17j</v>
      </c>
      <c r="C633" s="64" t="s">
        <v>4182</v>
      </c>
      <c r="D633" s="64" t="s">
        <v>1838</v>
      </c>
      <c r="E633" s="64" t="s">
        <v>3992</v>
      </c>
      <c r="F633" s="2">
        <v>10</v>
      </c>
      <c r="G633" s="2" t="str">
        <f t="shared" si="39"/>
        <v>j</v>
      </c>
      <c r="H633" s="2">
        <v>2017</v>
      </c>
      <c r="I633" s="2" t="s">
        <v>4192</v>
      </c>
      <c r="J633" s="2" t="s">
        <v>3993</v>
      </c>
      <c r="K633" s="2" t="s">
        <v>3980</v>
      </c>
      <c r="L633" s="2"/>
      <c r="M633" s="4" t="s">
        <v>4195</v>
      </c>
      <c r="N633" s="2"/>
      <c r="O633" s="2"/>
      <c r="P633" s="2" t="s">
        <v>1843</v>
      </c>
      <c r="Q633" t="s">
        <v>1127</v>
      </c>
    </row>
    <row r="634" spans="1:17" ht="18" customHeight="1" x14ac:dyDescent="0.2">
      <c r="A634" s="64" t="s">
        <v>777</v>
      </c>
      <c r="B634" s="64" t="str">
        <f t="shared" si="40"/>
        <v>ch18k</v>
      </c>
      <c r="C634" s="64" t="s">
        <v>4182</v>
      </c>
      <c r="D634" s="64" t="s">
        <v>1838</v>
      </c>
      <c r="E634" s="64" t="s">
        <v>3992</v>
      </c>
      <c r="F634" s="2">
        <v>11</v>
      </c>
      <c r="G634" s="2" t="str">
        <f t="shared" si="39"/>
        <v>k</v>
      </c>
      <c r="H634" s="2">
        <v>2018</v>
      </c>
      <c r="I634" s="2" t="s">
        <v>4192</v>
      </c>
      <c r="J634" s="2" t="s">
        <v>3993</v>
      </c>
      <c r="K634" s="2" t="s">
        <v>3980</v>
      </c>
      <c r="L634" s="2"/>
      <c r="M634" s="4" t="s">
        <v>4195</v>
      </c>
      <c r="N634" s="2"/>
      <c r="O634" s="2"/>
      <c r="P634" s="2" t="s">
        <v>1843</v>
      </c>
      <c r="Q634" t="s">
        <v>1127</v>
      </c>
    </row>
    <row r="635" spans="1:17" ht="18" customHeight="1" x14ac:dyDescent="0.2">
      <c r="A635" s="64" t="s">
        <v>777</v>
      </c>
      <c r="B635" s="64" t="str">
        <f t="shared" si="40"/>
        <v>ch07a</v>
      </c>
      <c r="C635" s="64" t="s">
        <v>4182</v>
      </c>
      <c r="D635" s="64" t="s">
        <v>1838</v>
      </c>
      <c r="E635" s="64" t="s">
        <v>3994</v>
      </c>
      <c r="F635" s="2">
        <v>1</v>
      </c>
      <c r="G635" s="2" t="str">
        <f t="shared" si="39"/>
        <v>a</v>
      </c>
      <c r="H635" s="2">
        <v>2007</v>
      </c>
      <c r="I635" s="2" t="s">
        <v>4192</v>
      </c>
      <c r="J635" s="2" t="s">
        <v>3995</v>
      </c>
      <c r="K635" s="2" t="s">
        <v>3980</v>
      </c>
      <c r="L635" s="2"/>
      <c r="M635" s="4" t="s">
        <v>4195</v>
      </c>
      <c r="N635" s="2"/>
      <c r="O635" s="2"/>
      <c r="P635" s="2" t="s">
        <v>1843</v>
      </c>
      <c r="Q635" t="s">
        <v>1127</v>
      </c>
    </row>
    <row r="636" spans="1:17" ht="18" customHeight="1" x14ac:dyDescent="0.2">
      <c r="A636" s="64" t="s">
        <v>777</v>
      </c>
      <c r="B636" s="64" t="str">
        <f t="shared" si="40"/>
        <v>ch08b</v>
      </c>
      <c r="C636" s="64" t="s">
        <v>4182</v>
      </c>
      <c r="D636" s="64" t="s">
        <v>1838</v>
      </c>
      <c r="E636" s="64" t="s">
        <v>3994</v>
      </c>
      <c r="F636" s="2">
        <v>2</v>
      </c>
      <c r="G636" s="2" t="str">
        <f t="shared" si="39"/>
        <v>b</v>
      </c>
      <c r="H636" s="2">
        <v>2008</v>
      </c>
      <c r="I636" s="2" t="s">
        <v>4192</v>
      </c>
      <c r="J636" s="2" t="s">
        <v>3995</v>
      </c>
      <c r="K636" s="2" t="s">
        <v>3980</v>
      </c>
      <c r="L636" s="2"/>
      <c r="M636" s="4" t="s">
        <v>4195</v>
      </c>
      <c r="N636" s="2"/>
      <c r="O636" s="2"/>
      <c r="P636" s="2" t="s">
        <v>1843</v>
      </c>
      <c r="Q636" t="s">
        <v>1127</v>
      </c>
    </row>
    <row r="637" spans="1:17" ht="18" customHeight="1" x14ac:dyDescent="0.2">
      <c r="A637" s="64" t="s">
        <v>777</v>
      </c>
      <c r="B637" s="64" t="str">
        <f t="shared" si="40"/>
        <v>ch09c</v>
      </c>
      <c r="C637" s="64" t="s">
        <v>4182</v>
      </c>
      <c r="D637" s="64" t="s">
        <v>1838</v>
      </c>
      <c r="E637" s="64" t="s">
        <v>3994</v>
      </c>
      <c r="F637" s="2">
        <v>3</v>
      </c>
      <c r="G637" s="2" t="str">
        <f t="shared" si="39"/>
        <v>c</v>
      </c>
      <c r="H637" s="2">
        <v>2009</v>
      </c>
      <c r="I637" s="2" t="s">
        <v>4192</v>
      </c>
      <c r="J637" s="2" t="s">
        <v>3995</v>
      </c>
      <c r="K637" s="2" t="s">
        <v>3980</v>
      </c>
      <c r="L637" s="2"/>
      <c r="M637" s="4" t="s">
        <v>4195</v>
      </c>
      <c r="N637" s="2"/>
      <c r="O637" s="2"/>
      <c r="P637" s="2" t="s">
        <v>1843</v>
      </c>
      <c r="Q637" t="s">
        <v>1127</v>
      </c>
    </row>
    <row r="638" spans="1:17" ht="18" customHeight="1" x14ac:dyDescent="0.2">
      <c r="A638" s="64" t="s">
        <v>777</v>
      </c>
      <c r="B638" s="64" t="str">
        <f t="shared" si="40"/>
        <v>ch10d</v>
      </c>
      <c r="C638" s="64" t="s">
        <v>4182</v>
      </c>
      <c r="D638" s="64" t="s">
        <v>1838</v>
      </c>
      <c r="E638" s="64" t="s">
        <v>3994</v>
      </c>
      <c r="F638" s="2">
        <v>4</v>
      </c>
      <c r="G638" s="2" t="str">
        <f t="shared" si="39"/>
        <v>d</v>
      </c>
      <c r="H638" s="2">
        <v>2010</v>
      </c>
      <c r="I638" s="2" t="s">
        <v>4192</v>
      </c>
      <c r="J638" s="2" t="s">
        <v>3995</v>
      </c>
      <c r="K638" s="2" t="s">
        <v>3980</v>
      </c>
      <c r="L638" s="2"/>
      <c r="M638" s="4" t="s">
        <v>4195</v>
      </c>
      <c r="N638" s="2"/>
      <c r="O638" s="2"/>
      <c r="P638" s="2" t="s">
        <v>1843</v>
      </c>
      <c r="Q638" t="s">
        <v>1127</v>
      </c>
    </row>
    <row r="639" spans="1:17" ht="18" customHeight="1" x14ac:dyDescent="0.2">
      <c r="A639" s="64" t="s">
        <v>777</v>
      </c>
      <c r="B639" s="64" t="str">
        <f t="shared" si="40"/>
        <v>ch11e</v>
      </c>
      <c r="C639" s="64" t="s">
        <v>4182</v>
      </c>
      <c r="D639" s="64" t="s">
        <v>1838</v>
      </c>
      <c r="E639" s="64" t="s">
        <v>3994</v>
      </c>
      <c r="F639" s="2">
        <v>5</v>
      </c>
      <c r="G639" s="2" t="str">
        <f t="shared" si="39"/>
        <v>e</v>
      </c>
      <c r="H639" s="2">
        <v>2011</v>
      </c>
      <c r="I639" s="2" t="s">
        <v>4192</v>
      </c>
      <c r="J639" s="2" t="s">
        <v>3995</v>
      </c>
      <c r="K639" s="2" t="s">
        <v>3980</v>
      </c>
      <c r="L639" s="2"/>
      <c r="M639" s="4" t="s">
        <v>4195</v>
      </c>
      <c r="N639" s="2"/>
      <c r="O639" s="2"/>
      <c r="P639" s="2" t="s">
        <v>1843</v>
      </c>
      <c r="Q639" t="s">
        <v>1127</v>
      </c>
    </row>
    <row r="640" spans="1:17" ht="18" customHeight="1" x14ac:dyDescent="0.2">
      <c r="A640" s="64" t="s">
        <v>777</v>
      </c>
      <c r="B640" s="64" t="str">
        <f t="shared" si="40"/>
        <v>ch12f</v>
      </c>
      <c r="C640" s="64" t="s">
        <v>4182</v>
      </c>
      <c r="D640" s="64" t="s">
        <v>1838</v>
      </c>
      <c r="E640" s="64" t="s">
        <v>3994</v>
      </c>
      <c r="F640" s="2">
        <v>6</v>
      </c>
      <c r="G640" s="2" t="str">
        <f t="shared" si="39"/>
        <v>f</v>
      </c>
      <c r="H640" s="2">
        <v>2012</v>
      </c>
      <c r="I640" s="2" t="s">
        <v>4192</v>
      </c>
      <c r="J640" s="2" t="s">
        <v>3995</v>
      </c>
      <c r="K640" s="2" t="s">
        <v>3980</v>
      </c>
      <c r="L640" s="2"/>
      <c r="M640" s="4" t="s">
        <v>4195</v>
      </c>
      <c r="N640" s="2"/>
      <c r="O640" s="2"/>
      <c r="P640" s="2" t="s">
        <v>1843</v>
      </c>
      <c r="Q640" t="s">
        <v>1127</v>
      </c>
    </row>
    <row r="641" spans="1:17" ht="18" customHeight="1" x14ac:dyDescent="0.2">
      <c r="A641" s="64" t="s">
        <v>777</v>
      </c>
      <c r="B641" s="64" t="str">
        <f t="shared" si="40"/>
        <v>ch13g</v>
      </c>
      <c r="C641" s="64" t="s">
        <v>4182</v>
      </c>
      <c r="D641" s="64" t="s">
        <v>1838</v>
      </c>
      <c r="E641" s="64" t="s">
        <v>3994</v>
      </c>
      <c r="F641" s="2">
        <v>7</v>
      </c>
      <c r="G641" s="2" t="str">
        <f t="shared" si="39"/>
        <v>g</v>
      </c>
      <c r="H641" s="2">
        <v>2013</v>
      </c>
      <c r="I641" s="2" t="s">
        <v>4192</v>
      </c>
      <c r="J641" s="2" t="s">
        <v>3995</v>
      </c>
      <c r="K641" s="2" t="s">
        <v>3980</v>
      </c>
      <c r="L641" s="2"/>
      <c r="M641" s="4" t="s">
        <v>4195</v>
      </c>
      <c r="N641" s="2"/>
      <c r="O641" s="2"/>
      <c r="P641" s="2" t="s">
        <v>1843</v>
      </c>
      <c r="Q641" t="s">
        <v>1127</v>
      </c>
    </row>
    <row r="642" spans="1:17" ht="18" customHeight="1" x14ac:dyDescent="0.2">
      <c r="A642" s="64" t="s">
        <v>777</v>
      </c>
      <c r="B642" s="64" t="str">
        <f t="shared" si="40"/>
        <v>ch15h</v>
      </c>
      <c r="C642" s="64" t="s">
        <v>4182</v>
      </c>
      <c r="D642" s="64" t="s">
        <v>1838</v>
      </c>
      <c r="E642" s="64" t="s">
        <v>3994</v>
      </c>
      <c r="F642" s="2">
        <v>8</v>
      </c>
      <c r="G642" s="2" t="str">
        <f t="shared" si="39"/>
        <v>h</v>
      </c>
      <c r="H642" s="2">
        <v>2015</v>
      </c>
      <c r="I642" s="2" t="s">
        <v>4192</v>
      </c>
      <c r="J642" s="2" t="s">
        <v>3995</v>
      </c>
      <c r="K642" s="2" t="s">
        <v>3980</v>
      </c>
      <c r="L642" s="2"/>
      <c r="M642" s="4" t="s">
        <v>4195</v>
      </c>
      <c r="N642" s="2"/>
      <c r="O642" s="2"/>
      <c r="P642" s="2" t="s">
        <v>1843</v>
      </c>
      <c r="Q642" t="s">
        <v>1127</v>
      </c>
    </row>
    <row r="643" spans="1:17" ht="18" customHeight="1" x14ac:dyDescent="0.2">
      <c r="A643" s="64" t="s">
        <v>777</v>
      </c>
      <c r="B643" s="64" t="str">
        <f t="shared" si="40"/>
        <v>ch16i</v>
      </c>
      <c r="C643" s="64" t="s">
        <v>4182</v>
      </c>
      <c r="D643" s="64" t="s">
        <v>1838</v>
      </c>
      <c r="E643" s="64" t="s">
        <v>3994</v>
      </c>
      <c r="F643" s="2">
        <v>9</v>
      </c>
      <c r="G643" s="2" t="str">
        <f t="shared" si="39"/>
        <v>i</v>
      </c>
      <c r="H643" s="2">
        <v>2016</v>
      </c>
      <c r="I643" s="2" t="s">
        <v>4192</v>
      </c>
      <c r="J643" s="2" t="s">
        <v>3995</v>
      </c>
      <c r="K643" s="2" t="s">
        <v>3980</v>
      </c>
      <c r="L643" s="2"/>
      <c r="M643" s="4" t="s">
        <v>4195</v>
      </c>
      <c r="N643" s="2"/>
      <c r="O643" s="2"/>
      <c r="P643" s="2" t="s">
        <v>1843</v>
      </c>
      <c r="Q643" t="s">
        <v>1127</v>
      </c>
    </row>
    <row r="644" spans="1:17" ht="18" customHeight="1" x14ac:dyDescent="0.2">
      <c r="A644" s="64" t="s">
        <v>777</v>
      </c>
      <c r="B644" s="64" t="str">
        <f t="shared" si="40"/>
        <v>ch17j</v>
      </c>
      <c r="C644" s="64" t="s">
        <v>4182</v>
      </c>
      <c r="D644" s="64" t="s">
        <v>1838</v>
      </c>
      <c r="E644" s="64" t="s">
        <v>3994</v>
      </c>
      <c r="F644" s="2">
        <v>10</v>
      </c>
      <c r="G644" s="2" t="str">
        <f t="shared" si="39"/>
        <v>j</v>
      </c>
      <c r="H644" s="2">
        <v>2017</v>
      </c>
      <c r="I644" s="2" t="s">
        <v>4192</v>
      </c>
      <c r="J644" s="2" t="s">
        <v>3995</v>
      </c>
      <c r="K644" s="2" t="s">
        <v>3980</v>
      </c>
      <c r="L644" s="2"/>
      <c r="M644" s="4" t="s">
        <v>4195</v>
      </c>
      <c r="N644" s="2"/>
      <c r="O644" s="2"/>
      <c r="P644" s="2" t="s">
        <v>1843</v>
      </c>
      <c r="Q644" t="s">
        <v>1127</v>
      </c>
    </row>
    <row r="645" spans="1:17" ht="18" customHeight="1" x14ac:dyDescent="0.2">
      <c r="A645" s="64" t="s">
        <v>777</v>
      </c>
      <c r="B645" s="64" t="str">
        <f t="shared" si="40"/>
        <v>ch18k</v>
      </c>
      <c r="C645" s="64" t="s">
        <v>4182</v>
      </c>
      <c r="D645" s="64" t="s">
        <v>1838</v>
      </c>
      <c r="E645" s="64" t="s">
        <v>3994</v>
      </c>
      <c r="F645" s="2">
        <v>11</v>
      </c>
      <c r="G645" s="2" t="str">
        <f t="shared" si="39"/>
        <v>k</v>
      </c>
      <c r="H645" s="2">
        <v>2018</v>
      </c>
      <c r="I645" s="2" t="s">
        <v>4192</v>
      </c>
      <c r="J645" s="2" t="s">
        <v>3995</v>
      </c>
      <c r="K645" s="2" t="s">
        <v>3980</v>
      </c>
      <c r="L645" s="2"/>
      <c r="M645" s="4" t="s">
        <v>4195</v>
      </c>
      <c r="N645" s="2"/>
      <c r="O645" s="2"/>
      <c r="P645" s="2" t="s">
        <v>1843</v>
      </c>
      <c r="Q645" t="s">
        <v>1127</v>
      </c>
    </row>
    <row r="646" spans="1:17" ht="18" customHeight="1" x14ac:dyDescent="0.2">
      <c r="A646" s="64" t="s">
        <v>777</v>
      </c>
      <c r="B646" s="64" t="str">
        <f t="shared" si="40"/>
        <v>ch07a</v>
      </c>
      <c r="C646" s="64" t="s">
        <v>4182</v>
      </c>
      <c r="D646" s="64" t="s">
        <v>1838</v>
      </c>
      <c r="E646" s="64" t="s">
        <v>3996</v>
      </c>
      <c r="F646" s="2">
        <v>1</v>
      </c>
      <c r="G646" s="2" t="str">
        <f t="shared" si="39"/>
        <v>a</v>
      </c>
      <c r="H646" s="2">
        <v>2007</v>
      </c>
      <c r="I646" s="2" t="s">
        <v>4192</v>
      </c>
      <c r="J646" s="2" t="s">
        <v>3997</v>
      </c>
      <c r="K646" s="2" t="s">
        <v>3980</v>
      </c>
      <c r="L646" s="2"/>
      <c r="M646" s="4" t="s">
        <v>4195</v>
      </c>
      <c r="N646" s="2"/>
      <c r="O646" s="2"/>
      <c r="P646" s="2" t="s">
        <v>1843</v>
      </c>
      <c r="Q646" t="s">
        <v>1127</v>
      </c>
    </row>
    <row r="647" spans="1:17" ht="18" customHeight="1" x14ac:dyDescent="0.2">
      <c r="A647" s="64" t="s">
        <v>777</v>
      </c>
      <c r="B647" s="64" t="str">
        <f t="shared" si="40"/>
        <v>ch08b</v>
      </c>
      <c r="C647" s="64" t="s">
        <v>4182</v>
      </c>
      <c r="D647" s="64" t="s">
        <v>1838</v>
      </c>
      <c r="E647" s="64" t="s">
        <v>3996</v>
      </c>
      <c r="F647" s="2">
        <v>2</v>
      </c>
      <c r="G647" s="2" t="str">
        <f t="shared" si="39"/>
        <v>b</v>
      </c>
      <c r="H647" s="2">
        <v>2008</v>
      </c>
      <c r="I647" s="2" t="s">
        <v>4192</v>
      </c>
      <c r="J647" s="2" t="s">
        <v>3997</v>
      </c>
      <c r="K647" s="2" t="s">
        <v>3980</v>
      </c>
      <c r="L647" s="2"/>
      <c r="M647" s="4" t="s">
        <v>4195</v>
      </c>
      <c r="N647" s="2"/>
      <c r="O647" s="2"/>
      <c r="P647" s="2" t="s">
        <v>1843</v>
      </c>
      <c r="Q647" t="s">
        <v>1127</v>
      </c>
    </row>
    <row r="648" spans="1:17" ht="18" customHeight="1" x14ac:dyDescent="0.2">
      <c r="A648" s="64" t="s">
        <v>777</v>
      </c>
      <c r="B648" s="64" t="str">
        <f t="shared" si="40"/>
        <v>ch09c</v>
      </c>
      <c r="C648" s="64" t="s">
        <v>4182</v>
      </c>
      <c r="D648" s="64" t="s">
        <v>1838</v>
      </c>
      <c r="E648" s="64" t="s">
        <v>3996</v>
      </c>
      <c r="F648" s="2">
        <v>3</v>
      </c>
      <c r="G648" s="2" t="str">
        <f t="shared" si="39"/>
        <v>c</v>
      </c>
      <c r="H648" s="2">
        <v>2009</v>
      </c>
      <c r="I648" s="2" t="s">
        <v>4192</v>
      </c>
      <c r="J648" s="2" t="s">
        <v>3997</v>
      </c>
      <c r="K648" s="2" t="s">
        <v>3980</v>
      </c>
      <c r="L648" s="2"/>
      <c r="M648" s="4" t="s">
        <v>4195</v>
      </c>
      <c r="N648" s="2"/>
      <c r="O648" s="2"/>
      <c r="P648" s="2" t="s">
        <v>1843</v>
      </c>
      <c r="Q648" t="s">
        <v>1127</v>
      </c>
    </row>
    <row r="649" spans="1:17" ht="18" customHeight="1" x14ac:dyDescent="0.2">
      <c r="A649" s="64" t="s">
        <v>777</v>
      </c>
      <c r="B649" s="64" t="str">
        <f t="shared" si="40"/>
        <v>ch10d</v>
      </c>
      <c r="C649" s="64" t="s">
        <v>4182</v>
      </c>
      <c r="D649" s="64" t="s">
        <v>1838</v>
      </c>
      <c r="E649" s="64" t="s">
        <v>3996</v>
      </c>
      <c r="F649" s="2">
        <v>4</v>
      </c>
      <c r="G649" s="2" t="str">
        <f t="shared" si="39"/>
        <v>d</v>
      </c>
      <c r="H649" s="2">
        <v>2010</v>
      </c>
      <c r="I649" s="2" t="s">
        <v>4192</v>
      </c>
      <c r="J649" s="2" t="s">
        <v>3997</v>
      </c>
      <c r="K649" s="2" t="s">
        <v>3980</v>
      </c>
      <c r="L649" s="2"/>
      <c r="M649" s="4" t="s">
        <v>4195</v>
      </c>
      <c r="N649" s="2"/>
      <c r="O649" s="2"/>
      <c r="P649" s="2" t="s">
        <v>1843</v>
      </c>
      <c r="Q649" t="s">
        <v>1127</v>
      </c>
    </row>
    <row r="650" spans="1:17" ht="18" customHeight="1" x14ac:dyDescent="0.2">
      <c r="A650" s="64" t="s">
        <v>777</v>
      </c>
      <c r="B650" s="64" t="str">
        <f t="shared" si="40"/>
        <v>ch11e</v>
      </c>
      <c r="C650" s="64" t="s">
        <v>4182</v>
      </c>
      <c r="D650" s="64" t="s">
        <v>1838</v>
      </c>
      <c r="E650" s="64" t="s">
        <v>3996</v>
      </c>
      <c r="F650" s="2">
        <v>5</v>
      </c>
      <c r="G650" s="2" t="str">
        <f t="shared" si="39"/>
        <v>e</v>
      </c>
      <c r="H650" s="2">
        <v>2011</v>
      </c>
      <c r="I650" s="2" t="s">
        <v>4192</v>
      </c>
      <c r="J650" s="2" t="s">
        <v>3997</v>
      </c>
      <c r="K650" s="2" t="s">
        <v>3980</v>
      </c>
      <c r="L650" s="2"/>
      <c r="M650" s="4" t="s">
        <v>4195</v>
      </c>
      <c r="N650" s="2"/>
      <c r="O650" s="2"/>
      <c r="P650" s="2" t="s">
        <v>1843</v>
      </c>
      <c r="Q650" t="s">
        <v>1127</v>
      </c>
    </row>
    <row r="651" spans="1:17" ht="18" customHeight="1" x14ac:dyDescent="0.2">
      <c r="A651" s="64" t="s">
        <v>777</v>
      </c>
      <c r="B651" s="64" t="str">
        <f t="shared" si="40"/>
        <v>ch12f</v>
      </c>
      <c r="C651" s="64" t="s">
        <v>4182</v>
      </c>
      <c r="D651" s="64" t="s">
        <v>1838</v>
      </c>
      <c r="E651" s="64" t="s">
        <v>3996</v>
      </c>
      <c r="F651" s="2">
        <v>6</v>
      </c>
      <c r="G651" s="2" t="str">
        <f t="shared" si="39"/>
        <v>f</v>
      </c>
      <c r="H651" s="2">
        <v>2012</v>
      </c>
      <c r="I651" s="2" t="s">
        <v>4192</v>
      </c>
      <c r="J651" s="2" t="s">
        <v>3997</v>
      </c>
      <c r="K651" s="2" t="s">
        <v>3980</v>
      </c>
      <c r="L651" s="2"/>
      <c r="M651" s="4" t="s">
        <v>4195</v>
      </c>
      <c r="N651" s="2"/>
      <c r="O651" s="2"/>
      <c r="P651" s="2" t="s">
        <v>1843</v>
      </c>
      <c r="Q651" t="s">
        <v>1127</v>
      </c>
    </row>
    <row r="652" spans="1:17" ht="18" customHeight="1" x14ac:dyDescent="0.2">
      <c r="A652" s="64" t="s">
        <v>777</v>
      </c>
      <c r="B652" s="64" t="str">
        <f t="shared" si="40"/>
        <v>ch13g</v>
      </c>
      <c r="C652" s="64" t="s">
        <v>4182</v>
      </c>
      <c r="D652" s="64" t="s">
        <v>1838</v>
      </c>
      <c r="E652" s="64" t="s">
        <v>3996</v>
      </c>
      <c r="F652" s="2">
        <v>7</v>
      </c>
      <c r="G652" s="2" t="str">
        <f t="shared" si="39"/>
        <v>g</v>
      </c>
      <c r="H652" s="2">
        <v>2013</v>
      </c>
      <c r="I652" s="2" t="s">
        <v>4192</v>
      </c>
      <c r="J652" s="2" t="s">
        <v>3997</v>
      </c>
      <c r="K652" s="2" t="s">
        <v>3980</v>
      </c>
      <c r="L652" s="2"/>
      <c r="M652" s="4" t="s">
        <v>4195</v>
      </c>
      <c r="N652" s="2"/>
      <c r="O652" s="2"/>
      <c r="P652" s="2" t="s">
        <v>1843</v>
      </c>
      <c r="Q652" t="s">
        <v>1127</v>
      </c>
    </row>
    <row r="653" spans="1:17" ht="18" customHeight="1" x14ac:dyDescent="0.2">
      <c r="A653" s="64" t="s">
        <v>777</v>
      </c>
      <c r="B653" s="64" t="str">
        <f t="shared" si="40"/>
        <v>ch15h</v>
      </c>
      <c r="C653" s="64" t="s">
        <v>4182</v>
      </c>
      <c r="D653" s="64" t="s">
        <v>1838</v>
      </c>
      <c r="E653" s="64" t="s">
        <v>3996</v>
      </c>
      <c r="F653" s="2">
        <v>8</v>
      </c>
      <c r="G653" s="2" t="str">
        <f t="shared" si="39"/>
        <v>h</v>
      </c>
      <c r="H653" s="2">
        <v>2015</v>
      </c>
      <c r="I653" s="2" t="s">
        <v>4192</v>
      </c>
      <c r="J653" s="2" t="s">
        <v>3997</v>
      </c>
      <c r="K653" s="2" t="s">
        <v>3980</v>
      </c>
      <c r="L653" s="2"/>
      <c r="M653" s="4" t="s">
        <v>4195</v>
      </c>
      <c r="N653" s="2"/>
      <c r="O653" s="2"/>
      <c r="P653" s="2" t="s">
        <v>1843</v>
      </c>
      <c r="Q653" t="s">
        <v>1127</v>
      </c>
    </row>
    <row r="654" spans="1:17" ht="18" customHeight="1" x14ac:dyDescent="0.2">
      <c r="A654" s="64" t="s">
        <v>777</v>
      </c>
      <c r="B654" s="64" t="str">
        <f t="shared" si="40"/>
        <v>ch16i</v>
      </c>
      <c r="C654" s="64" t="s">
        <v>4182</v>
      </c>
      <c r="D654" s="64" t="s">
        <v>1838</v>
      </c>
      <c r="E654" s="64" t="s">
        <v>3996</v>
      </c>
      <c r="F654" s="2">
        <v>9</v>
      </c>
      <c r="G654" s="2" t="str">
        <f t="shared" si="39"/>
        <v>i</v>
      </c>
      <c r="H654" s="2">
        <v>2016</v>
      </c>
      <c r="I654" s="2" t="s">
        <v>4192</v>
      </c>
      <c r="J654" s="2" t="s">
        <v>3997</v>
      </c>
      <c r="K654" s="2" t="s">
        <v>3980</v>
      </c>
      <c r="L654" s="2"/>
      <c r="M654" s="4" t="s">
        <v>4195</v>
      </c>
      <c r="N654" s="2"/>
      <c r="O654" s="2"/>
      <c r="P654" s="2" t="s">
        <v>1843</v>
      </c>
      <c r="Q654" t="s">
        <v>1127</v>
      </c>
    </row>
    <row r="655" spans="1:17" ht="18" customHeight="1" x14ac:dyDescent="0.2">
      <c r="A655" s="64" t="s">
        <v>777</v>
      </c>
      <c r="B655" s="64" t="str">
        <f t="shared" si="40"/>
        <v>ch17j</v>
      </c>
      <c r="C655" s="64" t="s">
        <v>4182</v>
      </c>
      <c r="D655" s="64" t="s">
        <v>1838</v>
      </c>
      <c r="E655" s="64" t="s">
        <v>3996</v>
      </c>
      <c r="F655" s="2">
        <v>10</v>
      </c>
      <c r="G655" s="2" t="str">
        <f t="shared" si="39"/>
        <v>j</v>
      </c>
      <c r="H655" s="2">
        <v>2017</v>
      </c>
      <c r="I655" s="2" t="s">
        <v>4192</v>
      </c>
      <c r="J655" s="2" t="s">
        <v>3997</v>
      </c>
      <c r="K655" s="2" t="s">
        <v>3980</v>
      </c>
      <c r="L655" s="2"/>
      <c r="M655" s="4" t="s">
        <v>4195</v>
      </c>
      <c r="N655" s="2"/>
      <c r="O655" s="2"/>
      <c r="P655" s="2" t="s">
        <v>1843</v>
      </c>
      <c r="Q655" t="s">
        <v>1127</v>
      </c>
    </row>
    <row r="656" spans="1:17" ht="18" customHeight="1" x14ac:dyDescent="0.2">
      <c r="A656" s="64" t="s">
        <v>777</v>
      </c>
      <c r="B656" s="64" t="str">
        <f t="shared" si="40"/>
        <v>ch18k</v>
      </c>
      <c r="C656" s="64" t="s">
        <v>4182</v>
      </c>
      <c r="D656" s="64" t="s">
        <v>1838</v>
      </c>
      <c r="E656" s="64" t="s">
        <v>3996</v>
      </c>
      <c r="F656" s="2">
        <v>11</v>
      </c>
      <c r="G656" s="2" t="str">
        <f t="shared" si="39"/>
        <v>k</v>
      </c>
      <c r="H656" s="2">
        <v>2018</v>
      </c>
      <c r="I656" s="2" t="s">
        <v>4192</v>
      </c>
      <c r="J656" s="2" t="s">
        <v>3997</v>
      </c>
      <c r="K656" s="2" t="s">
        <v>3980</v>
      </c>
      <c r="L656" s="2"/>
      <c r="M656" s="4" t="s">
        <v>4195</v>
      </c>
      <c r="N656" s="2"/>
      <c r="O656" s="2"/>
      <c r="P656" s="2" t="s">
        <v>1843</v>
      </c>
      <c r="Q656" t="s">
        <v>1127</v>
      </c>
    </row>
    <row r="657" spans="1:17" ht="18" customHeight="1" x14ac:dyDescent="0.2">
      <c r="A657" s="64" t="s">
        <v>777</v>
      </c>
      <c r="B657" s="64" t="str">
        <f t="shared" si="40"/>
        <v>ch07a</v>
      </c>
      <c r="C657" s="64" t="s">
        <v>4182</v>
      </c>
      <c r="D657" s="64" t="s">
        <v>1838</v>
      </c>
      <c r="E657" s="64" t="s">
        <v>3998</v>
      </c>
      <c r="F657" s="2">
        <v>1</v>
      </c>
      <c r="G657" s="2" t="str">
        <f t="shared" si="39"/>
        <v>a</v>
      </c>
      <c r="H657" s="2">
        <v>2007</v>
      </c>
      <c r="I657" s="2" t="s">
        <v>4192</v>
      </c>
      <c r="J657" s="2" t="s">
        <v>3999</v>
      </c>
      <c r="K657" s="2" t="s">
        <v>3980</v>
      </c>
      <c r="L657" s="2"/>
      <c r="M657" s="4" t="s">
        <v>4195</v>
      </c>
      <c r="N657" s="2"/>
      <c r="O657" s="2"/>
      <c r="P657" s="2" t="s">
        <v>1843</v>
      </c>
      <c r="Q657" t="s">
        <v>1127</v>
      </c>
    </row>
    <row r="658" spans="1:17" ht="18" customHeight="1" x14ac:dyDescent="0.2">
      <c r="A658" s="64" t="s">
        <v>777</v>
      </c>
      <c r="B658" s="64" t="str">
        <f t="shared" si="40"/>
        <v>ch08b</v>
      </c>
      <c r="C658" s="64" t="s">
        <v>4182</v>
      </c>
      <c r="D658" s="64" t="s">
        <v>1838</v>
      </c>
      <c r="E658" s="64" t="s">
        <v>3998</v>
      </c>
      <c r="F658" s="2">
        <v>2</v>
      </c>
      <c r="G658" s="2" t="str">
        <f t="shared" si="39"/>
        <v>b</v>
      </c>
      <c r="H658" s="2">
        <v>2008</v>
      </c>
      <c r="I658" s="2" t="s">
        <v>4192</v>
      </c>
      <c r="J658" s="2" t="s">
        <v>3999</v>
      </c>
      <c r="K658" s="2" t="s">
        <v>3980</v>
      </c>
      <c r="L658" s="2"/>
      <c r="M658" s="4" t="s">
        <v>4195</v>
      </c>
      <c r="N658" s="2"/>
      <c r="O658" s="2"/>
      <c r="P658" s="2" t="s">
        <v>1843</v>
      </c>
      <c r="Q658" t="s">
        <v>1127</v>
      </c>
    </row>
    <row r="659" spans="1:17" ht="18" customHeight="1" x14ac:dyDescent="0.2">
      <c r="A659" s="64" t="s">
        <v>777</v>
      </c>
      <c r="B659" s="64" t="str">
        <f t="shared" si="40"/>
        <v>ch09c</v>
      </c>
      <c r="C659" s="64" t="s">
        <v>4182</v>
      </c>
      <c r="D659" s="64" t="s">
        <v>1838</v>
      </c>
      <c r="E659" s="64" t="s">
        <v>3998</v>
      </c>
      <c r="F659" s="2">
        <v>3</v>
      </c>
      <c r="G659" s="2" t="str">
        <f t="shared" si="39"/>
        <v>c</v>
      </c>
      <c r="H659" s="2">
        <v>2009</v>
      </c>
      <c r="I659" s="2" t="s">
        <v>4192</v>
      </c>
      <c r="J659" s="2" t="s">
        <v>3999</v>
      </c>
      <c r="K659" s="2" t="s">
        <v>3980</v>
      </c>
      <c r="L659" s="2"/>
      <c r="M659" s="4" t="s">
        <v>4195</v>
      </c>
      <c r="N659" s="2"/>
      <c r="O659" s="2"/>
      <c r="P659" s="2" t="s">
        <v>1843</v>
      </c>
      <c r="Q659" t="s">
        <v>1127</v>
      </c>
    </row>
    <row r="660" spans="1:17" ht="18" customHeight="1" x14ac:dyDescent="0.2">
      <c r="A660" s="64" t="s">
        <v>777</v>
      </c>
      <c r="B660" s="64" t="str">
        <f t="shared" si="40"/>
        <v>ch10d</v>
      </c>
      <c r="C660" s="64" t="s">
        <v>4182</v>
      </c>
      <c r="D660" s="64" t="s">
        <v>1838</v>
      </c>
      <c r="E660" s="64" t="s">
        <v>3998</v>
      </c>
      <c r="F660" s="2">
        <v>4</v>
      </c>
      <c r="G660" s="2" t="str">
        <f t="shared" si="39"/>
        <v>d</v>
      </c>
      <c r="H660" s="2">
        <v>2010</v>
      </c>
      <c r="I660" s="2" t="s">
        <v>4192</v>
      </c>
      <c r="J660" s="2" t="s">
        <v>3999</v>
      </c>
      <c r="K660" s="2" t="s">
        <v>3980</v>
      </c>
      <c r="L660" s="2"/>
      <c r="M660" s="4" t="s">
        <v>4195</v>
      </c>
      <c r="N660" s="2"/>
      <c r="O660" s="2"/>
      <c r="P660" s="2" t="s">
        <v>1843</v>
      </c>
      <c r="Q660" t="s">
        <v>1127</v>
      </c>
    </row>
    <row r="661" spans="1:17" ht="18" customHeight="1" x14ac:dyDescent="0.2">
      <c r="A661" s="64" t="s">
        <v>777</v>
      </c>
      <c r="B661" s="64" t="str">
        <f t="shared" si="40"/>
        <v>ch11e</v>
      </c>
      <c r="C661" s="64" t="s">
        <v>4182</v>
      </c>
      <c r="D661" s="64" t="s">
        <v>1838</v>
      </c>
      <c r="E661" s="64" t="s">
        <v>3998</v>
      </c>
      <c r="F661" s="2">
        <v>5</v>
      </c>
      <c r="G661" s="2" t="str">
        <f t="shared" si="39"/>
        <v>e</v>
      </c>
      <c r="H661" s="2">
        <v>2011</v>
      </c>
      <c r="I661" s="2" t="s">
        <v>4192</v>
      </c>
      <c r="J661" s="2" t="s">
        <v>3999</v>
      </c>
      <c r="K661" s="2" t="s">
        <v>3980</v>
      </c>
      <c r="L661" s="2"/>
      <c r="M661" s="4" t="s">
        <v>4195</v>
      </c>
      <c r="N661" s="2"/>
      <c r="O661" s="2"/>
      <c r="P661" s="2" t="s">
        <v>1843</v>
      </c>
      <c r="Q661" t="s">
        <v>1127</v>
      </c>
    </row>
    <row r="662" spans="1:17" ht="18" customHeight="1" x14ac:dyDescent="0.2">
      <c r="A662" s="64" t="s">
        <v>777</v>
      </c>
      <c r="B662" s="64" t="str">
        <f t="shared" si="40"/>
        <v>ch12f</v>
      </c>
      <c r="C662" s="64" t="s">
        <v>4182</v>
      </c>
      <c r="D662" s="64" t="s">
        <v>1838</v>
      </c>
      <c r="E662" s="64" t="s">
        <v>3998</v>
      </c>
      <c r="F662" s="2">
        <v>6</v>
      </c>
      <c r="G662" s="2" t="str">
        <f t="shared" si="39"/>
        <v>f</v>
      </c>
      <c r="H662" s="2">
        <v>2012</v>
      </c>
      <c r="I662" s="2" t="s">
        <v>4192</v>
      </c>
      <c r="J662" s="2" t="s">
        <v>3999</v>
      </c>
      <c r="K662" s="2" t="s">
        <v>3980</v>
      </c>
      <c r="L662" s="2"/>
      <c r="M662" s="4" t="s">
        <v>4195</v>
      </c>
      <c r="N662" s="2"/>
      <c r="O662" s="2"/>
      <c r="P662" s="2" t="s">
        <v>1843</v>
      </c>
      <c r="Q662" t="s">
        <v>1127</v>
      </c>
    </row>
    <row r="663" spans="1:17" ht="18" customHeight="1" x14ac:dyDescent="0.2">
      <c r="A663" s="64" t="s">
        <v>777</v>
      </c>
      <c r="B663" s="64" t="str">
        <f t="shared" si="40"/>
        <v>ch13g</v>
      </c>
      <c r="C663" s="64" t="s">
        <v>4182</v>
      </c>
      <c r="D663" s="64" t="s">
        <v>1838</v>
      </c>
      <c r="E663" s="64" t="s">
        <v>3998</v>
      </c>
      <c r="F663" s="2">
        <v>7</v>
      </c>
      <c r="G663" s="2" t="str">
        <f t="shared" si="39"/>
        <v>g</v>
      </c>
      <c r="H663" s="2">
        <v>2013</v>
      </c>
      <c r="I663" s="2" t="s">
        <v>4192</v>
      </c>
      <c r="J663" s="2" t="s">
        <v>3999</v>
      </c>
      <c r="K663" s="2" t="s">
        <v>3980</v>
      </c>
      <c r="L663" s="2"/>
      <c r="M663" s="4" t="s">
        <v>4195</v>
      </c>
      <c r="N663" s="2"/>
      <c r="O663" s="2"/>
      <c r="P663" s="2" t="s">
        <v>1843</v>
      </c>
      <c r="Q663" t="s">
        <v>1127</v>
      </c>
    </row>
    <row r="664" spans="1:17" ht="18" customHeight="1" x14ac:dyDescent="0.2">
      <c r="A664" s="64" t="s">
        <v>777</v>
      </c>
      <c r="B664" s="64" t="str">
        <f t="shared" si="40"/>
        <v>ch15h</v>
      </c>
      <c r="C664" s="64" t="s">
        <v>4182</v>
      </c>
      <c r="D664" s="64" t="s">
        <v>1838</v>
      </c>
      <c r="E664" s="64" t="s">
        <v>3998</v>
      </c>
      <c r="F664" s="2">
        <v>8</v>
      </c>
      <c r="G664" s="2" t="str">
        <f t="shared" si="39"/>
        <v>h</v>
      </c>
      <c r="H664" s="2">
        <v>2015</v>
      </c>
      <c r="I664" s="2" t="s">
        <v>4192</v>
      </c>
      <c r="J664" s="2" t="s">
        <v>3999</v>
      </c>
      <c r="K664" s="2" t="s">
        <v>3980</v>
      </c>
      <c r="L664" s="2"/>
      <c r="M664" s="4" t="s">
        <v>4195</v>
      </c>
      <c r="N664" s="2"/>
      <c r="O664" s="2"/>
      <c r="P664" s="2" t="s">
        <v>1843</v>
      </c>
      <c r="Q664" t="s">
        <v>1127</v>
      </c>
    </row>
    <row r="665" spans="1:17" ht="18" customHeight="1" x14ac:dyDescent="0.2">
      <c r="A665" s="64" t="s">
        <v>777</v>
      </c>
      <c r="B665" s="64" t="str">
        <f t="shared" si="40"/>
        <v>ch16i</v>
      </c>
      <c r="C665" s="64" t="s">
        <v>4182</v>
      </c>
      <c r="D665" s="64" t="s">
        <v>1838</v>
      </c>
      <c r="E665" s="64" t="s">
        <v>3998</v>
      </c>
      <c r="F665" s="2">
        <v>9</v>
      </c>
      <c r="G665" s="2" t="str">
        <f t="shared" si="39"/>
        <v>i</v>
      </c>
      <c r="H665" s="2">
        <v>2016</v>
      </c>
      <c r="I665" s="2" t="s">
        <v>4192</v>
      </c>
      <c r="J665" s="2" t="s">
        <v>3999</v>
      </c>
      <c r="K665" s="2" t="s">
        <v>3980</v>
      </c>
      <c r="L665" s="2"/>
      <c r="M665" s="4" t="s">
        <v>4195</v>
      </c>
      <c r="N665" s="2"/>
      <c r="O665" s="2"/>
      <c r="P665" s="2" t="s">
        <v>1843</v>
      </c>
      <c r="Q665" t="s">
        <v>1127</v>
      </c>
    </row>
    <row r="666" spans="1:17" ht="18" customHeight="1" x14ac:dyDescent="0.2">
      <c r="A666" s="64" t="s">
        <v>777</v>
      </c>
      <c r="B666" s="64" t="str">
        <f t="shared" si="40"/>
        <v>ch17j</v>
      </c>
      <c r="C666" s="64" t="s">
        <v>4182</v>
      </c>
      <c r="D666" s="64" t="s">
        <v>1838</v>
      </c>
      <c r="E666" s="64" t="s">
        <v>3998</v>
      </c>
      <c r="F666" s="2">
        <v>10</v>
      </c>
      <c r="G666" s="2" t="str">
        <f t="shared" si="39"/>
        <v>j</v>
      </c>
      <c r="H666" s="2">
        <v>2017</v>
      </c>
      <c r="I666" s="2" t="s">
        <v>4192</v>
      </c>
      <c r="J666" s="2" t="s">
        <v>3999</v>
      </c>
      <c r="K666" s="2" t="s">
        <v>3980</v>
      </c>
      <c r="L666" s="2"/>
      <c r="M666" s="4" t="s">
        <v>4195</v>
      </c>
      <c r="N666" s="2"/>
      <c r="O666" s="2"/>
      <c r="P666" s="2" t="s">
        <v>1843</v>
      </c>
      <c r="Q666" t="s">
        <v>1127</v>
      </c>
    </row>
    <row r="667" spans="1:17" ht="18" customHeight="1" x14ac:dyDescent="0.2">
      <c r="A667" s="64" t="s">
        <v>777</v>
      </c>
      <c r="B667" s="64" t="str">
        <f t="shared" si="40"/>
        <v>ch18k</v>
      </c>
      <c r="C667" s="64" t="s">
        <v>4182</v>
      </c>
      <c r="D667" s="64" t="s">
        <v>1838</v>
      </c>
      <c r="E667" s="64" t="s">
        <v>3998</v>
      </c>
      <c r="F667" s="2">
        <v>11</v>
      </c>
      <c r="G667" s="2" t="str">
        <f t="shared" si="39"/>
        <v>k</v>
      </c>
      <c r="H667" s="2">
        <v>2018</v>
      </c>
      <c r="I667" s="2" t="s">
        <v>4192</v>
      </c>
      <c r="J667" s="2" t="s">
        <v>3999</v>
      </c>
      <c r="K667" s="2" t="s">
        <v>3980</v>
      </c>
      <c r="L667" s="2"/>
      <c r="M667" s="4" t="s">
        <v>4195</v>
      </c>
      <c r="N667" s="2"/>
      <c r="O667" s="2"/>
      <c r="P667" s="2" t="s">
        <v>1843</v>
      </c>
      <c r="Q667" t="s">
        <v>1127</v>
      </c>
    </row>
    <row r="668" spans="1:17" ht="18" customHeight="1" x14ac:dyDescent="0.2">
      <c r="A668" s="64" t="s">
        <v>777</v>
      </c>
      <c r="B668" s="64" t="str">
        <f t="shared" si="40"/>
        <v>ch07a</v>
      </c>
      <c r="C668" s="64" t="s">
        <v>4182</v>
      </c>
      <c r="D668" s="64" t="s">
        <v>1838</v>
      </c>
      <c r="E668" s="64" t="s">
        <v>4000</v>
      </c>
      <c r="F668" s="2">
        <v>1</v>
      </c>
      <c r="G668" s="2" t="str">
        <f t="shared" si="39"/>
        <v>a</v>
      </c>
      <c r="H668" s="2">
        <v>2007</v>
      </c>
      <c r="I668" s="2" t="s">
        <v>4192</v>
      </c>
      <c r="J668" s="2" t="s">
        <v>4001</v>
      </c>
      <c r="K668" s="2" t="s">
        <v>3980</v>
      </c>
      <c r="L668" s="2"/>
      <c r="M668" s="4" t="s">
        <v>4195</v>
      </c>
      <c r="N668" s="2"/>
      <c r="O668" s="2"/>
      <c r="P668" s="2" t="s">
        <v>1843</v>
      </c>
      <c r="Q668" t="s">
        <v>1127</v>
      </c>
    </row>
    <row r="669" spans="1:17" ht="18" customHeight="1" x14ac:dyDescent="0.2">
      <c r="A669" s="64" t="s">
        <v>777</v>
      </c>
      <c r="B669" s="64" t="str">
        <f t="shared" si="40"/>
        <v>ch08b</v>
      </c>
      <c r="C669" s="64" t="s">
        <v>4182</v>
      </c>
      <c r="D669" s="64" t="s">
        <v>1838</v>
      </c>
      <c r="E669" s="64" t="s">
        <v>4000</v>
      </c>
      <c r="F669" s="2">
        <v>2</v>
      </c>
      <c r="G669" s="2" t="str">
        <f t="shared" si="39"/>
        <v>b</v>
      </c>
      <c r="H669" s="2">
        <v>2008</v>
      </c>
      <c r="I669" s="2" t="s">
        <v>4192</v>
      </c>
      <c r="J669" s="2" t="s">
        <v>4001</v>
      </c>
      <c r="K669" s="2" t="s">
        <v>3980</v>
      </c>
      <c r="L669" s="2"/>
      <c r="M669" s="4" t="s">
        <v>4195</v>
      </c>
      <c r="N669" s="2"/>
      <c r="O669" s="2"/>
      <c r="P669" s="2" t="s">
        <v>1843</v>
      </c>
      <c r="Q669" t="s">
        <v>1127</v>
      </c>
    </row>
    <row r="670" spans="1:17" ht="18" customHeight="1" x14ac:dyDescent="0.2">
      <c r="A670" s="64" t="s">
        <v>777</v>
      </c>
      <c r="B670" s="64" t="str">
        <f t="shared" si="40"/>
        <v>ch09c</v>
      </c>
      <c r="C670" s="64" t="s">
        <v>4182</v>
      </c>
      <c r="D670" s="64" t="s">
        <v>1838</v>
      </c>
      <c r="E670" s="64" t="s">
        <v>4000</v>
      </c>
      <c r="F670" s="2">
        <v>3</v>
      </c>
      <c r="G670" s="2" t="str">
        <f t="shared" si="39"/>
        <v>c</v>
      </c>
      <c r="H670" s="2">
        <v>2009</v>
      </c>
      <c r="I670" s="2" t="s">
        <v>4192</v>
      </c>
      <c r="J670" s="2" t="s">
        <v>4001</v>
      </c>
      <c r="K670" s="2" t="s">
        <v>3980</v>
      </c>
      <c r="L670" s="2"/>
      <c r="M670" s="4" t="s">
        <v>4195</v>
      </c>
      <c r="N670" s="2"/>
      <c r="O670" s="2"/>
      <c r="P670" s="2" t="s">
        <v>1843</v>
      </c>
      <c r="Q670" t="s">
        <v>1127</v>
      </c>
    </row>
    <row r="671" spans="1:17" ht="18" customHeight="1" x14ac:dyDescent="0.2">
      <c r="A671" s="64" t="s">
        <v>777</v>
      </c>
      <c r="B671" s="64" t="str">
        <f t="shared" si="40"/>
        <v>ch10d</v>
      </c>
      <c r="C671" s="64" t="s">
        <v>4182</v>
      </c>
      <c r="D671" s="64" t="s">
        <v>1838</v>
      </c>
      <c r="E671" s="64" t="s">
        <v>4000</v>
      </c>
      <c r="F671" s="2">
        <v>4</v>
      </c>
      <c r="G671" s="2" t="str">
        <f t="shared" ref="G671:G734" si="41">MID("abcdefghijklmnopqrstuvwxyz",F671,1)</f>
        <v>d</v>
      </c>
      <c r="H671" s="2">
        <v>2010</v>
      </c>
      <c r="I671" s="2" t="s">
        <v>4192</v>
      </c>
      <c r="J671" s="2" t="s">
        <v>4001</v>
      </c>
      <c r="K671" s="2" t="s">
        <v>3980</v>
      </c>
      <c r="L671" s="2"/>
      <c r="M671" s="4" t="s">
        <v>4195</v>
      </c>
      <c r="N671" s="2"/>
      <c r="O671" s="2"/>
      <c r="P671" s="2" t="s">
        <v>1843</v>
      </c>
      <c r="Q671" t="s">
        <v>1127</v>
      </c>
    </row>
    <row r="672" spans="1:17" ht="18" customHeight="1" x14ac:dyDescent="0.2">
      <c r="A672" s="64" t="s">
        <v>777</v>
      </c>
      <c r="B672" s="64" t="str">
        <f t="shared" si="40"/>
        <v>ch11e</v>
      </c>
      <c r="C672" s="64" t="s">
        <v>4182</v>
      </c>
      <c r="D672" s="64" t="s">
        <v>1838</v>
      </c>
      <c r="E672" s="64" t="s">
        <v>4000</v>
      </c>
      <c r="F672" s="2">
        <v>5</v>
      </c>
      <c r="G672" s="2" t="str">
        <f t="shared" si="41"/>
        <v>e</v>
      </c>
      <c r="H672" s="2">
        <v>2011</v>
      </c>
      <c r="I672" s="2" t="s">
        <v>4192</v>
      </c>
      <c r="J672" s="2" t="s">
        <v>4001</v>
      </c>
      <c r="K672" s="2" t="s">
        <v>3980</v>
      </c>
      <c r="L672" s="2"/>
      <c r="M672" s="4" t="s">
        <v>4195</v>
      </c>
      <c r="N672" s="2"/>
      <c r="O672" s="2"/>
      <c r="P672" s="2" t="s">
        <v>1843</v>
      </c>
      <c r="Q672" t="s">
        <v>1127</v>
      </c>
    </row>
    <row r="673" spans="1:17" ht="18" customHeight="1" x14ac:dyDescent="0.2">
      <c r="A673" s="64" t="s">
        <v>777</v>
      </c>
      <c r="B673" s="64" t="str">
        <f t="shared" si="40"/>
        <v>ch12f</v>
      </c>
      <c r="C673" s="64" t="s">
        <v>4182</v>
      </c>
      <c r="D673" s="64" t="s">
        <v>1838</v>
      </c>
      <c r="E673" s="64" t="s">
        <v>4000</v>
      </c>
      <c r="F673" s="2">
        <v>6</v>
      </c>
      <c r="G673" s="2" t="str">
        <f t="shared" si="41"/>
        <v>f</v>
      </c>
      <c r="H673" s="2">
        <v>2012</v>
      </c>
      <c r="I673" s="2" t="s">
        <v>4192</v>
      </c>
      <c r="J673" s="2" t="s">
        <v>4001</v>
      </c>
      <c r="K673" s="2" t="s">
        <v>3980</v>
      </c>
      <c r="L673" s="2"/>
      <c r="M673" s="4" t="s">
        <v>4195</v>
      </c>
      <c r="N673" s="2"/>
      <c r="O673" s="2"/>
      <c r="P673" s="2" t="s">
        <v>1843</v>
      </c>
      <c r="Q673" t="s">
        <v>1127</v>
      </c>
    </row>
    <row r="674" spans="1:17" ht="18" customHeight="1" x14ac:dyDescent="0.2">
      <c r="A674" s="64" t="s">
        <v>777</v>
      </c>
      <c r="B674" s="64" t="str">
        <f t="shared" si="40"/>
        <v>ch13g</v>
      </c>
      <c r="C674" s="64" t="s">
        <v>4182</v>
      </c>
      <c r="D674" s="64" t="s">
        <v>1838</v>
      </c>
      <c r="E674" s="64" t="s">
        <v>4000</v>
      </c>
      <c r="F674" s="2">
        <v>7</v>
      </c>
      <c r="G674" s="2" t="str">
        <f t="shared" si="41"/>
        <v>g</v>
      </c>
      <c r="H674" s="2">
        <v>2013</v>
      </c>
      <c r="I674" s="2" t="s">
        <v>4192</v>
      </c>
      <c r="J674" s="2" t="s">
        <v>4001</v>
      </c>
      <c r="K674" s="2" t="s">
        <v>3980</v>
      </c>
      <c r="L674" s="2"/>
      <c r="M674" s="4" t="s">
        <v>4195</v>
      </c>
      <c r="N674" s="2"/>
      <c r="O674" s="2"/>
      <c r="P674" s="2" t="s">
        <v>1843</v>
      </c>
      <c r="Q674" t="s">
        <v>1127</v>
      </c>
    </row>
    <row r="675" spans="1:17" ht="18" customHeight="1" x14ac:dyDescent="0.2">
      <c r="A675" s="64" t="s">
        <v>777</v>
      </c>
      <c r="B675" s="64" t="str">
        <f t="shared" ref="B675:B738" si="42">"ch" &amp; RIGHT(H675, 2) &amp; G675</f>
        <v>ch15h</v>
      </c>
      <c r="C675" s="64" t="s">
        <v>4182</v>
      </c>
      <c r="D675" s="64" t="s">
        <v>1838</v>
      </c>
      <c r="E675" s="64" t="s">
        <v>4000</v>
      </c>
      <c r="F675" s="2">
        <v>8</v>
      </c>
      <c r="G675" s="2" t="str">
        <f t="shared" si="41"/>
        <v>h</v>
      </c>
      <c r="H675" s="2">
        <v>2015</v>
      </c>
      <c r="I675" s="2" t="s">
        <v>4192</v>
      </c>
      <c r="J675" s="2" t="s">
        <v>4001</v>
      </c>
      <c r="K675" s="2" t="s">
        <v>3980</v>
      </c>
      <c r="L675" s="2"/>
      <c r="M675" s="4" t="s">
        <v>4195</v>
      </c>
      <c r="N675" s="2"/>
      <c r="O675" s="2"/>
      <c r="P675" s="2" t="s">
        <v>1843</v>
      </c>
      <c r="Q675" t="s">
        <v>1127</v>
      </c>
    </row>
    <row r="676" spans="1:17" ht="18" customHeight="1" x14ac:dyDescent="0.2">
      <c r="A676" s="64" t="s">
        <v>777</v>
      </c>
      <c r="B676" s="64" t="str">
        <f t="shared" si="42"/>
        <v>ch16i</v>
      </c>
      <c r="C676" s="64" t="s">
        <v>4182</v>
      </c>
      <c r="D676" s="64" t="s">
        <v>1838</v>
      </c>
      <c r="E676" s="64" t="s">
        <v>4000</v>
      </c>
      <c r="F676" s="2">
        <v>9</v>
      </c>
      <c r="G676" s="2" t="str">
        <f t="shared" si="41"/>
        <v>i</v>
      </c>
      <c r="H676" s="2">
        <v>2016</v>
      </c>
      <c r="I676" s="2" t="s">
        <v>4192</v>
      </c>
      <c r="J676" s="2" t="s">
        <v>4001</v>
      </c>
      <c r="K676" s="2" t="s">
        <v>3980</v>
      </c>
      <c r="L676" s="2"/>
      <c r="M676" s="4" t="s">
        <v>4195</v>
      </c>
      <c r="N676" s="2"/>
      <c r="O676" s="2"/>
      <c r="P676" s="2" t="s">
        <v>1843</v>
      </c>
      <c r="Q676" t="s">
        <v>1127</v>
      </c>
    </row>
    <row r="677" spans="1:17" ht="18" customHeight="1" x14ac:dyDescent="0.2">
      <c r="A677" s="64" t="s">
        <v>777</v>
      </c>
      <c r="B677" s="64" t="str">
        <f t="shared" si="42"/>
        <v>ch17j</v>
      </c>
      <c r="C677" s="64" t="s">
        <v>4182</v>
      </c>
      <c r="D677" s="64" t="s">
        <v>1838</v>
      </c>
      <c r="E677" s="64" t="s">
        <v>4000</v>
      </c>
      <c r="F677" s="2">
        <v>10</v>
      </c>
      <c r="G677" s="2" t="str">
        <f t="shared" si="41"/>
        <v>j</v>
      </c>
      <c r="H677" s="2">
        <v>2017</v>
      </c>
      <c r="I677" s="2" t="s">
        <v>4192</v>
      </c>
      <c r="J677" s="2" t="s">
        <v>4001</v>
      </c>
      <c r="K677" s="2" t="s">
        <v>3980</v>
      </c>
      <c r="L677" s="2"/>
      <c r="M677" s="4" t="s">
        <v>4195</v>
      </c>
      <c r="N677" s="2"/>
      <c r="O677" s="2"/>
      <c r="P677" s="2" t="s">
        <v>1843</v>
      </c>
      <c r="Q677" t="s">
        <v>1127</v>
      </c>
    </row>
    <row r="678" spans="1:17" ht="18" customHeight="1" x14ac:dyDescent="0.2">
      <c r="A678" s="64" t="s">
        <v>777</v>
      </c>
      <c r="B678" s="64" t="str">
        <f t="shared" si="42"/>
        <v>ch18k</v>
      </c>
      <c r="C678" s="64" t="s">
        <v>4182</v>
      </c>
      <c r="D678" s="64" t="s">
        <v>1838</v>
      </c>
      <c r="E678" s="64" t="s">
        <v>4000</v>
      </c>
      <c r="F678" s="2">
        <v>11</v>
      </c>
      <c r="G678" s="2" t="str">
        <f t="shared" si="41"/>
        <v>k</v>
      </c>
      <c r="H678" s="2">
        <v>2018</v>
      </c>
      <c r="I678" s="2" t="s">
        <v>4192</v>
      </c>
      <c r="J678" s="2" t="s">
        <v>4001</v>
      </c>
      <c r="K678" s="2" t="s">
        <v>3980</v>
      </c>
      <c r="L678" s="2"/>
      <c r="M678" s="4" t="s">
        <v>4195</v>
      </c>
      <c r="N678" s="2"/>
      <c r="O678" s="2"/>
      <c r="P678" s="2" t="s">
        <v>1843</v>
      </c>
      <c r="Q678" t="s">
        <v>1127</v>
      </c>
    </row>
    <row r="679" spans="1:17" ht="18" customHeight="1" x14ac:dyDescent="0.2">
      <c r="A679" s="64" t="s">
        <v>777</v>
      </c>
      <c r="B679" s="64" t="str">
        <f t="shared" si="42"/>
        <v>ch07a</v>
      </c>
      <c r="C679" s="64" t="s">
        <v>4182</v>
      </c>
      <c r="D679" s="64" t="s">
        <v>1838</v>
      </c>
      <c r="E679" s="64" t="s">
        <v>4002</v>
      </c>
      <c r="F679" s="2">
        <v>1</v>
      </c>
      <c r="G679" s="2" t="str">
        <f t="shared" si="41"/>
        <v>a</v>
      </c>
      <c r="H679" s="2">
        <v>2007</v>
      </c>
      <c r="I679" s="2" t="s">
        <v>4192</v>
      </c>
      <c r="J679" s="2" t="s">
        <v>4003</v>
      </c>
      <c r="K679" s="2" t="s">
        <v>3980</v>
      </c>
      <c r="L679" s="2"/>
      <c r="M679" s="4" t="s">
        <v>4195</v>
      </c>
      <c r="N679" s="2"/>
      <c r="O679" s="2"/>
      <c r="P679" s="2" t="s">
        <v>1843</v>
      </c>
      <c r="Q679" t="s">
        <v>1127</v>
      </c>
    </row>
    <row r="680" spans="1:17" ht="18" customHeight="1" x14ac:dyDescent="0.2">
      <c r="A680" s="64" t="s">
        <v>777</v>
      </c>
      <c r="B680" s="64" t="str">
        <f t="shared" si="42"/>
        <v>ch08b</v>
      </c>
      <c r="C680" s="64" t="s">
        <v>4182</v>
      </c>
      <c r="D680" s="64" t="s">
        <v>1838</v>
      </c>
      <c r="E680" s="64" t="s">
        <v>4002</v>
      </c>
      <c r="F680" s="2">
        <v>2</v>
      </c>
      <c r="G680" s="2" t="str">
        <f t="shared" si="41"/>
        <v>b</v>
      </c>
      <c r="H680" s="2">
        <v>2008</v>
      </c>
      <c r="I680" s="2" t="s">
        <v>4192</v>
      </c>
      <c r="J680" s="2" t="s">
        <v>4003</v>
      </c>
      <c r="K680" s="2" t="s">
        <v>3980</v>
      </c>
      <c r="L680" s="2"/>
      <c r="M680" s="4" t="s">
        <v>4195</v>
      </c>
      <c r="N680" s="2"/>
      <c r="O680" s="2"/>
      <c r="P680" s="2" t="s">
        <v>1843</v>
      </c>
      <c r="Q680" t="s">
        <v>1127</v>
      </c>
    </row>
    <row r="681" spans="1:17" ht="18" customHeight="1" x14ac:dyDescent="0.2">
      <c r="A681" s="64" t="s">
        <v>777</v>
      </c>
      <c r="B681" s="64" t="str">
        <f t="shared" si="42"/>
        <v>ch09c</v>
      </c>
      <c r="C681" s="64" t="s">
        <v>4182</v>
      </c>
      <c r="D681" s="64" t="s">
        <v>1838</v>
      </c>
      <c r="E681" s="64" t="s">
        <v>4002</v>
      </c>
      <c r="F681" s="2">
        <v>3</v>
      </c>
      <c r="G681" s="2" t="str">
        <f t="shared" si="41"/>
        <v>c</v>
      </c>
      <c r="H681" s="2">
        <v>2009</v>
      </c>
      <c r="I681" s="2" t="s">
        <v>4192</v>
      </c>
      <c r="J681" s="2" t="s">
        <v>4003</v>
      </c>
      <c r="K681" s="2" t="s">
        <v>3980</v>
      </c>
      <c r="L681" s="2"/>
      <c r="M681" s="4" t="s">
        <v>4195</v>
      </c>
      <c r="N681" s="2"/>
      <c r="O681" s="2"/>
      <c r="P681" s="2" t="s">
        <v>1843</v>
      </c>
      <c r="Q681" t="s">
        <v>1127</v>
      </c>
    </row>
    <row r="682" spans="1:17" ht="18" customHeight="1" x14ac:dyDescent="0.2">
      <c r="A682" s="64" t="s">
        <v>777</v>
      </c>
      <c r="B682" s="64" t="str">
        <f t="shared" si="42"/>
        <v>ch10d</v>
      </c>
      <c r="C682" s="64" t="s">
        <v>4182</v>
      </c>
      <c r="D682" s="64" t="s">
        <v>1838</v>
      </c>
      <c r="E682" s="64" t="s">
        <v>4002</v>
      </c>
      <c r="F682" s="2">
        <v>4</v>
      </c>
      <c r="G682" s="2" t="str">
        <f t="shared" si="41"/>
        <v>d</v>
      </c>
      <c r="H682" s="2">
        <v>2010</v>
      </c>
      <c r="I682" s="2" t="s">
        <v>4192</v>
      </c>
      <c r="J682" s="2" t="s">
        <v>4003</v>
      </c>
      <c r="K682" s="2" t="s">
        <v>3980</v>
      </c>
      <c r="L682" s="2"/>
      <c r="M682" s="4" t="s">
        <v>4195</v>
      </c>
      <c r="N682" s="2"/>
      <c r="O682" s="2"/>
      <c r="P682" s="2" t="s">
        <v>1843</v>
      </c>
      <c r="Q682" t="s">
        <v>1127</v>
      </c>
    </row>
    <row r="683" spans="1:17" ht="18" customHeight="1" x14ac:dyDescent="0.2">
      <c r="A683" s="64" t="s">
        <v>777</v>
      </c>
      <c r="B683" s="64" t="str">
        <f t="shared" si="42"/>
        <v>ch11e</v>
      </c>
      <c r="C683" s="64" t="s">
        <v>4182</v>
      </c>
      <c r="D683" s="64" t="s">
        <v>1838</v>
      </c>
      <c r="E683" s="64" t="s">
        <v>4002</v>
      </c>
      <c r="F683" s="2">
        <v>5</v>
      </c>
      <c r="G683" s="2" t="str">
        <f t="shared" si="41"/>
        <v>e</v>
      </c>
      <c r="H683" s="2">
        <v>2011</v>
      </c>
      <c r="I683" s="2" t="s">
        <v>4192</v>
      </c>
      <c r="J683" s="2" t="s">
        <v>4003</v>
      </c>
      <c r="K683" s="2" t="s">
        <v>3980</v>
      </c>
      <c r="L683" s="2"/>
      <c r="M683" s="4" t="s">
        <v>4195</v>
      </c>
      <c r="N683" s="2"/>
      <c r="O683" s="2"/>
      <c r="P683" s="2" t="s">
        <v>1843</v>
      </c>
      <c r="Q683" t="s">
        <v>1127</v>
      </c>
    </row>
    <row r="684" spans="1:17" ht="18" customHeight="1" x14ac:dyDescent="0.2">
      <c r="A684" s="64" t="s">
        <v>777</v>
      </c>
      <c r="B684" s="64" t="str">
        <f t="shared" si="42"/>
        <v>ch12f</v>
      </c>
      <c r="C684" s="64" t="s">
        <v>4182</v>
      </c>
      <c r="D684" s="64" t="s">
        <v>1838</v>
      </c>
      <c r="E684" s="64" t="s">
        <v>4002</v>
      </c>
      <c r="F684" s="2">
        <v>6</v>
      </c>
      <c r="G684" s="2" t="str">
        <f t="shared" si="41"/>
        <v>f</v>
      </c>
      <c r="H684" s="2">
        <v>2012</v>
      </c>
      <c r="I684" s="2" t="s">
        <v>4192</v>
      </c>
      <c r="J684" s="2" t="s">
        <v>4003</v>
      </c>
      <c r="K684" s="2" t="s">
        <v>3980</v>
      </c>
      <c r="L684" s="2"/>
      <c r="M684" s="4" t="s">
        <v>4195</v>
      </c>
      <c r="N684" s="2"/>
      <c r="O684" s="2"/>
      <c r="P684" s="2" t="s">
        <v>1843</v>
      </c>
      <c r="Q684" t="s">
        <v>1127</v>
      </c>
    </row>
    <row r="685" spans="1:17" ht="18" customHeight="1" x14ac:dyDescent="0.2">
      <c r="A685" s="64" t="s">
        <v>777</v>
      </c>
      <c r="B685" s="64" t="str">
        <f t="shared" si="42"/>
        <v>ch13g</v>
      </c>
      <c r="C685" s="64" t="s">
        <v>4182</v>
      </c>
      <c r="D685" s="64" t="s">
        <v>1838</v>
      </c>
      <c r="E685" s="64" t="s">
        <v>4002</v>
      </c>
      <c r="F685" s="2">
        <v>7</v>
      </c>
      <c r="G685" s="2" t="str">
        <f t="shared" si="41"/>
        <v>g</v>
      </c>
      <c r="H685" s="2">
        <v>2013</v>
      </c>
      <c r="I685" s="2" t="s">
        <v>4192</v>
      </c>
      <c r="J685" s="2" t="s">
        <v>4003</v>
      </c>
      <c r="K685" s="2" t="s">
        <v>3980</v>
      </c>
      <c r="L685" s="2"/>
      <c r="M685" s="4" t="s">
        <v>4195</v>
      </c>
      <c r="N685" s="2"/>
      <c r="O685" s="2"/>
      <c r="P685" s="2" t="s">
        <v>1843</v>
      </c>
      <c r="Q685" t="s">
        <v>1127</v>
      </c>
    </row>
    <row r="686" spans="1:17" ht="18" customHeight="1" x14ac:dyDescent="0.2">
      <c r="A686" s="64" t="s">
        <v>777</v>
      </c>
      <c r="B686" s="64" t="str">
        <f t="shared" si="42"/>
        <v>ch15h</v>
      </c>
      <c r="C686" s="64" t="s">
        <v>4182</v>
      </c>
      <c r="D686" s="64" t="s">
        <v>1838</v>
      </c>
      <c r="E686" s="64" t="s">
        <v>4002</v>
      </c>
      <c r="F686" s="2">
        <v>8</v>
      </c>
      <c r="G686" s="2" t="str">
        <f t="shared" si="41"/>
        <v>h</v>
      </c>
      <c r="H686" s="2">
        <v>2015</v>
      </c>
      <c r="I686" s="2" t="s">
        <v>4192</v>
      </c>
      <c r="J686" s="2" t="s">
        <v>4003</v>
      </c>
      <c r="K686" s="2" t="s">
        <v>3980</v>
      </c>
      <c r="L686" s="2"/>
      <c r="M686" s="4" t="s">
        <v>4195</v>
      </c>
      <c r="N686" s="2"/>
      <c r="O686" s="2"/>
      <c r="P686" s="2" t="s">
        <v>1843</v>
      </c>
      <c r="Q686" t="s">
        <v>1127</v>
      </c>
    </row>
    <row r="687" spans="1:17" ht="18" customHeight="1" x14ac:dyDescent="0.2">
      <c r="A687" s="64" t="s">
        <v>777</v>
      </c>
      <c r="B687" s="64" t="str">
        <f t="shared" si="42"/>
        <v>ch16i</v>
      </c>
      <c r="C687" s="64" t="s">
        <v>4182</v>
      </c>
      <c r="D687" s="64" t="s">
        <v>1838</v>
      </c>
      <c r="E687" s="64" t="s">
        <v>4002</v>
      </c>
      <c r="F687" s="2">
        <v>9</v>
      </c>
      <c r="G687" s="2" t="str">
        <f t="shared" si="41"/>
        <v>i</v>
      </c>
      <c r="H687" s="2">
        <v>2016</v>
      </c>
      <c r="I687" s="2" t="s">
        <v>4192</v>
      </c>
      <c r="J687" s="2" t="s">
        <v>4003</v>
      </c>
      <c r="K687" s="2" t="s">
        <v>3980</v>
      </c>
      <c r="L687" s="2"/>
      <c r="M687" s="4" t="s">
        <v>4195</v>
      </c>
      <c r="N687" s="2"/>
      <c r="O687" s="2"/>
      <c r="P687" s="2" t="s">
        <v>1843</v>
      </c>
      <c r="Q687" t="s">
        <v>1127</v>
      </c>
    </row>
    <row r="688" spans="1:17" ht="18" customHeight="1" x14ac:dyDescent="0.2">
      <c r="A688" s="64" t="s">
        <v>777</v>
      </c>
      <c r="B688" s="64" t="str">
        <f t="shared" si="42"/>
        <v>ch17j</v>
      </c>
      <c r="C688" s="64" t="s">
        <v>4182</v>
      </c>
      <c r="D688" s="64" t="s">
        <v>1838</v>
      </c>
      <c r="E688" s="64" t="s">
        <v>4002</v>
      </c>
      <c r="F688" s="2">
        <v>10</v>
      </c>
      <c r="G688" s="2" t="str">
        <f t="shared" si="41"/>
        <v>j</v>
      </c>
      <c r="H688" s="2">
        <v>2017</v>
      </c>
      <c r="I688" s="2" t="s">
        <v>4192</v>
      </c>
      <c r="J688" s="2" t="s">
        <v>4003</v>
      </c>
      <c r="K688" s="2" t="s">
        <v>3980</v>
      </c>
      <c r="L688" s="2"/>
      <c r="M688" s="4" t="s">
        <v>4195</v>
      </c>
      <c r="N688" s="2"/>
      <c r="O688" s="2"/>
      <c r="P688" s="2" t="s">
        <v>1843</v>
      </c>
      <c r="Q688" t="s">
        <v>1127</v>
      </c>
    </row>
    <row r="689" spans="1:17" ht="18" customHeight="1" x14ac:dyDescent="0.2">
      <c r="A689" s="64" t="s">
        <v>777</v>
      </c>
      <c r="B689" s="64" t="str">
        <f t="shared" si="42"/>
        <v>ch18k</v>
      </c>
      <c r="C689" s="64" t="s">
        <v>4182</v>
      </c>
      <c r="D689" s="64" t="s">
        <v>1838</v>
      </c>
      <c r="E689" s="64" t="s">
        <v>4002</v>
      </c>
      <c r="F689" s="2">
        <v>11</v>
      </c>
      <c r="G689" s="2" t="str">
        <f t="shared" si="41"/>
        <v>k</v>
      </c>
      <c r="H689" s="2">
        <v>2018</v>
      </c>
      <c r="I689" s="2" t="s">
        <v>4192</v>
      </c>
      <c r="J689" s="2" t="s">
        <v>4003</v>
      </c>
      <c r="K689" s="2" t="s">
        <v>3980</v>
      </c>
      <c r="L689" s="2"/>
      <c r="M689" s="4" t="s">
        <v>4195</v>
      </c>
      <c r="N689" s="2"/>
      <c r="O689" s="2"/>
      <c r="P689" s="2" t="s">
        <v>1843</v>
      </c>
      <c r="Q689" t="s">
        <v>1127</v>
      </c>
    </row>
    <row r="690" spans="1:17" ht="18" customHeight="1" x14ac:dyDescent="0.2">
      <c r="A690" s="64" t="s">
        <v>777</v>
      </c>
      <c r="B690" s="64" t="str">
        <f t="shared" si="42"/>
        <v>ch07a</v>
      </c>
      <c r="C690" s="64" t="s">
        <v>4182</v>
      </c>
      <c r="D690" s="64" t="s">
        <v>1838</v>
      </c>
      <c r="E690" s="64" t="s">
        <v>4004</v>
      </c>
      <c r="F690" s="2">
        <v>1</v>
      </c>
      <c r="G690" s="2" t="str">
        <f t="shared" si="41"/>
        <v>a</v>
      </c>
      <c r="H690" s="2">
        <v>2007</v>
      </c>
      <c r="I690" s="2" t="s">
        <v>4192</v>
      </c>
      <c r="J690" s="2" t="s">
        <v>4005</v>
      </c>
      <c r="K690" s="2" t="s">
        <v>3980</v>
      </c>
      <c r="L690" s="2"/>
      <c r="M690" s="4" t="s">
        <v>4195</v>
      </c>
      <c r="N690" s="2"/>
      <c r="O690" s="2"/>
      <c r="P690" s="2" t="s">
        <v>1843</v>
      </c>
      <c r="Q690" t="s">
        <v>1127</v>
      </c>
    </row>
    <row r="691" spans="1:17" ht="18" customHeight="1" x14ac:dyDescent="0.2">
      <c r="A691" s="64" t="s">
        <v>777</v>
      </c>
      <c r="B691" s="64" t="str">
        <f t="shared" si="42"/>
        <v>ch08b</v>
      </c>
      <c r="C691" s="64" t="s">
        <v>4182</v>
      </c>
      <c r="D691" s="64" t="s">
        <v>1838</v>
      </c>
      <c r="E691" s="64" t="s">
        <v>4004</v>
      </c>
      <c r="F691" s="2">
        <v>2</v>
      </c>
      <c r="G691" s="2" t="str">
        <f t="shared" si="41"/>
        <v>b</v>
      </c>
      <c r="H691" s="2">
        <v>2008</v>
      </c>
      <c r="I691" s="2" t="s">
        <v>4192</v>
      </c>
      <c r="J691" s="2" t="s">
        <v>4005</v>
      </c>
      <c r="K691" s="2" t="s">
        <v>3980</v>
      </c>
      <c r="L691" s="2"/>
      <c r="M691" s="4" t="s">
        <v>4195</v>
      </c>
      <c r="N691" s="2"/>
      <c r="O691" s="2"/>
      <c r="P691" s="2" t="s">
        <v>1843</v>
      </c>
      <c r="Q691" t="s">
        <v>1127</v>
      </c>
    </row>
    <row r="692" spans="1:17" ht="18" customHeight="1" x14ac:dyDescent="0.2">
      <c r="A692" s="64" t="s">
        <v>777</v>
      </c>
      <c r="B692" s="64" t="str">
        <f t="shared" si="42"/>
        <v>ch09c</v>
      </c>
      <c r="C692" s="64" t="s">
        <v>4182</v>
      </c>
      <c r="D692" s="64" t="s">
        <v>1838</v>
      </c>
      <c r="E692" s="64" t="s">
        <v>4004</v>
      </c>
      <c r="F692" s="2">
        <v>3</v>
      </c>
      <c r="G692" s="2" t="str">
        <f t="shared" si="41"/>
        <v>c</v>
      </c>
      <c r="H692" s="2">
        <v>2009</v>
      </c>
      <c r="I692" s="2" t="s">
        <v>4192</v>
      </c>
      <c r="J692" s="2" t="s">
        <v>4005</v>
      </c>
      <c r="K692" s="2" t="s">
        <v>3980</v>
      </c>
      <c r="L692" s="2"/>
      <c r="M692" s="4" t="s">
        <v>4195</v>
      </c>
      <c r="N692" s="2"/>
      <c r="O692" s="2"/>
      <c r="P692" s="2" t="s">
        <v>1843</v>
      </c>
      <c r="Q692" t="s">
        <v>1127</v>
      </c>
    </row>
    <row r="693" spans="1:17" ht="18" customHeight="1" x14ac:dyDescent="0.2">
      <c r="A693" s="64" t="s">
        <v>777</v>
      </c>
      <c r="B693" s="64" t="str">
        <f t="shared" si="42"/>
        <v>ch10d</v>
      </c>
      <c r="C693" s="64" t="s">
        <v>4182</v>
      </c>
      <c r="D693" s="64" t="s">
        <v>1838</v>
      </c>
      <c r="E693" s="64" t="s">
        <v>4004</v>
      </c>
      <c r="F693" s="2">
        <v>4</v>
      </c>
      <c r="G693" s="2" t="str">
        <f t="shared" si="41"/>
        <v>d</v>
      </c>
      <c r="H693" s="2">
        <v>2010</v>
      </c>
      <c r="I693" s="2" t="s">
        <v>4192</v>
      </c>
      <c r="J693" s="2" t="s">
        <v>4005</v>
      </c>
      <c r="K693" s="2" t="s">
        <v>3980</v>
      </c>
      <c r="L693" s="2"/>
      <c r="M693" s="4" t="s">
        <v>4195</v>
      </c>
      <c r="N693" s="2"/>
      <c r="O693" s="2"/>
      <c r="P693" s="2" t="s">
        <v>1843</v>
      </c>
      <c r="Q693" t="s">
        <v>1127</v>
      </c>
    </row>
    <row r="694" spans="1:17" ht="18" customHeight="1" x14ac:dyDescent="0.2">
      <c r="A694" s="64" t="s">
        <v>777</v>
      </c>
      <c r="B694" s="64" t="str">
        <f t="shared" si="42"/>
        <v>ch11e</v>
      </c>
      <c r="C694" s="64" t="s">
        <v>4182</v>
      </c>
      <c r="D694" s="64" t="s">
        <v>1838</v>
      </c>
      <c r="E694" s="64" t="s">
        <v>4004</v>
      </c>
      <c r="F694" s="2">
        <v>5</v>
      </c>
      <c r="G694" s="2" t="str">
        <f t="shared" si="41"/>
        <v>e</v>
      </c>
      <c r="H694" s="2">
        <v>2011</v>
      </c>
      <c r="I694" s="2" t="s">
        <v>4192</v>
      </c>
      <c r="J694" s="2" t="s">
        <v>4005</v>
      </c>
      <c r="K694" s="2" t="s">
        <v>3980</v>
      </c>
      <c r="L694" s="2"/>
      <c r="M694" s="4" t="s">
        <v>4195</v>
      </c>
      <c r="N694" s="2"/>
      <c r="O694" s="2"/>
      <c r="P694" s="2" t="s">
        <v>1843</v>
      </c>
      <c r="Q694" t="s">
        <v>1127</v>
      </c>
    </row>
    <row r="695" spans="1:17" ht="18" customHeight="1" x14ac:dyDescent="0.2">
      <c r="A695" s="64" t="s">
        <v>777</v>
      </c>
      <c r="B695" s="64" t="str">
        <f t="shared" si="42"/>
        <v>ch12f</v>
      </c>
      <c r="C695" s="64" t="s">
        <v>4182</v>
      </c>
      <c r="D695" s="64" t="s">
        <v>1838</v>
      </c>
      <c r="E695" s="64" t="s">
        <v>4004</v>
      </c>
      <c r="F695" s="2">
        <v>6</v>
      </c>
      <c r="G695" s="2" t="str">
        <f t="shared" si="41"/>
        <v>f</v>
      </c>
      <c r="H695" s="2">
        <v>2012</v>
      </c>
      <c r="I695" s="2" t="s">
        <v>4192</v>
      </c>
      <c r="J695" s="2" t="s">
        <v>4005</v>
      </c>
      <c r="K695" s="2" t="s">
        <v>3980</v>
      </c>
      <c r="L695" s="2"/>
      <c r="M695" s="4" t="s">
        <v>4195</v>
      </c>
      <c r="N695" s="2"/>
      <c r="O695" s="2"/>
      <c r="P695" s="2" t="s">
        <v>1843</v>
      </c>
      <c r="Q695" t="s">
        <v>1127</v>
      </c>
    </row>
    <row r="696" spans="1:17" ht="18" customHeight="1" x14ac:dyDescent="0.2">
      <c r="A696" s="64" t="s">
        <v>777</v>
      </c>
      <c r="B696" s="64" t="str">
        <f t="shared" si="42"/>
        <v>ch13g</v>
      </c>
      <c r="C696" s="64" t="s">
        <v>4182</v>
      </c>
      <c r="D696" s="64" t="s">
        <v>1838</v>
      </c>
      <c r="E696" s="64" t="s">
        <v>4004</v>
      </c>
      <c r="F696" s="2">
        <v>7</v>
      </c>
      <c r="G696" s="2" t="str">
        <f t="shared" si="41"/>
        <v>g</v>
      </c>
      <c r="H696" s="2">
        <v>2013</v>
      </c>
      <c r="I696" s="2" t="s">
        <v>4192</v>
      </c>
      <c r="J696" s="2" t="s">
        <v>4005</v>
      </c>
      <c r="K696" s="2" t="s">
        <v>3980</v>
      </c>
      <c r="L696" s="2"/>
      <c r="M696" s="4" t="s">
        <v>4195</v>
      </c>
      <c r="N696" s="2"/>
      <c r="O696" s="2"/>
      <c r="P696" s="2" t="s">
        <v>1843</v>
      </c>
      <c r="Q696" t="s">
        <v>1127</v>
      </c>
    </row>
    <row r="697" spans="1:17" ht="18" customHeight="1" x14ac:dyDescent="0.2">
      <c r="A697" s="64" t="s">
        <v>777</v>
      </c>
      <c r="B697" s="64" t="str">
        <f t="shared" si="42"/>
        <v>ch15h</v>
      </c>
      <c r="C697" s="64" t="s">
        <v>4182</v>
      </c>
      <c r="D697" s="64" t="s">
        <v>1838</v>
      </c>
      <c r="E697" s="64" t="s">
        <v>4004</v>
      </c>
      <c r="F697" s="2">
        <v>8</v>
      </c>
      <c r="G697" s="2" t="str">
        <f t="shared" si="41"/>
        <v>h</v>
      </c>
      <c r="H697" s="2">
        <v>2015</v>
      </c>
      <c r="I697" s="2" t="s">
        <v>4192</v>
      </c>
      <c r="J697" s="2" t="s">
        <v>4005</v>
      </c>
      <c r="K697" s="2" t="s">
        <v>3980</v>
      </c>
      <c r="L697" s="2"/>
      <c r="M697" s="4" t="s">
        <v>4195</v>
      </c>
      <c r="N697" s="2"/>
      <c r="O697" s="2"/>
      <c r="P697" s="2" t="s">
        <v>1843</v>
      </c>
      <c r="Q697" t="s">
        <v>1127</v>
      </c>
    </row>
    <row r="698" spans="1:17" ht="18" customHeight="1" x14ac:dyDescent="0.2">
      <c r="A698" s="64" t="s">
        <v>777</v>
      </c>
      <c r="B698" s="64" t="str">
        <f t="shared" si="42"/>
        <v>ch16i</v>
      </c>
      <c r="C698" s="64" t="s">
        <v>4182</v>
      </c>
      <c r="D698" s="64" t="s">
        <v>1838</v>
      </c>
      <c r="E698" s="64" t="s">
        <v>4004</v>
      </c>
      <c r="F698" s="2">
        <v>9</v>
      </c>
      <c r="G698" s="2" t="str">
        <f t="shared" si="41"/>
        <v>i</v>
      </c>
      <c r="H698" s="2">
        <v>2016</v>
      </c>
      <c r="I698" s="2" t="s">
        <v>4192</v>
      </c>
      <c r="J698" s="2" t="s">
        <v>4005</v>
      </c>
      <c r="K698" s="2" t="s">
        <v>3980</v>
      </c>
      <c r="L698" s="2"/>
      <c r="M698" s="4" t="s">
        <v>4195</v>
      </c>
      <c r="N698" s="2"/>
      <c r="O698" s="2"/>
      <c r="P698" s="2" t="s">
        <v>1843</v>
      </c>
      <c r="Q698" t="s">
        <v>1127</v>
      </c>
    </row>
    <row r="699" spans="1:17" ht="18" customHeight="1" x14ac:dyDescent="0.2">
      <c r="A699" s="64" t="s">
        <v>777</v>
      </c>
      <c r="B699" s="64" t="str">
        <f t="shared" si="42"/>
        <v>ch17j</v>
      </c>
      <c r="C699" s="64" t="s">
        <v>4182</v>
      </c>
      <c r="D699" s="64" t="s">
        <v>1838</v>
      </c>
      <c r="E699" s="64" t="s">
        <v>4004</v>
      </c>
      <c r="F699" s="2">
        <v>10</v>
      </c>
      <c r="G699" s="2" t="str">
        <f t="shared" si="41"/>
        <v>j</v>
      </c>
      <c r="H699" s="2">
        <v>2017</v>
      </c>
      <c r="I699" s="2" t="s">
        <v>4192</v>
      </c>
      <c r="J699" s="2" t="s">
        <v>4005</v>
      </c>
      <c r="K699" s="2" t="s">
        <v>3980</v>
      </c>
      <c r="L699" s="2"/>
      <c r="M699" s="4" t="s">
        <v>4195</v>
      </c>
      <c r="N699" s="2"/>
      <c r="O699" s="2"/>
      <c r="P699" s="2" t="s">
        <v>1843</v>
      </c>
      <c r="Q699" t="s">
        <v>1127</v>
      </c>
    </row>
    <row r="700" spans="1:17" ht="18" customHeight="1" x14ac:dyDescent="0.2">
      <c r="A700" s="64" t="s">
        <v>777</v>
      </c>
      <c r="B700" s="64" t="str">
        <f t="shared" si="42"/>
        <v>ch18k</v>
      </c>
      <c r="C700" s="64" t="s">
        <v>4182</v>
      </c>
      <c r="D700" s="64" t="s">
        <v>1838</v>
      </c>
      <c r="E700" s="64" t="s">
        <v>4004</v>
      </c>
      <c r="F700" s="2">
        <v>11</v>
      </c>
      <c r="G700" s="2" t="str">
        <f t="shared" si="41"/>
        <v>k</v>
      </c>
      <c r="H700" s="2">
        <v>2018</v>
      </c>
      <c r="I700" s="2" t="s">
        <v>4192</v>
      </c>
      <c r="J700" s="2" t="s">
        <v>4005</v>
      </c>
      <c r="K700" s="2" t="s">
        <v>3980</v>
      </c>
      <c r="L700" s="2"/>
      <c r="M700" s="4" t="s">
        <v>4195</v>
      </c>
      <c r="N700" s="2"/>
      <c r="O700" s="2"/>
      <c r="P700" s="2" t="s">
        <v>1843</v>
      </c>
      <c r="Q700" t="s">
        <v>1127</v>
      </c>
    </row>
    <row r="701" spans="1:17" ht="18" customHeight="1" x14ac:dyDescent="0.2">
      <c r="A701" s="64" t="s">
        <v>777</v>
      </c>
      <c r="B701" s="64" t="str">
        <f t="shared" si="42"/>
        <v>ch07a</v>
      </c>
      <c r="C701" s="64" t="s">
        <v>4182</v>
      </c>
      <c r="D701" s="64" t="s">
        <v>1838</v>
      </c>
      <c r="E701" s="64" t="s">
        <v>4006</v>
      </c>
      <c r="F701" s="2">
        <v>1</v>
      </c>
      <c r="G701" s="2" t="str">
        <f t="shared" si="41"/>
        <v>a</v>
      </c>
      <c r="H701" s="2">
        <v>2007</v>
      </c>
      <c r="I701" s="2" t="s">
        <v>4192</v>
      </c>
      <c r="J701" s="2" t="s">
        <v>1985</v>
      </c>
      <c r="K701" s="2" t="s">
        <v>3980</v>
      </c>
      <c r="L701" s="2"/>
      <c r="M701" s="4" t="s">
        <v>4195</v>
      </c>
      <c r="N701" s="2"/>
      <c r="O701" s="2"/>
      <c r="P701" s="2" t="s">
        <v>1843</v>
      </c>
      <c r="Q701" t="s">
        <v>1127</v>
      </c>
    </row>
    <row r="702" spans="1:17" ht="18" customHeight="1" x14ac:dyDescent="0.2">
      <c r="A702" s="64" t="s">
        <v>777</v>
      </c>
      <c r="B702" s="64" t="str">
        <f t="shared" si="42"/>
        <v>ch08b</v>
      </c>
      <c r="C702" s="64" t="s">
        <v>4182</v>
      </c>
      <c r="D702" s="64" t="s">
        <v>1838</v>
      </c>
      <c r="E702" s="64" t="s">
        <v>4006</v>
      </c>
      <c r="F702" s="2">
        <v>2</v>
      </c>
      <c r="G702" s="2" t="str">
        <f t="shared" si="41"/>
        <v>b</v>
      </c>
      <c r="H702" s="2">
        <v>2008</v>
      </c>
      <c r="I702" s="2" t="s">
        <v>4192</v>
      </c>
      <c r="J702" s="2" t="s">
        <v>1985</v>
      </c>
      <c r="K702" s="2" t="s">
        <v>3980</v>
      </c>
      <c r="L702" s="2"/>
      <c r="M702" s="4" t="s">
        <v>4195</v>
      </c>
      <c r="N702" s="2"/>
      <c r="O702" s="2"/>
      <c r="P702" s="2" t="s">
        <v>1843</v>
      </c>
      <c r="Q702" t="s">
        <v>1127</v>
      </c>
    </row>
    <row r="703" spans="1:17" ht="18" customHeight="1" x14ac:dyDescent="0.2">
      <c r="A703" s="64" t="s">
        <v>777</v>
      </c>
      <c r="B703" s="64" t="str">
        <f t="shared" si="42"/>
        <v>ch09c</v>
      </c>
      <c r="C703" s="64" t="s">
        <v>4182</v>
      </c>
      <c r="D703" s="64" t="s">
        <v>1838</v>
      </c>
      <c r="E703" s="64" t="s">
        <v>4006</v>
      </c>
      <c r="F703" s="2">
        <v>3</v>
      </c>
      <c r="G703" s="2" t="str">
        <f t="shared" si="41"/>
        <v>c</v>
      </c>
      <c r="H703" s="2">
        <v>2009</v>
      </c>
      <c r="I703" s="2" t="s">
        <v>4192</v>
      </c>
      <c r="J703" s="2" t="s">
        <v>1985</v>
      </c>
      <c r="K703" s="2" t="s">
        <v>3980</v>
      </c>
      <c r="L703" s="2"/>
      <c r="M703" s="4" t="s">
        <v>4195</v>
      </c>
      <c r="N703" s="2"/>
      <c r="O703" s="2"/>
      <c r="P703" s="2" t="s">
        <v>1843</v>
      </c>
      <c r="Q703" t="s">
        <v>1127</v>
      </c>
    </row>
    <row r="704" spans="1:17" ht="18" customHeight="1" x14ac:dyDescent="0.2">
      <c r="A704" s="64" t="s">
        <v>777</v>
      </c>
      <c r="B704" s="64" t="str">
        <f t="shared" si="42"/>
        <v>ch10d</v>
      </c>
      <c r="C704" s="64" t="s">
        <v>4182</v>
      </c>
      <c r="D704" s="64" t="s">
        <v>1838</v>
      </c>
      <c r="E704" s="64" t="s">
        <v>4006</v>
      </c>
      <c r="F704" s="2">
        <v>4</v>
      </c>
      <c r="G704" s="2" t="str">
        <f t="shared" si="41"/>
        <v>d</v>
      </c>
      <c r="H704" s="2">
        <v>2010</v>
      </c>
      <c r="I704" s="2" t="s">
        <v>4192</v>
      </c>
      <c r="J704" s="2" t="s">
        <v>1985</v>
      </c>
      <c r="K704" s="2" t="s">
        <v>3980</v>
      </c>
      <c r="L704" s="2"/>
      <c r="M704" s="4" t="s">
        <v>4195</v>
      </c>
      <c r="N704" s="2"/>
      <c r="O704" s="2"/>
      <c r="P704" s="2" t="s">
        <v>1843</v>
      </c>
      <c r="Q704" t="s">
        <v>1127</v>
      </c>
    </row>
    <row r="705" spans="1:17" ht="18" customHeight="1" x14ac:dyDescent="0.2">
      <c r="A705" s="64" t="s">
        <v>777</v>
      </c>
      <c r="B705" s="64" t="str">
        <f t="shared" si="42"/>
        <v>ch11e</v>
      </c>
      <c r="C705" s="64" t="s">
        <v>4182</v>
      </c>
      <c r="D705" s="64" t="s">
        <v>1838</v>
      </c>
      <c r="E705" s="64" t="s">
        <v>4006</v>
      </c>
      <c r="F705" s="2">
        <v>5</v>
      </c>
      <c r="G705" s="2" t="str">
        <f t="shared" si="41"/>
        <v>e</v>
      </c>
      <c r="H705" s="2">
        <v>2011</v>
      </c>
      <c r="I705" s="2" t="s">
        <v>4192</v>
      </c>
      <c r="J705" s="2" t="s">
        <v>1985</v>
      </c>
      <c r="K705" s="2" t="s">
        <v>3980</v>
      </c>
      <c r="L705" s="2"/>
      <c r="M705" s="4" t="s">
        <v>4195</v>
      </c>
      <c r="N705" s="2"/>
      <c r="O705" s="2"/>
      <c r="P705" s="2" t="s">
        <v>1843</v>
      </c>
      <c r="Q705" t="s">
        <v>1127</v>
      </c>
    </row>
    <row r="706" spans="1:17" ht="18" customHeight="1" x14ac:dyDescent="0.2">
      <c r="A706" s="64" t="s">
        <v>777</v>
      </c>
      <c r="B706" s="64" t="str">
        <f t="shared" si="42"/>
        <v>ch12f</v>
      </c>
      <c r="C706" s="64" t="s">
        <v>4182</v>
      </c>
      <c r="D706" s="64" t="s">
        <v>1838</v>
      </c>
      <c r="E706" s="64" t="s">
        <v>4006</v>
      </c>
      <c r="F706" s="2">
        <v>6</v>
      </c>
      <c r="G706" s="2" t="str">
        <f t="shared" si="41"/>
        <v>f</v>
      </c>
      <c r="H706" s="2">
        <v>2012</v>
      </c>
      <c r="I706" s="2" t="s">
        <v>4192</v>
      </c>
      <c r="J706" s="2" t="s">
        <v>1985</v>
      </c>
      <c r="K706" s="2" t="s">
        <v>3980</v>
      </c>
      <c r="L706" s="2"/>
      <c r="M706" s="4" t="s">
        <v>4195</v>
      </c>
      <c r="N706" s="2"/>
      <c r="O706" s="2"/>
      <c r="P706" s="2" t="s">
        <v>1843</v>
      </c>
      <c r="Q706" t="s">
        <v>1127</v>
      </c>
    </row>
    <row r="707" spans="1:17" ht="18" customHeight="1" x14ac:dyDescent="0.2">
      <c r="A707" s="64" t="s">
        <v>777</v>
      </c>
      <c r="B707" s="64" t="str">
        <f t="shared" si="42"/>
        <v>ch13g</v>
      </c>
      <c r="C707" s="64" t="s">
        <v>4182</v>
      </c>
      <c r="D707" s="64" t="s">
        <v>1838</v>
      </c>
      <c r="E707" s="64" t="s">
        <v>4006</v>
      </c>
      <c r="F707" s="2">
        <v>7</v>
      </c>
      <c r="G707" s="2" t="str">
        <f t="shared" si="41"/>
        <v>g</v>
      </c>
      <c r="H707" s="2">
        <v>2013</v>
      </c>
      <c r="I707" s="2" t="s">
        <v>4192</v>
      </c>
      <c r="J707" s="2" t="s">
        <v>1985</v>
      </c>
      <c r="K707" s="2" t="s">
        <v>3980</v>
      </c>
      <c r="L707" s="2"/>
      <c r="M707" s="4" t="s">
        <v>4195</v>
      </c>
      <c r="N707" s="2"/>
      <c r="O707" s="2"/>
      <c r="P707" s="2" t="s">
        <v>1843</v>
      </c>
      <c r="Q707" t="s">
        <v>1127</v>
      </c>
    </row>
    <row r="708" spans="1:17" ht="18" customHeight="1" x14ac:dyDescent="0.2">
      <c r="A708" s="64" t="s">
        <v>777</v>
      </c>
      <c r="B708" s="64" t="str">
        <f t="shared" si="42"/>
        <v>ch15h</v>
      </c>
      <c r="C708" s="64" t="s">
        <v>4182</v>
      </c>
      <c r="D708" s="64" t="s">
        <v>1838</v>
      </c>
      <c r="E708" s="64" t="s">
        <v>4006</v>
      </c>
      <c r="F708" s="2">
        <v>8</v>
      </c>
      <c r="G708" s="2" t="str">
        <f t="shared" si="41"/>
        <v>h</v>
      </c>
      <c r="H708" s="2">
        <v>2015</v>
      </c>
      <c r="I708" s="2" t="s">
        <v>4192</v>
      </c>
      <c r="J708" s="2" t="s">
        <v>1985</v>
      </c>
      <c r="K708" s="2" t="s">
        <v>3980</v>
      </c>
      <c r="L708" s="2"/>
      <c r="M708" s="4" t="s">
        <v>4195</v>
      </c>
      <c r="N708" s="2"/>
      <c r="O708" s="2"/>
      <c r="P708" s="2" t="s">
        <v>1843</v>
      </c>
      <c r="Q708" t="s">
        <v>1127</v>
      </c>
    </row>
    <row r="709" spans="1:17" ht="18" customHeight="1" x14ac:dyDescent="0.2">
      <c r="A709" s="64" t="s">
        <v>777</v>
      </c>
      <c r="B709" s="64" t="str">
        <f t="shared" si="42"/>
        <v>ch16i</v>
      </c>
      <c r="C709" s="64" t="s">
        <v>4182</v>
      </c>
      <c r="D709" s="64" t="s">
        <v>1838</v>
      </c>
      <c r="E709" s="64" t="s">
        <v>4006</v>
      </c>
      <c r="F709" s="2">
        <v>9</v>
      </c>
      <c r="G709" s="2" t="str">
        <f t="shared" si="41"/>
        <v>i</v>
      </c>
      <c r="H709" s="2">
        <v>2016</v>
      </c>
      <c r="I709" s="2" t="s">
        <v>4192</v>
      </c>
      <c r="J709" s="2" t="s">
        <v>1985</v>
      </c>
      <c r="K709" s="2" t="s">
        <v>3980</v>
      </c>
      <c r="L709" s="2"/>
      <c r="M709" s="4" t="s">
        <v>4195</v>
      </c>
      <c r="N709" s="2"/>
      <c r="O709" s="2"/>
      <c r="P709" s="2" t="s">
        <v>1843</v>
      </c>
      <c r="Q709" t="s">
        <v>1127</v>
      </c>
    </row>
    <row r="710" spans="1:17" ht="18" customHeight="1" x14ac:dyDescent="0.2">
      <c r="A710" s="64" t="s">
        <v>777</v>
      </c>
      <c r="B710" s="64" t="str">
        <f t="shared" si="42"/>
        <v>ch17j</v>
      </c>
      <c r="C710" s="64" t="s">
        <v>4182</v>
      </c>
      <c r="D710" s="64" t="s">
        <v>1838</v>
      </c>
      <c r="E710" s="64" t="s">
        <v>4006</v>
      </c>
      <c r="F710" s="2">
        <v>10</v>
      </c>
      <c r="G710" s="2" t="str">
        <f t="shared" si="41"/>
        <v>j</v>
      </c>
      <c r="H710" s="2">
        <v>2017</v>
      </c>
      <c r="I710" s="2" t="s">
        <v>4192</v>
      </c>
      <c r="J710" s="2" t="s">
        <v>1985</v>
      </c>
      <c r="K710" s="2" t="s">
        <v>3980</v>
      </c>
      <c r="L710" s="2"/>
      <c r="M710" s="4" t="s">
        <v>4195</v>
      </c>
      <c r="N710" s="2"/>
      <c r="O710" s="2"/>
      <c r="P710" s="2" t="s">
        <v>1843</v>
      </c>
      <c r="Q710" t="s">
        <v>1127</v>
      </c>
    </row>
    <row r="711" spans="1:17" ht="18" customHeight="1" x14ac:dyDescent="0.2">
      <c r="A711" s="64" t="s">
        <v>777</v>
      </c>
      <c r="B711" s="64" t="str">
        <f t="shared" si="42"/>
        <v>ch18k</v>
      </c>
      <c r="C711" s="64" t="s">
        <v>4182</v>
      </c>
      <c r="D711" s="64" t="s">
        <v>1838</v>
      </c>
      <c r="E711" s="64" t="s">
        <v>4006</v>
      </c>
      <c r="F711" s="2">
        <v>11</v>
      </c>
      <c r="G711" s="2" t="str">
        <f t="shared" si="41"/>
        <v>k</v>
      </c>
      <c r="H711" s="2">
        <v>2018</v>
      </c>
      <c r="I711" s="2" t="s">
        <v>4192</v>
      </c>
      <c r="J711" s="2" t="s">
        <v>1985</v>
      </c>
      <c r="K711" s="2" t="s">
        <v>3980</v>
      </c>
      <c r="L711" s="2"/>
      <c r="M711" s="4" t="s">
        <v>4195</v>
      </c>
      <c r="N711" s="2"/>
      <c r="O711" s="2"/>
      <c r="P711" s="2" t="s">
        <v>1843</v>
      </c>
      <c r="Q711" t="s">
        <v>1127</v>
      </c>
    </row>
    <row r="712" spans="1:17" ht="18" customHeight="1" x14ac:dyDescent="0.2">
      <c r="A712" s="64" t="s">
        <v>777</v>
      </c>
      <c r="B712" s="64" t="str">
        <f t="shared" si="42"/>
        <v>ch07a</v>
      </c>
      <c r="C712" s="64" t="s">
        <v>4182</v>
      </c>
      <c r="D712" s="64" t="s">
        <v>1838</v>
      </c>
      <c r="E712" s="64" t="s">
        <v>4007</v>
      </c>
      <c r="F712" s="2">
        <v>1</v>
      </c>
      <c r="G712" s="2" t="str">
        <f t="shared" si="41"/>
        <v>a</v>
      </c>
      <c r="H712" s="2">
        <v>2007</v>
      </c>
      <c r="I712" s="2" t="s">
        <v>4192</v>
      </c>
      <c r="J712" s="2" t="s">
        <v>4008</v>
      </c>
      <c r="K712" s="2" t="s">
        <v>3980</v>
      </c>
      <c r="L712" s="2"/>
      <c r="M712" s="4" t="s">
        <v>4195</v>
      </c>
      <c r="N712" s="2"/>
      <c r="O712" s="2"/>
      <c r="P712" s="2" t="s">
        <v>1843</v>
      </c>
      <c r="Q712" t="s">
        <v>1127</v>
      </c>
    </row>
    <row r="713" spans="1:17" ht="18" customHeight="1" x14ac:dyDescent="0.2">
      <c r="A713" s="64" t="s">
        <v>777</v>
      </c>
      <c r="B713" s="64" t="str">
        <f t="shared" si="42"/>
        <v>ch08b</v>
      </c>
      <c r="C713" s="64" t="s">
        <v>4182</v>
      </c>
      <c r="D713" s="64" t="s">
        <v>1838</v>
      </c>
      <c r="E713" s="64" t="s">
        <v>4007</v>
      </c>
      <c r="F713" s="2">
        <v>2</v>
      </c>
      <c r="G713" s="2" t="str">
        <f t="shared" si="41"/>
        <v>b</v>
      </c>
      <c r="H713" s="2">
        <v>2008</v>
      </c>
      <c r="I713" s="2" t="s">
        <v>4192</v>
      </c>
      <c r="J713" s="2" t="s">
        <v>4008</v>
      </c>
      <c r="K713" s="2" t="s">
        <v>3980</v>
      </c>
      <c r="L713" s="2"/>
      <c r="M713" s="4" t="s">
        <v>4195</v>
      </c>
      <c r="N713" s="2"/>
      <c r="O713" s="2"/>
      <c r="P713" s="2" t="s">
        <v>1843</v>
      </c>
      <c r="Q713" t="s">
        <v>1127</v>
      </c>
    </row>
    <row r="714" spans="1:17" ht="18" customHeight="1" x14ac:dyDescent="0.2">
      <c r="A714" s="64" t="s">
        <v>777</v>
      </c>
      <c r="B714" s="64" t="str">
        <f t="shared" si="42"/>
        <v>ch09c</v>
      </c>
      <c r="C714" s="64" t="s">
        <v>4182</v>
      </c>
      <c r="D714" s="64" t="s">
        <v>1838</v>
      </c>
      <c r="E714" s="64" t="s">
        <v>4007</v>
      </c>
      <c r="F714" s="2">
        <v>3</v>
      </c>
      <c r="G714" s="2" t="str">
        <f t="shared" si="41"/>
        <v>c</v>
      </c>
      <c r="H714" s="2">
        <v>2009</v>
      </c>
      <c r="I714" s="2" t="s">
        <v>4192</v>
      </c>
      <c r="J714" s="2" t="s">
        <v>4008</v>
      </c>
      <c r="K714" s="2" t="s">
        <v>3980</v>
      </c>
      <c r="L714" s="2"/>
      <c r="M714" s="4" t="s">
        <v>4195</v>
      </c>
      <c r="N714" s="2"/>
      <c r="O714" s="2"/>
      <c r="P714" s="2" t="s">
        <v>1843</v>
      </c>
      <c r="Q714" t="s">
        <v>1127</v>
      </c>
    </row>
    <row r="715" spans="1:17" ht="18" customHeight="1" x14ac:dyDescent="0.2">
      <c r="A715" s="64" t="s">
        <v>777</v>
      </c>
      <c r="B715" s="64" t="str">
        <f t="shared" si="42"/>
        <v>ch10d</v>
      </c>
      <c r="C715" s="64" t="s">
        <v>4182</v>
      </c>
      <c r="D715" s="64" t="s">
        <v>1838</v>
      </c>
      <c r="E715" s="64" t="s">
        <v>4007</v>
      </c>
      <c r="F715" s="2">
        <v>4</v>
      </c>
      <c r="G715" s="2" t="str">
        <f t="shared" si="41"/>
        <v>d</v>
      </c>
      <c r="H715" s="2">
        <v>2010</v>
      </c>
      <c r="I715" s="2" t="s">
        <v>4192</v>
      </c>
      <c r="J715" s="2" t="s">
        <v>4008</v>
      </c>
      <c r="K715" s="2" t="s">
        <v>3980</v>
      </c>
      <c r="L715" s="2"/>
      <c r="M715" s="4" t="s">
        <v>4195</v>
      </c>
      <c r="N715" s="2"/>
      <c r="O715" s="2"/>
      <c r="P715" s="2" t="s">
        <v>1843</v>
      </c>
      <c r="Q715" t="s">
        <v>1127</v>
      </c>
    </row>
    <row r="716" spans="1:17" ht="18" customHeight="1" x14ac:dyDescent="0.2">
      <c r="A716" s="64" t="s">
        <v>777</v>
      </c>
      <c r="B716" s="64" t="str">
        <f t="shared" si="42"/>
        <v>ch11e</v>
      </c>
      <c r="C716" s="64" t="s">
        <v>4182</v>
      </c>
      <c r="D716" s="64" t="s">
        <v>1838</v>
      </c>
      <c r="E716" s="64" t="s">
        <v>4007</v>
      </c>
      <c r="F716" s="2">
        <v>5</v>
      </c>
      <c r="G716" s="2" t="str">
        <f t="shared" si="41"/>
        <v>e</v>
      </c>
      <c r="H716" s="2">
        <v>2011</v>
      </c>
      <c r="I716" s="2" t="s">
        <v>4192</v>
      </c>
      <c r="J716" s="2" t="s">
        <v>4008</v>
      </c>
      <c r="K716" s="2" t="s">
        <v>3980</v>
      </c>
      <c r="L716" s="2"/>
      <c r="M716" s="4" t="s">
        <v>4195</v>
      </c>
      <c r="N716" s="2"/>
      <c r="O716" s="2"/>
      <c r="P716" s="2" t="s">
        <v>1843</v>
      </c>
      <c r="Q716" t="s">
        <v>1127</v>
      </c>
    </row>
    <row r="717" spans="1:17" ht="18" customHeight="1" x14ac:dyDescent="0.2">
      <c r="A717" s="64" t="s">
        <v>777</v>
      </c>
      <c r="B717" s="64" t="str">
        <f t="shared" si="42"/>
        <v>ch12f</v>
      </c>
      <c r="C717" s="64" t="s">
        <v>4182</v>
      </c>
      <c r="D717" s="64" t="s">
        <v>1838</v>
      </c>
      <c r="E717" s="64" t="s">
        <v>4007</v>
      </c>
      <c r="F717" s="2">
        <v>6</v>
      </c>
      <c r="G717" s="2" t="str">
        <f t="shared" si="41"/>
        <v>f</v>
      </c>
      <c r="H717" s="2">
        <v>2012</v>
      </c>
      <c r="I717" s="2" t="s">
        <v>4192</v>
      </c>
      <c r="J717" s="2" t="s">
        <v>4008</v>
      </c>
      <c r="K717" s="2" t="s">
        <v>3980</v>
      </c>
      <c r="L717" s="2"/>
      <c r="M717" s="4" t="s">
        <v>4195</v>
      </c>
      <c r="N717" s="2"/>
      <c r="O717" s="2"/>
      <c r="P717" s="2" t="s">
        <v>1843</v>
      </c>
      <c r="Q717" t="s">
        <v>1127</v>
      </c>
    </row>
    <row r="718" spans="1:17" ht="18" customHeight="1" x14ac:dyDescent="0.2">
      <c r="A718" s="64" t="s">
        <v>777</v>
      </c>
      <c r="B718" s="64" t="str">
        <f t="shared" si="42"/>
        <v>ch13g</v>
      </c>
      <c r="C718" s="64" t="s">
        <v>4182</v>
      </c>
      <c r="D718" s="64" t="s">
        <v>1838</v>
      </c>
      <c r="E718" s="64" t="s">
        <v>4007</v>
      </c>
      <c r="F718" s="2">
        <v>7</v>
      </c>
      <c r="G718" s="2" t="str">
        <f t="shared" si="41"/>
        <v>g</v>
      </c>
      <c r="H718" s="2">
        <v>2013</v>
      </c>
      <c r="I718" s="2" t="s">
        <v>4192</v>
      </c>
      <c r="J718" s="2" t="s">
        <v>4008</v>
      </c>
      <c r="K718" s="2" t="s">
        <v>3980</v>
      </c>
      <c r="L718" s="2"/>
      <c r="M718" s="4" t="s">
        <v>4195</v>
      </c>
      <c r="N718" s="2"/>
      <c r="O718" s="2"/>
      <c r="P718" s="2" t="s">
        <v>1843</v>
      </c>
      <c r="Q718" t="s">
        <v>1127</v>
      </c>
    </row>
    <row r="719" spans="1:17" ht="18" customHeight="1" x14ac:dyDescent="0.2">
      <c r="A719" s="64" t="s">
        <v>777</v>
      </c>
      <c r="B719" s="64" t="str">
        <f t="shared" si="42"/>
        <v>ch15h</v>
      </c>
      <c r="C719" s="64" t="s">
        <v>4182</v>
      </c>
      <c r="D719" s="64" t="s">
        <v>1838</v>
      </c>
      <c r="E719" s="64" t="s">
        <v>4007</v>
      </c>
      <c r="F719" s="2">
        <v>8</v>
      </c>
      <c r="G719" s="2" t="str">
        <f t="shared" si="41"/>
        <v>h</v>
      </c>
      <c r="H719" s="2">
        <v>2015</v>
      </c>
      <c r="I719" s="2" t="s">
        <v>4192</v>
      </c>
      <c r="J719" s="2" t="s">
        <v>4008</v>
      </c>
      <c r="K719" s="2" t="s">
        <v>3980</v>
      </c>
      <c r="L719" s="2"/>
      <c r="M719" s="4" t="s">
        <v>4195</v>
      </c>
      <c r="N719" s="2"/>
      <c r="O719" s="2"/>
      <c r="P719" s="2" t="s">
        <v>1843</v>
      </c>
      <c r="Q719" t="s">
        <v>1127</v>
      </c>
    </row>
    <row r="720" spans="1:17" ht="18" customHeight="1" x14ac:dyDescent="0.2">
      <c r="A720" s="64" t="s">
        <v>777</v>
      </c>
      <c r="B720" s="64" t="str">
        <f t="shared" si="42"/>
        <v>ch16i</v>
      </c>
      <c r="C720" s="64" t="s">
        <v>4182</v>
      </c>
      <c r="D720" s="64" t="s">
        <v>1838</v>
      </c>
      <c r="E720" s="64" t="s">
        <v>4007</v>
      </c>
      <c r="F720" s="2">
        <v>9</v>
      </c>
      <c r="G720" s="2" t="str">
        <f t="shared" si="41"/>
        <v>i</v>
      </c>
      <c r="H720" s="2">
        <v>2016</v>
      </c>
      <c r="I720" s="2" t="s">
        <v>4192</v>
      </c>
      <c r="J720" s="2" t="s">
        <v>4008</v>
      </c>
      <c r="K720" s="2" t="s">
        <v>3980</v>
      </c>
      <c r="L720" s="2"/>
      <c r="M720" s="4" t="s">
        <v>4195</v>
      </c>
      <c r="N720" s="2"/>
      <c r="O720" s="2"/>
      <c r="P720" s="2" t="s">
        <v>1843</v>
      </c>
      <c r="Q720" t="s">
        <v>1127</v>
      </c>
    </row>
    <row r="721" spans="1:17" ht="18" customHeight="1" x14ac:dyDescent="0.2">
      <c r="A721" s="64" t="s">
        <v>777</v>
      </c>
      <c r="B721" s="64" t="str">
        <f t="shared" si="42"/>
        <v>ch17j</v>
      </c>
      <c r="C721" s="64" t="s">
        <v>4182</v>
      </c>
      <c r="D721" s="64" t="s">
        <v>1838</v>
      </c>
      <c r="E721" s="64" t="s">
        <v>4007</v>
      </c>
      <c r="F721" s="2">
        <v>10</v>
      </c>
      <c r="G721" s="2" t="str">
        <f t="shared" si="41"/>
        <v>j</v>
      </c>
      <c r="H721" s="2">
        <v>2017</v>
      </c>
      <c r="I721" s="2" t="s">
        <v>4192</v>
      </c>
      <c r="J721" s="2" t="s">
        <v>4008</v>
      </c>
      <c r="K721" s="2" t="s">
        <v>3980</v>
      </c>
      <c r="L721" s="2"/>
      <c r="M721" s="4" t="s">
        <v>4195</v>
      </c>
      <c r="N721" s="2"/>
      <c r="O721" s="2"/>
      <c r="P721" s="2" t="s">
        <v>1843</v>
      </c>
      <c r="Q721" t="s">
        <v>1127</v>
      </c>
    </row>
    <row r="722" spans="1:17" ht="18" customHeight="1" x14ac:dyDescent="0.2">
      <c r="A722" s="64" t="s">
        <v>777</v>
      </c>
      <c r="B722" s="64" t="str">
        <f t="shared" si="42"/>
        <v>ch18k</v>
      </c>
      <c r="C722" s="64" t="s">
        <v>4182</v>
      </c>
      <c r="D722" s="64" t="s">
        <v>1838</v>
      </c>
      <c r="E722" s="64" t="s">
        <v>4007</v>
      </c>
      <c r="F722" s="2">
        <v>11</v>
      </c>
      <c r="G722" s="2" t="str">
        <f t="shared" si="41"/>
        <v>k</v>
      </c>
      <c r="H722" s="2">
        <v>2018</v>
      </c>
      <c r="I722" s="2" t="s">
        <v>4192</v>
      </c>
      <c r="J722" s="2" t="s">
        <v>4008</v>
      </c>
      <c r="K722" s="2" t="s">
        <v>3980</v>
      </c>
      <c r="L722" s="2"/>
      <c r="M722" s="4" t="s">
        <v>4195</v>
      </c>
      <c r="N722" s="2"/>
      <c r="O722" s="2"/>
      <c r="P722" s="2" t="s">
        <v>1843</v>
      </c>
      <c r="Q722" t="s">
        <v>1127</v>
      </c>
    </row>
    <row r="723" spans="1:17" ht="18" customHeight="1" x14ac:dyDescent="0.2">
      <c r="A723" s="64" t="s">
        <v>777</v>
      </c>
      <c r="B723" s="64" t="str">
        <f t="shared" si="42"/>
        <v>ch07a</v>
      </c>
      <c r="C723" s="64" t="s">
        <v>4182</v>
      </c>
      <c r="D723" s="64" t="s">
        <v>1838</v>
      </c>
      <c r="E723" s="64" t="s">
        <v>4009</v>
      </c>
      <c r="F723" s="2">
        <v>1</v>
      </c>
      <c r="G723" s="2" t="str">
        <f t="shared" si="41"/>
        <v>a</v>
      </c>
      <c r="H723" s="2">
        <v>2007</v>
      </c>
      <c r="I723" s="2" t="s">
        <v>4192</v>
      </c>
      <c r="J723" s="2" t="s">
        <v>4010</v>
      </c>
      <c r="K723" s="2" t="s">
        <v>3980</v>
      </c>
      <c r="L723" s="2"/>
      <c r="M723" s="4" t="s">
        <v>4195</v>
      </c>
      <c r="N723" s="2"/>
      <c r="O723" s="2"/>
      <c r="P723" s="2" t="s">
        <v>1843</v>
      </c>
      <c r="Q723" t="s">
        <v>1127</v>
      </c>
    </row>
    <row r="724" spans="1:17" ht="18" customHeight="1" x14ac:dyDescent="0.2">
      <c r="A724" s="64" t="s">
        <v>777</v>
      </c>
      <c r="B724" s="64" t="str">
        <f t="shared" si="42"/>
        <v>ch08b</v>
      </c>
      <c r="C724" s="64" t="s">
        <v>4182</v>
      </c>
      <c r="D724" s="64" t="s">
        <v>1838</v>
      </c>
      <c r="E724" s="64" t="s">
        <v>4009</v>
      </c>
      <c r="F724" s="2">
        <v>2</v>
      </c>
      <c r="G724" s="2" t="str">
        <f t="shared" si="41"/>
        <v>b</v>
      </c>
      <c r="H724" s="2">
        <v>2008</v>
      </c>
      <c r="I724" s="2" t="s">
        <v>4192</v>
      </c>
      <c r="J724" s="2" t="s">
        <v>4010</v>
      </c>
      <c r="K724" s="2" t="s">
        <v>3980</v>
      </c>
      <c r="L724" s="2"/>
      <c r="M724" s="4" t="s">
        <v>4195</v>
      </c>
      <c r="N724" s="2"/>
      <c r="O724" s="2"/>
      <c r="P724" s="2" t="s">
        <v>1843</v>
      </c>
      <c r="Q724" t="s">
        <v>1127</v>
      </c>
    </row>
    <row r="725" spans="1:17" ht="18" customHeight="1" x14ac:dyDescent="0.2">
      <c r="A725" s="64" t="s">
        <v>777</v>
      </c>
      <c r="B725" s="64" t="str">
        <f t="shared" si="42"/>
        <v>ch09c</v>
      </c>
      <c r="C725" s="64" t="s">
        <v>4182</v>
      </c>
      <c r="D725" s="64" t="s">
        <v>1838</v>
      </c>
      <c r="E725" s="64" t="s">
        <v>4009</v>
      </c>
      <c r="F725" s="2">
        <v>3</v>
      </c>
      <c r="G725" s="2" t="str">
        <f t="shared" si="41"/>
        <v>c</v>
      </c>
      <c r="H725" s="2">
        <v>2009</v>
      </c>
      <c r="I725" s="2" t="s">
        <v>4192</v>
      </c>
      <c r="J725" s="2" t="s">
        <v>4010</v>
      </c>
      <c r="K725" s="2" t="s">
        <v>3980</v>
      </c>
      <c r="L725" s="2"/>
      <c r="M725" s="4" t="s">
        <v>4195</v>
      </c>
      <c r="N725" s="2"/>
      <c r="O725" s="2"/>
      <c r="P725" s="2" t="s">
        <v>1843</v>
      </c>
      <c r="Q725" t="s">
        <v>1127</v>
      </c>
    </row>
    <row r="726" spans="1:17" ht="18" customHeight="1" x14ac:dyDescent="0.2">
      <c r="A726" s="64" t="s">
        <v>777</v>
      </c>
      <c r="B726" s="64" t="str">
        <f t="shared" si="42"/>
        <v>ch10d</v>
      </c>
      <c r="C726" s="64" t="s">
        <v>4182</v>
      </c>
      <c r="D726" s="64" t="s">
        <v>1838</v>
      </c>
      <c r="E726" s="64" t="s">
        <v>4009</v>
      </c>
      <c r="F726" s="2">
        <v>4</v>
      </c>
      <c r="G726" s="2" t="str">
        <f t="shared" si="41"/>
        <v>d</v>
      </c>
      <c r="H726" s="2">
        <v>2010</v>
      </c>
      <c r="I726" s="2" t="s">
        <v>4192</v>
      </c>
      <c r="J726" s="2" t="s">
        <v>4010</v>
      </c>
      <c r="K726" s="2" t="s">
        <v>3980</v>
      </c>
      <c r="L726" s="2"/>
      <c r="M726" s="4" t="s">
        <v>4195</v>
      </c>
      <c r="N726" s="2"/>
      <c r="O726" s="2"/>
      <c r="P726" s="2" t="s">
        <v>1843</v>
      </c>
      <c r="Q726" t="s">
        <v>1127</v>
      </c>
    </row>
    <row r="727" spans="1:17" ht="18" customHeight="1" x14ac:dyDescent="0.2">
      <c r="A727" s="64" t="s">
        <v>777</v>
      </c>
      <c r="B727" s="64" t="str">
        <f t="shared" si="42"/>
        <v>ch11e</v>
      </c>
      <c r="C727" s="64" t="s">
        <v>4182</v>
      </c>
      <c r="D727" s="64" t="s">
        <v>1838</v>
      </c>
      <c r="E727" s="64" t="s">
        <v>4009</v>
      </c>
      <c r="F727" s="2">
        <v>5</v>
      </c>
      <c r="G727" s="2" t="str">
        <f t="shared" si="41"/>
        <v>e</v>
      </c>
      <c r="H727" s="2">
        <v>2011</v>
      </c>
      <c r="I727" s="2" t="s">
        <v>4192</v>
      </c>
      <c r="J727" s="2" t="s">
        <v>4010</v>
      </c>
      <c r="K727" s="2" t="s">
        <v>3980</v>
      </c>
      <c r="L727" s="2"/>
      <c r="M727" s="4" t="s">
        <v>4195</v>
      </c>
      <c r="N727" s="2"/>
      <c r="O727" s="2"/>
      <c r="P727" s="2" t="s">
        <v>1843</v>
      </c>
      <c r="Q727" t="s">
        <v>1127</v>
      </c>
    </row>
    <row r="728" spans="1:17" ht="18" customHeight="1" x14ac:dyDescent="0.2">
      <c r="A728" s="64" t="s">
        <v>777</v>
      </c>
      <c r="B728" s="64" t="str">
        <f t="shared" si="42"/>
        <v>ch12f</v>
      </c>
      <c r="C728" s="64" t="s">
        <v>4182</v>
      </c>
      <c r="D728" s="64" t="s">
        <v>1838</v>
      </c>
      <c r="E728" s="64" t="s">
        <v>4009</v>
      </c>
      <c r="F728" s="2">
        <v>6</v>
      </c>
      <c r="G728" s="2" t="str">
        <f t="shared" si="41"/>
        <v>f</v>
      </c>
      <c r="H728" s="2">
        <v>2012</v>
      </c>
      <c r="I728" s="2" t="s">
        <v>4192</v>
      </c>
      <c r="J728" s="2" t="s">
        <v>4010</v>
      </c>
      <c r="K728" s="2" t="s">
        <v>3980</v>
      </c>
      <c r="L728" s="2"/>
      <c r="M728" s="4" t="s">
        <v>4195</v>
      </c>
      <c r="N728" s="2"/>
      <c r="O728" s="2"/>
      <c r="P728" s="2" t="s">
        <v>1843</v>
      </c>
      <c r="Q728" t="s">
        <v>1127</v>
      </c>
    </row>
    <row r="729" spans="1:17" ht="18" customHeight="1" x14ac:dyDescent="0.2">
      <c r="A729" s="64" t="s">
        <v>777</v>
      </c>
      <c r="B729" s="64" t="str">
        <f t="shared" si="42"/>
        <v>ch13g</v>
      </c>
      <c r="C729" s="64" t="s">
        <v>4182</v>
      </c>
      <c r="D729" s="64" t="s">
        <v>1838</v>
      </c>
      <c r="E729" s="64" t="s">
        <v>4009</v>
      </c>
      <c r="F729" s="2">
        <v>7</v>
      </c>
      <c r="G729" s="2" t="str">
        <f t="shared" si="41"/>
        <v>g</v>
      </c>
      <c r="H729" s="2">
        <v>2013</v>
      </c>
      <c r="I729" s="2" t="s">
        <v>4192</v>
      </c>
      <c r="J729" s="2" t="s">
        <v>4010</v>
      </c>
      <c r="K729" s="2" t="s">
        <v>3980</v>
      </c>
      <c r="L729" s="2"/>
      <c r="M729" s="4" t="s">
        <v>4195</v>
      </c>
      <c r="N729" s="2"/>
      <c r="O729" s="2"/>
      <c r="P729" s="2" t="s">
        <v>1843</v>
      </c>
      <c r="Q729" t="s">
        <v>1127</v>
      </c>
    </row>
    <row r="730" spans="1:17" ht="18" customHeight="1" x14ac:dyDescent="0.2">
      <c r="A730" s="64" t="s">
        <v>777</v>
      </c>
      <c r="B730" s="64" t="str">
        <f t="shared" si="42"/>
        <v>ch15h</v>
      </c>
      <c r="C730" s="64" t="s">
        <v>4182</v>
      </c>
      <c r="D730" s="64" t="s">
        <v>1838</v>
      </c>
      <c r="E730" s="64" t="s">
        <v>4009</v>
      </c>
      <c r="F730" s="2">
        <v>8</v>
      </c>
      <c r="G730" s="2" t="str">
        <f t="shared" si="41"/>
        <v>h</v>
      </c>
      <c r="H730" s="2">
        <v>2015</v>
      </c>
      <c r="I730" s="2" t="s">
        <v>4192</v>
      </c>
      <c r="J730" s="2" t="s">
        <v>4010</v>
      </c>
      <c r="K730" s="2" t="s">
        <v>3980</v>
      </c>
      <c r="L730" s="2"/>
      <c r="M730" s="4" t="s">
        <v>4195</v>
      </c>
      <c r="N730" s="2"/>
      <c r="O730" s="2"/>
      <c r="P730" s="2" t="s">
        <v>1843</v>
      </c>
      <c r="Q730" t="s">
        <v>1127</v>
      </c>
    </row>
    <row r="731" spans="1:17" ht="18" customHeight="1" x14ac:dyDescent="0.2">
      <c r="A731" s="64" t="s">
        <v>777</v>
      </c>
      <c r="B731" s="64" t="str">
        <f t="shared" si="42"/>
        <v>ch16i</v>
      </c>
      <c r="C731" s="64" t="s">
        <v>4182</v>
      </c>
      <c r="D731" s="64" t="s">
        <v>1838</v>
      </c>
      <c r="E731" s="64" t="s">
        <v>4009</v>
      </c>
      <c r="F731" s="2">
        <v>9</v>
      </c>
      <c r="G731" s="2" t="str">
        <f t="shared" si="41"/>
        <v>i</v>
      </c>
      <c r="H731" s="2">
        <v>2016</v>
      </c>
      <c r="I731" s="2" t="s">
        <v>4192</v>
      </c>
      <c r="J731" s="2" t="s">
        <v>4010</v>
      </c>
      <c r="K731" s="2" t="s">
        <v>3980</v>
      </c>
      <c r="L731" s="2"/>
      <c r="M731" s="4" t="s">
        <v>4195</v>
      </c>
      <c r="N731" s="2"/>
      <c r="O731" s="2"/>
      <c r="P731" s="2" t="s">
        <v>1843</v>
      </c>
      <c r="Q731" t="s">
        <v>1127</v>
      </c>
    </row>
    <row r="732" spans="1:17" x14ac:dyDescent="0.2">
      <c r="A732" s="64" t="s">
        <v>777</v>
      </c>
      <c r="B732" s="64" t="str">
        <f t="shared" si="42"/>
        <v>ch17j</v>
      </c>
      <c r="C732" s="64" t="s">
        <v>4182</v>
      </c>
      <c r="D732" s="64" t="s">
        <v>1838</v>
      </c>
      <c r="E732" s="64" t="s">
        <v>4009</v>
      </c>
      <c r="F732" s="2">
        <v>10</v>
      </c>
      <c r="G732" s="2" t="str">
        <f t="shared" si="41"/>
        <v>j</v>
      </c>
      <c r="H732" s="2">
        <v>2017</v>
      </c>
      <c r="I732" s="2" t="s">
        <v>4192</v>
      </c>
      <c r="J732" s="2" t="s">
        <v>4010</v>
      </c>
      <c r="K732" s="2" t="s">
        <v>3980</v>
      </c>
      <c r="L732" s="2"/>
      <c r="M732" s="4" t="s">
        <v>4195</v>
      </c>
      <c r="N732" s="2"/>
      <c r="O732" s="2"/>
      <c r="P732" s="2" t="s">
        <v>1843</v>
      </c>
      <c r="Q732" t="s">
        <v>1127</v>
      </c>
    </row>
    <row r="733" spans="1:17" x14ac:dyDescent="0.2">
      <c r="A733" s="64" t="s">
        <v>777</v>
      </c>
      <c r="B733" s="64" t="str">
        <f t="shared" si="42"/>
        <v>ch18k</v>
      </c>
      <c r="C733" s="64" t="s">
        <v>4182</v>
      </c>
      <c r="D733" s="64" t="s">
        <v>1838</v>
      </c>
      <c r="E733" s="64" t="s">
        <v>4009</v>
      </c>
      <c r="F733" s="2">
        <v>11</v>
      </c>
      <c r="G733" s="2" t="str">
        <f t="shared" si="41"/>
        <v>k</v>
      </c>
      <c r="H733" s="2">
        <v>2018</v>
      </c>
      <c r="I733" s="2" t="s">
        <v>4192</v>
      </c>
      <c r="J733" s="2" t="s">
        <v>4010</v>
      </c>
      <c r="K733" s="2" t="s">
        <v>3980</v>
      </c>
      <c r="L733" s="2"/>
      <c r="M733" s="4" t="s">
        <v>4195</v>
      </c>
      <c r="N733" s="2"/>
      <c r="O733" s="2"/>
      <c r="P733" s="2" t="s">
        <v>1843</v>
      </c>
      <c r="Q733" t="s">
        <v>1127</v>
      </c>
    </row>
    <row r="734" spans="1:17" x14ac:dyDescent="0.2">
      <c r="A734" s="64" t="s">
        <v>777</v>
      </c>
      <c r="B734" s="64" t="str">
        <f t="shared" si="42"/>
        <v>ch07a</v>
      </c>
      <c r="C734" s="64" t="s">
        <v>4182</v>
      </c>
      <c r="D734" s="64" t="s">
        <v>1838</v>
      </c>
      <c r="E734" s="64" t="s">
        <v>4011</v>
      </c>
      <c r="F734" s="2">
        <v>1</v>
      </c>
      <c r="G734" s="2" t="str">
        <f t="shared" si="41"/>
        <v>a</v>
      </c>
      <c r="H734" s="2">
        <v>2007</v>
      </c>
      <c r="I734" s="2" t="s">
        <v>4192</v>
      </c>
      <c r="J734" s="2" t="s">
        <v>4012</v>
      </c>
      <c r="K734" s="2" t="s">
        <v>3980</v>
      </c>
      <c r="L734" s="2"/>
      <c r="M734" s="4" t="s">
        <v>4195</v>
      </c>
      <c r="N734" s="2"/>
      <c r="O734" s="2"/>
      <c r="P734" s="2" t="s">
        <v>1843</v>
      </c>
      <c r="Q734" t="s">
        <v>1127</v>
      </c>
    </row>
    <row r="735" spans="1:17" x14ac:dyDescent="0.2">
      <c r="A735" s="64" t="s">
        <v>777</v>
      </c>
      <c r="B735" s="64" t="str">
        <f t="shared" si="42"/>
        <v>ch08b</v>
      </c>
      <c r="C735" s="64" t="s">
        <v>4182</v>
      </c>
      <c r="D735" s="64" t="s">
        <v>1838</v>
      </c>
      <c r="E735" s="64" t="s">
        <v>4011</v>
      </c>
      <c r="F735" s="2">
        <v>2</v>
      </c>
      <c r="G735" s="2" t="str">
        <f t="shared" ref="G735:G798" si="43">MID("abcdefghijklmnopqrstuvwxyz",F735,1)</f>
        <v>b</v>
      </c>
      <c r="H735" s="2">
        <v>2008</v>
      </c>
      <c r="I735" s="2" t="s">
        <v>4192</v>
      </c>
      <c r="J735" s="2" t="s">
        <v>4012</v>
      </c>
      <c r="K735" s="2" t="s">
        <v>3980</v>
      </c>
      <c r="L735" s="2"/>
      <c r="M735" s="4" t="s">
        <v>4195</v>
      </c>
      <c r="N735" s="2"/>
      <c r="O735" s="2"/>
      <c r="P735" s="2" t="s">
        <v>1843</v>
      </c>
      <c r="Q735" t="s">
        <v>1127</v>
      </c>
    </row>
    <row r="736" spans="1:17" x14ac:dyDescent="0.2">
      <c r="A736" s="64" t="s">
        <v>777</v>
      </c>
      <c r="B736" s="64" t="str">
        <f t="shared" si="42"/>
        <v>ch09c</v>
      </c>
      <c r="C736" s="64" t="s">
        <v>4182</v>
      </c>
      <c r="D736" s="64" t="s">
        <v>1838</v>
      </c>
      <c r="E736" s="64" t="s">
        <v>4011</v>
      </c>
      <c r="F736" s="2">
        <v>3</v>
      </c>
      <c r="G736" s="2" t="str">
        <f t="shared" si="43"/>
        <v>c</v>
      </c>
      <c r="H736" s="2">
        <v>2009</v>
      </c>
      <c r="I736" s="2" t="s">
        <v>4192</v>
      </c>
      <c r="J736" s="2" t="s">
        <v>4012</v>
      </c>
      <c r="K736" s="2" t="s">
        <v>3980</v>
      </c>
      <c r="L736" s="2"/>
      <c r="M736" s="4" t="s">
        <v>4195</v>
      </c>
      <c r="N736" s="2"/>
      <c r="O736" s="2"/>
      <c r="P736" s="2" t="s">
        <v>1843</v>
      </c>
      <c r="Q736" t="s">
        <v>1127</v>
      </c>
    </row>
    <row r="737" spans="1:17" x14ac:dyDescent="0.2">
      <c r="A737" s="64" t="s">
        <v>777</v>
      </c>
      <c r="B737" s="64" t="str">
        <f t="shared" si="42"/>
        <v>ch10d</v>
      </c>
      <c r="C737" s="64" t="s">
        <v>4182</v>
      </c>
      <c r="D737" s="64" t="s">
        <v>1838</v>
      </c>
      <c r="E737" s="64" t="s">
        <v>4011</v>
      </c>
      <c r="F737" s="2">
        <v>4</v>
      </c>
      <c r="G737" s="2" t="str">
        <f t="shared" si="43"/>
        <v>d</v>
      </c>
      <c r="H737" s="2">
        <v>2010</v>
      </c>
      <c r="I737" s="2" t="s">
        <v>4192</v>
      </c>
      <c r="J737" s="2" t="s">
        <v>4012</v>
      </c>
      <c r="K737" s="2" t="s">
        <v>3980</v>
      </c>
      <c r="L737" s="2"/>
      <c r="M737" s="4" t="s">
        <v>4195</v>
      </c>
      <c r="N737" s="2"/>
      <c r="O737" s="2"/>
      <c r="P737" s="2" t="s">
        <v>1843</v>
      </c>
      <c r="Q737" t="s">
        <v>1127</v>
      </c>
    </row>
    <row r="738" spans="1:17" x14ac:dyDescent="0.2">
      <c r="A738" s="64" t="s">
        <v>777</v>
      </c>
      <c r="B738" s="64" t="str">
        <f t="shared" si="42"/>
        <v>ch11e</v>
      </c>
      <c r="C738" s="64" t="s">
        <v>4182</v>
      </c>
      <c r="D738" s="64" t="s">
        <v>1838</v>
      </c>
      <c r="E738" s="64" t="s">
        <v>4011</v>
      </c>
      <c r="F738" s="2">
        <v>5</v>
      </c>
      <c r="G738" s="2" t="str">
        <f t="shared" si="43"/>
        <v>e</v>
      </c>
      <c r="H738" s="2">
        <v>2011</v>
      </c>
      <c r="I738" s="2" t="s">
        <v>4192</v>
      </c>
      <c r="J738" s="2" t="s">
        <v>4012</v>
      </c>
      <c r="K738" s="2" t="s">
        <v>3980</v>
      </c>
      <c r="L738" s="2"/>
      <c r="M738" s="4" t="s">
        <v>4195</v>
      </c>
      <c r="N738" s="2"/>
      <c r="O738" s="2"/>
      <c r="P738" s="2" t="s">
        <v>1843</v>
      </c>
      <c r="Q738" t="s">
        <v>1127</v>
      </c>
    </row>
    <row r="739" spans="1:17" x14ac:dyDescent="0.2">
      <c r="A739" s="64" t="s">
        <v>777</v>
      </c>
      <c r="B739" s="64" t="str">
        <f t="shared" ref="B739:B802" si="44">"ch" &amp; RIGHT(H739, 2) &amp; G739</f>
        <v>ch12f</v>
      </c>
      <c r="C739" s="64" t="s">
        <v>4182</v>
      </c>
      <c r="D739" s="64" t="s">
        <v>1838</v>
      </c>
      <c r="E739" s="64" t="s">
        <v>4011</v>
      </c>
      <c r="F739" s="2">
        <v>6</v>
      </c>
      <c r="G739" s="2" t="str">
        <f t="shared" si="43"/>
        <v>f</v>
      </c>
      <c r="H739" s="2">
        <v>2012</v>
      </c>
      <c r="I739" s="2" t="s">
        <v>4192</v>
      </c>
      <c r="J739" s="2" t="s">
        <v>4012</v>
      </c>
      <c r="K739" s="2" t="s">
        <v>3980</v>
      </c>
      <c r="L739" s="2"/>
      <c r="M739" s="4" t="s">
        <v>4195</v>
      </c>
      <c r="N739" s="2"/>
      <c r="O739" s="2"/>
      <c r="P739" s="2" t="s">
        <v>1843</v>
      </c>
      <c r="Q739" t="s">
        <v>1127</v>
      </c>
    </row>
    <row r="740" spans="1:17" x14ac:dyDescent="0.2">
      <c r="A740" s="64" t="s">
        <v>777</v>
      </c>
      <c r="B740" s="64" t="str">
        <f t="shared" si="44"/>
        <v>ch13g</v>
      </c>
      <c r="C740" s="64" t="s">
        <v>4182</v>
      </c>
      <c r="D740" s="64" t="s">
        <v>1838</v>
      </c>
      <c r="E740" s="64" t="s">
        <v>4011</v>
      </c>
      <c r="F740" s="2">
        <v>7</v>
      </c>
      <c r="G740" s="2" t="str">
        <f t="shared" si="43"/>
        <v>g</v>
      </c>
      <c r="H740" s="2">
        <v>2013</v>
      </c>
      <c r="I740" s="2" t="s">
        <v>4192</v>
      </c>
      <c r="J740" s="2" t="s">
        <v>4012</v>
      </c>
      <c r="K740" s="2" t="s">
        <v>3980</v>
      </c>
      <c r="L740" s="2"/>
      <c r="M740" s="4" t="s">
        <v>4195</v>
      </c>
      <c r="N740" s="2"/>
      <c r="O740" s="2"/>
      <c r="P740" s="2" t="s">
        <v>1843</v>
      </c>
      <c r="Q740" t="s">
        <v>1127</v>
      </c>
    </row>
    <row r="741" spans="1:17" x14ac:dyDescent="0.2">
      <c r="A741" s="64" t="s">
        <v>777</v>
      </c>
      <c r="B741" s="64" t="str">
        <f t="shared" si="44"/>
        <v>ch15h</v>
      </c>
      <c r="C741" s="64" t="s">
        <v>4182</v>
      </c>
      <c r="D741" s="64" t="s">
        <v>1838</v>
      </c>
      <c r="E741" s="64" t="s">
        <v>4011</v>
      </c>
      <c r="F741" s="2">
        <v>8</v>
      </c>
      <c r="G741" s="2" t="str">
        <f t="shared" si="43"/>
        <v>h</v>
      </c>
      <c r="H741" s="2">
        <v>2015</v>
      </c>
      <c r="I741" s="2" t="s">
        <v>4192</v>
      </c>
      <c r="J741" s="2" t="s">
        <v>4012</v>
      </c>
      <c r="K741" s="2" t="s">
        <v>3980</v>
      </c>
      <c r="L741" s="2"/>
      <c r="M741" s="4" t="s">
        <v>4195</v>
      </c>
      <c r="N741" s="2"/>
      <c r="O741" s="2"/>
      <c r="P741" s="2" t="s">
        <v>1843</v>
      </c>
      <c r="Q741" t="s">
        <v>1127</v>
      </c>
    </row>
    <row r="742" spans="1:17" x14ac:dyDescent="0.2">
      <c r="A742" s="64" t="s">
        <v>777</v>
      </c>
      <c r="B742" s="64" t="str">
        <f t="shared" si="44"/>
        <v>ch16i</v>
      </c>
      <c r="C742" s="64" t="s">
        <v>4182</v>
      </c>
      <c r="D742" s="64" t="s">
        <v>1838</v>
      </c>
      <c r="E742" s="64" t="s">
        <v>4011</v>
      </c>
      <c r="F742" s="2">
        <v>9</v>
      </c>
      <c r="G742" s="2" t="str">
        <f t="shared" si="43"/>
        <v>i</v>
      </c>
      <c r="H742" s="2">
        <v>2016</v>
      </c>
      <c r="I742" s="2" t="s">
        <v>4192</v>
      </c>
      <c r="J742" s="2" t="s">
        <v>4012</v>
      </c>
      <c r="K742" s="2" t="s">
        <v>3980</v>
      </c>
      <c r="L742" s="2"/>
      <c r="M742" s="4" t="s">
        <v>4195</v>
      </c>
      <c r="N742" s="2"/>
      <c r="O742" s="2"/>
      <c r="P742" s="2" t="s">
        <v>1843</v>
      </c>
      <c r="Q742" t="s">
        <v>1127</v>
      </c>
    </row>
    <row r="743" spans="1:17" x14ac:dyDescent="0.2">
      <c r="A743" s="64" t="s">
        <v>777</v>
      </c>
      <c r="B743" s="64" t="str">
        <f t="shared" si="44"/>
        <v>ch17j</v>
      </c>
      <c r="C743" s="64" t="s">
        <v>4182</v>
      </c>
      <c r="D743" s="64" t="s">
        <v>1838</v>
      </c>
      <c r="E743" s="64" t="s">
        <v>4011</v>
      </c>
      <c r="F743" s="2">
        <v>10</v>
      </c>
      <c r="G743" s="2" t="str">
        <f t="shared" si="43"/>
        <v>j</v>
      </c>
      <c r="H743" s="2">
        <v>2017</v>
      </c>
      <c r="I743" s="2" t="s">
        <v>4192</v>
      </c>
      <c r="J743" s="2" t="s">
        <v>4012</v>
      </c>
      <c r="K743" s="2" t="s">
        <v>3980</v>
      </c>
      <c r="L743" s="2"/>
      <c r="M743" s="4" t="s">
        <v>4195</v>
      </c>
      <c r="N743" s="2"/>
      <c r="O743" s="2"/>
      <c r="P743" s="2" t="s">
        <v>1843</v>
      </c>
      <c r="Q743" t="s">
        <v>1127</v>
      </c>
    </row>
    <row r="744" spans="1:17" x14ac:dyDescent="0.2">
      <c r="A744" s="64" t="s">
        <v>777</v>
      </c>
      <c r="B744" s="64" t="str">
        <f t="shared" si="44"/>
        <v>ch18k</v>
      </c>
      <c r="C744" s="64" t="s">
        <v>4182</v>
      </c>
      <c r="D744" s="64" t="s">
        <v>1838</v>
      </c>
      <c r="E744" s="64" t="s">
        <v>4011</v>
      </c>
      <c r="F744" s="2">
        <v>11</v>
      </c>
      <c r="G744" s="2" t="str">
        <f t="shared" si="43"/>
        <v>k</v>
      </c>
      <c r="H744" s="2">
        <v>2018</v>
      </c>
      <c r="I744" s="2" t="s">
        <v>4192</v>
      </c>
      <c r="J744" s="2" t="s">
        <v>4012</v>
      </c>
      <c r="K744" s="2" t="s">
        <v>3980</v>
      </c>
      <c r="L744" s="2"/>
      <c r="M744" s="4" t="s">
        <v>4195</v>
      </c>
      <c r="N744" s="2"/>
      <c r="O744" s="2"/>
      <c r="P744" s="2" t="s">
        <v>1843</v>
      </c>
      <c r="Q744" t="s">
        <v>1127</v>
      </c>
    </row>
    <row r="745" spans="1:17" x14ac:dyDescent="0.2">
      <c r="A745" s="64" t="s">
        <v>777</v>
      </c>
      <c r="B745" s="64" t="str">
        <f t="shared" si="44"/>
        <v>ch07a</v>
      </c>
      <c r="C745" s="64" t="s">
        <v>4182</v>
      </c>
      <c r="D745" s="64" t="s">
        <v>1838</v>
      </c>
      <c r="E745" s="64" t="s">
        <v>4013</v>
      </c>
      <c r="F745" s="2">
        <v>1</v>
      </c>
      <c r="G745" s="2" t="str">
        <f t="shared" si="43"/>
        <v>a</v>
      </c>
      <c r="H745" s="2">
        <v>2007</v>
      </c>
      <c r="I745" s="2" t="s">
        <v>4192</v>
      </c>
      <c r="J745" s="2" t="s">
        <v>4014</v>
      </c>
      <c r="K745" s="2" t="s">
        <v>3980</v>
      </c>
      <c r="L745" s="2"/>
      <c r="M745" s="4" t="s">
        <v>4195</v>
      </c>
      <c r="N745" s="2"/>
      <c r="O745" s="2"/>
      <c r="P745" s="2" t="s">
        <v>1843</v>
      </c>
      <c r="Q745" t="s">
        <v>1127</v>
      </c>
    </row>
    <row r="746" spans="1:17" x14ac:dyDescent="0.2">
      <c r="A746" s="64" t="s">
        <v>777</v>
      </c>
      <c r="B746" s="64" t="str">
        <f t="shared" si="44"/>
        <v>ch08b</v>
      </c>
      <c r="C746" s="64" t="s">
        <v>4182</v>
      </c>
      <c r="D746" s="64" t="s">
        <v>1838</v>
      </c>
      <c r="E746" s="64" t="s">
        <v>4013</v>
      </c>
      <c r="F746" s="2">
        <v>2</v>
      </c>
      <c r="G746" s="2" t="str">
        <f t="shared" si="43"/>
        <v>b</v>
      </c>
      <c r="H746" s="2">
        <v>2008</v>
      </c>
      <c r="I746" s="2" t="s">
        <v>4192</v>
      </c>
      <c r="J746" s="2" t="s">
        <v>4014</v>
      </c>
      <c r="K746" s="2" t="s">
        <v>3980</v>
      </c>
      <c r="L746" s="2"/>
      <c r="M746" s="4" t="s">
        <v>4195</v>
      </c>
      <c r="N746" s="2"/>
      <c r="O746" s="2"/>
      <c r="P746" s="2" t="s">
        <v>1843</v>
      </c>
      <c r="Q746" t="s">
        <v>1127</v>
      </c>
    </row>
    <row r="747" spans="1:17" x14ac:dyDescent="0.2">
      <c r="A747" s="64" t="s">
        <v>777</v>
      </c>
      <c r="B747" s="64" t="str">
        <f t="shared" si="44"/>
        <v>ch09c</v>
      </c>
      <c r="C747" s="64" t="s">
        <v>4182</v>
      </c>
      <c r="D747" s="64" t="s">
        <v>1838</v>
      </c>
      <c r="E747" s="64" t="s">
        <v>4013</v>
      </c>
      <c r="F747" s="2">
        <v>3</v>
      </c>
      <c r="G747" s="2" t="str">
        <f t="shared" si="43"/>
        <v>c</v>
      </c>
      <c r="H747" s="2">
        <v>2009</v>
      </c>
      <c r="I747" s="2" t="s">
        <v>4192</v>
      </c>
      <c r="J747" s="2" t="s">
        <v>4014</v>
      </c>
      <c r="K747" s="2" t="s">
        <v>3980</v>
      </c>
      <c r="L747" s="2"/>
      <c r="M747" s="4" t="s">
        <v>4195</v>
      </c>
      <c r="N747" s="2"/>
      <c r="O747" s="2"/>
      <c r="P747" s="2" t="s">
        <v>1843</v>
      </c>
      <c r="Q747" t="s">
        <v>1127</v>
      </c>
    </row>
    <row r="748" spans="1:17" x14ac:dyDescent="0.2">
      <c r="A748" s="64" t="s">
        <v>777</v>
      </c>
      <c r="B748" s="64" t="str">
        <f t="shared" si="44"/>
        <v>ch10d</v>
      </c>
      <c r="C748" s="64" t="s">
        <v>4182</v>
      </c>
      <c r="D748" s="64" t="s">
        <v>1838</v>
      </c>
      <c r="E748" s="64" t="s">
        <v>4013</v>
      </c>
      <c r="F748" s="2">
        <v>4</v>
      </c>
      <c r="G748" s="2" t="str">
        <f t="shared" si="43"/>
        <v>d</v>
      </c>
      <c r="H748" s="2">
        <v>2010</v>
      </c>
      <c r="I748" s="2" t="s">
        <v>4192</v>
      </c>
      <c r="J748" s="2" t="s">
        <v>4014</v>
      </c>
      <c r="K748" s="2" t="s">
        <v>3980</v>
      </c>
      <c r="L748" s="2"/>
      <c r="M748" s="4" t="s">
        <v>4195</v>
      </c>
      <c r="N748" s="2"/>
      <c r="O748" s="2"/>
      <c r="P748" s="2" t="s">
        <v>1843</v>
      </c>
      <c r="Q748" t="s">
        <v>1127</v>
      </c>
    </row>
    <row r="749" spans="1:17" x14ac:dyDescent="0.2">
      <c r="A749" s="64" t="s">
        <v>777</v>
      </c>
      <c r="B749" s="64" t="str">
        <f t="shared" si="44"/>
        <v>ch11e</v>
      </c>
      <c r="C749" s="64" t="s">
        <v>4182</v>
      </c>
      <c r="D749" s="64" t="s">
        <v>1838</v>
      </c>
      <c r="E749" s="64" t="s">
        <v>4013</v>
      </c>
      <c r="F749" s="2">
        <v>5</v>
      </c>
      <c r="G749" s="2" t="str">
        <f t="shared" si="43"/>
        <v>e</v>
      </c>
      <c r="H749" s="2">
        <v>2011</v>
      </c>
      <c r="I749" s="2" t="s">
        <v>4192</v>
      </c>
      <c r="J749" s="2" t="s">
        <v>4014</v>
      </c>
      <c r="K749" s="2" t="s">
        <v>3980</v>
      </c>
      <c r="L749" s="2"/>
      <c r="M749" s="4" t="s">
        <v>4195</v>
      </c>
      <c r="N749" s="2"/>
      <c r="O749" s="2"/>
      <c r="P749" s="2" t="s">
        <v>1843</v>
      </c>
      <c r="Q749" t="s">
        <v>1127</v>
      </c>
    </row>
    <row r="750" spans="1:17" x14ac:dyDescent="0.2">
      <c r="A750" s="64" t="s">
        <v>777</v>
      </c>
      <c r="B750" s="64" t="str">
        <f t="shared" si="44"/>
        <v>ch12f</v>
      </c>
      <c r="C750" s="64" t="s">
        <v>4182</v>
      </c>
      <c r="D750" s="64" t="s">
        <v>1838</v>
      </c>
      <c r="E750" s="64" t="s">
        <v>4013</v>
      </c>
      <c r="F750" s="2">
        <v>6</v>
      </c>
      <c r="G750" s="2" t="str">
        <f t="shared" si="43"/>
        <v>f</v>
      </c>
      <c r="H750" s="2">
        <v>2012</v>
      </c>
      <c r="I750" s="2" t="s">
        <v>4192</v>
      </c>
      <c r="J750" s="2" t="s">
        <v>4014</v>
      </c>
      <c r="K750" s="2" t="s">
        <v>3980</v>
      </c>
      <c r="L750" s="2"/>
      <c r="M750" s="4" t="s">
        <v>4195</v>
      </c>
      <c r="N750" s="2"/>
      <c r="O750" s="2"/>
      <c r="P750" s="2" t="s">
        <v>1843</v>
      </c>
      <c r="Q750" t="s">
        <v>1127</v>
      </c>
    </row>
    <row r="751" spans="1:17" x14ac:dyDescent="0.2">
      <c r="A751" s="64" t="s">
        <v>777</v>
      </c>
      <c r="B751" s="64" t="str">
        <f t="shared" si="44"/>
        <v>ch13g</v>
      </c>
      <c r="C751" s="64" t="s">
        <v>4182</v>
      </c>
      <c r="D751" s="64" t="s">
        <v>1838</v>
      </c>
      <c r="E751" s="64" t="s">
        <v>4013</v>
      </c>
      <c r="F751" s="2">
        <v>7</v>
      </c>
      <c r="G751" s="2" t="str">
        <f t="shared" si="43"/>
        <v>g</v>
      </c>
      <c r="H751" s="2">
        <v>2013</v>
      </c>
      <c r="I751" s="2" t="s">
        <v>4192</v>
      </c>
      <c r="J751" s="2" t="s">
        <v>4014</v>
      </c>
      <c r="K751" s="2" t="s">
        <v>3980</v>
      </c>
      <c r="L751" s="2"/>
      <c r="M751" s="4" t="s">
        <v>4195</v>
      </c>
      <c r="N751" s="2"/>
      <c r="O751" s="2"/>
      <c r="P751" s="2" t="s">
        <v>1843</v>
      </c>
      <c r="Q751" t="s">
        <v>1127</v>
      </c>
    </row>
    <row r="752" spans="1:17" x14ac:dyDescent="0.2">
      <c r="A752" s="64" t="s">
        <v>777</v>
      </c>
      <c r="B752" s="64" t="str">
        <f t="shared" si="44"/>
        <v>ch15h</v>
      </c>
      <c r="C752" s="64" t="s">
        <v>4182</v>
      </c>
      <c r="D752" s="64" t="s">
        <v>1838</v>
      </c>
      <c r="E752" s="64" t="s">
        <v>4013</v>
      </c>
      <c r="F752" s="2">
        <v>8</v>
      </c>
      <c r="G752" s="2" t="str">
        <f t="shared" si="43"/>
        <v>h</v>
      </c>
      <c r="H752" s="2">
        <v>2015</v>
      </c>
      <c r="I752" s="2" t="s">
        <v>4192</v>
      </c>
      <c r="J752" s="2" t="s">
        <v>4014</v>
      </c>
      <c r="K752" s="2" t="s">
        <v>3980</v>
      </c>
      <c r="L752" s="2"/>
      <c r="M752" s="4" t="s">
        <v>4195</v>
      </c>
      <c r="N752" s="2"/>
      <c r="O752" s="2"/>
      <c r="P752" s="2" t="s">
        <v>1843</v>
      </c>
      <c r="Q752" t="s">
        <v>1127</v>
      </c>
    </row>
    <row r="753" spans="1:17" x14ac:dyDescent="0.2">
      <c r="A753" s="64" t="s">
        <v>777</v>
      </c>
      <c r="B753" s="64" t="str">
        <f t="shared" si="44"/>
        <v>ch16i</v>
      </c>
      <c r="C753" s="64" t="s">
        <v>4182</v>
      </c>
      <c r="D753" s="64" t="s">
        <v>1838</v>
      </c>
      <c r="E753" s="64" t="s">
        <v>4013</v>
      </c>
      <c r="F753" s="2">
        <v>9</v>
      </c>
      <c r="G753" s="2" t="str">
        <f t="shared" si="43"/>
        <v>i</v>
      </c>
      <c r="H753" s="2">
        <v>2016</v>
      </c>
      <c r="I753" s="2" t="s">
        <v>4192</v>
      </c>
      <c r="J753" s="2" t="s">
        <v>4014</v>
      </c>
      <c r="K753" s="2" t="s">
        <v>3980</v>
      </c>
      <c r="L753" s="2"/>
      <c r="M753" s="4" t="s">
        <v>4195</v>
      </c>
      <c r="N753" s="2"/>
      <c r="O753" s="2"/>
      <c r="P753" s="2" t="s">
        <v>1843</v>
      </c>
      <c r="Q753" t="s">
        <v>1127</v>
      </c>
    </row>
    <row r="754" spans="1:17" x14ac:dyDescent="0.2">
      <c r="A754" s="64" t="s">
        <v>777</v>
      </c>
      <c r="B754" s="64" t="str">
        <f t="shared" si="44"/>
        <v>ch17j</v>
      </c>
      <c r="C754" s="64" t="s">
        <v>4182</v>
      </c>
      <c r="D754" s="64" t="s">
        <v>1838</v>
      </c>
      <c r="E754" s="64" t="s">
        <v>4013</v>
      </c>
      <c r="F754" s="2">
        <v>10</v>
      </c>
      <c r="G754" s="2" t="str">
        <f t="shared" si="43"/>
        <v>j</v>
      </c>
      <c r="H754" s="2">
        <v>2017</v>
      </c>
      <c r="I754" s="2" t="s">
        <v>4192</v>
      </c>
      <c r="J754" s="2" t="s">
        <v>4014</v>
      </c>
      <c r="K754" s="2" t="s">
        <v>3980</v>
      </c>
      <c r="L754" s="2"/>
      <c r="M754" s="4" t="s">
        <v>4195</v>
      </c>
      <c r="N754" s="2"/>
      <c r="O754" s="2"/>
      <c r="P754" s="2" t="s">
        <v>1843</v>
      </c>
      <c r="Q754" t="s">
        <v>1127</v>
      </c>
    </row>
    <row r="755" spans="1:17" x14ac:dyDescent="0.2">
      <c r="A755" s="64" t="s">
        <v>777</v>
      </c>
      <c r="B755" s="64" t="str">
        <f t="shared" si="44"/>
        <v>ch18k</v>
      </c>
      <c r="C755" s="64" t="s">
        <v>4182</v>
      </c>
      <c r="D755" s="64" t="s">
        <v>1838</v>
      </c>
      <c r="E755" s="64" t="s">
        <v>4013</v>
      </c>
      <c r="F755" s="2">
        <v>11</v>
      </c>
      <c r="G755" s="2" t="str">
        <f t="shared" si="43"/>
        <v>k</v>
      </c>
      <c r="H755" s="2">
        <v>2018</v>
      </c>
      <c r="I755" s="2" t="s">
        <v>4192</v>
      </c>
      <c r="J755" s="2" t="s">
        <v>4014</v>
      </c>
      <c r="K755" s="2" t="s">
        <v>3980</v>
      </c>
      <c r="L755" s="2"/>
      <c r="M755" s="4" t="s">
        <v>4195</v>
      </c>
      <c r="N755" s="2"/>
      <c r="O755" s="2"/>
      <c r="P755" s="2" t="s">
        <v>1843</v>
      </c>
      <c r="Q755" t="s">
        <v>1127</v>
      </c>
    </row>
    <row r="756" spans="1:17" x14ac:dyDescent="0.2">
      <c r="A756" s="64" t="s">
        <v>777</v>
      </c>
      <c r="B756" s="64" t="str">
        <f t="shared" si="44"/>
        <v>ch07a</v>
      </c>
      <c r="C756" s="64" t="s">
        <v>4182</v>
      </c>
      <c r="D756" s="64" t="s">
        <v>1838</v>
      </c>
      <c r="E756" s="64" t="s">
        <v>4015</v>
      </c>
      <c r="F756" s="2">
        <v>1</v>
      </c>
      <c r="G756" s="2" t="str">
        <f t="shared" si="43"/>
        <v>a</v>
      </c>
      <c r="H756" s="2">
        <v>2007</v>
      </c>
      <c r="I756" s="2" t="s">
        <v>4192</v>
      </c>
      <c r="J756" s="2" t="s">
        <v>4016</v>
      </c>
      <c r="K756" s="2" t="s">
        <v>3980</v>
      </c>
      <c r="L756" s="2"/>
      <c r="M756" s="4" t="s">
        <v>4195</v>
      </c>
      <c r="N756" s="2"/>
      <c r="O756" s="2"/>
      <c r="P756" s="2" t="s">
        <v>1843</v>
      </c>
      <c r="Q756" t="s">
        <v>1127</v>
      </c>
    </row>
    <row r="757" spans="1:17" x14ac:dyDescent="0.2">
      <c r="A757" s="64" t="s">
        <v>777</v>
      </c>
      <c r="B757" s="64" t="str">
        <f t="shared" si="44"/>
        <v>ch08b</v>
      </c>
      <c r="C757" s="64" t="s">
        <v>4182</v>
      </c>
      <c r="D757" s="64" t="s">
        <v>1838</v>
      </c>
      <c r="E757" s="64" t="s">
        <v>4015</v>
      </c>
      <c r="F757" s="2">
        <v>2</v>
      </c>
      <c r="G757" s="2" t="str">
        <f t="shared" si="43"/>
        <v>b</v>
      </c>
      <c r="H757" s="2">
        <v>2008</v>
      </c>
      <c r="I757" s="2" t="s">
        <v>4192</v>
      </c>
      <c r="J757" s="2" t="s">
        <v>4016</v>
      </c>
      <c r="K757" s="2" t="s">
        <v>3980</v>
      </c>
      <c r="L757" s="2"/>
      <c r="M757" s="4" t="s">
        <v>4195</v>
      </c>
      <c r="N757" s="2"/>
      <c r="O757" s="2"/>
      <c r="P757" s="2" t="s">
        <v>1843</v>
      </c>
      <c r="Q757" t="s">
        <v>1127</v>
      </c>
    </row>
    <row r="758" spans="1:17" x14ac:dyDescent="0.2">
      <c r="A758" s="64" t="s">
        <v>777</v>
      </c>
      <c r="B758" s="64" t="str">
        <f t="shared" si="44"/>
        <v>ch09c</v>
      </c>
      <c r="C758" s="64" t="s">
        <v>4182</v>
      </c>
      <c r="D758" s="64" t="s">
        <v>1838</v>
      </c>
      <c r="E758" s="64" t="s">
        <v>4015</v>
      </c>
      <c r="F758" s="2">
        <v>3</v>
      </c>
      <c r="G758" s="2" t="str">
        <f t="shared" si="43"/>
        <v>c</v>
      </c>
      <c r="H758" s="2">
        <v>2009</v>
      </c>
      <c r="I758" s="2" t="s">
        <v>4192</v>
      </c>
      <c r="J758" s="2" t="s">
        <v>4016</v>
      </c>
      <c r="K758" s="2" t="s">
        <v>3980</v>
      </c>
      <c r="L758" s="2"/>
      <c r="M758" s="4" t="s">
        <v>4195</v>
      </c>
      <c r="N758" s="2"/>
      <c r="O758" s="2"/>
      <c r="P758" s="2" t="s">
        <v>1843</v>
      </c>
      <c r="Q758" t="s">
        <v>1127</v>
      </c>
    </row>
    <row r="759" spans="1:17" x14ac:dyDescent="0.2">
      <c r="A759" s="64" t="s">
        <v>777</v>
      </c>
      <c r="B759" s="64" t="str">
        <f t="shared" si="44"/>
        <v>ch10d</v>
      </c>
      <c r="C759" s="64" t="s">
        <v>4182</v>
      </c>
      <c r="D759" s="64" t="s">
        <v>1838</v>
      </c>
      <c r="E759" s="64" t="s">
        <v>4015</v>
      </c>
      <c r="F759" s="2">
        <v>4</v>
      </c>
      <c r="G759" s="2" t="str">
        <f t="shared" si="43"/>
        <v>d</v>
      </c>
      <c r="H759" s="2">
        <v>2010</v>
      </c>
      <c r="I759" s="2" t="s">
        <v>4192</v>
      </c>
      <c r="J759" s="2" t="s">
        <v>4016</v>
      </c>
      <c r="K759" s="2" t="s">
        <v>3980</v>
      </c>
      <c r="L759" s="2"/>
      <c r="M759" s="4" t="s">
        <v>4195</v>
      </c>
      <c r="N759" s="2"/>
      <c r="O759" s="2"/>
      <c r="P759" s="2" t="s">
        <v>1843</v>
      </c>
      <c r="Q759" t="s">
        <v>1127</v>
      </c>
    </row>
    <row r="760" spans="1:17" x14ac:dyDescent="0.2">
      <c r="A760" s="64" t="s">
        <v>777</v>
      </c>
      <c r="B760" s="64" t="str">
        <f t="shared" si="44"/>
        <v>ch11e</v>
      </c>
      <c r="C760" s="64" t="s">
        <v>4182</v>
      </c>
      <c r="D760" s="64" t="s">
        <v>1838</v>
      </c>
      <c r="E760" s="64" t="s">
        <v>4015</v>
      </c>
      <c r="F760" s="2">
        <v>5</v>
      </c>
      <c r="G760" s="2" t="str">
        <f t="shared" si="43"/>
        <v>e</v>
      </c>
      <c r="H760" s="2">
        <v>2011</v>
      </c>
      <c r="I760" s="2" t="s">
        <v>4192</v>
      </c>
      <c r="J760" s="2" t="s">
        <v>4016</v>
      </c>
      <c r="K760" s="2" t="s">
        <v>3980</v>
      </c>
      <c r="L760" s="2"/>
      <c r="M760" s="4" t="s">
        <v>4195</v>
      </c>
      <c r="N760" s="2"/>
      <c r="O760" s="2"/>
      <c r="P760" s="2" t="s">
        <v>1843</v>
      </c>
      <c r="Q760" t="s">
        <v>1127</v>
      </c>
    </row>
    <row r="761" spans="1:17" x14ac:dyDescent="0.2">
      <c r="A761" s="64" t="s">
        <v>777</v>
      </c>
      <c r="B761" s="64" t="str">
        <f t="shared" si="44"/>
        <v>ch12f</v>
      </c>
      <c r="C761" s="64" t="s">
        <v>4182</v>
      </c>
      <c r="D761" s="64" t="s">
        <v>1838</v>
      </c>
      <c r="E761" s="64" t="s">
        <v>4015</v>
      </c>
      <c r="F761" s="2">
        <v>6</v>
      </c>
      <c r="G761" s="2" t="str">
        <f t="shared" si="43"/>
        <v>f</v>
      </c>
      <c r="H761" s="2">
        <v>2012</v>
      </c>
      <c r="I761" s="2" t="s">
        <v>4192</v>
      </c>
      <c r="J761" s="2" t="s">
        <v>4016</v>
      </c>
      <c r="K761" s="2" t="s">
        <v>3980</v>
      </c>
      <c r="L761" s="2"/>
      <c r="M761" s="4" t="s">
        <v>4195</v>
      </c>
      <c r="N761" s="2"/>
      <c r="O761" s="2"/>
      <c r="P761" s="2" t="s">
        <v>1843</v>
      </c>
      <c r="Q761" t="s">
        <v>1127</v>
      </c>
    </row>
    <row r="762" spans="1:17" x14ac:dyDescent="0.2">
      <c r="A762" s="64" t="s">
        <v>777</v>
      </c>
      <c r="B762" s="64" t="str">
        <f t="shared" si="44"/>
        <v>ch13g</v>
      </c>
      <c r="C762" s="64" t="s">
        <v>4182</v>
      </c>
      <c r="D762" s="64" t="s">
        <v>1838</v>
      </c>
      <c r="E762" s="64" t="s">
        <v>4015</v>
      </c>
      <c r="F762" s="2">
        <v>7</v>
      </c>
      <c r="G762" s="2" t="str">
        <f t="shared" si="43"/>
        <v>g</v>
      </c>
      <c r="H762" s="2">
        <v>2013</v>
      </c>
      <c r="I762" s="2" t="s">
        <v>4192</v>
      </c>
      <c r="J762" s="2" t="s">
        <v>4016</v>
      </c>
      <c r="K762" s="2" t="s">
        <v>3980</v>
      </c>
      <c r="L762" s="2"/>
      <c r="M762" s="4" t="s">
        <v>4195</v>
      </c>
      <c r="N762" s="2"/>
      <c r="O762" s="2"/>
      <c r="P762" s="2" t="s">
        <v>1843</v>
      </c>
      <c r="Q762" t="s">
        <v>1127</v>
      </c>
    </row>
    <row r="763" spans="1:17" x14ac:dyDescent="0.2">
      <c r="A763" s="64" t="s">
        <v>777</v>
      </c>
      <c r="B763" s="64" t="str">
        <f t="shared" si="44"/>
        <v>ch15h</v>
      </c>
      <c r="C763" s="64" t="s">
        <v>4182</v>
      </c>
      <c r="D763" s="64" t="s">
        <v>1838</v>
      </c>
      <c r="E763" s="64" t="s">
        <v>4015</v>
      </c>
      <c r="F763" s="2">
        <v>8</v>
      </c>
      <c r="G763" s="2" t="str">
        <f t="shared" si="43"/>
        <v>h</v>
      </c>
      <c r="H763" s="2">
        <v>2015</v>
      </c>
      <c r="I763" s="2" t="s">
        <v>4192</v>
      </c>
      <c r="J763" s="2" t="s">
        <v>4016</v>
      </c>
      <c r="K763" s="2" t="s">
        <v>3980</v>
      </c>
      <c r="L763" s="2"/>
      <c r="M763" s="4" t="s">
        <v>4195</v>
      </c>
      <c r="N763" s="2"/>
      <c r="O763" s="2"/>
      <c r="P763" s="2" t="s">
        <v>1843</v>
      </c>
      <c r="Q763" t="s">
        <v>1127</v>
      </c>
    </row>
    <row r="764" spans="1:17" x14ac:dyDescent="0.2">
      <c r="A764" s="64" t="s">
        <v>777</v>
      </c>
      <c r="B764" s="64" t="str">
        <f t="shared" si="44"/>
        <v>ch16i</v>
      </c>
      <c r="C764" s="64" t="s">
        <v>4182</v>
      </c>
      <c r="D764" s="64" t="s">
        <v>1838</v>
      </c>
      <c r="E764" s="64" t="s">
        <v>4015</v>
      </c>
      <c r="F764" s="2">
        <v>9</v>
      </c>
      <c r="G764" s="2" t="str">
        <f t="shared" si="43"/>
        <v>i</v>
      </c>
      <c r="H764" s="2">
        <v>2016</v>
      </c>
      <c r="I764" s="2" t="s">
        <v>4192</v>
      </c>
      <c r="J764" s="2" t="s">
        <v>4016</v>
      </c>
      <c r="K764" s="2" t="s">
        <v>3980</v>
      </c>
      <c r="L764" s="2"/>
      <c r="M764" s="4" t="s">
        <v>4195</v>
      </c>
      <c r="N764" s="2"/>
      <c r="O764" s="2"/>
      <c r="P764" s="2" t="s">
        <v>1843</v>
      </c>
      <c r="Q764" t="s">
        <v>1127</v>
      </c>
    </row>
    <row r="765" spans="1:17" x14ac:dyDescent="0.2">
      <c r="A765" s="64" t="s">
        <v>777</v>
      </c>
      <c r="B765" s="64" t="str">
        <f t="shared" si="44"/>
        <v>ch17j</v>
      </c>
      <c r="C765" s="64" t="s">
        <v>4182</v>
      </c>
      <c r="D765" s="64" t="s">
        <v>1838</v>
      </c>
      <c r="E765" s="64" t="s">
        <v>4015</v>
      </c>
      <c r="F765" s="2">
        <v>10</v>
      </c>
      <c r="G765" s="2" t="str">
        <f t="shared" si="43"/>
        <v>j</v>
      </c>
      <c r="H765" s="2">
        <v>2017</v>
      </c>
      <c r="I765" s="2" t="s">
        <v>4192</v>
      </c>
      <c r="J765" s="2" t="s">
        <v>4016</v>
      </c>
      <c r="K765" s="2" t="s">
        <v>3980</v>
      </c>
      <c r="L765" s="2"/>
      <c r="M765" s="4" t="s">
        <v>4195</v>
      </c>
      <c r="N765" s="2"/>
      <c r="O765" s="2"/>
      <c r="P765" s="2" t="s">
        <v>1843</v>
      </c>
      <c r="Q765" t="s">
        <v>1127</v>
      </c>
    </row>
    <row r="766" spans="1:17" x14ac:dyDescent="0.2">
      <c r="A766" s="64" t="s">
        <v>777</v>
      </c>
      <c r="B766" s="64" t="str">
        <f t="shared" si="44"/>
        <v>ch18k</v>
      </c>
      <c r="C766" s="64" t="s">
        <v>4182</v>
      </c>
      <c r="D766" s="64" t="s">
        <v>1838</v>
      </c>
      <c r="E766" s="64" t="s">
        <v>4015</v>
      </c>
      <c r="F766" s="2">
        <v>11</v>
      </c>
      <c r="G766" s="2" t="str">
        <f t="shared" si="43"/>
        <v>k</v>
      </c>
      <c r="H766" s="2">
        <v>2018</v>
      </c>
      <c r="I766" s="2" t="s">
        <v>4192</v>
      </c>
      <c r="J766" s="2" t="s">
        <v>4016</v>
      </c>
      <c r="K766" s="2" t="s">
        <v>3980</v>
      </c>
      <c r="L766" s="2"/>
      <c r="M766" s="4" t="s">
        <v>4195</v>
      </c>
      <c r="N766" s="2"/>
      <c r="O766" s="2"/>
      <c r="P766" s="2" t="s">
        <v>1843</v>
      </c>
      <c r="Q766" t="s">
        <v>1127</v>
      </c>
    </row>
    <row r="767" spans="1:17" x14ac:dyDescent="0.2">
      <c r="A767" s="64" t="s">
        <v>777</v>
      </c>
      <c r="B767" s="64" t="str">
        <f t="shared" si="44"/>
        <v>ch07a</v>
      </c>
      <c r="C767" s="64" t="s">
        <v>4182</v>
      </c>
      <c r="D767" s="64" t="s">
        <v>1838</v>
      </c>
      <c r="E767" s="64" t="s">
        <v>4017</v>
      </c>
      <c r="F767" s="2">
        <v>1</v>
      </c>
      <c r="G767" s="2" t="str">
        <f t="shared" si="43"/>
        <v>a</v>
      </c>
      <c r="H767" s="2">
        <v>2007</v>
      </c>
      <c r="I767" s="2" t="s">
        <v>4192</v>
      </c>
      <c r="J767" s="2" t="s">
        <v>4018</v>
      </c>
      <c r="K767" s="2" t="s">
        <v>3980</v>
      </c>
      <c r="L767" s="2"/>
      <c r="M767" s="4" t="s">
        <v>4195</v>
      </c>
      <c r="N767" s="2"/>
      <c r="O767" s="2"/>
      <c r="P767" s="2" t="s">
        <v>1843</v>
      </c>
      <c r="Q767" t="s">
        <v>1127</v>
      </c>
    </row>
    <row r="768" spans="1:17" x14ac:dyDescent="0.2">
      <c r="A768" s="64" t="s">
        <v>777</v>
      </c>
      <c r="B768" s="64" t="str">
        <f t="shared" si="44"/>
        <v>ch08b</v>
      </c>
      <c r="C768" s="64" t="s">
        <v>4182</v>
      </c>
      <c r="D768" s="64" t="s">
        <v>1838</v>
      </c>
      <c r="E768" s="64" t="s">
        <v>4017</v>
      </c>
      <c r="F768" s="2">
        <v>2</v>
      </c>
      <c r="G768" s="2" t="str">
        <f t="shared" si="43"/>
        <v>b</v>
      </c>
      <c r="H768" s="2">
        <v>2008</v>
      </c>
      <c r="I768" s="2" t="s">
        <v>4192</v>
      </c>
      <c r="J768" s="2" t="s">
        <v>4018</v>
      </c>
      <c r="K768" s="2" t="s">
        <v>3980</v>
      </c>
      <c r="L768" s="2"/>
      <c r="M768" s="4" t="s">
        <v>4195</v>
      </c>
      <c r="N768" s="2"/>
      <c r="O768" s="2"/>
      <c r="P768" s="2" t="s">
        <v>1843</v>
      </c>
      <c r="Q768" t="s">
        <v>1127</v>
      </c>
    </row>
    <row r="769" spans="1:17" x14ac:dyDescent="0.2">
      <c r="A769" s="64" t="s">
        <v>777</v>
      </c>
      <c r="B769" s="64" t="str">
        <f t="shared" si="44"/>
        <v>ch09c</v>
      </c>
      <c r="C769" s="64" t="s">
        <v>4182</v>
      </c>
      <c r="D769" s="64" t="s">
        <v>1838</v>
      </c>
      <c r="E769" s="64" t="s">
        <v>4017</v>
      </c>
      <c r="F769" s="2">
        <v>3</v>
      </c>
      <c r="G769" s="2" t="str">
        <f t="shared" si="43"/>
        <v>c</v>
      </c>
      <c r="H769" s="2">
        <v>2009</v>
      </c>
      <c r="I769" s="2" t="s">
        <v>4192</v>
      </c>
      <c r="J769" s="2" t="s">
        <v>4018</v>
      </c>
      <c r="K769" s="2" t="s">
        <v>3980</v>
      </c>
      <c r="L769" s="2"/>
      <c r="M769" s="4" t="s">
        <v>4195</v>
      </c>
      <c r="N769" s="2"/>
      <c r="O769" s="2"/>
      <c r="P769" s="2" t="s">
        <v>1843</v>
      </c>
      <c r="Q769" t="s">
        <v>1127</v>
      </c>
    </row>
    <row r="770" spans="1:17" x14ac:dyDescent="0.2">
      <c r="A770" s="64" t="s">
        <v>777</v>
      </c>
      <c r="B770" s="64" t="str">
        <f t="shared" si="44"/>
        <v>ch10d</v>
      </c>
      <c r="C770" s="64" t="s">
        <v>4182</v>
      </c>
      <c r="D770" s="64" t="s">
        <v>1838</v>
      </c>
      <c r="E770" s="64" t="s">
        <v>4017</v>
      </c>
      <c r="F770" s="2">
        <v>4</v>
      </c>
      <c r="G770" s="2" t="str">
        <f t="shared" si="43"/>
        <v>d</v>
      </c>
      <c r="H770" s="2">
        <v>2010</v>
      </c>
      <c r="I770" s="2" t="s">
        <v>4192</v>
      </c>
      <c r="J770" s="2" t="s">
        <v>4018</v>
      </c>
      <c r="K770" s="2" t="s">
        <v>3980</v>
      </c>
      <c r="L770" s="2"/>
      <c r="M770" s="4" t="s">
        <v>4195</v>
      </c>
      <c r="N770" s="2"/>
      <c r="O770" s="2"/>
      <c r="P770" s="2" t="s">
        <v>1843</v>
      </c>
      <c r="Q770" t="s">
        <v>1127</v>
      </c>
    </row>
    <row r="771" spans="1:17" x14ac:dyDescent="0.2">
      <c r="A771" s="64" t="s">
        <v>777</v>
      </c>
      <c r="B771" s="64" t="str">
        <f t="shared" si="44"/>
        <v>ch11e</v>
      </c>
      <c r="C771" s="64" t="s">
        <v>4182</v>
      </c>
      <c r="D771" s="64" t="s">
        <v>1838</v>
      </c>
      <c r="E771" s="64" t="s">
        <v>4017</v>
      </c>
      <c r="F771" s="2">
        <v>5</v>
      </c>
      <c r="G771" s="2" t="str">
        <f t="shared" si="43"/>
        <v>e</v>
      </c>
      <c r="H771" s="2">
        <v>2011</v>
      </c>
      <c r="I771" s="2" t="s">
        <v>4192</v>
      </c>
      <c r="J771" s="2" t="s">
        <v>4018</v>
      </c>
      <c r="K771" s="2" t="s">
        <v>3980</v>
      </c>
      <c r="L771" s="2"/>
      <c r="M771" s="4" t="s">
        <v>4195</v>
      </c>
      <c r="N771" s="2"/>
      <c r="O771" s="2"/>
      <c r="P771" s="2" t="s">
        <v>1843</v>
      </c>
      <c r="Q771" t="s">
        <v>1127</v>
      </c>
    </row>
    <row r="772" spans="1:17" x14ac:dyDescent="0.2">
      <c r="A772" s="64" t="s">
        <v>777</v>
      </c>
      <c r="B772" s="64" t="str">
        <f t="shared" si="44"/>
        <v>ch12f</v>
      </c>
      <c r="C772" s="64" t="s">
        <v>4182</v>
      </c>
      <c r="D772" s="64" t="s">
        <v>1838</v>
      </c>
      <c r="E772" s="64" t="s">
        <v>4017</v>
      </c>
      <c r="F772" s="2">
        <v>6</v>
      </c>
      <c r="G772" s="2" t="str">
        <f t="shared" si="43"/>
        <v>f</v>
      </c>
      <c r="H772" s="2">
        <v>2012</v>
      </c>
      <c r="I772" s="2" t="s">
        <v>4192</v>
      </c>
      <c r="J772" s="2" t="s">
        <v>4018</v>
      </c>
      <c r="K772" s="2" t="s">
        <v>3980</v>
      </c>
      <c r="L772" s="2"/>
      <c r="M772" s="4" t="s">
        <v>4195</v>
      </c>
      <c r="N772" s="2"/>
      <c r="O772" s="2"/>
      <c r="P772" s="2" t="s">
        <v>1843</v>
      </c>
      <c r="Q772" t="s">
        <v>1127</v>
      </c>
    </row>
    <row r="773" spans="1:17" x14ac:dyDescent="0.2">
      <c r="A773" s="64" t="s">
        <v>777</v>
      </c>
      <c r="B773" s="64" t="str">
        <f t="shared" si="44"/>
        <v>ch13g</v>
      </c>
      <c r="C773" s="64" t="s">
        <v>4182</v>
      </c>
      <c r="D773" s="64" t="s">
        <v>1838</v>
      </c>
      <c r="E773" s="64" t="s">
        <v>4017</v>
      </c>
      <c r="F773" s="2">
        <v>7</v>
      </c>
      <c r="G773" s="2" t="str">
        <f t="shared" si="43"/>
        <v>g</v>
      </c>
      <c r="H773" s="2">
        <v>2013</v>
      </c>
      <c r="I773" s="2" t="s">
        <v>4192</v>
      </c>
      <c r="J773" s="2" t="s">
        <v>4018</v>
      </c>
      <c r="K773" s="2" t="s">
        <v>3980</v>
      </c>
      <c r="L773" s="2"/>
      <c r="M773" s="4" t="s">
        <v>4195</v>
      </c>
      <c r="N773" s="2"/>
      <c r="O773" s="2"/>
      <c r="P773" s="2" t="s">
        <v>1843</v>
      </c>
      <c r="Q773" t="s">
        <v>1127</v>
      </c>
    </row>
    <row r="774" spans="1:17" x14ac:dyDescent="0.2">
      <c r="A774" s="64" t="s">
        <v>777</v>
      </c>
      <c r="B774" s="64" t="str">
        <f t="shared" si="44"/>
        <v>ch15h</v>
      </c>
      <c r="C774" s="64" t="s">
        <v>4182</v>
      </c>
      <c r="D774" s="64" t="s">
        <v>1838</v>
      </c>
      <c r="E774" s="64" t="s">
        <v>4017</v>
      </c>
      <c r="F774" s="2">
        <v>8</v>
      </c>
      <c r="G774" s="2" t="str">
        <f t="shared" si="43"/>
        <v>h</v>
      </c>
      <c r="H774" s="2">
        <v>2015</v>
      </c>
      <c r="I774" s="2" t="s">
        <v>4192</v>
      </c>
      <c r="J774" s="2" t="s">
        <v>4018</v>
      </c>
      <c r="K774" s="2" t="s">
        <v>3980</v>
      </c>
      <c r="L774" s="2"/>
      <c r="M774" s="4" t="s">
        <v>4195</v>
      </c>
      <c r="N774" s="2"/>
      <c r="O774" s="2"/>
      <c r="P774" s="2" t="s">
        <v>1843</v>
      </c>
      <c r="Q774" t="s">
        <v>1127</v>
      </c>
    </row>
    <row r="775" spans="1:17" x14ac:dyDescent="0.2">
      <c r="A775" s="64" t="s">
        <v>777</v>
      </c>
      <c r="B775" s="64" t="str">
        <f t="shared" si="44"/>
        <v>ch16i</v>
      </c>
      <c r="C775" s="64" t="s">
        <v>4182</v>
      </c>
      <c r="D775" s="64" t="s">
        <v>1838</v>
      </c>
      <c r="E775" s="64" t="s">
        <v>4017</v>
      </c>
      <c r="F775" s="2">
        <v>9</v>
      </c>
      <c r="G775" s="2" t="str">
        <f t="shared" si="43"/>
        <v>i</v>
      </c>
      <c r="H775" s="2">
        <v>2016</v>
      </c>
      <c r="I775" s="2" t="s">
        <v>4192</v>
      </c>
      <c r="J775" s="2" t="s">
        <v>4018</v>
      </c>
      <c r="K775" s="2" t="s">
        <v>3980</v>
      </c>
      <c r="L775" s="2"/>
      <c r="M775" s="4" t="s">
        <v>4195</v>
      </c>
      <c r="N775" s="2"/>
      <c r="O775" s="2"/>
      <c r="P775" s="2" t="s">
        <v>1843</v>
      </c>
      <c r="Q775" t="s">
        <v>1127</v>
      </c>
    </row>
    <row r="776" spans="1:17" x14ac:dyDescent="0.2">
      <c r="A776" s="64" t="s">
        <v>777</v>
      </c>
      <c r="B776" s="64" t="str">
        <f t="shared" si="44"/>
        <v>ch17j</v>
      </c>
      <c r="C776" s="64" t="s">
        <v>4182</v>
      </c>
      <c r="D776" s="64" t="s">
        <v>1838</v>
      </c>
      <c r="E776" s="64" t="s">
        <v>4017</v>
      </c>
      <c r="F776" s="2">
        <v>10</v>
      </c>
      <c r="G776" s="2" t="str">
        <f t="shared" si="43"/>
        <v>j</v>
      </c>
      <c r="H776" s="2">
        <v>2017</v>
      </c>
      <c r="I776" s="2" t="s">
        <v>4192</v>
      </c>
      <c r="J776" s="2" t="s">
        <v>4018</v>
      </c>
      <c r="K776" s="2" t="s">
        <v>3980</v>
      </c>
      <c r="L776" s="2"/>
      <c r="M776" s="4" t="s">
        <v>4195</v>
      </c>
      <c r="N776" s="2"/>
      <c r="O776" s="2"/>
      <c r="P776" s="2" t="s">
        <v>1843</v>
      </c>
      <c r="Q776" t="s">
        <v>1127</v>
      </c>
    </row>
    <row r="777" spans="1:17" x14ac:dyDescent="0.2">
      <c r="A777" s="64" t="s">
        <v>777</v>
      </c>
      <c r="B777" s="64" t="str">
        <f t="shared" si="44"/>
        <v>ch18k</v>
      </c>
      <c r="C777" s="64" t="s">
        <v>4182</v>
      </c>
      <c r="D777" s="64" t="s">
        <v>1838</v>
      </c>
      <c r="E777" s="64" t="s">
        <v>4017</v>
      </c>
      <c r="F777" s="2">
        <v>11</v>
      </c>
      <c r="G777" s="2" t="str">
        <f t="shared" si="43"/>
        <v>k</v>
      </c>
      <c r="H777" s="2">
        <v>2018</v>
      </c>
      <c r="I777" s="2" t="s">
        <v>4192</v>
      </c>
      <c r="J777" s="2" t="s">
        <v>4018</v>
      </c>
      <c r="K777" s="2" t="s">
        <v>3980</v>
      </c>
      <c r="L777" s="2"/>
      <c r="M777" s="4" t="s">
        <v>4195</v>
      </c>
      <c r="N777" s="2"/>
      <c r="O777" s="2"/>
      <c r="P777" s="2" t="s">
        <v>1843</v>
      </c>
      <c r="Q777" t="s">
        <v>1127</v>
      </c>
    </row>
    <row r="778" spans="1:17" x14ac:dyDescent="0.2">
      <c r="A778" s="64" t="s">
        <v>777</v>
      </c>
      <c r="B778" s="64" t="str">
        <f t="shared" si="44"/>
        <v>ch07a</v>
      </c>
      <c r="C778" s="64" t="s">
        <v>4182</v>
      </c>
      <c r="D778" s="64" t="s">
        <v>1838</v>
      </c>
      <c r="E778" s="64" t="s">
        <v>2397</v>
      </c>
      <c r="F778" s="2">
        <v>1</v>
      </c>
      <c r="G778" s="2" t="str">
        <f t="shared" si="43"/>
        <v>a</v>
      </c>
      <c r="H778" s="2">
        <v>2007</v>
      </c>
      <c r="I778" s="2" t="s">
        <v>4192</v>
      </c>
      <c r="J778" s="2" t="s">
        <v>4019</v>
      </c>
      <c r="K778" s="2" t="s">
        <v>3980</v>
      </c>
      <c r="L778" s="2"/>
      <c r="M778" s="4" t="s">
        <v>4195</v>
      </c>
      <c r="N778" s="2"/>
      <c r="O778" s="2"/>
      <c r="P778" s="2" t="s">
        <v>1843</v>
      </c>
      <c r="Q778" t="s">
        <v>1127</v>
      </c>
    </row>
    <row r="779" spans="1:17" x14ac:dyDescent="0.2">
      <c r="A779" s="64" t="s">
        <v>777</v>
      </c>
      <c r="B779" s="64" t="str">
        <f t="shared" si="44"/>
        <v>ch08b</v>
      </c>
      <c r="C779" s="64" t="s">
        <v>4182</v>
      </c>
      <c r="D779" s="64" t="s">
        <v>1838</v>
      </c>
      <c r="E779" s="64" t="s">
        <v>2397</v>
      </c>
      <c r="F779" s="2">
        <v>2</v>
      </c>
      <c r="G779" s="2" t="str">
        <f t="shared" si="43"/>
        <v>b</v>
      </c>
      <c r="H779" s="2">
        <v>2008</v>
      </c>
      <c r="I779" s="2" t="s">
        <v>4192</v>
      </c>
      <c r="J779" s="2" t="s">
        <v>4019</v>
      </c>
      <c r="K779" s="2" t="s">
        <v>3980</v>
      </c>
      <c r="L779" s="2"/>
      <c r="M779" s="4" t="s">
        <v>4195</v>
      </c>
      <c r="N779" s="2"/>
      <c r="O779" s="2"/>
      <c r="P779" s="2" t="s">
        <v>1843</v>
      </c>
      <c r="Q779" t="s">
        <v>1127</v>
      </c>
    </row>
    <row r="780" spans="1:17" x14ac:dyDescent="0.2">
      <c r="A780" s="64" t="s">
        <v>777</v>
      </c>
      <c r="B780" s="64" t="str">
        <f t="shared" si="44"/>
        <v>ch09c</v>
      </c>
      <c r="C780" s="64" t="s">
        <v>4182</v>
      </c>
      <c r="D780" s="64" t="s">
        <v>1838</v>
      </c>
      <c r="E780" s="64" t="s">
        <v>2397</v>
      </c>
      <c r="F780" s="2">
        <v>3</v>
      </c>
      <c r="G780" s="2" t="str">
        <f t="shared" si="43"/>
        <v>c</v>
      </c>
      <c r="H780" s="2">
        <v>2009</v>
      </c>
      <c r="I780" s="2" t="s">
        <v>4192</v>
      </c>
      <c r="J780" s="2" t="s">
        <v>4019</v>
      </c>
      <c r="K780" s="2" t="s">
        <v>3980</v>
      </c>
      <c r="L780" s="2"/>
      <c r="M780" s="4" t="s">
        <v>4195</v>
      </c>
      <c r="N780" s="2"/>
      <c r="O780" s="2"/>
      <c r="P780" s="2" t="s">
        <v>1843</v>
      </c>
      <c r="Q780" t="s">
        <v>1127</v>
      </c>
    </row>
    <row r="781" spans="1:17" x14ac:dyDescent="0.2">
      <c r="A781" s="64" t="s">
        <v>777</v>
      </c>
      <c r="B781" s="64" t="str">
        <f t="shared" si="44"/>
        <v>ch10d</v>
      </c>
      <c r="C781" s="64" t="s">
        <v>4182</v>
      </c>
      <c r="D781" s="64" t="s">
        <v>1838</v>
      </c>
      <c r="E781" s="64" t="s">
        <v>2397</v>
      </c>
      <c r="F781" s="2">
        <v>4</v>
      </c>
      <c r="G781" s="2" t="str">
        <f t="shared" si="43"/>
        <v>d</v>
      </c>
      <c r="H781" s="2">
        <v>2010</v>
      </c>
      <c r="I781" s="2" t="s">
        <v>4192</v>
      </c>
      <c r="J781" s="2" t="s">
        <v>4019</v>
      </c>
      <c r="K781" s="2" t="s">
        <v>3980</v>
      </c>
      <c r="L781" s="2"/>
      <c r="M781" s="4" t="s">
        <v>4195</v>
      </c>
      <c r="N781" s="2"/>
      <c r="O781" s="2"/>
      <c r="P781" s="2" t="s">
        <v>1843</v>
      </c>
      <c r="Q781" t="s">
        <v>1127</v>
      </c>
    </row>
    <row r="782" spans="1:17" x14ac:dyDescent="0.2">
      <c r="A782" s="64" t="s">
        <v>777</v>
      </c>
      <c r="B782" s="64" t="str">
        <f t="shared" si="44"/>
        <v>ch11e</v>
      </c>
      <c r="C782" s="64" t="s">
        <v>4182</v>
      </c>
      <c r="D782" s="64" t="s">
        <v>1838</v>
      </c>
      <c r="E782" s="64" t="s">
        <v>2397</v>
      </c>
      <c r="F782" s="2">
        <v>5</v>
      </c>
      <c r="G782" s="2" t="str">
        <f t="shared" si="43"/>
        <v>e</v>
      </c>
      <c r="H782" s="2">
        <v>2011</v>
      </c>
      <c r="I782" s="2" t="s">
        <v>4192</v>
      </c>
      <c r="J782" s="2" t="s">
        <v>4019</v>
      </c>
      <c r="K782" s="2" t="s">
        <v>3980</v>
      </c>
      <c r="L782" s="2"/>
      <c r="M782" s="4" t="s">
        <v>4195</v>
      </c>
      <c r="N782" s="2"/>
      <c r="O782" s="2"/>
      <c r="P782" s="2" t="s">
        <v>1843</v>
      </c>
      <c r="Q782" t="s">
        <v>1127</v>
      </c>
    </row>
    <row r="783" spans="1:17" x14ac:dyDescent="0.2">
      <c r="A783" s="64" t="s">
        <v>777</v>
      </c>
      <c r="B783" s="64" t="str">
        <f t="shared" si="44"/>
        <v>ch12f</v>
      </c>
      <c r="C783" s="64" t="s">
        <v>4182</v>
      </c>
      <c r="D783" s="64" t="s">
        <v>1838</v>
      </c>
      <c r="E783" s="64" t="s">
        <v>2397</v>
      </c>
      <c r="F783" s="2">
        <v>6</v>
      </c>
      <c r="G783" s="2" t="str">
        <f t="shared" si="43"/>
        <v>f</v>
      </c>
      <c r="H783" s="2">
        <v>2012</v>
      </c>
      <c r="I783" s="2" t="s">
        <v>4192</v>
      </c>
      <c r="J783" s="2" t="s">
        <v>4019</v>
      </c>
      <c r="K783" s="2" t="s">
        <v>3980</v>
      </c>
      <c r="L783" s="2"/>
      <c r="M783" s="4" t="s">
        <v>4195</v>
      </c>
      <c r="N783" s="2"/>
      <c r="O783" s="2"/>
      <c r="P783" s="2" t="s">
        <v>1843</v>
      </c>
      <c r="Q783" t="s">
        <v>1127</v>
      </c>
    </row>
    <row r="784" spans="1:17" x14ac:dyDescent="0.2">
      <c r="A784" s="64" t="s">
        <v>777</v>
      </c>
      <c r="B784" s="64" t="str">
        <f t="shared" si="44"/>
        <v>ch13g</v>
      </c>
      <c r="C784" s="64" t="s">
        <v>4182</v>
      </c>
      <c r="D784" s="64" t="s">
        <v>1838</v>
      </c>
      <c r="E784" s="64" t="s">
        <v>2397</v>
      </c>
      <c r="F784" s="2">
        <v>7</v>
      </c>
      <c r="G784" s="2" t="str">
        <f t="shared" si="43"/>
        <v>g</v>
      </c>
      <c r="H784" s="2">
        <v>2013</v>
      </c>
      <c r="I784" s="2" t="s">
        <v>4192</v>
      </c>
      <c r="J784" s="2" t="s">
        <v>4019</v>
      </c>
      <c r="K784" s="2" t="s">
        <v>3980</v>
      </c>
      <c r="L784" s="2"/>
      <c r="M784" s="4" t="s">
        <v>4195</v>
      </c>
      <c r="N784" s="2"/>
      <c r="O784" s="2"/>
      <c r="P784" s="2" t="s">
        <v>1843</v>
      </c>
      <c r="Q784" t="s">
        <v>1127</v>
      </c>
    </row>
    <row r="785" spans="1:17" x14ac:dyDescent="0.2">
      <c r="A785" s="64" t="s">
        <v>777</v>
      </c>
      <c r="B785" s="64" t="str">
        <f t="shared" si="44"/>
        <v>ch15h</v>
      </c>
      <c r="C785" s="64" t="s">
        <v>4182</v>
      </c>
      <c r="D785" s="64" t="s">
        <v>1838</v>
      </c>
      <c r="E785" s="64" t="s">
        <v>2397</v>
      </c>
      <c r="F785" s="2">
        <v>8</v>
      </c>
      <c r="G785" s="2" t="str">
        <f t="shared" si="43"/>
        <v>h</v>
      </c>
      <c r="H785" s="2">
        <v>2015</v>
      </c>
      <c r="I785" s="2" t="s">
        <v>4192</v>
      </c>
      <c r="J785" s="2" t="s">
        <v>4019</v>
      </c>
      <c r="K785" s="2" t="s">
        <v>3980</v>
      </c>
      <c r="L785" s="2"/>
      <c r="M785" s="4" t="s">
        <v>4195</v>
      </c>
      <c r="N785" s="2"/>
      <c r="O785" s="2"/>
      <c r="P785" s="2" t="s">
        <v>1843</v>
      </c>
      <c r="Q785" t="s">
        <v>1127</v>
      </c>
    </row>
    <row r="786" spans="1:17" x14ac:dyDescent="0.2">
      <c r="A786" s="64" t="s">
        <v>777</v>
      </c>
      <c r="B786" s="64" t="str">
        <f t="shared" si="44"/>
        <v>ch16i</v>
      </c>
      <c r="C786" s="64" t="s">
        <v>4182</v>
      </c>
      <c r="D786" s="64" t="s">
        <v>1838</v>
      </c>
      <c r="E786" s="64" t="s">
        <v>2397</v>
      </c>
      <c r="F786" s="2">
        <v>9</v>
      </c>
      <c r="G786" s="2" t="str">
        <f t="shared" si="43"/>
        <v>i</v>
      </c>
      <c r="H786" s="2">
        <v>2016</v>
      </c>
      <c r="I786" s="2" t="s">
        <v>4192</v>
      </c>
      <c r="J786" s="2" t="s">
        <v>4019</v>
      </c>
      <c r="K786" s="2" t="s">
        <v>3980</v>
      </c>
      <c r="L786" s="2"/>
      <c r="M786" s="4" t="s">
        <v>4195</v>
      </c>
      <c r="N786" s="2"/>
      <c r="O786" s="2"/>
      <c r="P786" s="2" t="s">
        <v>1843</v>
      </c>
      <c r="Q786" t="s">
        <v>1127</v>
      </c>
    </row>
    <row r="787" spans="1:17" x14ac:dyDescent="0.2">
      <c r="A787" s="64" t="s">
        <v>777</v>
      </c>
      <c r="B787" s="64" t="str">
        <f t="shared" si="44"/>
        <v>ch17j</v>
      </c>
      <c r="C787" s="64" t="s">
        <v>4182</v>
      </c>
      <c r="D787" s="64" t="s">
        <v>1838</v>
      </c>
      <c r="E787" s="64" t="s">
        <v>2397</v>
      </c>
      <c r="F787" s="2">
        <v>10</v>
      </c>
      <c r="G787" s="2" t="str">
        <f t="shared" si="43"/>
        <v>j</v>
      </c>
      <c r="H787" s="2">
        <v>2017</v>
      </c>
      <c r="I787" s="2" t="s">
        <v>4192</v>
      </c>
      <c r="J787" s="2" t="s">
        <v>4019</v>
      </c>
      <c r="K787" s="2" t="s">
        <v>3980</v>
      </c>
      <c r="L787" s="2"/>
      <c r="M787" s="4" t="s">
        <v>4195</v>
      </c>
      <c r="N787" s="2"/>
      <c r="O787" s="2"/>
      <c r="P787" s="2" t="s">
        <v>1843</v>
      </c>
      <c r="Q787" t="s">
        <v>1127</v>
      </c>
    </row>
    <row r="788" spans="1:17" x14ac:dyDescent="0.2">
      <c r="A788" s="64" t="s">
        <v>777</v>
      </c>
      <c r="B788" s="64" t="str">
        <f t="shared" si="44"/>
        <v>ch18k</v>
      </c>
      <c r="C788" s="64" t="s">
        <v>4182</v>
      </c>
      <c r="D788" s="64" t="s">
        <v>1838</v>
      </c>
      <c r="E788" s="64" t="s">
        <v>2397</v>
      </c>
      <c r="F788" s="2">
        <v>11</v>
      </c>
      <c r="G788" s="2" t="str">
        <f t="shared" si="43"/>
        <v>k</v>
      </c>
      <c r="H788" s="2">
        <v>2018</v>
      </c>
      <c r="I788" s="2" t="s">
        <v>4192</v>
      </c>
      <c r="J788" s="2" t="s">
        <v>4019</v>
      </c>
      <c r="K788" s="2" t="s">
        <v>3980</v>
      </c>
      <c r="L788" s="2"/>
      <c r="M788" s="4" t="s">
        <v>4195</v>
      </c>
      <c r="N788" s="2"/>
      <c r="O788" s="2"/>
      <c r="P788" s="2" t="s">
        <v>1843</v>
      </c>
      <c r="Q788" t="s">
        <v>1127</v>
      </c>
    </row>
    <row r="789" spans="1:17" x14ac:dyDescent="0.2">
      <c r="A789" s="64" t="s">
        <v>777</v>
      </c>
      <c r="B789" s="64" t="str">
        <f t="shared" si="44"/>
        <v>ch07a</v>
      </c>
      <c r="C789" s="64" t="s">
        <v>4182</v>
      </c>
      <c r="D789" s="64" t="s">
        <v>1838</v>
      </c>
      <c r="E789" s="64" t="s">
        <v>4020</v>
      </c>
      <c r="F789" s="2">
        <v>1</v>
      </c>
      <c r="G789" s="2" t="str">
        <f t="shared" si="43"/>
        <v>a</v>
      </c>
      <c r="H789" s="2">
        <v>2007</v>
      </c>
      <c r="I789" s="2" t="s">
        <v>4192</v>
      </c>
      <c r="J789" s="2" t="s">
        <v>4021</v>
      </c>
      <c r="K789" s="2" t="s">
        <v>3980</v>
      </c>
      <c r="L789" s="2"/>
      <c r="M789" s="4" t="s">
        <v>4195</v>
      </c>
      <c r="N789" s="2"/>
      <c r="O789" s="2"/>
      <c r="P789" s="2" t="s">
        <v>1843</v>
      </c>
      <c r="Q789" t="s">
        <v>1127</v>
      </c>
    </row>
    <row r="790" spans="1:17" x14ac:dyDescent="0.2">
      <c r="A790" s="64" t="s">
        <v>777</v>
      </c>
      <c r="B790" s="64" t="str">
        <f t="shared" si="44"/>
        <v>ch08b</v>
      </c>
      <c r="C790" s="64" t="s">
        <v>4182</v>
      </c>
      <c r="D790" s="64" t="s">
        <v>1838</v>
      </c>
      <c r="E790" s="64" t="s">
        <v>4020</v>
      </c>
      <c r="F790" s="2">
        <v>2</v>
      </c>
      <c r="G790" s="2" t="str">
        <f t="shared" si="43"/>
        <v>b</v>
      </c>
      <c r="H790" s="2">
        <v>2008</v>
      </c>
      <c r="I790" s="2" t="s">
        <v>4192</v>
      </c>
      <c r="J790" s="2" t="s">
        <v>4021</v>
      </c>
      <c r="K790" s="2" t="s">
        <v>3980</v>
      </c>
      <c r="L790" s="2"/>
      <c r="M790" s="4" t="s">
        <v>4195</v>
      </c>
      <c r="N790" s="2"/>
      <c r="O790" s="2"/>
      <c r="P790" s="2" t="s">
        <v>1843</v>
      </c>
      <c r="Q790" t="s">
        <v>1127</v>
      </c>
    </row>
    <row r="791" spans="1:17" x14ac:dyDescent="0.2">
      <c r="A791" s="64" t="s">
        <v>777</v>
      </c>
      <c r="B791" s="64" t="str">
        <f t="shared" si="44"/>
        <v>ch09c</v>
      </c>
      <c r="C791" s="64" t="s">
        <v>4182</v>
      </c>
      <c r="D791" s="64" t="s">
        <v>1838</v>
      </c>
      <c r="E791" s="64" t="s">
        <v>4020</v>
      </c>
      <c r="F791" s="2">
        <v>3</v>
      </c>
      <c r="G791" s="2" t="str">
        <f t="shared" si="43"/>
        <v>c</v>
      </c>
      <c r="H791" s="2">
        <v>2009</v>
      </c>
      <c r="I791" s="2" t="s">
        <v>4192</v>
      </c>
      <c r="J791" s="2" t="s">
        <v>4021</v>
      </c>
      <c r="K791" s="2" t="s">
        <v>3980</v>
      </c>
      <c r="L791" s="2"/>
      <c r="M791" s="4" t="s">
        <v>4195</v>
      </c>
      <c r="N791" s="2"/>
      <c r="O791" s="2"/>
      <c r="P791" s="2" t="s">
        <v>1843</v>
      </c>
      <c r="Q791" t="s">
        <v>1127</v>
      </c>
    </row>
    <row r="792" spans="1:17" x14ac:dyDescent="0.2">
      <c r="A792" s="64" t="s">
        <v>777</v>
      </c>
      <c r="B792" s="64" t="str">
        <f t="shared" si="44"/>
        <v>ch10d</v>
      </c>
      <c r="C792" s="64" t="s">
        <v>4182</v>
      </c>
      <c r="D792" s="64" t="s">
        <v>1838</v>
      </c>
      <c r="E792" s="64" t="s">
        <v>4020</v>
      </c>
      <c r="F792" s="2">
        <v>4</v>
      </c>
      <c r="G792" s="2" t="str">
        <f t="shared" si="43"/>
        <v>d</v>
      </c>
      <c r="H792" s="2">
        <v>2010</v>
      </c>
      <c r="I792" s="2" t="s">
        <v>4192</v>
      </c>
      <c r="J792" s="2" t="s">
        <v>4021</v>
      </c>
      <c r="K792" s="2" t="s">
        <v>3980</v>
      </c>
      <c r="L792" s="2"/>
      <c r="M792" s="4" t="s">
        <v>4195</v>
      </c>
      <c r="N792" s="2"/>
      <c r="O792" s="2"/>
      <c r="P792" s="2" t="s">
        <v>1843</v>
      </c>
      <c r="Q792" t="s">
        <v>1127</v>
      </c>
    </row>
    <row r="793" spans="1:17" x14ac:dyDescent="0.2">
      <c r="A793" s="64" t="s">
        <v>777</v>
      </c>
      <c r="B793" s="64" t="str">
        <f t="shared" si="44"/>
        <v>ch11e</v>
      </c>
      <c r="C793" s="64" t="s">
        <v>4182</v>
      </c>
      <c r="D793" s="64" t="s">
        <v>1838</v>
      </c>
      <c r="E793" s="64" t="s">
        <v>4020</v>
      </c>
      <c r="F793" s="2">
        <v>5</v>
      </c>
      <c r="G793" s="2" t="str">
        <f t="shared" si="43"/>
        <v>e</v>
      </c>
      <c r="H793" s="2">
        <v>2011</v>
      </c>
      <c r="I793" s="2" t="s">
        <v>4192</v>
      </c>
      <c r="J793" s="2" t="s">
        <v>4021</v>
      </c>
      <c r="K793" s="2" t="s">
        <v>3980</v>
      </c>
      <c r="L793" s="2"/>
      <c r="M793" s="4" t="s">
        <v>4195</v>
      </c>
      <c r="N793" s="2"/>
      <c r="O793" s="2"/>
      <c r="P793" s="2" t="s">
        <v>1843</v>
      </c>
      <c r="Q793" t="s">
        <v>1127</v>
      </c>
    </row>
    <row r="794" spans="1:17" x14ac:dyDescent="0.2">
      <c r="A794" s="64" t="s">
        <v>777</v>
      </c>
      <c r="B794" s="64" t="str">
        <f t="shared" si="44"/>
        <v>ch12f</v>
      </c>
      <c r="C794" s="64" t="s">
        <v>4182</v>
      </c>
      <c r="D794" s="64" t="s">
        <v>1838</v>
      </c>
      <c r="E794" s="64" t="s">
        <v>4020</v>
      </c>
      <c r="F794" s="2">
        <v>6</v>
      </c>
      <c r="G794" s="2" t="str">
        <f t="shared" si="43"/>
        <v>f</v>
      </c>
      <c r="H794" s="2">
        <v>2012</v>
      </c>
      <c r="I794" s="2" t="s">
        <v>4192</v>
      </c>
      <c r="J794" s="2" t="s">
        <v>4021</v>
      </c>
      <c r="K794" s="2" t="s">
        <v>3980</v>
      </c>
      <c r="L794" s="2"/>
      <c r="M794" s="4" t="s">
        <v>4195</v>
      </c>
      <c r="N794" s="2"/>
      <c r="O794" s="2"/>
      <c r="P794" s="2" t="s">
        <v>1843</v>
      </c>
      <c r="Q794" t="s">
        <v>1127</v>
      </c>
    </row>
    <row r="795" spans="1:17" x14ac:dyDescent="0.2">
      <c r="A795" s="64" t="s">
        <v>777</v>
      </c>
      <c r="B795" s="64" t="str">
        <f t="shared" si="44"/>
        <v>ch13g</v>
      </c>
      <c r="C795" s="64" t="s">
        <v>4182</v>
      </c>
      <c r="D795" s="64" t="s">
        <v>1838</v>
      </c>
      <c r="E795" s="64" t="s">
        <v>4020</v>
      </c>
      <c r="F795" s="2">
        <v>7</v>
      </c>
      <c r="G795" s="2" t="str">
        <f t="shared" si="43"/>
        <v>g</v>
      </c>
      <c r="H795" s="2">
        <v>2013</v>
      </c>
      <c r="I795" s="2" t="s">
        <v>4192</v>
      </c>
      <c r="J795" s="2" t="s">
        <v>4021</v>
      </c>
      <c r="K795" s="2" t="s">
        <v>3980</v>
      </c>
      <c r="L795" s="2"/>
      <c r="M795" s="4" t="s">
        <v>4195</v>
      </c>
      <c r="N795" s="2"/>
      <c r="O795" s="2"/>
      <c r="P795" s="2" t="s">
        <v>1843</v>
      </c>
      <c r="Q795" t="s">
        <v>1127</v>
      </c>
    </row>
    <row r="796" spans="1:17" x14ac:dyDescent="0.2">
      <c r="A796" s="64" t="s">
        <v>777</v>
      </c>
      <c r="B796" s="64" t="str">
        <f t="shared" si="44"/>
        <v>ch15h</v>
      </c>
      <c r="C796" s="64" t="s">
        <v>4182</v>
      </c>
      <c r="D796" s="64" t="s">
        <v>1838</v>
      </c>
      <c r="E796" s="64" t="s">
        <v>4020</v>
      </c>
      <c r="F796" s="2">
        <v>8</v>
      </c>
      <c r="G796" s="2" t="str">
        <f t="shared" si="43"/>
        <v>h</v>
      </c>
      <c r="H796" s="2">
        <v>2015</v>
      </c>
      <c r="I796" s="2" t="s">
        <v>4192</v>
      </c>
      <c r="J796" s="2" t="s">
        <v>4021</v>
      </c>
      <c r="K796" s="2" t="s">
        <v>3980</v>
      </c>
      <c r="L796" s="2"/>
      <c r="M796" s="4" t="s">
        <v>4195</v>
      </c>
      <c r="N796" s="2"/>
      <c r="O796" s="2"/>
      <c r="P796" s="2" t="s">
        <v>1843</v>
      </c>
      <c r="Q796" t="s">
        <v>1127</v>
      </c>
    </row>
    <row r="797" spans="1:17" x14ac:dyDescent="0.2">
      <c r="A797" s="64" t="s">
        <v>777</v>
      </c>
      <c r="B797" s="64" t="str">
        <f t="shared" si="44"/>
        <v>ch16i</v>
      </c>
      <c r="C797" s="64" t="s">
        <v>4182</v>
      </c>
      <c r="D797" s="64" t="s">
        <v>1838</v>
      </c>
      <c r="E797" s="64" t="s">
        <v>4020</v>
      </c>
      <c r="F797" s="2">
        <v>9</v>
      </c>
      <c r="G797" s="2" t="str">
        <f t="shared" si="43"/>
        <v>i</v>
      </c>
      <c r="H797" s="2">
        <v>2016</v>
      </c>
      <c r="I797" s="2" t="s">
        <v>4192</v>
      </c>
      <c r="J797" s="2" t="s">
        <v>4021</v>
      </c>
      <c r="K797" s="2" t="s">
        <v>3980</v>
      </c>
      <c r="L797" s="2"/>
      <c r="M797" s="4" t="s">
        <v>4195</v>
      </c>
      <c r="N797" s="2"/>
      <c r="O797" s="2"/>
      <c r="P797" s="2" t="s">
        <v>1843</v>
      </c>
      <c r="Q797" t="s">
        <v>1127</v>
      </c>
    </row>
    <row r="798" spans="1:17" x14ac:dyDescent="0.2">
      <c r="A798" s="64" t="s">
        <v>777</v>
      </c>
      <c r="B798" s="64" t="str">
        <f t="shared" si="44"/>
        <v>ch17j</v>
      </c>
      <c r="C798" s="64" t="s">
        <v>4182</v>
      </c>
      <c r="D798" s="64" t="s">
        <v>1838</v>
      </c>
      <c r="E798" s="64" t="s">
        <v>4020</v>
      </c>
      <c r="F798" s="2">
        <v>10</v>
      </c>
      <c r="G798" s="2" t="str">
        <f t="shared" si="43"/>
        <v>j</v>
      </c>
      <c r="H798" s="2">
        <v>2017</v>
      </c>
      <c r="I798" s="2" t="s">
        <v>4192</v>
      </c>
      <c r="J798" s="2" t="s">
        <v>4021</v>
      </c>
      <c r="K798" s="2" t="s">
        <v>3980</v>
      </c>
      <c r="L798" s="2"/>
      <c r="M798" s="4" t="s">
        <v>4195</v>
      </c>
      <c r="N798" s="2"/>
      <c r="O798" s="2"/>
      <c r="P798" s="2" t="s">
        <v>1843</v>
      </c>
      <c r="Q798" t="s">
        <v>1127</v>
      </c>
    </row>
    <row r="799" spans="1:17" x14ac:dyDescent="0.2">
      <c r="A799" s="64" t="s">
        <v>777</v>
      </c>
      <c r="B799" s="64" t="str">
        <f t="shared" si="44"/>
        <v>ch18k</v>
      </c>
      <c r="C799" s="64" t="s">
        <v>4182</v>
      </c>
      <c r="D799" s="64" t="s">
        <v>1838</v>
      </c>
      <c r="E799" s="64" t="s">
        <v>4020</v>
      </c>
      <c r="F799" s="2">
        <v>11</v>
      </c>
      <c r="G799" s="2" t="str">
        <f t="shared" ref="G799:G862" si="45">MID("abcdefghijklmnopqrstuvwxyz",F799,1)</f>
        <v>k</v>
      </c>
      <c r="H799" s="2">
        <v>2018</v>
      </c>
      <c r="I799" s="2" t="s">
        <v>4192</v>
      </c>
      <c r="J799" s="2" t="s">
        <v>4021</v>
      </c>
      <c r="K799" s="2" t="s">
        <v>3980</v>
      </c>
      <c r="L799" s="2"/>
      <c r="M799" s="4" t="s">
        <v>4195</v>
      </c>
      <c r="N799" s="2"/>
      <c r="O799" s="2"/>
      <c r="P799" s="2" t="s">
        <v>1843</v>
      </c>
      <c r="Q799" t="s">
        <v>1127</v>
      </c>
    </row>
    <row r="800" spans="1:17" x14ac:dyDescent="0.2">
      <c r="A800" s="61" t="s">
        <v>777</v>
      </c>
      <c r="B800" s="61" t="str">
        <f t="shared" si="44"/>
        <v>ch07a</v>
      </c>
      <c r="C800" s="61" t="s">
        <v>4182</v>
      </c>
      <c r="D800" s="61" t="s">
        <v>1128</v>
      </c>
      <c r="E800" s="61" t="s">
        <v>1598</v>
      </c>
      <c r="F800" s="2">
        <v>1</v>
      </c>
      <c r="G800" s="2" t="str">
        <f t="shared" si="45"/>
        <v>a</v>
      </c>
      <c r="H800" s="2">
        <v>2007</v>
      </c>
      <c r="I800" s="2" t="str">
        <f t="shared" ref="I800:I810" si="46">B800&amp;"080"</f>
        <v>ch07a080</v>
      </c>
      <c r="J800" s="2" t="s">
        <v>1599</v>
      </c>
      <c r="K800" s="8" t="s">
        <v>1600</v>
      </c>
      <c r="L800"/>
      <c r="M800" s="2" t="s">
        <v>1601</v>
      </c>
      <c r="P800" s="2" t="s">
        <v>1127</v>
      </c>
      <c r="Q800" t="s">
        <v>1127</v>
      </c>
    </row>
    <row r="801" spans="1:17" x14ac:dyDescent="0.2">
      <c r="A801" s="61" t="s">
        <v>777</v>
      </c>
      <c r="B801" s="61" t="str">
        <f t="shared" si="44"/>
        <v>ch08b</v>
      </c>
      <c r="C801" s="61" t="s">
        <v>4182</v>
      </c>
      <c r="D801" s="61" t="s">
        <v>1128</v>
      </c>
      <c r="E801" s="61" t="s">
        <v>1598</v>
      </c>
      <c r="F801" s="2">
        <v>2</v>
      </c>
      <c r="G801" s="2" t="str">
        <f t="shared" si="45"/>
        <v>b</v>
      </c>
      <c r="H801" s="2">
        <v>2008</v>
      </c>
      <c r="I801" s="2" t="str">
        <f t="shared" si="46"/>
        <v>ch08b080</v>
      </c>
      <c r="J801" s="2" t="s">
        <v>1599</v>
      </c>
      <c r="K801" s="8" t="s">
        <v>1600</v>
      </c>
      <c r="L801"/>
      <c r="M801" s="2" t="s">
        <v>1601</v>
      </c>
      <c r="P801" s="2" t="s">
        <v>1127</v>
      </c>
      <c r="Q801" t="s">
        <v>1127</v>
      </c>
    </row>
    <row r="802" spans="1:17" x14ac:dyDescent="0.2">
      <c r="A802" s="61" t="s">
        <v>777</v>
      </c>
      <c r="B802" s="61" t="str">
        <f t="shared" si="44"/>
        <v>ch09c</v>
      </c>
      <c r="C802" s="61" t="s">
        <v>4182</v>
      </c>
      <c r="D802" s="61" t="s">
        <v>1128</v>
      </c>
      <c r="E802" s="61" t="s">
        <v>1598</v>
      </c>
      <c r="F802" s="2">
        <v>3</v>
      </c>
      <c r="G802" s="2" t="str">
        <f t="shared" si="45"/>
        <v>c</v>
      </c>
      <c r="H802" s="2">
        <v>2009</v>
      </c>
      <c r="I802" s="2" t="str">
        <f t="shared" si="46"/>
        <v>ch09c080</v>
      </c>
      <c r="J802" s="2" t="s">
        <v>1599</v>
      </c>
      <c r="K802" s="8" t="s">
        <v>1600</v>
      </c>
      <c r="L802"/>
      <c r="M802" s="2" t="s">
        <v>1601</v>
      </c>
      <c r="P802" s="2" t="s">
        <v>1127</v>
      </c>
      <c r="Q802" t="s">
        <v>1127</v>
      </c>
    </row>
    <row r="803" spans="1:17" x14ac:dyDescent="0.2">
      <c r="A803" s="61" t="s">
        <v>777</v>
      </c>
      <c r="B803" s="61" t="str">
        <f t="shared" ref="B803:B866" si="47">"ch" &amp; RIGHT(H803, 2) &amp; G803</f>
        <v>ch10d</v>
      </c>
      <c r="C803" s="61" t="s">
        <v>4182</v>
      </c>
      <c r="D803" s="61" t="s">
        <v>1128</v>
      </c>
      <c r="E803" s="61" t="s">
        <v>1598</v>
      </c>
      <c r="F803" s="2">
        <v>4</v>
      </c>
      <c r="G803" s="2" t="str">
        <f t="shared" si="45"/>
        <v>d</v>
      </c>
      <c r="H803" s="2">
        <v>2010</v>
      </c>
      <c r="I803" s="2" t="str">
        <f t="shared" si="46"/>
        <v>ch10d080</v>
      </c>
      <c r="J803" s="2" t="s">
        <v>1599</v>
      </c>
      <c r="K803" s="8" t="s">
        <v>1600</v>
      </c>
      <c r="L803"/>
      <c r="M803" s="2" t="s">
        <v>1601</v>
      </c>
      <c r="P803" s="2" t="s">
        <v>1127</v>
      </c>
      <c r="Q803" t="s">
        <v>1127</v>
      </c>
    </row>
    <row r="804" spans="1:17" x14ac:dyDescent="0.2">
      <c r="A804" s="61" t="s">
        <v>777</v>
      </c>
      <c r="B804" s="61" t="str">
        <f t="shared" si="47"/>
        <v>ch11e</v>
      </c>
      <c r="C804" s="61" t="s">
        <v>4182</v>
      </c>
      <c r="D804" s="61" t="s">
        <v>1128</v>
      </c>
      <c r="E804" s="61" t="s">
        <v>1598</v>
      </c>
      <c r="F804" s="2">
        <v>5</v>
      </c>
      <c r="G804" s="2" t="str">
        <f t="shared" si="45"/>
        <v>e</v>
      </c>
      <c r="H804" s="2">
        <v>2011</v>
      </c>
      <c r="I804" s="2" t="str">
        <f t="shared" si="46"/>
        <v>ch11e080</v>
      </c>
      <c r="J804" s="2" t="s">
        <v>1599</v>
      </c>
      <c r="K804" s="8" t="s">
        <v>1600</v>
      </c>
      <c r="L804"/>
      <c r="M804" s="2" t="s">
        <v>1601</v>
      </c>
      <c r="P804" s="2" t="s">
        <v>1127</v>
      </c>
      <c r="Q804" t="s">
        <v>1127</v>
      </c>
    </row>
    <row r="805" spans="1:17" x14ac:dyDescent="0.2">
      <c r="A805" s="61" t="s">
        <v>777</v>
      </c>
      <c r="B805" s="61" t="str">
        <f t="shared" si="47"/>
        <v>ch12f</v>
      </c>
      <c r="C805" s="61" t="s">
        <v>4182</v>
      </c>
      <c r="D805" s="61" t="s">
        <v>1128</v>
      </c>
      <c r="E805" s="61" t="s">
        <v>1598</v>
      </c>
      <c r="F805" s="2">
        <v>6</v>
      </c>
      <c r="G805" s="2" t="str">
        <f t="shared" si="45"/>
        <v>f</v>
      </c>
      <c r="H805" s="2">
        <v>2012</v>
      </c>
      <c r="I805" s="2" t="str">
        <f t="shared" si="46"/>
        <v>ch12f080</v>
      </c>
      <c r="J805" s="2" t="s">
        <v>1599</v>
      </c>
      <c r="K805" s="8" t="s">
        <v>1600</v>
      </c>
      <c r="L805"/>
      <c r="M805" s="2" t="s">
        <v>1601</v>
      </c>
      <c r="P805" s="2" t="s">
        <v>1127</v>
      </c>
      <c r="Q805" t="s">
        <v>1127</v>
      </c>
    </row>
    <row r="806" spans="1:17" x14ac:dyDescent="0.2">
      <c r="A806" s="61" t="s">
        <v>777</v>
      </c>
      <c r="B806" s="61" t="str">
        <f t="shared" si="47"/>
        <v>ch13g</v>
      </c>
      <c r="C806" s="61" t="s">
        <v>4182</v>
      </c>
      <c r="D806" s="61" t="s">
        <v>1128</v>
      </c>
      <c r="E806" s="61" t="s">
        <v>1598</v>
      </c>
      <c r="F806" s="2">
        <v>7</v>
      </c>
      <c r="G806" s="2" t="str">
        <f t="shared" si="45"/>
        <v>g</v>
      </c>
      <c r="H806" s="2">
        <v>2013</v>
      </c>
      <c r="I806" s="2" t="str">
        <f t="shared" si="46"/>
        <v>ch13g080</v>
      </c>
      <c r="J806" s="2" t="s">
        <v>1599</v>
      </c>
      <c r="K806" s="8" t="s">
        <v>1600</v>
      </c>
      <c r="L806"/>
      <c r="M806" s="2" t="s">
        <v>1601</v>
      </c>
      <c r="P806" s="2" t="s">
        <v>1127</v>
      </c>
      <c r="Q806" t="s">
        <v>1127</v>
      </c>
    </row>
    <row r="807" spans="1:17" x14ac:dyDescent="0.2">
      <c r="A807" s="61" t="s">
        <v>777</v>
      </c>
      <c r="B807" s="61" t="str">
        <f t="shared" si="47"/>
        <v>ch15h</v>
      </c>
      <c r="C807" s="61" t="s">
        <v>4182</v>
      </c>
      <c r="D807" s="61" t="s">
        <v>1128</v>
      </c>
      <c r="E807" s="61" t="s">
        <v>1598</v>
      </c>
      <c r="F807" s="2">
        <v>8</v>
      </c>
      <c r="G807" s="2" t="str">
        <f t="shared" si="45"/>
        <v>h</v>
      </c>
      <c r="H807" s="2">
        <v>2015</v>
      </c>
      <c r="I807" s="2" t="str">
        <f t="shared" si="46"/>
        <v>ch15h080</v>
      </c>
      <c r="J807" s="2" t="s">
        <v>1599</v>
      </c>
      <c r="K807" s="8" t="s">
        <v>1600</v>
      </c>
      <c r="L807"/>
      <c r="M807" s="2" t="s">
        <v>1601</v>
      </c>
      <c r="P807" s="2" t="s">
        <v>1127</v>
      </c>
      <c r="Q807" t="s">
        <v>1127</v>
      </c>
    </row>
    <row r="808" spans="1:17" x14ac:dyDescent="0.2">
      <c r="A808" s="61" t="s">
        <v>777</v>
      </c>
      <c r="B808" s="61" t="str">
        <f t="shared" si="47"/>
        <v>ch16i</v>
      </c>
      <c r="C808" s="61" t="s">
        <v>4182</v>
      </c>
      <c r="D808" s="61" t="s">
        <v>1128</v>
      </c>
      <c r="E808" s="61" t="s">
        <v>1598</v>
      </c>
      <c r="F808" s="2">
        <v>9</v>
      </c>
      <c r="G808" s="2" t="str">
        <f t="shared" si="45"/>
        <v>i</v>
      </c>
      <c r="H808" s="2">
        <v>2016</v>
      </c>
      <c r="I808" s="2" t="str">
        <f t="shared" si="46"/>
        <v>ch16i080</v>
      </c>
      <c r="J808" s="2" t="s">
        <v>1599</v>
      </c>
      <c r="K808" s="8" t="s">
        <v>1600</v>
      </c>
      <c r="L808"/>
      <c r="M808" s="2" t="s">
        <v>1601</v>
      </c>
      <c r="P808" s="2" t="s">
        <v>1127</v>
      </c>
      <c r="Q808" t="s">
        <v>1127</v>
      </c>
    </row>
    <row r="809" spans="1:17" x14ac:dyDescent="0.2">
      <c r="A809" s="61" t="s">
        <v>777</v>
      </c>
      <c r="B809" s="61" t="str">
        <f t="shared" si="47"/>
        <v>ch17j</v>
      </c>
      <c r="C809" s="61" t="s">
        <v>4182</v>
      </c>
      <c r="D809" s="61" t="s">
        <v>1128</v>
      </c>
      <c r="E809" s="61" t="s">
        <v>1598</v>
      </c>
      <c r="F809" s="2">
        <v>10</v>
      </c>
      <c r="G809" s="2" t="str">
        <f t="shared" si="45"/>
        <v>j</v>
      </c>
      <c r="H809" s="2">
        <v>2017</v>
      </c>
      <c r="I809" s="2" t="str">
        <f t="shared" si="46"/>
        <v>ch17j080</v>
      </c>
      <c r="J809" s="2" t="s">
        <v>1599</v>
      </c>
      <c r="K809" s="8" t="s">
        <v>1600</v>
      </c>
      <c r="L809"/>
      <c r="M809" s="2" t="s">
        <v>1601</v>
      </c>
      <c r="P809" s="2" t="s">
        <v>1127</v>
      </c>
      <c r="Q809" t="s">
        <v>1127</v>
      </c>
    </row>
    <row r="810" spans="1:17" x14ac:dyDescent="0.2">
      <c r="A810" s="61" t="s">
        <v>777</v>
      </c>
      <c r="B810" s="61" t="str">
        <f t="shared" si="47"/>
        <v>ch18k</v>
      </c>
      <c r="C810" s="61" t="s">
        <v>4182</v>
      </c>
      <c r="D810" s="61" t="s">
        <v>1128</v>
      </c>
      <c r="E810" s="61" t="s">
        <v>1598</v>
      </c>
      <c r="F810" s="2">
        <v>11</v>
      </c>
      <c r="G810" s="2" t="str">
        <f t="shared" si="45"/>
        <v>k</v>
      </c>
      <c r="H810" s="2">
        <v>2018</v>
      </c>
      <c r="I810" s="2" t="str">
        <f t="shared" si="46"/>
        <v>ch18k080</v>
      </c>
      <c r="J810" s="2" t="s">
        <v>1599</v>
      </c>
      <c r="K810" s="8" t="s">
        <v>1600</v>
      </c>
      <c r="L810"/>
      <c r="M810" s="2" t="s">
        <v>1601</v>
      </c>
      <c r="P810" s="2" t="s">
        <v>1127</v>
      </c>
      <c r="Q810" t="s">
        <v>1127</v>
      </c>
    </row>
    <row r="811" spans="1:17" x14ac:dyDescent="0.2">
      <c r="A811" s="61" t="s">
        <v>777</v>
      </c>
      <c r="B811" s="61" t="str">
        <f t="shared" si="47"/>
        <v>ch07a</v>
      </c>
      <c r="C811" s="61" t="s">
        <v>4182</v>
      </c>
      <c r="D811" s="61" t="s">
        <v>1128</v>
      </c>
      <c r="E811" s="61" t="s">
        <v>1129</v>
      </c>
      <c r="F811" s="2">
        <v>1</v>
      </c>
      <c r="G811" s="2" t="str">
        <f t="shared" si="45"/>
        <v>a</v>
      </c>
      <c r="H811" s="2">
        <v>2007</v>
      </c>
      <c r="I811" s="2" t="str">
        <f t="shared" ref="I811:I821" si="48">B811&amp;"088"</f>
        <v>ch07a088</v>
      </c>
      <c r="J811" s="2" t="s">
        <v>1602</v>
      </c>
      <c r="K811" s="8" t="s">
        <v>1600</v>
      </c>
      <c r="L811"/>
      <c r="M811" s="2" t="s">
        <v>1601</v>
      </c>
      <c r="P811" s="2" t="s">
        <v>1127</v>
      </c>
      <c r="Q811" t="s">
        <v>1127</v>
      </c>
    </row>
    <row r="812" spans="1:17" x14ac:dyDescent="0.2">
      <c r="A812" s="61" t="s">
        <v>777</v>
      </c>
      <c r="B812" s="61" t="str">
        <f t="shared" si="47"/>
        <v>ch08b</v>
      </c>
      <c r="C812" s="61" t="s">
        <v>4182</v>
      </c>
      <c r="D812" s="61" t="s">
        <v>1128</v>
      </c>
      <c r="E812" s="61" t="s">
        <v>1129</v>
      </c>
      <c r="F812" s="2">
        <v>2</v>
      </c>
      <c r="G812" s="2" t="str">
        <f t="shared" si="45"/>
        <v>b</v>
      </c>
      <c r="H812" s="2">
        <v>2008</v>
      </c>
      <c r="I812" s="2" t="str">
        <f t="shared" si="48"/>
        <v>ch08b088</v>
      </c>
      <c r="J812" s="2" t="s">
        <v>1602</v>
      </c>
      <c r="K812" s="8" t="s">
        <v>1600</v>
      </c>
      <c r="L812"/>
      <c r="M812" s="2" t="s">
        <v>1601</v>
      </c>
      <c r="P812" s="2" t="s">
        <v>1127</v>
      </c>
      <c r="Q812" t="s">
        <v>1127</v>
      </c>
    </row>
    <row r="813" spans="1:17" x14ac:dyDescent="0.2">
      <c r="A813" s="61" t="s">
        <v>777</v>
      </c>
      <c r="B813" s="61" t="str">
        <f t="shared" si="47"/>
        <v>ch09c</v>
      </c>
      <c r="C813" s="61" t="s">
        <v>4182</v>
      </c>
      <c r="D813" s="61" t="s">
        <v>1128</v>
      </c>
      <c r="E813" s="61" t="s">
        <v>1129</v>
      </c>
      <c r="F813" s="2">
        <v>3</v>
      </c>
      <c r="G813" s="2" t="str">
        <f t="shared" si="45"/>
        <v>c</v>
      </c>
      <c r="H813" s="2">
        <v>2009</v>
      </c>
      <c r="I813" s="2" t="str">
        <f t="shared" si="48"/>
        <v>ch09c088</v>
      </c>
      <c r="J813" s="2" t="s">
        <v>1602</v>
      </c>
      <c r="K813" s="8" t="s">
        <v>1600</v>
      </c>
      <c r="L813"/>
      <c r="M813" s="2" t="s">
        <v>1601</v>
      </c>
      <c r="P813" s="2" t="s">
        <v>1127</v>
      </c>
      <c r="Q813" t="s">
        <v>1127</v>
      </c>
    </row>
    <row r="814" spans="1:17" x14ac:dyDescent="0.2">
      <c r="A814" s="61" t="s">
        <v>777</v>
      </c>
      <c r="B814" s="61" t="str">
        <f t="shared" si="47"/>
        <v>ch10d</v>
      </c>
      <c r="C814" s="61" t="s">
        <v>4182</v>
      </c>
      <c r="D814" s="61" t="s">
        <v>1128</v>
      </c>
      <c r="E814" s="61" t="s">
        <v>1129</v>
      </c>
      <c r="F814" s="2">
        <v>4</v>
      </c>
      <c r="G814" s="2" t="str">
        <f t="shared" si="45"/>
        <v>d</v>
      </c>
      <c r="H814" s="2">
        <v>2010</v>
      </c>
      <c r="I814" s="2" t="str">
        <f t="shared" si="48"/>
        <v>ch10d088</v>
      </c>
      <c r="J814" s="2" t="s">
        <v>1602</v>
      </c>
      <c r="K814" s="8" t="s">
        <v>1600</v>
      </c>
      <c r="L814"/>
      <c r="M814" s="2" t="s">
        <v>1601</v>
      </c>
      <c r="P814" s="2" t="s">
        <v>1127</v>
      </c>
      <c r="Q814" t="s">
        <v>1127</v>
      </c>
    </row>
    <row r="815" spans="1:17" x14ac:dyDescent="0.2">
      <c r="A815" s="61" t="s">
        <v>777</v>
      </c>
      <c r="B815" s="61" t="str">
        <f t="shared" si="47"/>
        <v>ch11e</v>
      </c>
      <c r="C815" s="61" t="s">
        <v>4182</v>
      </c>
      <c r="D815" s="61" t="s">
        <v>1128</v>
      </c>
      <c r="E815" s="61" t="s">
        <v>1129</v>
      </c>
      <c r="F815" s="2">
        <v>5</v>
      </c>
      <c r="G815" s="2" t="str">
        <f t="shared" si="45"/>
        <v>e</v>
      </c>
      <c r="H815" s="2">
        <v>2011</v>
      </c>
      <c r="I815" s="2" t="str">
        <f t="shared" si="48"/>
        <v>ch11e088</v>
      </c>
      <c r="J815" s="2" t="s">
        <v>1602</v>
      </c>
      <c r="K815" s="8" t="s">
        <v>1600</v>
      </c>
      <c r="L815"/>
      <c r="M815" s="2" t="s">
        <v>1601</v>
      </c>
      <c r="P815" s="2" t="s">
        <v>1127</v>
      </c>
      <c r="Q815" t="s">
        <v>1127</v>
      </c>
    </row>
    <row r="816" spans="1:17" x14ac:dyDescent="0.2">
      <c r="A816" s="61" t="s">
        <v>777</v>
      </c>
      <c r="B816" s="61" t="str">
        <f t="shared" si="47"/>
        <v>ch12f</v>
      </c>
      <c r="C816" s="61" t="s">
        <v>4182</v>
      </c>
      <c r="D816" s="61" t="s">
        <v>1128</v>
      </c>
      <c r="E816" s="61" t="s">
        <v>1129</v>
      </c>
      <c r="F816" s="2">
        <v>6</v>
      </c>
      <c r="G816" s="2" t="str">
        <f t="shared" si="45"/>
        <v>f</v>
      </c>
      <c r="H816" s="2">
        <v>2012</v>
      </c>
      <c r="I816" s="2" t="str">
        <f t="shared" si="48"/>
        <v>ch12f088</v>
      </c>
      <c r="J816" s="2" t="s">
        <v>1602</v>
      </c>
      <c r="K816" s="8" t="s">
        <v>1600</v>
      </c>
      <c r="L816"/>
      <c r="M816" s="2" t="s">
        <v>1601</v>
      </c>
      <c r="P816" s="2" t="s">
        <v>1127</v>
      </c>
      <c r="Q816" t="s">
        <v>1127</v>
      </c>
    </row>
    <row r="817" spans="1:17" x14ac:dyDescent="0.2">
      <c r="A817" s="61" t="s">
        <v>777</v>
      </c>
      <c r="B817" s="61" t="str">
        <f t="shared" si="47"/>
        <v>ch13g</v>
      </c>
      <c r="C817" s="61" t="s">
        <v>4182</v>
      </c>
      <c r="D817" s="61" t="s">
        <v>1128</v>
      </c>
      <c r="E817" s="61" t="s">
        <v>1129</v>
      </c>
      <c r="F817" s="2">
        <v>7</v>
      </c>
      <c r="G817" s="2" t="str">
        <f t="shared" si="45"/>
        <v>g</v>
      </c>
      <c r="H817" s="2">
        <v>2013</v>
      </c>
      <c r="I817" s="2" t="str">
        <f t="shared" si="48"/>
        <v>ch13g088</v>
      </c>
      <c r="J817" s="2" t="s">
        <v>1602</v>
      </c>
      <c r="K817" s="8" t="s">
        <v>1600</v>
      </c>
      <c r="L817"/>
      <c r="M817" s="2" t="s">
        <v>1601</v>
      </c>
      <c r="P817" s="2" t="s">
        <v>1127</v>
      </c>
      <c r="Q817" t="s">
        <v>1127</v>
      </c>
    </row>
    <row r="818" spans="1:17" x14ac:dyDescent="0.2">
      <c r="A818" s="61" t="s">
        <v>777</v>
      </c>
      <c r="B818" s="61" t="str">
        <f t="shared" si="47"/>
        <v>ch15h</v>
      </c>
      <c r="C818" s="61" t="s">
        <v>4182</v>
      </c>
      <c r="D818" s="61" t="s">
        <v>1128</v>
      </c>
      <c r="E818" s="61" t="s">
        <v>1129</v>
      </c>
      <c r="F818" s="2">
        <v>8</v>
      </c>
      <c r="G818" s="2" t="str">
        <f t="shared" si="45"/>
        <v>h</v>
      </c>
      <c r="H818" s="2">
        <v>2015</v>
      </c>
      <c r="I818" s="2" t="str">
        <f t="shared" si="48"/>
        <v>ch15h088</v>
      </c>
      <c r="J818" s="2" t="s">
        <v>1602</v>
      </c>
      <c r="K818" s="8" t="s">
        <v>1600</v>
      </c>
      <c r="L818"/>
      <c r="M818" s="2" t="s">
        <v>1601</v>
      </c>
      <c r="P818" s="2" t="s">
        <v>1127</v>
      </c>
      <c r="Q818" t="s">
        <v>1127</v>
      </c>
    </row>
    <row r="819" spans="1:17" x14ac:dyDescent="0.2">
      <c r="A819" s="61" t="s">
        <v>777</v>
      </c>
      <c r="B819" s="61" t="str">
        <f t="shared" si="47"/>
        <v>ch16i</v>
      </c>
      <c r="C819" s="61" t="s">
        <v>4182</v>
      </c>
      <c r="D819" s="61" t="s">
        <v>1128</v>
      </c>
      <c r="E819" s="61" t="s">
        <v>1129</v>
      </c>
      <c r="F819" s="2">
        <v>9</v>
      </c>
      <c r="G819" s="2" t="str">
        <f t="shared" si="45"/>
        <v>i</v>
      </c>
      <c r="H819" s="2">
        <v>2016</v>
      </c>
      <c r="I819" s="2" t="str">
        <f t="shared" si="48"/>
        <v>ch16i088</v>
      </c>
      <c r="J819" s="2" t="s">
        <v>1602</v>
      </c>
      <c r="K819" s="8" t="s">
        <v>1600</v>
      </c>
      <c r="L819"/>
      <c r="M819" s="2" t="s">
        <v>1601</v>
      </c>
      <c r="P819" s="2" t="s">
        <v>1127</v>
      </c>
      <c r="Q819" t="s">
        <v>1127</v>
      </c>
    </row>
    <row r="820" spans="1:17" x14ac:dyDescent="0.2">
      <c r="A820" s="61" t="s">
        <v>777</v>
      </c>
      <c r="B820" s="61" t="str">
        <f t="shared" si="47"/>
        <v>ch17j</v>
      </c>
      <c r="C820" s="61" t="s">
        <v>4182</v>
      </c>
      <c r="D820" s="61" t="s">
        <v>1128</v>
      </c>
      <c r="E820" s="61" t="s">
        <v>1129</v>
      </c>
      <c r="F820" s="2">
        <v>10</v>
      </c>
      <c r="G820" s="2" t="str">
        <f t="shared" si="45"/>
        <v>j</v>
      </c>
      <c r="H820" s="2">
        <v>2017</v>
      </c>
      <c r="I820" s="2" t="str">
        <f t="shared" si="48"/>
        <v>ch17j088</v>
      </c>
      <c r="J820" s="2" t="s">
        <v>1602</v>
      </c>
      <c r="K820" s="8" t="s">
        <v>1600</v>
      </c>
      <c r="L820"/>
      <c r="M820" s="2" t="s">
        <v>1601</v>
      </c>
      <c r="P820" s="2" t="s">
        <v>1127</v>
      </c>
      <c r="Q820" t="s">
        <v>1127</v>
      </c>
    </row>
    <row r="821" spans="1:17" x14ac:dyDescent="0.2">
      <c r="A821" s="61" t="s">
        <v>777</v>
      </c>
      <c r="B821" s="61" t="str">
        <f t="shared" si="47"/>
        <v>ch18k</v>
      </c>
      <c r="C821" s="61" t="s">
        <v>4182</v>
      </c>
      <c r="D821" s="61" t="s">
        <v>1128</v>
      </c>
      <c r="E821" s="61" t="s">
        <v>1129</v>
      </c>
      <c r="F821" s="2">
        <v>11</v>
      </c>
      <c r="G821" s="2" t="str">
        <f t="shared" si="45"/>
        <v>k</v>
      </c>
      <c r="H821" s="2">
        <v>2018</v>
      </c>
      <c r="I821" s="2" t="str">
        <f t="shared" si="48"/>
        <v>ch18k088</v>
      </c>
      <c r="J821" s="2" t="s">
        <v>1602</v>
      </c>
      <c r="K821" s="8" t="s">
        <v>1600</v>
      </c>
      <c r="L821"/>
      <c r="M821" s="2" t="s">
        <v>1601</v>
      </c>
      <c r="P821" s="2" t="s">
        <v>1127</v>
      </c>
      <c r="Q821" t="s">
        <v>1127</v>
      </c>
    </row>
    <row r="822" spans="1:17" x14ac:dyDescent="0.2">
      <c r="A822" s="61" t="s">
        <v>777</v>
      </c>
      <c r="B822" s="61" t="str">
        <f t="shared" si="47"/>
        <v>ch07a</v>
      </c>
      <c r="C822" s="61" t="s">
        <v>4182</v>
      </c>
      <c r="D822" s="61" t="s">
        <v>1128</v>
      </c>
      <c r="E822" s="61" t="s">
        <v>1603</v>
      </c>
      <c r="F822" s="2">
        <v>1</v>
      </c>
      <c r="G822" s="2" t="str">
        <f t="shared" si="45"/>
        <v>a</v>
      </c>
      <c r="H822" s="2">
        <v>2007</v>
      </c>
      <c r="I822" s="2" t="str">
        <f t="shared" ref="I822:I832" si="49">B822&amp;"096"</f>
        <v>ch07a096</v>
      </c>
      <c r="J822" s="2" t="s">
        <v>1604</v>
      </c>
      <c r="K822" s="8" t="s">
        <v>1600</v>
      </c>
      <c r="L822"/>
      <c r="M822" s="2" t="s">
        <v>1601</v>
      </c>
      <c r="P822" s="2" t="s">
        <v>1127</v>
      </c>
      <c r="Q822" t="s">
        <v>1127</v>
      </c>
    </row>
    <row r="823" spans="1:17" x14ac:dyDescent="0.2">
      <c r="A823" s="61" t="s">
        <v>777</v>
      </c>
      <c r="B823" s="61" t="str">
        <f t="shared" si="47"/>
        <v>ch08b</v>
      </c>
      <c r="C823" s="61" t="s">
        <v>4182</v>
      </c>
      <c r="D823" s="61" t="s">
        <v>1128</v>
      </c>
      <c r="E823" s="61" t="s">
        <v>1603</v>
      </c>
      <c r="F823" s="2">
        <v>2</v>
      </c>
      <c r="G823" s="2" t="str">
        <f t="shared" si="45"/>
        <v>b</v>
      </c>
      <c r="H823" s="2">
        <v>2008</v>
      </c>
      <c r="I823" s="2" t="str">
        <f t="shared" si="49"/>
        <v>ch08b096</v>
      </c>
      <c r="J823" s="2" t="s">
        <v>1604</v>
      </c>
      <c r="K823" s="8" t="s">
        <v>1600</v>
      </c>
      <c r="L823"/>
      <c r="M823" s="2" t="s">
        <v>1601</v>
      </c>
      <c r="P823" s="2" t="s">
        <v>1127</v>
      </c>
      <c r="Q823" t="s">
        <v>1127</v>
      </c>
    </row>
    <row r="824" spans="1:17" x14ac:dyDescent="0.2">
      <c r="A824" s="61" t="s">
        <v>777</v>
      </c>
      <c r="B824" s="61" t="str">
        <f t="shared" si="47"/>
        <v>ch09c</v>
      </c>
      <c r="C824" s="61" t="s">
        <v>4182</v>
      </c>
      <c r="D824" s="61" t="s">
        <v>1128</v>
      </c>
      <c r="E824" s="61" t="s">
        <v>1603</v>
      </c>
      <c r="F824" s="2">
        <v>3</v>
      </c>
      <c r="G824" s="2" t="str">
        <f t="shared" si="45"/>
        <v>c</v>
      </c>
      <c r="H824" s="2">
        <v>2009</v>
      </c>
      <c r="I824" s="2" t="str">
        <f t="shared" si="49"/>
        <v>ch09c096</v>
      </c>
      <c r="J824" s="2" t="s">
        <v>1604</v>
      </c>
      <c r="K824" s="8" t="s">
        <v>1600</v>
      </c>
      <c r="L824"/>
      <c r="M824" s="2" t="s">
        <v>1601</v>
      </c>
      <c r="P824" s="2" t="s">
        <v>1127</v>
      </c>
      <c r="Q824" t="s">
        <v>1127</v>
      </c>
    </row>
    <row r="825" spans="1:17" x14ac:dyDescent="0.2">
      <c r="A825" s="61" t="s">
        <v>777</v>
      </c>
      <c r="B825" s="61" t="str">
        <f t="shared" si="47"/>
        <v>ch10d</v>
      </c>
      <c r="C825" s="61" t="s">
        <v>4182</v>
      </c>
      <c r="D825" s="61" t="s">
        <v>1128</v>
      </c>
      <c r="E825" s="61" t="s">
        <v>1603</v>
      </c>
      <c r="F825" s="2">
        <v>4</v>
      </c>
      <c r="G825" s="2" t="str">
        <f t="shared" si="45"/>
        <v>d</v>
      </c>
      <c r="H825" s="2">
        <v>2010</v>
      </c>
      <c r="I825" s="2" t="str">
        <f t="shared" si="49"/>
        <v>ch10d096</v>
      </c>
      <c r="J825" s="2" t="s">
        <v>1604</v>
      </c>
      <c r="K825" s="8" t="s">
        <v>1600</v>
      </c>
      <c r="L825"/>
      <c r="M825" s="2" t="s">
        <v>1601</v>
      </c>
      <c r="P825" s="2" t="s">
        <v>1127</v>
      </c>
      <c r="Q825" t="s">
        <v>1127</v>
      </c>
    </row>
    <row r="826" spans="1:17" x14ac:dyDescent="0.2">
      <c r="A826" s="61" t="s">
        <v>777</v>
      </c>
      <c r="B826" s="61" t="str">
        <f t="shared" si="47"/>
        <v>ch11e</v>
      </c>
      <c r="C826" s="61" t="s">
        <v>4182</v>
      </c>
      <c r="D826" s="61" t="s">
        <v>1128</v>
      </c>
      <c r="E826" s="61" t="s">
        <v>1603</v>
      </c>
      <c r="F826" s="2">
        <v>5</v>
      </c>
      <c r="G826" s="2" t="str">
        <f t="shared" si="45"/>
        <v>e</v>
      </c>
      <c r="H826" s="2">
        <v>2011</v>
      </c>
      <c r="I826" s="2" t="str">
        <f t="shared" si="49"/>
        <v>ch11e096</v>
      </c>
      <c r="J826" s="2" t="s">
        <v>1604</v>
      </c>
      <c r="K826" s="8" t="s">
        <v>1600</v>
      </c>
      <c r="L826"/>
      <c r="M826" s="2" t="s">
        <v>1601</v>
      </c>
      <c r="P826" s="2" t="s">
        <v>1127</v>
      </c>
      <c r="Q826" t="s">
        <v>1127</v>
      </c>
    </row>
    <row r="827" spans="1:17" x14ac:dyDescent="0.2">
      <c r="A827" s="61" t="s">
        <v>777</v>
      </c>
      <c r="B827" s="61" t="str">
        <f t="shared" si="47"/>
        <v>ch12f</v>
      </c>
      <c r="C827" s="61" t="s">
        <v>4182</v>
      </c>
      <c r="D827" s="61" t="s">
        <v>1128</v>
      </c>
      <c r="E827" s="61" t="s">
        <v>1603</v>
      </c>
      <c r="F827" s="2">
        <v>6</v>
      </c>
      <c r="G827" s="2" t="str">
        <f t="shared" si="45"/>
        <v>f</v>
      </c>
      <c r="H827" s="2">
        <v>2012</v>
      </c>
      <c r="I827" s="2" t="str">
        <f t="shared" si="49"/>
        <v>ch12f096</v>
      </c>
      <c r="J827" s="2" t="s">
        <v>1604</v>
      </c>
      <c r="K827" s="8" t="s">
        <v>1600</v>
      </c>
      <c r="L827"/>
      <c r="M827" s="2" t="s">
        <v>1601</v>
      </c>
      <c r="P827" s="2" t="s">
        <v>1127</v>
      </c>
      <c r="Q827" t="s">
        <v>1127</v>
      </c>
    </row>
    <row r="828" spans="1:17" x14ac:dyDescent="0.2">
      <c r="A828" s="61" t="s">
        <v>777</v>
      </c>
      <c r="B828" s="61" t="str">
        <f t="shared" si="47"/>
        <v>ch13g</v>
      </c>
      <c r="C828" s="61" t="s">
        <v>4182</v>
      </c>
      <c r="D828" s="61" t="s">
        <v>1128</v>
      </c>
      <c r="E828" s="61" t="s">
        <v>1603</v>
      </c>
      <c r="F828" s="2">
        <v>7</v>
      </c>
      <c r="G828" s="2" t="str">
        <f t="shared" si="45"/>
        <v>g</v>
      </c>
      <c r="H828" s="2">
        <v>2013</v>
      </c>
      <c r="I828" s="2" t="str">
        <f t="shared" si="49"/>
        <v>ch13g096</v>
      </c>
      <c r="J828" s="2" t="s">
        <v>1604</v>
      </c>
      <c r="K828" s="8" t="s">
        <v>1600</v>
      </c>
      <c r="L828"/>
      <c r="M828" s="2" t="s">
        <v>1601</v>
      </c>
      <c r="P828" s="2" t="s">
        <v>1127</v>
      </c>
      <c r="Q828" t="s">
        <v>1127</v>
      </c>
    </row>
    <row r="829" spans="1:17" x14ac:dyDescent="0.2">
      <c r="A829" s="61" t="s">
        <v>777</v>
      </c>
      <c r="B829" s="61" t="str">
        <f t="shared" si="47"/>
        <v>ch15h</v>
      </c>
      <c r="C829" s="61" t="s">
        <v>4182</v>
      </c>
      <c r="D829" s="61" t="s">
        <v>1128</v>
      </c>
      <c r="E829" s="61" t="s">
        <v>1603</v>
      </c>
      <c r="F829" s="2">
        <v>8</v>
      </c>
      <c r="G829" s="2" t="str">
        <f t="shared" si="45"/>
        <v>h</v>
      </c>
      <c r="H829" s="2">
        <v>2015</v>
      </c>
      <c r="I829" s="2" t="str">
        <f t="shared" si="49"/>
        <v>ch15h096</v>
      </c>
      <c r="J829" s="2" t="s">
        <v>1604</v>
      </c>
      <c r="K829" s="8" t="s">
        <v>1600</v>
      </c>
      <c r="L829"/>
      <c r="M829" s="2" t="s">
        <v>1601</v>
      </c>
      <c r="P829" s="2" t="s">
        <v>1127</v>
      </c>
      <c r="Q829" t="s">
        <v>1127</v>
      </c>
    </row>
    <row r="830" spans="1:17" x14ac:dyDescent="0.2">
      <c r="A830" s="61" t="s">
        <v>777</v>
      </c>
      <c r="B830" s="61" t="str">
        <f t="shared" si="47"/>
        <v>ch16i</v>
      </c>
      <c r="C830" s="61" t="s">
        <v>4182</v>
      </c>
      <c r="D830" s="61" t="s">
        <v>1128</v>
      </c>
      <c r="E830" s="61" t="s">
        <v>1603</v>
      </c>
      <c r="F830" s="2">
        <v>9</v>
      </c>
      <c r="G830" s="2" t="str">
        <f t="shared" si="45"/>
        <v>i</v>
      </c>
      <c r="H830" s="2">
        <v>2016</v>
      </c>
      <c r="I830" s="2" t="str">
        <f t="shared" si="49"/>
        <v>ch16i096</v>
      </c>
      <c r="J830" s="2" t="s">
        <v>1604</v>
      </c>
      <c r="K830" s="8" t="s">
        <v>1600</v>
      </c>
      <c r="L830"/>
      <c r="M830" s="2" t="s">
        <v>1601</v>
      </c>
      <c r="P830" s="2" t="s">
        <v>1127</v>
      </c>
      <c r="Q830" t="s">
        <v>1127</v>
      </c>
    </row>
    <row r="831" spans="1:17" x14ac:dyDescent="0.2">
      <c r="A831" s="61" t="s">
        <v>777</v>
      </c>
      <c r="B831" s="61" t="str">
        <f t="shared" si="47"/>
        <v>ch17j</v>
      </c>
      <c r="C831" s="61" t="s">
        <v>4182</v>
      </c>
      <c r="D831" s="61" t="s">
        <v>1128</v>
      </c>
      <c r="E831" s="61" t="s">
        <v>1603</v>
      </c>
      <c r="F831" s="2">
        <v>10</v>
      </c>
      <c r="G831" s="2" t="str">
        <f t="shared" si="45"/>
        <v>j</v>
      </c>
      <c r="H831" s="2">
        <v>2017</v>
      </c>
      <c r="I831" s="2" t="str">
        <f t="shared" si="49"/>
        <v>ch17j096</v>
      </c>
      <c r="J831" s="2" t="s">
        <v>1604</v>
      </c>
      <c r="K831" s="8" t="s">
        <v>1600</v>
      </c>
      <c r="L831"/>
      <c r="M831" s="2" t="s">
        <v>1601</v>
      </c>
      <c r="P831" s="2" t="s">
        <v>1127</v>
      </c>
      <c r="Q831" t="s">
        <v>1127</v>
      </c>
    </row>
    <row r="832" spans="1:17" x14ac:dyDescent="0.2">
      <c r="A832" s="61" t="s">
        <v>777</v>
      </c>
      <c r="B832" s="61" t="str">
        <f t="shared" si="47"/>
        <v>ch18k</v>
      </c>
      <c r="C832" s="61" t="s">
        <v>4182</v>
      </c>
      <c r="D832" s="61" t="s">
        <v>1128</v>
      </c>
      <c r="E832" s="61" t="s">
        <v>1603</v>
      </c>
      <c r="F832" s="2">
        <v>11</v>
      </c>
      <c r="G832" s="2" t="str">
        <f t="shared" si="45"/>
        <v>k</v>
      </c>
      <c r="H832" s="2">
        <v>2018</v>
      </c>
      <c r="I832" s="2" t="str">
        <f t="shared" si="49"/>
        <v>ch18k096</v>
      </c>
      <c r="J832" s="2" t="s">
        <v>1604</v>
      </c>
      <c r="K832" s="8" t="s">
        <v>1600</v>
      </c>
      <c r="L832"/>
      <c r="M832" s="2" t="s">
        <v>1601</v>
      </c>
      <c r="P832" s="2" t="s">
        <v>1127</v>
      </c>
      <c r="Q832" t="s">
        <v>1127</v>
      </c>
    </row>
    <row r="833" spans="1:17" x14ac:dyDescent="0.2">
      <c r="A833" s="61" t="s">
        <v>777</v>
      </c>
      <c r="B833" s="61" t="str">
        <f t="shared" si="47"/>
        <v>ch07a</v>
      </c>
      <c r="C833" s="61" t="s">
        <v>4182</v>
      </c>
      <c r="D833" s="61" t="s">
        <v>1128</v>
      </c>
      <c r="E833" s="61" t="s">
        <v>1605</v>
      </c>
      <c r="F833" s="2">
        <v>1</v>
      </c>
      <c r="G833" s="2" t="str">
        <f t="shared" si="45"/>
        <v>a</v>
      </c>
      <c r="H833" s="2">
        <v>2007</v>
      </c>
      <c r="I833" s="2" t="str">
        <f t="shared" ref="I833:I843" si="50">B833&amp;"093"</f>
        <v>ch07a093</v>
      </c>
      <c r="J833" s="2" t="s">
        <v>1606</v>
      </c>
      <c r="K833" s="8" t="s">
        <v>1600</v>
      </c>
      <c r="L833"/>
      <c r="M833" s="2" t="s">
        <v>1601</v>
      </c>
      <c r="P833" s="2" t="s">
        <v>1127</v>
      </c>
      <c r="Q833" t="s">
        <v>1127</v>
      </c>
    </row>
    <row r="834" spans="1:17" x14ac:dyDescent="0.2">
      <c r="A834" s="61" t="s">
        <v>777</v>
      </c>
      <c r="B834" s="61" t="str">
        <f t="shared" si="47"/>
        <v>ch08b</v>
      </c>
      <c r="C834" s="61" t="s">
        <v>4182</v>
      </c>
      <c r="D834" s="61" t="s">
        <v>1128</v>
      </c>
      <c r="E834" s="61" t="s">
        <v>1605</v>
      </c>
      <c r="F834" s="2">
        <v>2</v>
      </c>
      <c r="G834" s="2" t="str">
        <f t="shared" si="45"/>
        <v>b</v>
      </c>
      <c r="H834" s="2">
        <v>2008</v>
      </c>
      <c r="I834" s="2" t="str">
        <f t="shared" si="50"/>
        <v>ch08b093</v>
      </c>
      <c r="J834" s="2" t="s">
        <v>1606</v>
      </c>
      <c r="K834" s="8" t="s">
        <v>1600</v>
      </c>
      <c r="L834"/>
      <c r="M834" s="2" t="s">
        <v>1601</v>
      </c>
      <c r="P834" s="2" t="s">
        <v>1127</v>
      </c>
      <c r="Q834" t="s">
        <v>1127</v>
      </c>
    </row>
    <row r="835" spans="1:17" x14ac:dyDescent="0.2">
      <c r="A835" s="61" t="s">
        <v>777</v>
      </c>
      <c r="B835" s="61" t="str">
        <f t="shared" si="47"/>
        <v>ch09c</v>
      </c>
      <c r="C835" s="61" t="s">
        <v>4182</v>
      </c>
      <c r="D835" s="61" t="s">
        <v>1128</v>
      </c>
      <c r="E835" s="61" t="s">
        <v>1605</v>
      </c>
      <c r="F835" s="2">
        <v>3</v>
      </c>
      <c r="G835" s="2" t="str">
        <f t="shared" si="45"/>
        <v>c</v>
      </c>
      <c r="H835" s="2">
        <v>2009</v>
      </c>
      <c r="I835" s="2" t="str">
        <f t="shared" si="50"/>
        <v>ch09c093</v>
      </c>
      <c r="J835" s="2" t="s">
        <v>1606</v>
      </c>
      <c r="K835" s="8" t="s">
        <v>1600</v>
      </c>
      <c r="L835"/>
      <c r="M835" s="2" t="s">
        <v>1601</v>
      </c>
      <c r="P835" s="2" t="s">
        <v>1127</v>
      </c>
      <c r="Q835" t="s">
        <v>1127</v>
      </c>
    </row>
    <row r="836" spans="1:17" x14ac:dyDescent="0.2">
      <c r="A836" s="61" t="s">
        <v>777</v>
      </c>
      <c r="B836" s="61" t="str">
        <f t="shared" si="47"/>
        <v>ch10d</v>
      </c>
      <c r="C836" s="61" t="s">
        <v>4182</v>
      </c>
      <c r="D836" s="61" t="s">
        <v>1128</v>
      </c>
      <c r="E836" s="61" t="s">
        <v>1605</v>
      </c>
      <c r="F836" s="2">
        <v>4</v>
      </c>
      <c r="G836" s="2" t="str">
        <f t="shared" si="45"/>
        <v>d</v>
      </c>
      <c r="H836" s="2">
        <v>2010</v>
      </c>
      <c r="I836" s="2" t="str">
        <f t="shared" si="50"/>
        <v>ch10d093</v>
      </c>
      <c r="J836" s="2" t="s">
        <v>1606</v>
      </c>
      <c r="K836" s="8" t="s">
        <v>1600</v>
      </c>
      <c r="L836"/>
      <c r="M836" s="2" t="s">
        <v>1601</v>
      </c>
      <c r="P836" s="2" t="s">
        <v>1127</v>
      </c>
      <c r="Q836" t="s">
        <v>1127</v>
      </c>
    </row>
    <row r="837" spans="1:17" x14ac:dyDescent="0.2">
      <c r="A837" s="61" t="s">
        <v>777</v>
      </c>
      <c r="B837" s="61" t="str">
        <f t="shared" si="47"/>
        <v>ch11e</v>
      </c>
      <c r="C837" s="61" t="s">
        <v>4182</v>
      </c>
      <c r="D837" s="61" t="s">
        <v>1128</v>
      </c>
      <c r="E837" s="61" t="s">
        <v>1605</v>
      </c>
      <c r="F837" s="2">
        <v>5</v>
      </c>
      <c r="G837" s="2" t="str">
        <f t="shared" si="45"/>
        <v>e</v>
      </c>
      <c r="H837" s="2">
        <v>2011</v>
      </c>
      <c r="I837" s="2" t="str">
        <f t="shared" si="50"/>
        <v>ch11e093</v>
      </c>
      <c r="J837" s="2" t="s">
        <v>1606</v>
      </c>
      <c r="K837" s="8" t="s">
        <v>1600</v>
      </c>
      <c r="L837"/>
      <c r="M837" s="2" t="s">
        <v>1601</v>
      </c>
      <c r="P837" s="2" t="s">
        <v>1127</v>
      </c>
      <c r="Q837" t="s">
        <v>1127</v>
      </c>
    </row>
    <row r="838" spans="1:17" x14ac:dyDescent="0.2">
      <c r="A838" s="61" t="s">
        <v>777</v>
      </c>
      <c r="B838" s="61" t="str">
        <f t="shared" si="47"/>
        <v>ch12f</v>
      </c>
      <c r="C838" s="61" t="s">
        <v>4182</v>
      </c>
      <c r="D838" s="61" t="s">
        <v>1128</v>
      </c>
      <c r="E838" s="61" t="s">
        <v>1605</v>
      </c>
      <c r="F838" s="2">
        <v>6</v>
      </c>
      <c r="G838" s="2" t="str">
        <f t="shared" si="45"/>
        <v>f</v>
      </c>
      <c r="H838" s="2">
        <v>2012</v>
      </c>
      <c r="I838" s="2" t="str">
        <f t="shared" si="50"/>
        <v>ch12f093</v>
      </c>
      <c r="J838" s="2" t="s">
        <v>1606</v>
      </c>
      <c r="K838" s="8" t="s">
        <v>1600</v>
      </c>
      <c r="L838"/>
      <c r="M838" s="2" t="s">
        <v>1601</v>
      </c>
      <c r="P838" s="2" t="s">
        <v>1127</v>
      </c>
      <c r="Q838" t="s">
        <v>1127</v>
      </c>
    </row>
    <row r="839" spans="1:17" x14ac:dyDescent="0.2">
      <c r="A839" s="61" t="s">
        <v>777</v>
      </c>
      <c r="B839" s="61" t="str">
        <f t="shared" si="47"/>
        <v>ch13g</v>
      </c>
      <c r="C839" s="61" t="s">
        <v>4182</v>
      </c>
      <c r="D839" s="61" t="s">
        <v>1128</v>
      </c>
      <c r="E839" s="61" t="s">
        <v>1605</v>
      </c>
      <c r="F839" s="2">
        <v>7</v>
      </c>
      <c r="G839" s="2" t="str">
        <f t="shared" si="45"/>
        <v>g</v>
      </c>
      <c r="H839" s="2">
        <v>2013</v>
      </c>
      <c r="I839" s="2" t="str">
        <f t="shared" si="50"/>
        <v>ch13g093</v>
      </c>
      <c r="J839" s="2" t="s">
        <v>1606</v>
      </c>
      <c r="K839" s="8" t="s">
        <v>1600</v>
      </c>
      <c r="L839"/>
      <c r="M839" s="2" t="s">
        <v>1601</v>
      </c>
      <c r="P839" s="2" t="s">
        <v>1127</v>
      </c>
      <c r="Q839" t="s">
        <v>1127</v>
      </c>
    </row>
    <row r="840" spans="1:17" x14ac:dyDescent="0.2">
      <c r="A840" s="61" t="s">
        <v>777</v>
      </c>
      <c r="B840" s="61" t="str">
        <f t="shared" si="47"/>
        <v>ch15h</v>
      </c>
      <c r="C840" s="61" t="s">
        <v>4182</v>
      </c>
      <c r="D840" s="61" t="s">
        <v>1128</v>
      </c>
      <c r="E840" s="61" t="s">
        <v>1605</v>
      </c>
      <c r="F840" s="2">
        <v>8</v>
      </c>
      <c r="G840" s="2" t="str">
        <f t="shared" si="45"/>
        <v>h</v>
      </c>
      <c r="H840" s="2">
        <v>2015</v>
      </c>
      <c r="I840" s="2" t="str">
        <f t="shared" si="50"/>
        <v>ch15h093</v>
      </c>
      <c r="J840" s="2" t="s">
        <v>1606</v>
      </c>
      <c r="K840" s="8" t="s">
        <v>1600</v>
      </c>
      <c r="L840"/>
      <c r="M840" s="2" t="s">
        <v>1601</v>
      </c>
      <c r="P840" s="2" t="s">
        <v>1127</v>
      </c>
      <c r="Q840" t="s">
        <v>1127</v>
      </c>
    </row>
    <row r="841" spans="1:17" x14ac:dyDescent="0.2">
      <c r="A841" s="61" t="s">
        <v>777</v>
      </c>
      <c r="B841" s="61" t="str">
        <f t="shared" si="47"/>
        <v>ch16i</v>
      </c>
      <c r="C841" s="61" t="s">
        <v>4182</v>
      </c>
      <c r="D841" s="61" t="s">
        <v>1128</v>
      </c>
      <c r="E841" s="61" t="s">
        <v>1605</v>
      </c>
      <c r="F841" s="2">
        <v>9</v>
      </c>
      <c r="G841" s="2" t="str">
        <f t="shared" si="45"/>
        <v>i</v>
      </c>
      <c r="H841" s="2">
        <v>2016</v>
      </c>
      <c r="I841" s="2" t="str">
        <f t="shared" si="50"/>
        <v>ch16i093</v>
      </c>
      <c r="J841" s="2" t="s">
        <v>1606</v>
      </c>
      <c r="K841" s="8" t="s">
        <v>1600</v>
      </c>
      <c r="L841"/>
      <c r="M841" s="2" t="s">
        <v>1601</v>
      </c>
      <c r="P841" s="2" t="s">
        <v>1127</v>
      </c>
      <c r="Q841" t="s">
        <v>1127</v>
      </c>
    </row>
    <row r="842" spans="1:17" x14ac:dyDescent="0.2">
      <c r="A842" s="61" t="s">
        <v>777</v>
      </c>
      <c r="B842" s="61" t="str">
        <f t="shared" si="47"/>
        <v>ch17j</v>
      </c>
      <c r="C842" s="61" t="s">
        <v>4182</v>
      </c>
      <c r="D842" s="61" t="s">
        <v>1128</v>
      </c>
      <c r="E842" s="61" t="s">
        <v>1605</v>
      </c>
      <c r="F842" s="2">
        <v>10</v>
      </c>
      <c r="G842" s="2" t="str">
        <f t="shared" si="45"/>
        <v>j</v>
      </c>
      <c r="H842" s="2">
        <v>2017</v>
      </c>
      <c r="I842" s="2" t="str">
        <f t="shared" si="50"/>
        <v>ch17j093</v>
      </c>
      <c r="J842" s="2" t="s">
        <v>1606</v>
      </c>
      <c r="K842" s="8" t="s">
        <v>1600</v>
      </c>
      <c r="L842"/>
      <c r="M842" s="2" t="s">
        <v>1601</v>
      </c>
      <c r="P842" s="2" t="s">
        <v>1127</v>
      </c>
      <c r="Q842" t="s">
        <v>1127</v>
      </c>
    </row>
    <row r="843" spans="1:17" x14ac:dyDescent="0.2">
      <c r="A843" s="61" t="s">
        <v>777</v>
      </c>
      <c r="B843" s="61" t="str">
        <f t="shared" si="47"/>
        <v>ch18k</v>
      </c>
      <c r="C843" s="61" t="s">
        <v>4182</v>
      </c>
      <c r="D843" s="61" t="s">
        <v>1128</v>
      </c>
      <c r="E843" s="61" t="s">
        <v>1605</v>
      </c>
      <c r="F843" s="2">
        <v>11</v>
      </c>
      <c r="G843" s="2" t="str">
        <f t="shared" si="45"/>
        <v>k</v>
      </c>
      <c r="H843" s="2">
        <v>2018</v>
      </c>
      <c r="I843" s="2" t="str">
        <f t="shared" si="50"/>
        <v>ch18k093</v>
      </c>
      <c r="J843" s="2" t="s">
        <v>1606</v>
      </c>
      <c r="K843" s="8" t="s">
        <v>1600</v>
      </c>
      <c r="L843"/>
      <c r="M843" s="2" t="s">
        <v>1601</v>
      </c>
      <c r="P843" s="2" t="s">
        <v>1127</v>
      </c>
      <c r="Q843" t="s">
        <v>1127</v>
      </c>
    </row>
    <row r="844" spans="1:17" x14ac:dyDescent="0.2">
      <c r="A844" s="61" t="s">
        <v>777</v>
      </c>
      <c r="B844" s="61" t="str">
        <f t="shared" si="47"/>
        <v>ch07a</v>
      </c>
      <c r="C844" s="61" t="s">
        <v>4182</v>
      </c>
      <c r="D844" s="61" t="s">
        <v>1128</v>
      </c>
      <c r="E844" s="61" t="s">
        <v>1165</v>
      </c>
      <c r="F844" s="2">
        <v>1</v>
      </c>
      <c r="G844" s="2" t="str">
        <f t="shared" si="45"/>
        <v>a</v>
      </c>
      <c r="H844" s="2">
        <v>2007</v>
      </c>
      <c r="I844" s="2" t="str">
        <f t="shared" ref="I844:I854" si="51">B844&amp;"089"</f>
        <v>ch07a089</v>
      </c>
      <c r="J844" s="2" t="s">
        <v>1607</v>
      </c>
      <c r="K844" s="8" t="s">
        <v>1600</v>
      </c>
      <c r="L844"/>
      <c r="M844" s="2" t="s">
        <v>1601</v>
      </c>
      <c r="P844" s="2" t="s">
        <v>1127</v>
      </c>
      <c r="Q844" t="s">
        <v>1127</v>
      </c>
    </row>
    <row r="845" spans="1:17" x14ac:dyDescent="0.2">
      <c r="A845" s="61" t="s">
        <v>777</v>
      </c>
      <c r="B845" s="61" t="str">
        <f t="shared" si="47"/>
        <v>ch08b</v>
      </c>
      <c r="C845" s="61" t="s">
        <v>4182</v>
      </c>
      <c r="D845" s="61" t="s">
        <v>1128</v>
      </c>
      <c r="E845" s="61" t="s">
        <v>1165</v>
      </c>
      <c r="F845" s="2">
        <v>2</v>
      </c>
      <c r="G845" s="2" t="str">
        <f t="shared" si="45"/>
        <v>b</v>
      </c>
      <c r="H845" s="2">
        <v>2008</v>
      </c>
      <c r="I845" s="2" t="str">
        <f t="shared" si="51"/>
        <v>ch08b089</v>
      </c>
      <c r="J845" s="2" t="s">
        <v>1607</v>
      </c>
      <c r="K845" s="8" t="s">
        <v>1600</v>
      </c>
      <c r="L845"/>
      <c r="M845" s="2" t="s">
        <v>1601</v>
      </c>
      <c r="P845" s="2" t="s">
        <v>1127</v>
      </c>
      <c r="Q845" t="s">
        <v>1127</v>
      </c>
    </row>
    <row r="846" spans="1:17" x14ac:dyDescent="0.2">
      <c r="A846" s="61" t="s">
        <v>777</v>
      </c>
      <c r="B846" s="61" t="str">
        <f t="shared" si="47"/>
        <v>ch09c</v>
      </c>
      <c r="C846" s="61" t="s">
        <v>4182</v>
      </c>
      <c r="D846" s="61" t="s">
        <v>1128</v>
      </c>
      <c r="E846" s="61" t="s">
        <v>1165</v>
      </c>
      <c r="F846" s="2">
        <v>3</v>
      </c>
      <c r="G846" s="2" t="str">
        <f t="shared" si="45"/>
        <v>c</v>
      </c>
      <c r="H846" s="2">
        <v>2009</v>
      </c>
      <c r="I846" s="2" t="str">
        <f t="shared" si="51"/>
        <v>ch09c089</v>
      </c>
      <c r="J846" s="2" t="s">
        <v>1607</v>
      </c>
      <c r="K846" s="8" t="s">
        <v>1600</v>
      </c>
      <c r="L846"/>
      <c r="M846" s="2" t="s">
        <v>1601</v>
      </c>
      <c r="P846" s="2" t="s">
        <v>1127</v>
      </c>
      <c r="Q846" t="s">
        <v>1127</v>
      </c>
    </row>
    <row r="847" spans="1:17" x14ac:dyDescent="0.2">
      <c r="A847" s="61" t="s">
        <v>777</v>
      </c>
      <c r="B847" s="61" t="str">
        <f t="shared" si="47"/>
        <v>ch10d</v>
      </c>
      <c r="C847" s="61" t="s">
        <v>4182</v>
      </c>
      <c r="D847" s="61" t="s">
        <v>1128</v>
      </c>
      <c r="E847" s="61" t="s">
        <v>1165</v>
      </c>
      <c r="F847" s="2">
        <v>4</v>
      </c>
      <c r="G847" s="2" t="str">
        <f t="shared" si="45"/>
        <v>d</v>
      </c>
      <c r="H847" s="2">
        <v>2010</v>
      </c>
      <c r="I847" s="2" t="str">
        <f t="shared" si="51"/>
        <v>ch10d089</v>
      </c>
      <c r="J847" s="2" t="s">
        <v>1607</v>
      </c>
      <c r="K847" s="8" t="s">
        <v>1600</v>
      </c>
      <c r="L847"/>
      <c r="M847" s="2" t="s">
        <v>1601</v>
      </c>
      <c r="P847" s="2" t="s">
        <v>1127</v>
      </c>
      <c r="Q847" t="s">
        <v>1127</v>
      </c>
    </row>
    <row r="848" spans="1:17" x14ac:dyDescent="0.2">
      <c r="A848" s="61" t="s">
        <v>777</v>
      </c>
      <c r="B848" s="61" t="str">
        <f t="shared" si="47"/>
        <v>ch11e</v>
      </c>
      <c r="C848" s="61" t="s">
        <v>4182</v>
      </c>
      <c r="D848" s="61" t="s">
        <v>1128</v>
      </c>
      <c r="E848" s="61" t="s">
        <v>1165</v>
      </c>
      <c r="F848" s="2">
        <v>5</v>
      </c>
      <c r="G848" s="2" t="str">
        <f t="shared" si="45"/>
        <v>e</v>
      </c>
      <c r="H848" s="2">
        <v>2011</v>
      </c>
      <c r="I848" s="2" t="str">
        <f t="shared" si="51"/>
        <v>ch11e089</v>
      </c>
      <c r="J848" s="2" t="s">
        <v>1607</v>
      </c>
      <c r="K848" s="8" t="s">
        <v>1600</v>
      </c>
      <c r="L848"/>
      <c r="M848" s="2" t="s">
        <v>1601</v>
      </c>
      <c r="P848" s="2" t="s">
        <v>1127</v>
      </c>
      <c r="Q848" t="s">
        <v>1127</v>
      </c>
    </row>
    <row r="849" spans="1:17" x14ac:dyDescent="0.2">
      <c r="A849" s="61" t="s">
        <v>777</v>
      </c>
      <c r="B849" s="61" t="str">
        <f t="shared" si="47"/>
        <v>ch12f</v>
      </c>
      <c r="C849" s="61" t="s">
        <v>4182</v>
      </c>
      <c r="D849" s="61" t="s">
        <v>1128</v>
      </c>
      <c r="E849" s="61" t="s">
        <v>1165</v>
      </c>
      <c r="F849" s="2">
        <v>6</v>
      </c>
      <c r="G849" s="2" t="str">
        <f t="shared" si="45"/>
        <v>f</v>
      </c>
      <c r="H849" s="2">
        <v>2012</v>
      </c>
      <c r="I849" s="2" t="str">
        <f t="shared" si="51"/>
        <v>ch12f089</v>
      </c>
      <c r="J849" s="2" t="s">
        <v>1607</v>
      </c>
      <c r="K849" s="8" t="s">
        <v>1600</v>
      </c>
      <c r="L849"/>
      <c r="M849" s="2" t="s">
        <v>1601</v>
      </c>
      <c r="P849" s="2" t="s">
        <v>1127</v>
      </c>
      <c r="Q849" t="s">
        <v>1127</v>
      </c>
    </row>
    <row r="850" spans="1:17" x14ac:dyDescent="0.2">
      <c r="A850" s="61" t="s">
        <v>777</v>
      </c>
      <c r="B850" s="61" t="str">
        <f t="shared" si="47"/>
        <v>ch13g</v>
      </c>
      <c r="C850" s="61" t="s">
        <v>4182</v>
      </c>
      <c r="D850" s="61" t="s">
        <v>1128</v>
      </c>
      <c r="E850" s="61" t="s">
        <v>1165</v>
      </c>
      <c r="F850" s="2">
        <v>7</v>
      </c>
      <c r="G850" s="2" t="str">
        <f t="shared" si="45"/>
        <v>g</v>
      </c>
      <c r="H850" s="2">
        <v>2013</v>
      </c>
      <c r="I850" s="2" t="str">
        <f t="shared" si="51"/>
        <v>ch13g089</v>
      </c>
      <c r="J850" s="2" t="s">
        <v>1607</v>
      </c>
      <c r="K850" s="8" t="s">
        <v>1600</v>
      </c>
      <c r="L850"/>
      <c r="M850" s="2" t="s">
        <v>1601</v>
      </c>
      <c r="P850" s="2" t="s">
        <v>1127</v>
      </c>
      <c r="Q850" t="s">
        <v>1127</v>
      </c>
    </row>
    <row r="851" spans="1:17" x14ac:dyDescent="0.2">
      <c r="A851" s="61" t="s">
        <v>777</v>
      </c>
      <c r="B851" s="61" t="str">
        <f t="shared" si="47"/>
        <v>ch15h</v>
      </c>
      <c r="C851" s="61" t="s">
        <v>4182</v>
      </c>
      <c r="D851" s="61" t="s">
        <v>1128</v>
      </c>
      <c r="E851" s="61" t="s">
        <v>1165</v>
      </c>
      <c r="F851" s="2">
        <v>8</v>
      </c>
      <c r="G851" s="2" t="str">
        <f t="shared" si="45"/>
        <v>h</v>
      </c>
      <c r="H851" s="2">
        <v>2015</v>
      </c>
      <c r="I851" s="2" t="str">
        <f t="shared" si="51"/>
        <v>ch15h089</v>
      </c>
      <c r="J851" s="2" t="s">
        <v>1607</v>
      </c>
      <c r="K851" s="8" t="s">
        <v>1600</v>
      </c>
      <c r="L851"/>
      <c r="M851" s="2" t="s">
        <v>1601</v>
      </c>
      <c r="P851" s="2" t="s">
        <v>1127</v>
      </c>
      <c r="Q851" t="s">
        <v>1127</v>
      </c>
    </row>
    <row r="852" spans="1:17" x14ac:dyDescent="0.2">
      <c r="A852" s="61" t="s">
        <v>777</v>
      </c>
      <c r="B852" s="61" t="str">
        <f t="shared" si="47"/>
        <v>ch16i</v>
      </c>
      <c r="C852" s="61" t="s">
        <v>4182</v>
      </c>
      <c r="D852" s="61" t="s">
        <v>1128</v>
      </c>
      <c r="E852" s="61" t="s">
        <v>1165</v>
      </c>
      <c r="F852" s="2">
        <v>9</v>
      </c>
      <c r="G852" s="2" t="str">
        <f t="shared" si="45"/>
        <v>i</v>
      </c>
      <c r="H852" s="2">
        <v>2016</v>
      </c>
      <c r="I852" s="2" t="str">
        <f t="shared" si="51"/>
        <v>ch16i089</v>
      </c>
      <c r="J852" s="2" t="s">
        <v>1607</v>
      </c>
      <c r="K852" s="8" t="s">
        <v>1600</v>
      </c>
      <c r="L852"/>
      <c r="M852" s="2" t="s">
        <v>1601</v>
      </c>
      <c r="P852" s="2" t="s">
        <v>1127</v>
      </c>
      <c r="Q852" t="s">
        <v>1127</v>
      </c>
    </row>
    <row r="853" spans="1:17" x14ac:dyDescent="0.2">
      <c r="A853" s="61" t="s">
        <v>777</v>
      </c>
      <c r="B853" s="61" t="str">
        <f t="shared" si="47"/>
        <v>ch17j</v>
      </c>
      <c r="C853" s="61" t="s">
        <v>4182</v>
      </c>
      <c r="D853" s="61" t="s">
        <v>1128</v>
      </c>
      <c r="E853" s="61" t="s">
        <v>1165</v>
      </c>
      <c r="F853" s="2">
        <v>10</v>
      </c>
      <c r="G853" s="2" t="str">
        <f t="shared" si="45"/>
        <v>j</v>
      </c>
      <c r="H853" s="2">
        <v>2017</v>
      </c>
      <c r="I853" s="2" t="str">
        <f t="shared" si="51"/>
        <v>ch17j089</v>
      </c>
      <c r="J853" s="2" t="s">
        <v>1607</v>
      </c>
      <c r="K853" s="8" t="s">
        <v>1600</v>
      </c>
      <c r="L853"/>
      <c r="M853" s="2" t="s">
        <v>1601</v>
      </c>
      <c r="P853" s="2" t="s">
        <v>1127</v>
      </c>
      <c r="Q853" t="s">
        <v>1127</v>
      </c>
    </row>
    <row r="854" spans="1:17" x14ac:dyDescent="0.2">
      <c r="A854" s="61" t="s">
        <v>777</v>
      </c>
      <c r="B854" s="61" t="str">
        <f t="shared" si="47"/>
        <v>ch18k</v>
      </c>
      <c r="C854" s="61" t="s">
        <v>4182</v>
      </c>
      <c r="D854" s="61" t="s">
        <v>1128</v>
      </c>
      <c r="E854" s="61" t="s">
        <v>1165</v>
      </c>
      <c r="F854" s="2">
        <v>11</v>
      </c>
      <c r="G854" s="2" t="str">
        <f t="shared" si="45"/>
        <v>k</v>
      </c>
      <c r="H854" s="2">
        <v>2018</v>
      </c>
      <c r="I854" s="2" t="str">
        <f t="shared" si="51"/>
        <v>ch18k089</v>
      </c>
      <c r="J854" s="2" t="s">
        <v>1607</v>
      </c>
      <c r="K854" s="8" t="s">
        <v>1600</v>
      </c>
      <c r="L854"/>
      <c r="M854" s="2" t="s">
        <v>1601</v>
      </c>
      <c r="P854" s="2" t="s">
        <v>1127</v>
      </c>
      <c r="Q854" t="s">
        <v>1127</v>
      </c>
    </row>
    <row r="855" spans="1:17" x14ac:dyDescent="0.2">
      <c r="A855" s="61" t="s">
        <v>777</v>
      </c>
      <c r="B855" s="61" t="str">
        <f t="shared" si="47"/>
        <v>ch07a</v>
      </c>
      <c r="C855" s="61" t="s">
        <v>4182</v>
      </c>
      <c r="D855" s="61" t="s">
        <v>1128</v>
      </c>
      <c r="E855" s="61" t="s">
        <v>1226</v>
      </c>
      <c r="F855" s="2">
        <v>1</v>
      </c>
      <c r="G855" s="2" t="str">
        <f t="shared" si="45"/>
        <v>a</v>
      </c>
      <c r="H855" s="2">
        <v>2007</v>
      </c>
      <c r="I855" s="2" t="str">
        <f t="shared" ref="I855:I865" si="52">B855&amp;"095"</f>
        <v>ch07a095</v>
      </c>
      <c r="J855" s="2" t="s">
        <v>1608</v>
      </c>
      <c r="K855" s="8" t="s">
        <v>1600</v>
      </c>
      <c r="L855"/>
      <c r="M855" s="2" t="s">
        <v>1601</v>
      </c>
      <c r="P855" s="2" t="s">
        <v>1127</v>
      </c>
      <c r="Q855" t="s">
        <v>1127</v>
      </c>
    </row>
    <row r="856" spans="1:17" x14ac:dyDescent="0.2">
      <c r="A856" s="61" t="s">
        <v>777</v>
      </c>
      <c r="B856" s="61" t="str">
        <f t="shared" si="47"/>
        <v>ch08b</v>
      </c>
      <c r="C856" s="61" t="s">
        <v>4182</v>
      </c>
      <c r="D856" s="61" t="s">
        <v>1128</v>
      </c>
      <c r="E856" s="61" t="s">
        <v>1226</v>
      </c>
      <c r="F856" s="2">
        <v>2</v>
      </c>
      <c r="G856" s="2" t="str">
        <f t="shared" si="45"/>
        <v>b</v>
      </c>
      <c r="H856" s="2">
        <v>2008</v>
      </c>
      <c r="I856" s="2" t="str">
        <f t="shared" si="52"/>
        <v>ch08b095</v>
      </c>
      <c r="J856" s="2" t="s">
        <v>1608</v>
      </c>
      <c r="K856" s="8" t="s">
        <v>1600</v>
      </c>
      <c r="L856"/>
      <c r="M856" s="2" t="s">
        <v>1601</v>
      </c>
      <c r="P856" s="2" t="s">
        <v>1127</v>
      </c>
      <c r="Q856" t="s">
        <v>1127</v>
      </c>
    </row>
    <row r="857" spans="1:17" x14ac:dyDescent="0.2">
      <c r="A857" s="61" t="s">
        <v>777</v>
      </c>
      <c r="B857" s="61" t="str">
        <f t="shared" si="47"/>
        <v>ch09c</v>
      </c>
      <c r="C857" s="61" t="s">
        <v>4182</v>
      </c>
      <c r="D857" s="61" t="s">
        <v>1128</v>
      </c>
      <c r="E857" s="61" t="s">
        <v>1226</v>
      </c>
      <c r="F857" s="2">
        <v>3</v>
      </c>
      <c r="G857" s="2" t="str">
        <f t="shared" si="45"/>
        <v>c</v>
      </c>
      <c r="H857" s="2">
        <v>2009</v>
      </c>
      <c r="I857" s="2" t="str">
        <f t="shared" si="52"/>
        <v>ch09c095</v>
      </c>
      <c r="J857" s="2" t="s">
        <v>1608</v>
      </c>
      <c r="K857" s="8" t="s">
        <v>1600</v>
      </c>
      <c r="L857"/>
      <c r="M857" s="2" t="s">
        <v>1601</v>
      </c>
      <c r="P857" s="2" t="s">
        <v>1127</v>
      </c>
      <c r="Q857" t="s">
        <v>1127</v>
      </c>
    </row>
    <row r="858" spans="1:17" x14ac:dyDescent="0.2">
      <c r="A858" s="61" t="s">
        <v>777</v>
      </c>
      <c r="B858" s="61" t="str">
        <f t="shared" si="47"/>
        <v>ch10d</v>
      </c>
      <c r="C858" s="61" t="s">
        <v>4182</v>
      </c>
      <c r="D858" s="61" t="s">
        <v>1128</v>
      </c>
      <c r="E858" s="61" t="s">
        <v>1226</v>
      </c>
      <c r="F858" s="2">
        <v>4</v>
      </c>
      <c r="G858" s="2" t="str">
        <f t="shared" si="45"/>
        <v>d</v>
      </c>
      <c r="H858" s="2">
        <v>2010</v>
      </c>
      <c r="I858" s="2" t="str">
        <f t="shared" si="52"/>
        <v>ch10d095</v>
      </c>
      <c r="J858" s="2" t="s">
        <v>1608</v>
      </c>
      <c r="K858" s="8" t="s">
        <v>1600</v>
      </c>
      <c r="L858"/>
      <c r="M858" s="2" t="s">
        <v>1601</v>
      </c>
      <c r="P858" s="2" t="s">
        <v>1127</v>
      </c>
      <c r="Q858" t="s">
        <v>1127</v>
      </c>
    </row>
    <row r="859" spans="1:17" x14ac:dyDescent="0.2">
      <c r="A859" s="61" t="s">
        <v>777</v>
      </c>
      <c r="B859" s="61" t="str">
        <f t="shared" si="47"/>
        <v>ch11e</v>
      </c>
      <c r="C859" s="61" t="s">
        <v>4182</v>
      </c>
      <c r="D859" s="61" t="s">
        <v>1128</v>
      </c>
      <c r="E859" s="61" t="s">
        <v>1226</v>
      </c>
      <c r="F859" s="2">
        <v>5</v>
      </c>
      <c r="G859" s="2" t="str">
        <f t="shared" si="45"/>
        <v>e</v>
      </c>
      <c r="H859" s="2">
        <v>2011</v>
      </c>
      <c r="I859" s="2" t="str">
        <f t="shared" si="52"/>
        <v>ch11e095</v>
      </c>
      <c r="J859" s="2" t="s">
        <v>1608</v>
      </c>
      <c r="K859" s="8" t="s">
        <v>1600</v>
      </c>
      <c r="L859"/>
      <c r="M859" s="2" t="s">
        <v>1601</v>
      </c>
      <c r="P859" s="2" t="s">
        <v>1127</v>
      </c>
      <c r="Q859" t="s">
        <v>1127</v>
      </c>
    </row>
    <row r="860" spans="1:17" x14ac:dyDescent="0.2">
      <c r="A860" s="61" t="s">
        <v>777</v>
      </c>
      <c r="B860" s="61" t="str">
        <f t="shared" si="47"/>
        <v>ch12f</v>
      </c>
      <c r="C860" s="61" t="s">
        <v>4182</v>
      </c>
      <c r="D860" s="61" t="s">
        <v>1128</v>
      </c>
      <c r="E860" s="61" t="s">
        <v>1226</v>
      </c>
      <c r="F860" s="2">
        <v>6</v>
      </c>
      <c r="G860" s="2" t="str">
        <f t="shared" si="45"/>
        <v>f</v>
      </c>
      <c r="H860" s="2">
        <v>2012</v>
      </c>
      <c r="I860" s="2" t="str">
        <f t="shared" si="52"/>
        <v>ch12f095</v>
      </c>
      <c r="J860" s="2" t="s">
        <v>1608</v>
      </c>
      <c r="K860" s="8" t="s">
        <v>1600</v>
      </c>
      <c r="L860"/>
      <c r="M860" s="2" t="s">
        <v>1601</v>
      </c>
      <c r="P860" s="2" t="s">
        <v>1127</v>
      </c>
      <c r="Q860" t="s">
        <v>1127</v>
      </c>
    </row>
    <row r="861" spans="1:17" x14ac:dyDescent="0.2">
      <c r="A861" s="61" t="s">
        <v>777</v>
      </c>
      <c r="B861" s="61" t="str">
        <f t="shared" si="47"/>
        <v>ch13g</v>
      </c>
      <c r="C861" s="61" t="s">
        <v>4182</v>
      </c>
      <c r="D861" s="61" t="s">
        <v>1128</v>
      </c>
      <c r="E861" s="61" t="s">
        <v>1226</v>
      </c>
      <c r="F861" s="2">
        <v>7</v>
      </c>
      <c r="G861" s="2" t="str">
        <f t="shared" si="45"/>
        <v>g</v>
      </c>
      <c r="H861" s="2">
        <v>2013</v>
      </c>
      <c r="I861" s="2" t="str">
        <f t="shared" si="52"/>
        <v>ch13g095</v>
      </c>
      <c r="J861" s="2" t="s">
        <v>1608</v>
      </c>
      <c r="K861" s="8" t="s">
        <v>1600</v>
      </c>
      <c r="L861"/>
      <c r="M861" s="2" t="s">
        <v>1601</v>
      </c>
      <c r="P861" s="2" t="s">
        <v>1127</v>
      </c>
      <c r="Q861" t="s">
        <v>1127</v>
      </c>
    </row>
    <row r="862" spans="1:17" x14ac:dyDescent="0.2">
      <c r="A862" s="61" t="s">
        <v>777</v>
      </c>
      <c r="B862" s="61" t="str">
        <f t="shared" si="47"/>
        <v>ch15h</v>
      </c>
      <c r="C862" s="61" t="s">
        <v>4182</v>
      </c>
      <c r="D862" s="61" t="s">
        <v>1128</v>
      </c>
      <c r="E862" s="61" t="s">
        <v>1226</v>
      </c>
      <c r="F862" s="2">
        <v>8</v>
      </c>
      <c r="G862" s="2" t="str">
        <f t="shared" si="45"/>
        <v>h</v>
      </c>
      <c r="H862" s="2">
        <v>2015</v>
      </c>
      <c r="I862" s="2" t="str">
        <f t="shared" si="52"/>
        <v>ch15h095</v>
      </c>
      <c r="J862" s="2" t="s">
        <v>1608</v>
      </c>
      <c r="K862" s="8" t="s">
        <v>1600</v>
      </c>
      <c r="L862"/>
      <c r="M862" s="2" t="s">
        <v>1601</v>
      </c>
      <c r="P862" s="2" t="s">
        <v>1127</v>
      </c>
      <c r="Q862" t="s">
        <v>1127</v>
      </c>
    </row>
    <row r="863" spans="1:17" x14ac:dyDescent="0.2">
      <c r="A863" s="61" t="s">
        <v>777</v>
      </c>
      <c r="B863" s="61" t="str">
        <f t="shared" si="47"/>
        <v>ch16i</v>
      </c>
      <c r="C863" s="61" t="s">
        <v>4182</v>
      </c>
      <c r="D863" s="61" t="s">
        <v>1128</v>
      </c>
      <c r="E863" s="61" t="s">
        <v>1226</v>
      </c>
      <c r="F863" s="2">
        <v>9</v>
      </c>
      <c r="G863" s="2" t="str">
        <f t="shared" ref="G863:G926" si="53">MID("abcdefghijklmnopqrstuvwxyz",F863,1)</f>
        <v>i</v>
      </c>
      <c r="H863" s="2">
        <v>2016</v>
      </c>
      <c r="I863" s="2" t="str">
        <f t="shared" si="52"/>
        <v>ch16i095</v>
      </c>
      <c r="J863" s="2" t="s">
        <v>1608</v>
      </c>
      <c r="K863" s="8" t="s">
        <v>1600</v>
      </c>
      <c r="L863"/>
      <c r="M863" s="2" t="s">
        <v>1601</v>
      </c>
      <c r="P863" s="2" t="s">
        <v>1127</v>
      </c>
      <c r="Q863" t="s">
        <v>1127</v>
      </c>
    </row>
    <row r="864" spans="1:17" x14ac:dyDescent="0.2">
      <c r="A864" s="61" t="s">
        <v>777</v>
      </c>
      <c r="B864" s="61" t="str">
        <f t="shared" si="47"/>
        <v>ch17j</v>
      </c>
      <c r="C864" s="61" t="s">
        <v>4182</v>
      </c>
      <c r="D864" s="61" t="s">
        <v>1128</v>
      </c>
      <c r="E864" s="61" t="s">
        <v>1226</v>
      </c>
      <c r="F864" s="2">
        <v>10</v>
      </c>
      <c r="G864" s="2" t="str">
        <f t="shared" si="53"/>
        <v>j</v>
      </c>
      <c r="H864" s="2">
        <v>2017</v>
      </c>
      <c r="I864" s="2" t="str">
        <f t="shared" si="52"/>
        <v>ch17j095</v>
      </c>
      <c r="J864" s="2" t="s">
        <v>1608</v>
      </c>
      <c r="K864" s="8" t="s">
        <v>1600</v>
      </c>
      <c r="L864"/>
      <c r="M864" s="2" t="s">
        <v>1601</v>
      </c>
      <c r="P864" s="2" t="s">
        <v>1127</v>
      </c>
      <c r="Q864" t="s">
        <v>1127</v>
      </c>
    </row>
    <row r="865" spans="1:17" x14ac:dyDescent="0.2">
      <c r="A865" s="61" t="s">
        <v>777</v>
      </c>
      <c r="B865" s="61" t="str">
        <f t="shared" si="47"/>
        <v>ch18k</v>
      </c>
      <c r="C865" s="61" t="s">
        <v>4182</v>
      </c>
      <c r="D865" s="61" t="s">
        <v>1128</v>
      </c>
      <c r="E865" s="61" t="s">
        <v>1226</v>
      </c>
      <c r="F865" s="2">
        <v>11</v>
      </c>
      <c r="G865" s="2" t="str">
        <f t="shared" si="53"/>
        <v>k</v>
      </c>
      <c r="H865" s="2">
        <v>2018</v>
      </c>
      <c r="I865" s="2" t="str">
        <f t="shared" si="52"/>
        <v>ch18k095</v>
      </c>
      <c r="J865" s="2" t="s">
        <v>1608</v>
      </c>
      <c r="K865" s="8" t="s">
        <v>1600</v>
      </c>
      <c r="L865"/>
      <c r="M865" s="2" t="s">
        <v>1601</v>
      </c>
      <c r="P865" s="2" t="s">
        <v>1127</v>
      </c>
      <c r="Q865" t="s">
        <v>1127</v>
      </c>
    </row>
    <row r="866" spans="1:17" x14ac:dyDescent="0.2">
      <c r="A866" s="61" t="s">
        <v>777</v>
      </c>
      <c r="B866" s="61" t="str">
        <f t="shared" si="47"/>
        <v>ch07a</v>
      </c>
      <c r="C866" s="61" t="s">
        <v>4182</v>
      </c>
      <c r="D866" s="61" t="s">
        <v>1128</v>
      </c>
      <c r="E866" s="61" t="s">
        <v>1232</v>
      </c>
      <c r="F866" s="2">
        <v>1</v>
      </c>
      <c r="G866" s="2" t="str">
        <f t="shared" si="53"/>
        <v>a</v>
      </c>
      <c r="H866" s="2">
        <v>2007</v>
      </c>
      <c r="I866" s="2" t="str">
        <f t="shared" ref="I866:I876" si="54">B866&amp;"085"</f>
        <v>ch07a085</v>
      </c>
      <c r="J866" s="2" t="s">
        <v>1609</v>
      </c>
      <c r="K866" s="8" t="s">
        <v>1600</v>
      </c>
      <c r="L866"/>
      <c r="M866" s="2" t="s">
        <v>1601</v>
      </c>
      <c r="P866" s="2" t="s">
        <v>1127</v>
      </c>
      <c r="Q866" t="s">
        <v>1127</v>
      </c>
    </row>
    <row r="867" spans="1:17" x14ac:dyDescent="0.2">
      <c r="A867" s="61" t="s">
        <v>777</v>
      </c>
      <c r="B867" s="61" t="str">
        <f t="shared" ref="B867:B930" si="55">"ch" &amp; RIGHT(H867, 2) &amp; G867</f>
        <v>ch08b</v>
      </c>
      <c r="C867" s="61" t="s">
        <v>4182</v>
      </c>
      <c r="D867" s="61" t="s">
        <v>1128</v>
      </c>
      <c r="E867" s="61" t="s">
        <v>1232</v>
      </c>
      <c r="F867" s="2">
        <v>2</v>
      </c>
      <c r="G867" s="2" t="str">
        <f t="shared" si="53"/>
        <v>b</v>
      </c>
      <c r="H867" s="2">
        <v>2008</v>
      </c>
      <c r="I867" s="2" t="str">
        <f t="shared" si="54"/>
        <v>ch08b085</v>
      </c>
      <c r="J867" s="2" t="s">
        <v>1609</v>
      </c>
      <c r="K867" s="8" t="s">
        <v>1600</v>
      </c>
      <c r="L867"/>
      <c r="M867" s="2" t="s">
        <v>1601</v>
      </c>
      <c r="P867" s="2" t="s">
        <v>1127</v>
      </c>
      <c r="Q867" t="s">
        <v>1127</v>
      </c>
    </row>
    <row r="868" spans="1:17" x14ac:dyDescent="0.2">
      <c r="A868" s="61" t="s">
        <v>777</v>
      </c>
      <c r="B868" s="61" t="str">
        <f t="shared" si="55"/>
        <v>ch09c</v>
      </c>
      <c r="C868" s="61" t="s">
        <v>4182</v>
      </c>
      <c r="D868" s="61" t="s">
        <v>1128</v>
      </c>
      <c r="E868" s="61" t="s">
        <v>1232</v>
      </c>
      <c r="F868" s="2">
        <v>3</v>
      </c>
      <c r="G868" s="2" t="str">
        <f t="shared" si="53"/>
        <v>c</v>
      </c>
      <c r="H868" s="2">
        <v>2009</v>
      </c>
      <c r="I868" s="2" t="str">
        <f t="shared" si="54"/>
        <v>ch09c085</v>
      </c>
      <c r="J868" s="2" t="s">
        <v>1609</v>
      </c>
      <c r="K868" s="8" t="s">
        <v>1600</v>
      </c>
      <c r="L868"/>
      <c r="M868" s="2" t="s">
        <v>1601</v>
      </c>
      <c r="P868" s="2" t="s">
        <v>1127</v>
      </c>
      <c r="Q868" t="s">
        <v>1127</v>
      </c>
    </row>
    <row r="869" spans="1:17" x14ac:dyDescent="0.2">
      <c r="A869" s="61" t="s">
        <v>777</v>
      </c>
      <c r="B869" s="61" t="str">
        <f t="shared" si="55"/>
        <v>ch10d</v>
      </c>
      <c r="C869" s="61" t="s">
        <v>4182</v>
      </c>
      <c r="D869" s="61" t="s">
        <v>1128</v>
      </c>
      <c r="E869" s="61" t="s">
        <v>1232</v>
      </c>
      <c r="F869" s="2">
        <v>4</v>
      </c>
      <c r="G869" s="2" t="str">
        <f t="shared" si="53"/>
        <v>d</v>
      </c>
      <c r="H869" s="2">
        <v>2010</v>
      </c>
      <c r="I869" s="2" t="str">
        <f t="shared" si="54"/>
        <v>ch10d085</v>
      </c>
      <c r="J869" s="2" t="s">
        <v>1609</v>
      </c>
      <c r="K869" s="8" t="s">
        <v>1600</v>
      </c>
      <c r="L869"/>
      <c r="M869" s="2" t="s">
        <v>1601</v>
      </c>
      <c r="P869" s="2" t="s">
        <v>1127</v>
      </c>
      <c r="Q869" t="s">
        <v>1127</v>
      </c>
    </row>
    <row r="870" spans="1:17" x14ac:dyDescent="0.2">
      <c r="A870" s="61" t="s">
        <v>777</v>
      </c>
      <c r="B870" s="61" t="str">
        <f t="shared" si="55"/>
        <v>ch11e</v>
      </c>
      <c r="C870" s="61" t="s">
        <v>4182</v>
      </c>
      <c r="D870" s="61" t="s">
        <v>1128</v>
      </c>
      <c r="E870" s="61" t="s">
        <v>1232</v>
      </c>
      <c r="F870" s="2">
        <v>5</v>
      </c>
      <c r="G870" s="2" t="str">
        <f t="shared" si="53"/>
        <v>e</v>
      </c>
      <c r="H870" s="2">
        <v>2011</v>
      </c>
      <c r="I870" s="2" t="str">
        <f t="shared" si="54"/>
        <v>ch11e085</v>
      </c>
      <c r="J870" s="2" t="s">
        <v>1609</v>
      </c>
      <c r="K870" s="8" t="s">
        <v>1600</v>
      </c>
      <c r="L870"/>
      <c r="M870" s="2" t="s">
        <v>1601</v>
      </c>
      <c r="P870" s="2" t="s">
        <v>1127</v>
      </c>
      <c r="Q870" t="s">
        <v>1127</v>
      </c>
    </row>
    <row r="871" spans="1:17" x14ac:dyDescent="0.2">
      <c r="A871" s="61" t="s">
        <v>777</v>
      </c>
      <c r="B871" s="61" t="str">
        <f t="shared" si="55"/>
        <v>ch12f</v>
      </c>
      <c r="C871" s="61" t="s">
        <v>4182</v>
      </c>
      <c r="D871" s="61" t="s">
        <v>1128</v>
      </c>
      <c r="E871" s="61" t="s">
        <v>1232</v>
      </c>
      <c r="F871" s="2">
        <v>6</v>
      </c>
      <c r="G871" s="2" t="str">
        <f t="shared" si="53"/>
        <v>f</v>
      </c>
      <c r="H871" s="2">
        <v>2012</v>
      </c>
      <c r="I871" s="2" t="str">
        <f t="shared" si="54"/>
        <v>ch12f085</v>
      </c>
      <c r="J871" s="2" t="s">
        <v>1609</v>
      </c>
      <c r="K871" s="8" t="s">
        <v>1600</v>
      </c>
      <c r="L871"/>
      <c r="M871" s="2" t="s">
        <v>1601</v>
      </c>
      <c r="P871" s="2" t="s">
        <v>1127</v>
      </c>
      <c r="Q871" t="s">
        <v>1127</v>
      </c>
    </row>
    <row r="872" spans="1:17" x14ac:dyDescent="0.2">
      <c r="A872" s="61" t="s">
        <v>777</v>
      </c>
      <c r="B872" s="61" t="str">
        <f t="shared" si="55"/>
        <v>ch13g</v>
      </c>
      <c r="C872" s="61" t="s">
        <v>4182</v>
      </c>
      <c r="D872" s="61" t="s">
        <v>1128</v>
      </c>
      <c r="E872" s="61" t="s">
        <v>1232</v>
      </c>
      <c r="F872" s="2">
        <v>7</v>
      </c>
      <c r="G872" s="2" t="str">
        <f t="shared" si="53"/>
        <v>g</v>
      </c>
      <c r="H872" s="2">
        <v>2013</v>
      </c>
      <c r="I872" s="2" t="str">
        <f t="shared" si="54"/>
        <v>ch13g085</v>
      </c>
      <c r="J872" s="2" t="s">
        <v>1609</v>
      </c>
      <c r="K872" s="8" t="s">
        <v>1600</v>
      </c>
      <c r="L872"/>
      <c r="M872" s="2" t="s">
        <v>1601</v>
      </c>
      <c r="P872" s="2" t="s">
        <v>1127</v>
      </c>
      <c r="Q872" t="s">
        <v>1127</v>
      </c>
    </row>
    <row r="873" spans="1:17" x14ac:dyDescent="0.2">
      <c r="A873" s="61" t="s">
        <v>777</v>
      </c>
      <c r="B873" s="61" t="str">
        <f t="shared" si="55"/>
        <v>ch15h</v>
      </c>
      <c r="C873" s="61" t="s">
        <v>4182</v>
      </c>
      <c r="D873" s="61" t="s">
        <v>1128</v>
      </c>
      <c r="E873" s="61" t="s">
        <v>1232</v>
      </c>
      <c r="F873" s="2">
        <v>8</v>
      </c>
      <c r="G873" s="2" t="str">
        <f t="shared" si="53"/>
        <v>h</v>
      </c>
      <c r="H873" s="2">
        <v>2015</v>
      </c>
      <c r="I873" s="2" t="str">
        <f t="shared" si="54"/>
        <v>ch15h085</v>
      </c>
      <c r="J873" s="2" t="s">
        <v>1609</v>
      </c>
      <c r="K873" s="8" t="s">
        <v>1600</v>
      </c>
      <c r="L873"/>
      <c r="M873" s="2" t="s">
        <v>1601</v>
      </c>
      <c r="P873" s="2" t="s">
        <v>1127</v>
      </c>
      <c r="Q873" t="s">
        <v>1127</v>
      </c>
    </row>
    <row r="874" spans="1:17" x14ac:dyDescent="0.2">
      <c r="A874" s="61" t="s">
        <v>777</v>
      </c>
      <c r="B874" s="61" t="str">
        <f t="shared" si="55"/>
        <v>ch16i</v>
      </c>
      <c r="C874" s="61" t="s">
        <v>4182</v>
      </c>
      <c r="D874" s="61" t="s">
        <v>1128</v>
      </c>
      <c r="E874" s="61" t="s">
        <v>1232</v>
      </c>
      <c r="F874" s="2">
        <v>9</v>
      </c>
      <c r="G874" s="2" t="str">
        <f t="shared" si="53"/>
        <v>i</v>
      </c>
      <c r="H874" s="2">
        <v>2016</v>
      </c>
      <c r="I874" s="2" t="str">
        <f t="shared" si="54"/>
        <v>ch16i085</v>
      </c>
      <c r="J874" s="2" t="s">
        <v>1609</v>
      </c>
      <c r="K874" s="8" t="s">
        <v>1600</v>
      </c>
      <c r="L874"/>
      <c r="M874" s="2" t="s">
        <v>1601</v>
      </c>
      <c r="P874" s="2" t="s">
        <v>1127</v>
      </c>
      <c r="Q874" t="s">
        <v>1127</v>
      </c>
    </row>
    <row r="875" spans="1:17" x14ac:dyDescent="0.2">
      <c r="A875" s="61" t="s">
        <v>777</v>
      </c>
      <c r="B875" s="61" t="str">
        <f t="shared" si="55"/>
        <v>ch17j</v>
      </c>
      <c r="C875" s="61" t="s">
        <v>4182</v>
      </c>
      <c r="D875" s="61" t="s">
        <v>1128</v>
      </c>
      <c r="E875" s="61" t="s">
        <v>1232</v>
      </c>
      <c r="F875" s="2">
        <v>10</v>
      </c>
      <c r="G875" s="2" t="str">
        <f t="shared" si="53"/>
        <v>j</v>
      </c>
      <c r="H875" s="2">
        <v>2017</v>
      </c>
      <c r="I875" s="2" t="str">
        <f t="shared" si="54"/>
        <v>ch17j085</v>
      </c>
      <c r="J875" s="2" t="s">
        <v>1609</v>
      </c>
      <c r="K875" s="8" t="s">
        <v>1600</v>
      </c>
      <c r="L875"/>
      <c r="M875" s="2" t="s">
        <v>1601</v>
      </c>
      <c r="P875" s="2" t="s">
        <v>1127</v>
      </c>
      <c r="Q875" t="s">
        <v>1127</v>
      </c>
    </row>
    <row r="876" spans="1:17" x14ac:dyDescent="0.2">
      <c r="A876" s="61" t="s">
        <v>777</v>
      </c>
      <c r="B876" s="61" t="str">
        <f t="shared" si="55"/>
        <v>ch18k</v>
      </c>
      <c r="C876" s="61" t="s">
        <v>4182</v>
      </c>
      <c r="D876" s="61" t="s">
        <v>1128</v>
      </c>
      <c r="E876" s="61" t="s">
        <v>1232</v>
      </c>
      <c r="F876" s="2">
        <v>11</v>
      </c>
      <c r="G876" s="2" t="str">
        <f t="shared" si="53"/>
        <v>k</v>
      </c>
      <c r="H876" s="2">
        <v>2018</v>
      </c>
      <c r="I876" s="2" t="str">
        <f t="shared" si="54"/>
        <v>ch18k085</v>
      </c>
      <c r="J876" s="2" t="s">
        <v>1609</v>
      </c>
      <c r="K876" s="8" t="s">
        <v>1600</v>
      </c>
      <c r="L876"/>
      <c r="M876" s="2" t="s">
        <v>1601</v>
      </c>
      <c r="P876" s="2" t="s">
        <v>1127</v>
      </c>
      <c r="Q876" t="s">
        <v>1127</v>
      </c>
    </row>
    <row r="877" spans="1:17" x14ac:dyDescent="0.2">
      <c r="A877" s="61" t="s">
        <v>777</v>
      </c>
      <c r="B877" s="61" t="str">
        <f t="shared" si="55"/>
        <v>ch07a</v>
      </c>
      <c r="C877" s="61" t="s">
        <v>4182</v>
      </c>
      <c r="D877" s="61" t="s">
        <v>1128</v>
      </c>
      <c r="E877" s="61" t="s">
        <v>1610</v>
      </c>
      <c r="F877" s="2">
        <v>1</v>
      </c>
      <c r="G877" s="2" t="str">
        <f t="shared" si="53"/>
        <v>a</v>
      </c>
      <c r="H877" s="2">
        <v>2007</v>
      </c>
      <c r="I877" s="2" t="str">
        <f t="shared" ref="I877:I887" si="56">B877&amp;"081"</f>
        <v>ch07a081</v>
      </c>
      <c r="J877" s="2" t="s">
        <v>1611</v>
      </c>
      <c r="K877" s="8" t="s">
        <v>1600</v>
      </c>
      <c r="L877"/>
      <c r="M877" s="2" t="s">
        <v>1601</v>
      </c>
      <c r="P877" s="2" t="s">
        <v>1127</v>
      </c>
      <c r="Q877" t="s">
        <v>1127</v>
      </c>
    </row>
    <row r="878" spans="1:17" x14ac:dyDescent="0.2">
      <c r="A878" s="61" t="s">
        <v>777</v>
      </c>
      <c r="B878" s="61" t="str">
        <f t="shared" si="55"/>
        <v>ch08b</v>
      </c>
      <c r="C878" s="61" t="s">
        <v>4182</v>
      </c>
      <c r="D878" s="61" t="s">
        <v>1128</v>
      </c>
      <c r="E878" s="61" t="s">
        <v>1610</v>
      </c>
      <c r="F878" s="2">
        <v>2</v>
      </c>
      <c r="G878" s="2" t="str">
        <f t="shared" si="53"/>
        <v>b</v>
      </c>
      <c r="H878" s="2">
        <v>2008</v>
      </c>
      <c r="I878" s="2" t="str">
        <f t="shared" si="56"/>
        <v>ch08b081</v>
      </c>
      <c r="J878" s="2" t="s">
        <v>1611</v>
      </c>
      <c r="K878" s="8" t="s">
        <v>1600</v>
      </c>
      <c r="L878"/>
      <c r="M878" s="2" t="s">
        <v>1601</v>
      </c>
      <c r="P878" s="2" t="s">
        <v>1127</v>
      </c>
      <c r="Q878" t="s">
        <v>1127</v>
      </c>
    </row>
    <row r="879" spans="1:17" x14ac:dyDescent="0.2">
      <c r="A879" s="61" t="s">
        <v>777</v>
      </c>
      <c r="B879" s="61" t="str">
        <f t="shared" si="55"/>
        <v>ch09c</v>
      </c>
      <c r="C879" s="61" t="s">
        <v>4182</v>
      </c>
      <c r="D879" s="61" t="s">
        <v>1128</v>
      </c>
      <c r="E879" s="61" t="s">
        <v>1610</v>
      </c>
      <c r="F879" s="2">
        <v>3</v>
      </c>
      <c r="G879" s="2" t="str">
        <f t="shared" si="53"/>
        <v>c</v>
      </c>
      <c r="H879" s="2">
        <v>2009</v>
      </c>
      <c r="I879" s="2" t="str">
        <f t="shared" si="56"/>
        <v>ch09c081</v>
      </c>
      <c r="J879" s="2" t="s">
        <v>1611</v>
      </c>
      <c r="K879" s="8" t="s">
        <v>1600</v>
      </c>
      <c r="L879"/>
      <c r="M879" s="2" t="s">
        <v>1601</v>
      </c>
      <c r="P879" s="2" t="s">
        <v>1127</v>
      </c>
      <c r="Q879" t="s">
        <v>1127</v>
      </c>
    </row>
    <row r="880" spans="1:17" x14ac:dyDescent="0.2">
      <c r="A880" s="61" t="s">
        <v>777</v>
      </c>
      <c r="B880" s="61" t="str">
        <f t="shared" si="55"/>
        <v>ch10d</v>
      </c>
      <c r="C880" s="61" t="s">
        <v>4182</v>
      </c>
      <c r="D880" s="61" t="s">
        <v>1128</v>
      </c>
      <c r="E880" s="61" t="s">
        <v>1610</v>
      </c>
      <c r="F880" s="2">
        <v>4</v>
      </c>
      <c r="G880" s="2" t="str">
        <f t="shared" si="53"/>
        <v>d</v>
      </c>
      <c r="H880" s="2">
        <v>2010</v>
      </c>
      <c r="I880" s="2" t="str">
        <f t="shared" si="56"/>
        <v>ch10d081</v>
      </c>
      <c r="J880" s="2" t="s">
        <v>1611</v>
      </c>
      <c r="K880" s="8" t="s">
        <v>1600</v>
      </c>
      <c r="L880"/>
      <c r="M880" s="2" t="s">
        <v>1601</v>
      </c>
      <c r="P880" s="2" t="s">
        <v>1127</v>
      </c>
      <c r="Q880" t="s">
        <v>1127</v>
      </c>
    </row>
    <row r="881" spans="1:17" x14ac:dyDescent="0.2">
      <c r="A881" s="61" t="s">
        <v>777</v>
      </c>
      <c r="B881" s="61" t="str">
        <f t="shared" si="55"/>
        <v>ch11e</v>
      </c>
      <c r="C881" s="61" t="s">
        <v>4182</v>
      </c>
      <c r="D881" s="61" t="s">
        <v>1128</v>
      </c>
      <c r="E881" s="61" t="s">
        <v>1610</v>
      </c>
      <c r="F881" s="2">
        <v>5</v>
      </c>
      <c r="G881" s="2" t="str">
        <f t="shared" si="53"/>
        <v>e</v>
      </c>
      <c r="H881" s="2">
        <v>2011</v>
      </c>
      <c r="I881" s="2" t="str">
        <f t="shared" si="56"/>
        <v>ch11e081</v>
      </c>
      <c r="J881" s="2" t="s">
        <v>1611</v>
      </c>
      <c r="K881" s="8" t="s">
        <v>1600</v>
      </c>
      <c r="L881"/>
      <c r="M881" s="2" t="s">
        <v>1601</v>
      </c>
      <c r="P881" s="2" t="s">
        <v>1127</v>
      </c>
      <c r="Q881" t="s">
        <v>1127</v>
      </c>
    </row>
    <row r="882" spans="1:17" x14ac:dyDescent="0.2">
      <c r="A882" s="61" t="s">
        <v>777</v>
      </c>
      <c r="B882" s="61" t="str">
        <f t="shared" si="55"/>
        <v>ch12f</v>
      </c>
      <c r="C882" s="61" t="s">
        <v>4182</v>
      </c>
      <c r="D882" s="61" t="s">
        <v>1128</v>
      </c>
      <c r="E882" s="61" t="s">
        <v>1610</v>
      </c>
      <c r="F882" s="2">
        <v>6</v>
      </c>
      <c r="G882" s="2" t="str">
        <f t="shared" si="53"/>
        <v>f</v>
      </c>
      <c r="H882" s="2">
        <v>2012</v>
      </c>
      <c r="I882" s="2" t="str">
        <f t="shared" si="56"/>
        <v>ch12f081</v>
      </c>
      <c r="J882" s="2" t="s">
        <v>1611</v>
      </c>
      <c r="K882" s="8" t="s">
        <v>1600</v>
      </c>
      <c r="L882"/>
      <c r="M882" s="2" t="s">
        <v>1601</v>
      </c>
      <c r="P882" s="2" t="s">
        <v>1127</v>
      </c>
      <c r="Q882" t="s">
        <v>1127</v>
      </c>
    </row>
    <row r="883" spans="1:17" x14ac:dyDescent="0.2">
      <c r="A883" s="61" t="s">
        <v>777</v>
      </c>
      <c r="B883" s="61" t="str">
        <f t="shared" si="55"/>
        <v>ch13g</v>
      </c>
      <c r="C883" s="61" t="s">
        <v>4182</v>
      </c>
      <c r="D883" s="61" t="s">
        <v>1128</v>
      </c>
      <c r="E883" s="61" t="s">
        <v>1610</v>
      </c>
      <c r="F883" s="2">
        <v>7</v>
      </c>
      <c r="G883" s="2" t="str">
        <f t="shared" si="53"/>
        <v>g</v>
      </c>
      <c r="H883" s="2">
        <v>2013</v>
      </c>
      <c r="I883" s="2" t="str">
        <f t="shared" si="56"/>
        <v>ch13g081</v>
      </c>
      <c r="J883" s="2" t="s">
        <v>1611</v>
      </c>
      <c r="K883" s="8" t="s">
        <v>1600</v>
      </c>
      <c r="L883"/>
      <c r="M883" s="2" t="s">
        <v>1601</v>
      </c>
      <c r="P883" s="2" t="s">
        <v>1127</v>
      </c>
      <c r="Q883" t="s">
        <v>1127</v>
      </c>
    </row>
    <row r="884" spans="1:17" x14ac:dyDescent="0.2">
      <c r="A884" s="61" t="s">
        <v>777</v>
      </c>
      <c r="B884" s="61" t="str">
        <f t="shared" si="55"/>
        <v>ch15h</v>
      </c>
      <c r="C884" s="61" t="s">
        <v>4182</v>
      </c>
      <c r="D884" s="61" t="s">
        <v>1128</v>
      </c>
      <c r="E884" s="61" t="s">
        <v>1610</v>
      </c>
      <c r="F884" s="2">
        <v>8</v>
      </c>
      <c r="G884" s="2" t="str">
        <f t="shared" si="53"/>
        <v>h</v>
      </c>
      <c r="H884" s="2">
        <v>2015</v>
      </c>
      <c r="I884" s="2" t="str">
        <f t="shared" si="56"/>
        <v>ch15h081</v>
      </c>
      <c r="J884" s="2" t="s">
        <v>1611</v>
      </c>
      <c r="K884" s="8" t="s">
        <v>1600</v>
      </c>
      <c r="L884"/>
      <c r="M884" s="2" t="s">
        <v>1601</v>
      </c>
      <c r="P884" s="2" t="s">
        <v>1127</v>
      </c>
      <c r="Q884" t="s">
        <v>1127</v>
      </c>
    </row>
    <row r="885" spans="1:17" x14ac:dyDescent="0.2">
      <c r="A885" s="61" t="s">
        <v>777</v>
      </c>
      <c r="B885" s="61" t="str">
        <f t="shared" si="55"/>
        <v>ch16i</v>
      </c>
      <c r="C885" s="61" t="s">
        <v>4182</v>
      </c>
      <c r="D885" s="61" t="s">
        <v>1128</v>
      </c>
      <c r="E885" s="61" t="s">
        <v>1610</v>
      </c>
      <c r="F885" s="2">
        <v>9</v>
      </c>
      <c r="G885" s="2" t="str">
        <f t="shared" si="53"/>
        <v>i</v>
      </c>
      <c r="H885" s="2">
        <v>2016</v>
      </c>
      <c r="I885" s="2" t="str">
        <f t="shared" si="56"/>
        <v>ch16i081</v>
      </c>
      <c r="J885" s="2" t="s">
        <v>1611</v>
      </c>
      <c r="K885" s="8" t="s">
        <v>1600</v>
      </c>
      <c r="L885"/>
      <c r="M885" s="2" t="s">
        <v>1601</v>
      </c>
      <c r="P885" s="2" t="s">
        <v>1127</v>
      </c>
      <c r="Q885" t="s">
        <v>1127</v>
      </c>
    </row>
    <row r="886" spans="1:17" x14ac:dyDescent="0.2">
      <c r="A886" s="61" t="s">
        <v>777</v>
      </c>
      <c r="B886" s="61" t="str">
        <f t="shared" si="55"/>
        <v>ch17j</v>
      </c>
      <c r="C886" s="61" t="s">
        <v>4182</v>
      </c>
      <c r="D886" s="61" t="s">
        <v>1128</v>
      </c>
      <c r="E886" s="61" t="s">
        <v>1610</v>
      </c>
      <c r="F886" s="2">
        <v>10</v>
      </c>
      <c r="G886" s="2" t="str">
        <f t="shared" si="53"/>
        <v>j</v>
      </c>
      <c r="H886" s="2">
        <v>2017</v>
      </c>
      <c r="I886" s="2" t="str">
        <f t="shared" si="56"/>
        <v>ch17j081</v>
      </c>
      <c r="J886" s="2" t="s">
        <v>1611</v>
      </c>
      <c r="K886" s="8" t="s">
        <v>1600</v>
      </c>
      <c r="L886"/>
      <c r="M886" s="2" t="s">
        <v>1601</v>
      </c>
      <c r="P886" s="2" t="s">
        <v>1127</v>
      </c>
      <c r="Q886" t="s">
        <v>1127</v>
      </c>
    </row>
    <row r="887" spans="1:17" x14ac:dyDescent="0.2">
      <c r="A887" s="61" t="s">
        <v>777</v>
      </c>
      <c r="B887" s="61" t="str">
        <f t="shared" si="55"/>
        <v>ch18k</v>
      </c>
      <c r="C887" s="61" t="s">
        <v>4182</v>
      </c>
      <c r="D887" s="61" t="s">
        <v>1128</v>
      </c>
      <c r="E887" s="61" t="s">
        <v>1610</v>
      </c>
      <c r="F887" s="2">
        <v>11</v>
      </c>
      <c r="G887" s="2" t="str">
        <f t="shared" si="53"/>
        <v>k</v>
      </c>
      <c r="H887" s="2">
        <v>2018</v>
      </c>
      <c r="I887" s="2" t="str">
        <f t="shared" si="56"/>
        <v>ch18k081</v>
      </c>
      <c r="J887" s="2" t="s">
        <v>1611</v>
      </c>
      <c r="K887" s="8" t="s">
        <v>1600</v>
      </c>
      <c r="L887"/>
      <c r="M887" s="2" t="s">
        <v>1601</v>
      </c>
      <c r="P887" s="2" t="s">
        <v>1127</v>
      </c>
      <c r="Q887" t="s">
        <v>1127</v>
      </c>
    </row>
    <row r="888" spans="1:17" x14ac:dyDescent="0.2">
      <c r="A888" s="61" t="s">
        <v>777</v>
      </c>
      <c r="B888" s="61" t="str">
        <f t="shared" si="55"/>
        <v>ch07a</v>
      </c>
      <c r="C888" s="61" t="s">
        <v>4182</v>
      </c>
      <c r="D888" s="61" t="s">
        <v>1128</v>
      </c>
      <c r="E888" s="61" t="s">
        <v>1272</v>
      </c>
      <c r="F888" s="2">
        <v>1</v>
      </c>
      <c r="G888" s="2" t="str">
        <f t="shared" si="53"/>
        <v>a</v>
      </c>
      <c r="H888" s="2">
        <v>2007</v>
      </c>
      <c r="I888" s="2" t="str">
        <f t="shared" ref="I888:I898" si="57">B888&amp;"082"</f>
        <v>ch07a082</v>
      </c>
      <c r="J888" s="2" t="s">
        <v>1612</v>
      </c>
      <c r="K888" s="8" t="s">
        <v>1600</v>
      </c>
      <c r="L888"/>
      <c r="M888" s="2" t="s">
        <v>1601</v>
      </c>
      <c r="P888" s="2" t="s">
        <v>1127</v>
      </c>
      <c r="Q888" t="s">
        <v>1127</v>
      </c>
    </row>
    <row r="889" spans="1:17" x14ac:dyDescent="0.2">
      <c r="A889" s="61" t="s">
        <v>777</v>
      </c>
      <c r="B889" s="61" t="str">
        <f t="shared" si="55"/>
        <v>ch08b</v>
      </c>
      <c r="C889" s="61" t="s">
        <v>4182</v>
      </c>
      <c r="D889" s="61" t="s">
        <v>1128</v>
      </c>
      <c r="E889" s="61" t="s">
        <v>1272</v>
      </c>
      <c r="F889" s="2">
        <v>2</v>
      </c>
      <c r="G889" s="2" t="str">
        <f t="shared" si="53"/>
        <v>b</v>
      </c>
      <c r="H889" s="2">
        <v>2008</v>
      </c>
      <c r="I889" s="2" t="str">
        <f t="shared" si="57"/>
        <v>ch08b082</v>
      </c>
      <c r="J889" s="2" t="s">
        <v>1612</v>
      </c>
      <c r="K889" s="8" t="s">
        <v>1600</v>
      </c>
      <c r="L889"/>
      <c r="M889" s="2" t="s">
        <v>1601</v>
      </c>
      <c r="P889" s="2" t="s">
        <v>1127</v>
      </c>
      <c r="Q889" t="s">
        <v>1127</v>
      </c>
    </row>
    <row r="890" spans="1:17" x14ac:dyDescent="0.2">
      <c r="A890" s="61" t="s">
        <v>777</v>
      </c>
      <c r="B890" s="61" t="str">
        <f t="shared" si="55"/>
        <v>ch09c</v>
      </c>
      <c r="C890" s="61" t="s">
        <v>4182</v>
      </c>
      <c r="D890" s="61" t="s">
        <v>1128</v>
      </c>
      <c r="E890" s="61" t="s">
        <v>1272</v>
      </c>
      <c r="F890" s="2">
        <v>3</v>
      </c>
      <c r="G890" s="2" t="str">
        <f t="shared" si="53"/>
        <v>c</v>
      </c>
      <c r="H890" s="2">
        <v>2009</v>
      </c>
      <c r="I890" s="2" t="str">
        <f t="shared" si="57"/>
        <v>ch09c082</v>
      </c>
      <c r="J890" s="2" t="s">
        <v>1612</v>
      </c>
      <c r="K890" s="8" t="s">
        <v>1600</v>
      </c>
      <c r="L890"/>
      <c r="M890" s="2" t="s">
        <v>1601</v>
      </c>
      <c r="P890" s="2" t="s">
        <v>1127</v>
      </c>
      <c r="Q890" t="s">
        <v>1127</v>
      </c>
    </row>
    <row r="891" spans="1:17" x14ac:dyDescent="0.2">
      <c r="A891" s="61" t="s">
        <v>777</v>
      </c>
      <c r="B891" s="61" t="str">
        <f t="shared" si="55"/>
        <v>ch10d</v>
      </c>
      <c r="C891" s="61" t="s">
        <v>4182</v>
      </c>
      <c r="D891" s="61" t="s">
        <v>1128</v>
      </c>
      <c r="E891" s="61" t="s">
        <v>1272</v>
      </c>
      <c r="F891" s="2">
        <v>4</v>
      </c>
      <c r="G891" s="2" t="str">
        <f t="shared" si="53"/>
        <v>d</v>
      </c>
      <c r="H891" s="2">
        <v>2010</v>
      </c>
      <c r="I891" s="2" t="str">
        <f t="shared" si="57"/>
        <v>ch10d082</v>
      </c>
      <c r="J891" s="2" t="s">
        <v>1612</v>
      </c>
      <c r="K891" s="8" t="s">
        <v>1600</v>
      </c>
      <c r="L891"/>
      <c r="M891" s="2" t="s">
        <v>1601</v>
      </c>
      <c r="P891" s="2" t="s">
        <v>1127</v>
      </c>
      <c r="Q891" t="s">
        <v>1127</v>
      </c>
    </row>
    <row r="892" spans="1:17" x14ac:dyDescent="0.2">
      <c r="A892" s="61" t="s">
        <v>777</v>
      </c>
      <c r="B892" s="61" t="str">
        <f t="shared" si="55"/>
        <v>ch11e</v>
      </c>
      <c r="C892" s="61" t="s">
        <v>4182</v>
      </c>
      <c r="D892" s="61" t="s">
        <v>1128</v>
      </c>
      <c r="E892" s="61" t="s">
        <v>1272</v>
      </c>
      <c r="F892" s="2">
        <v>5</v>
      </c>
      <c r="G892" s="2" t="str">
        <f t="shared" si="53"/>
        <v>e</v>
      </c>
      <c r="H892" s="2">
        <v>2011</v>
      </c>
      <c r="I892" s="2" t="str">
        <f t="shared" si="57"/>
        <v>ch11e082</v>
      </c>
      <c r="J892" s="2" t="s">
        <v>1612</v>
      </c>
      <c r="K892" s="8" t="s">
        <v>1600</v>
      </c>
      <c r="L892"/>
      <c r="M892" s="2" t="s">
        <v>1601</v>
      </c>
      <c r="P892" s="2" t="s">
        <v>1127</v>
      </c>
      <c r="Q892" t="s">
        <v>1127</v>
      </c>
    </row>
    <row r="893" spans="1:17" x14ac:dyDescent="0.2">
      <c r="A893" s="61" t="s">
        <v>777</v>
      </c>
      <c r="B893" s="61" t="str">
        <f t="shared" si="55"/>
        <v>ch12f</v>
      </c>
      <c r="C893" s="61" t="s">
        <v>4182</v>
      </c>
      <c r="D893" s="61" t="s">
        <v>1128</v>
      </c>
      <c r="E893" s="61" t="s">
        <v>1272</v>
      </c>
      <c r="F893" s="2">
        <v>6</v>
      </c>
      <c r="G893" s="2" t="str">
        <f t="shared" si="53"/>
        <v>f</v>
      </c>
      <c r="H893" s="2">
        <v>2012</v>
      </c>
      <c r="I893" s="2" t="str">
        <f t="shared" si="57"/>
        <v>ch12f082</v>
      </c>
      <c r="J893" s="2" t="s">
        <v>1612</v>
      </c>
      <c r="K893" s="8" t="s">
        <v>1600</v>
      </c>
      <c r="L893"/>
      <c r="M893" s="2" t="s">
        <v>1601</v>
      </c>
      <c r="P893" s="2" t="s">
        <v>1127</v>
      </c>
      <c r="Q893" t="s">
        <v>1127</v>
      </c>
    </row>
    <row r="894" spans="1:17" x14ac:dyDescent="0.2">
      <c r="A894" s="61" t="s">
        <v>777</v>
      </c>
      <c r="B894" s="61" t="str">
        <f t="shared" si="55"/>
        <v>ch13g</v>
      </c>
      <c r="C894" s="61" t="s">
        <v>4182</v>
      </c>
      <c r="D894" s="61" t="s">
        <v>1128</v>
      </c>
      <c r="E894" s="61" t="s">
        <v>1272</v>
      </c>
      <c r="F894" s="2">
        <v>7</v>
      </c>
      <c r="G894" s="2" t="str">
        <f t="shared" si="53"/>
        <v>g</v>
      </c>
      <c r="H894" s="2">
        <v>2013</v>
      </c>
      <c r="I894" s="2" t="str">
        <f t="shared" si="57"/>
        <v>ch13g082</v>
      </c>
      <c r="J894" s="2" t="s">
        <v>1612</v>
      </c>
      <c r="K894" s="8" t="s">
        <v>1600</v>
      </c>
      <c r="L894"/>
      <c r="M894" s="2" t="s">
        <v>1601</v>
      </c>
      <c r="P894" s="2" t="s">
        <v>1127</v>
      </c>
      <c r="Q894" t="s">
        <v>1127</v>
      </c>
    </row>
    <row r="895" spans="1:17" x14ac:dyDescent="0.2">
      <c r="A895" s="61" t="s">
        <v>777</v>
      </c>
      <c r="B895" s="61" t="str">
        <f t="shared" si="55"/>
        <v>ch15h</v>
      </c>
      <c r="C895" s="61" t="s">
        <v>4182</v>
      </c>
      <c r="D895" s="61" t="s">
        <v>1128</v>
      </c>
      <c r="E895" s="61" t="s">
        <v>1272</v>
      </c>
      <c r="F895" s="2">
        <v>8</v>
      </c>
      <c r="G895" s="2" t="str">
        <f t="shared" si="53"/>
        <v>h</v>
      </c>
      <c r="H895" s="2">
        <v>2015</v>
      </c>
      <c r="I895" s="2" t="str">
        <f t="shared" si="57"/>
        <v>ch15h082</v>
      </c>
      <c r="J895" s="2" t="s">
        <v>1612</v>
      </c>
      <c r="K895" s="8" t="s">
        <v>1600</v>
      </c>
      <c r="L895"/>
      <c r="M895" s="2" t="s">
        <v>1601</v>
      </c>
      <c r="P895" s="2" t="s">
        <v>1127</v>
      </c>
      <c r="Q895" t="s">
        <v>1127</v>
      </c>
    </row>
    <row r="896" spans="1:17" x14ac:dyDescent="0.2">
      <c r="A896" s="61" t="s">
        <v>777</v>
      </c>
      <c r="B896" s="61" t="str">
        <f t="shared" si="55"/>
        <v>ch16i</v>
      </c>
      <c r="C896" s="61" t="s">
        <v>4182</v>
      </c>
      <c r="D896" s="61" t="s">
        <v>1128</v>
      </c>
      <c r="E896" s="61" t="s">
        <v>1272</v>
      </c>
      <c r="F896" s="2">
        <v>9</v>
      </c>
      <c r="G896" s="2" t="str">
        <f t="shared" si="53"/>
        <v>i</v>
      </c>
      <c r="H896" s="2">
        <v>2016</v>
      </c>
      <c r="I896" s="2" t="str">
        <f t="shared" si="57"/>
        <v>ch16i082</v>
      </c>
      <c r="J896" s="2" t="s">
        <v>1612</v>
      </c>
      <c r="K896" s="8" t="s">
        <v>1600</v>
      </c>
      <c r="L896"/>
      <c r="M896" s="2" t="s">
        <v>1601</v>
      </c>
      <c r="P896" s="2" t="s">
        <v>1127</v>
      </c>
      <c r="Q896" t="s">
        <v>1127</v>
      </c>
    </row>
    <row r="897" spans="1:17" x14ac:dyDescent="0.2">
      <c r="A897" s="61" t="s">
        <v>777</v>
      </c>
      <c r="B897" s="61" t="str">
        <f t="shared" si="55"/>
        <v>ch17j</v>
      </c>
      <c r="C897" s="61" t="s">
        <v>4182</v>
      </c>
      <c r="D897" s="61" t="s">
        <v>1128</v>
      </c>
      <c r="E897" s="61" t="s">
        <v>1272</v>
      </c>
      <c r="F897" s="2">
        <v>10</v>
      </c>
      <c r="G897" s="2" t="str">
        <f t="shared" si="53"/>
        <v>j</v>
      </c>
      <c r="H897" s="2">
        <v>2017</v>
      </c>
      <c r="I897" s="2" t="str">
        <f t="shared" si="57"/>
        <v>ch17j082</v>
      </c>
      <c r="J897" s="2" t="s">
        <v>1612</v>
      </c>
      <c r="K897" s="8" t="s">
        <v>1600</v>
      </c>
      <c r="L897"/>
      <c r="M897" s="2" t="s">
        <v>1601</v>
      </c>
      <c r="P897" s="2" t="s">
        <v>1127</v>
      </c>
      <c r="Q897" t="s">
        <v>1127</v>
      </c>
    </row>
    <row r="898" spans="1:17" x14ac:dyDescent="0.2">
      <c r="A898" s="61" t="s">
        <v>777</v>
      </c>
      <c r="B898" s="61" t="str">
        <f t="shared" si="55"/>
        <v>ch18k</v>
      </c>
      <c r="C898" s="61" t="s">
        <v>4182</v>
      </c>
      <c r="D898" s="61" t="s">
        <v>1128</v>
      </c>
      <c r="E898" s="61" t="s">
        <v>1272</v>
      </c>
      <c r="F898" s="2">
        <v>11</v>
      </c>
      <c r="G898" s="2" t="str">
        <f t="shared" si="53"/>
        <v>k</v>
      </c>
      <c r="H898" s="2">
        <v>2018</v>
      </c>
      <c r="I898" s="2" t="str">
        <f t="shared" si="57"/>
        <v>ch18k082</v>
      </c>
      <c r="J898" s="2" t="s">
        <v>1612</v>
      </c>
      <c r="K898" s="8" t="s">
        <v>1600</v>
      </c>
      <c r="L898"/>
      <c r="M898" s="2" t="s">
        <v>1601</v>
      </c>
      <c r="P898" s="2" t="s">
        <v>1127</v>
      </c>
      <c r="Q898" t="s">
        <v>1127</v>
      </c>
    </row>
    <row r="899" spans="1:17" x14ac:dyDescent="0.2">
      <c r="A899" s="61" t="s">
        <v>777</v>
      </c>
      <c r="B899" s="61" t="str">
        <f t="shared" si="55"/>
        <v>ch07a</v>
      </c>
      <c r="C899" s="61" t="s">
        <v>4182</v>
      </c>
      <c r="D899" s="61" t="s">
        <v>1128</v>
      </c>
      <c r="E899" s="61" t="s">
        <v>1613</v>
      </c>
      <c r="F899" s="2">
        <v>1</v>
      </c>
      <c r="G899" s="2" t="str">
        <f t="shared" si="53"/>
        <v>a</v>
      </c>
      <c r="H899" s="2">
        <v>2007</v>
      </c>
      <c r="I899" s="2" t="str">
        <f t="shared" ref="I899:I909" si="58">B899&amp;"086"</f>
        <v>ch07a086</v>
      </c>
      <c r="J899" s="2" t="s">
        <v>1614</v>
      </c>
      <c r="K899" s="8" t="s">
        <v>1600</v>
      </c>
      <c r="L899"/>
      <c r="M899" s="2" t="s">
        <v>1601</v>
      </c>
      <c r="P899" s="2" t="s">
        <v>1127</v>
      </c>
      <c r="Q899" t="s">
        <v>1127</v>
      </c>
    </row>
    <row r="900" spans="1:17" x14ac:dyDescent="0.2">
      <c r="A900" s="61" t="s">
        <v>777</v>
      </c>
      <c r="B900" s="61" t="str">
        <f t="shared" si="55"/>
        <v>ch08b</v>
      </c>
      <c r="C900" s="61" t="s">
        <v>4182</v>
      </c>
      <c r="D900" s="61" t="s">
        <v>1128</v>
      </c>
      <c r="E900" s="61" t="s">
        <v>1613</v>
      </c>
      <c r="F900" s="2">
        <v>2</v>
      </c>
      <c r="G900" s="2" t="str">
        <f t="shared" si="53"/>
        <v>b</v>
      </c>
      <c r="H900" s="2">
        <v>2008</v>
      </c>
      <c r="I900" s="2" t="str">
        <f t="shared" si="58"/>
        <v>ch08b086</v>
      </c>
      <c r="J900" s="2" t="s">
        <v>1614</v>
      </c>
      <c r="K900" s="8" t="s">
        <v>1600</v>
      </c>
      <c r="L900"/>
      <c r="M900" s="2" t="s">
        <v>1601</v>
      </c>
      <c r="P900" s="2" t="s">
        <v>1127</v>
      </c>
      <c r="Q900" t="s">
        <v>1127</v>
      </c>
    </row>
    <row r="901" spans="1:17" x14ac:dyDescent="0.2">
      <c r="A901" s="61" t="s">
        <v>777</v>
      </c>
      <c r="B901" s="61" t="str">
        <f t="shared" si="55"/>
        <v>ch09c</v>
      </c>
      <c r="C901" s="61" t="s">
        <v>4182</v>
      </c>
      <c r="D901" s="61" t="s">
        <v>1128</v>
      </c>
      <c r="E901" s="61" t="s">
        <v>1613</v>
      </c>
      <c r="F901" s="2">
        <v>3</v>
      </c>
      <c r="G901" s="2" t="str">
        <f t="shared" si="53"/>
        <v>c</v>
      </c>
      <c r="H901" s="2">
        <v>2009</v>
      </c>
      <c r="I901" s="2" t="str">
        <f t="shared" si="58"/>
        <v>ch09c086</v>
      </c>
      <c r="J901" s="2" t="s">
        <v>1614</v>
      </c>
      <c r="K901" s="8" t="s">
        <v>1600</v>
      </c>
      <c r="L901"/>
      <c r="M901" s="2" t="s">
        <v>1601</v>
      </c>
      <c r="P901" s="2" t="s">
        <v>1127</v>
      </c>
      <c r="Q901" t="s">
        <v>1127</v>
      </c>
    </row>
    <row r="902" spans="1:17" x14ac:dyDescent="0.2">
      <c r="A902" s="61" t="s">
        <v>777</v>
      </c>
      <c r="B902" s="61" t="str">
        <f t="shared" si="55"/>
        <v>ch10d</v>
      </c>
      <c r="C902" s="61" t="s">
        <v>4182</v>
      </c>
      <c r="D902" s="61" t="s">
        <v>1128</v>
      </c>
      <c r="E902" s="61" t="s">
        <v>1613</v>
      </c>
      <c r="F902" s="2">
        <v>4</v>
      </c>
      <c r="G902" s="2" t="str">
        <f t="shared" si="53"/>
        <v>d</v>
      </c>
      <c r="H902" s="2">
        <v>2010</v>
      </c>
      <c r="I902" s="2" t="str">
        <f t="shared" si="58"/>
        <v>ch10d086</v>
      </c>
      <c r="J902" s="2" t="s">
        <v>1614</v>
      </c>
      <c r="K902" s="8" t="s">
        <v>1600</v>
      </c>
      <c r="L902"/>
      <c r="M902" s="2" t="s">
        <v>1601</v>
      </c>
      <c r="P902" s="2" t="s">
        <v>1127</v>
      </c>
      <c r="Q902" t="s">
        <v>1127</v>
      </c>
    </row>
    <row r="903" spans="1:17" x14ac:dyDescent="0.2">
      <c r="A903" s="61" t="s">
        <v>777</v>
      </c>
      <c r="B903" s="61" t="str">
        <f t="shared" si="55"/>
        <v>ch11e</v>
      </c>
      <c r="C903" s="61" t="s">
        <v>4182</v>
      </c>
      <c r="D903" s="61" t="s">
        <v>1128</v>
      </c>
      <c r="E903" s="61" t="s">
        <v>1613</v>
      </c>
      <c r="F903" s="2">
        <v>5</v>
      </c>
      <c r="G903" s="2" t="str">
        <f t="shared" si="53"/>
        <v>e</v>
      </c>
      <c r="H903" s="2">
        <v>2011</v>
      </c>
      <c r="I903" s="2" t="str">
        <f t="shared" si="58"/>
        <v>ch11e086</v>
      </c>
      <c r="J903" s="2" t="s">
        <v>1614</v>
      </c>
      <c r="K903" s="8" t="s">
        <v>1600</v>
      </c>
      <c r="L903"/>
      <c r="M903" s="2" t="s">
        <v>1601</v>
      </c>
      <c r="P903" s="2" t="s">
        <v>1127</v>
      </c>
      <c r="Q903" t="s">
        <v>1127</v>
      </c>
    </row>
    <row r="904" spans="1:17" x14ac:dyDescent="0.2">
      <c r="A904" s="61" t="s">
        <v>777</v>
      </c>
      <c r="B904" s="61" t="str">
        <f t="shared" si="55"/>
        <v>ch12f</v>
      </c>
      <c r="C904" s="61" t="s">
        <v>4182</v>
      </c>
      <c r="D904" s="61" t="s">
        <v>1128</v>
      </c>
      <c r="E904" s="61" t="s">
        <v>1613</v>
      </c>
      <c r="F904" s="2">
        <v>6</v>
      </c>
      <c r="G904" s="2" t="str">
        <f t="shared" si="53"/>
        <v>f</v>
      </c>
      <c r="H904" s="2">
        <v>2012</v>
      </c>
      <c r="I904" s="2" t="str">
        <f t="shared" si="58"/>
        <v>ch12f086</v>
      </c>
      <c r="J904" s="2" t="s">
        <v>1614</v>
      </c>
      <c r="K904" s="8" t="s">
        <v>1600</v>
      </c>
      <c r="L904"/>
      <c r="M904" s="2" t="s">
        <v>1601</v>
      </c>
      <c r="P904" s="2" t="s">
        <v>1127</v>
      </c>
      <c r="Q904" t="s">
        <v>1127</v>
      </c>
    </row>
    <row r="905" spans="1:17" x14ac:dyDescent="0.2">
      <c r="A905" s="61" t="s">
        <v>777</v>
      </c>
      <c r="B905" s="61" t="str">
        <f t="shared" si="55"/>
        <v>ch13g</v>
      </c>
      <c r="C905" s="61" t="s">
        <v>4182</v>
      </c>
      <c r="D905" s="61" t="s">
        <v>1128</v>
      </c>
      <c r="E905" s="61" t="s">
        <v>1613</v>
      </c>
      <c r="F905" s="2">
        <v>7</v>
      </c>
      <c r="G905" s="2" t="str">
        <f t="shared" si="53"/>
        <v>g</v>
      </c>
      <c r="H905" s="2">
        <v>2013</v>
      </c>
      <c r="I905" s="2" t="str">
        <f t="shared" si="58"/>
        <v>ch13g086</v>
      </c>
      <c r="J905" s="2" t="s">
        <v>1614</v>
      </c>
      <c r="K905" s="8" t="s">
        <v>1600</v>
      </c>
      <c r="L905"/>
      <c r="M905" s="2" t="s">
        <v>1601</v>
      </c>
      <c r="P905" s="2" t="s">
        <v>1127</v>
      </c>
      <c r="Q905" t="s">
        <v>1127</v>
      </c>
    </row>
    <row r="906" spans="1:17" x14ac:dyDescent="0.2">
      <c r="A906" s="61" t="s">
        <v>777</v>
      </c>
      <c r="B906" s="61" t="str">
        <f t="shared" si="55"/>
        <v>ch15h</v>
      </c>
      <c r="C906" s="61" t="s">
        <v>4182</v>
      </c>
      <c r="D906" s="61" t="s">
        <v>1128</v>
      </c>
      <c r="E906" s="61" t="s">
        <v>1613</v>
      </c>
      <c r="F906" s="2">
        <v>8</v>
      </c>
      <c r="G906" s="2" t="str">
        <f t="shared" si="53"/>
        <v>h</v>
      </c>
      <c r="H906" s="2">
        <v>2015</v>
      </c>
      <c r="I906" s="2" t="str">
        <f t="shared" si="58"/>
        <v>ch15h086</v>
      </c>
      <c r="J906" s="2" t="s">
        <v>1614</v>
      </c>
      <c r="K906" s="8" t="s">
        <v>1600</v>
      </c>
      <c r="L906"/>
      <c r="M906" s="2" t="s">
        <v>1601</v>
      </c>
      <c r="P906" s="2" t="s">
        <v>1127</v>
      </c>
      <c r="Q906" t="s">
        <v>1127</v>
      </c>
    </row>
    <row r="907" spans="1:17" x14ac:dyDescent="0.2">
      <c r="A907" s="61" t="s">
        <v>777</v>
      </c>
      <c r="B907" s="61" t="str">
        <f t="shared" si="55"/>
        <v>ch16i</v>
      </c>
      <c r="C907" s="61" t="s">
        <v>4182</v>
      </c>
      <c r="D907" s="61" t="s">
        <v>1128</v>
      </c>
      <c r="E907" s="61" t="s">
        <v>1613</v>
      </c>
      <c r="F907" s="2">
        <v>9</v>
      </c>
      <c r="G907" s="2" t="str">
        <f t="shared" si="53"/>
        <v>i</v>
      </c>
      <c r="H907" s="2">
        <v>2016</v>
      </c>
      <c r="I907" s="2" t="str">
        <f t="shared" si="58"/>
        <v>ch16i086</v>
      </c>
      <c r="J907" s="2" t="s">
        <v>1614</v>
      </c>
      <c r="K907" s="8" t="s">
        <v>1600</v>
      </c>
      <c r="L907"/>
      <c r="M907" s="2" t="s">
        <v>1601</v>
      </c>
      <c r="P907" s="2" t="s">
        <v>1127</v>
      </c>
      <c r="Q907" t="s">
        <v>1127</v>
      </c>
    </row>
    <row r="908" spans="1:17" x14ac:dyDescent="0.2">
      <c r="A908" s="61" t="s">
        <v>777</v>
      </c>
      <c r="B908" s="61" t="str">
        <f t="shared" si="55"/>
        <v>ch17j</v>
      </c>
      <c r="C908" s="61" t="s">
        <v>4182</v>
      </c>
      <c r="D908" s="61" t="s">
        <v>1128</v>
      </c>
      <c r="E908" s="61" t="s">
        <v>1613</v>
      </c>
      <c r="F908" s="2">
        <v>10</v>
      </c>
      <c r="G908" s="2" t="str">
        <f t="shared" si="53"/>
        <v>j</v>
      </c>
      <c r="H908" s="2">
        <v>2017</v>
      </c>
      <c r="I908" s="2" t="str">
        <f t="shared" si="58"/>
        <v>ch17j086</v>
      </c>
      <c r="J908" s="2" t="s">
        <v>1614</v>
      </c>
      <c r="K908" s="8" t="s">
        <v>1600</v>
      </c>
      <c r="L908"/>
      <c r="M908" s="2" t="s">
        <v>1601</v>
      </c>
      <c r="P908" s="2" t="s">
        <v>1127</v>
      </c>
      <c r="Q908" t="s">
        <v>1127</v>
      </c>
    </row>
    <row r="909" spans="1:17" x14ac:dyDescent="0.2">
      <c r="A909" s="61" t="s">
        <v>777</v>
      </c>
      <c r="B909" s="61" t="str">
        <f t="shared" si="55"/>
        <v>ch18k</v>
      </c>
      <c r="C909" s="61" t="s">
        <v>4182</v>
      </c>
      <c r="D909" s="61" t="s">
        <v>1128</v>
      </c>
      <c r="E909" s="61" t="s">
        <v>1613</v>
      </c>
      <c r="F909" s="2">
        <v>11</v>
      </c>
      <c r="G909" s="2" t="str">
        <f t="shared" si="53"/>
        <v>k</v>
      </c>
      <c r="H909" s="2">
        <v>2018</v>
      </c>
      <c r="I909" s="2" t="str">
        <f t="shared" si="58"/>
        <v>ch18k086</v>
      </c>
      <c r="J909" s="2" t="s">
        <v>1614</v>
      </c>
      <c r="K909" s="8" t="s">
        <v>1600</v>
      </c>
      <c r="L909"/>
      <c r="M909" s="2" t="s">
        <v>1601</v>
      </c>
      <c r="P909" s="2" t="s">
        <v>1127</v>
      </c>
      <c r="Q909" t="s">
        <v>1127</v>
      </c>
    </row>
    <row r="910" spans="1:17" x14ac:dyDescent="0.2">
      <c r="A910" s="61" t="s">
        <v>777</v>
      </c>
      <c r="B910" s="61" t="str">
        <f t="shared" si="55"/>
        <v>ch07a</v>
      </c>
      <c r="C910" s="61" t="s">
        <v>4182</v>
      </c>
      <c r="D910" s="61" t="s">
        <v>1128</v>
      </c>
      <c r="E910" s="61" t="s">
        <v>1615</v>
      </c>
      <c r="F910" s="2">
        <v>1</v>
      </c>
      <c r="G910" s="2" t="str">
        <f t="shared" si="53"/>
        <v>a</v>
      </c>
      <c r="H910" s="2">
        <v>2007</v>
      </c>
      <c r="I910" s="2" t="str">
        <f t="shared" ref="I910:I920" si="59">B910&amp;"091"</f>
        <v>ch07a091</v>
      </c>
      <c r="J910" s="2" t="s">
        <v>1616</v>
      </c>
      <c r="K910" s="8" t="s">
        <v>1600</v>
      </c>
      <c r="L910"/>
      <c r="M910" s="2" t="s">
        <v>1601</v>
      </c>
      <c r="P910" s="2" t="s">
        <v>1127</v>
      </c>
      <c r="Q910" t="s">
        <v>1127</v>
      </c>
    </row>
    <row r="911" spans="1:17" x14ac:dyDescent="0.2">
      <c r="A911" s="61" t="s">
        <v>777</v>
      </c>
      <c r="B911" s="61" t="str">
        <f t="shared" si="55"/>
        <v>ch08b</v>
      </c>
      <c r="C911" s="61" t="s">
        <v>4182</v>
      </c>
      <c r="D911" s="61" t="s">
        <v>1128</v>
      </c>
      <c r="E911" s="61" t="s">
        <v>1615</v>
      </c>
      <c r="F911" s="2">
        <v>2</v>
      </c>
      <c r="G911" s="2" t="str">
        <f t="shared" si="53"/>
        <v>b</v>
      </c>
      <c r="H911" s="2">
        <v>2008</v>
      </c>
      <c r="I911" s="2" t="str">
        <f t="shared" si="59"/>
        <v>ch08b091</v>
      </c>
      <c r="J911" s="2" t="s">
        <v>1616</v>
      </c>
      <c r="K911" s="8" t="s">
        <v>1600</v>
      </c>
      <c r="L911"/>
      <c r="M911" s="2" t="s">
        <v>1601</v>
      </c>
      <c r="P911" s="2" t="s">
        <v>1127</v>
      </c>
      <c r="Q911" t="s">
        <v>1127</v>
      </c>
    </row>
    <row r="912" spans="1:17" x14ac:dyDescent="0.2">
      <c r="A912" s="61" t="s">
        <v>777</v>
      </c>
      <c r="B912" s="61" t="str">
        <f t="shared" si="55"/>
        <v>ch09c</v>
      </c>
      <c r="C912" s="61" t="s">
        <v>4182</v>
      </c>
      <c r="D912" s="61" t="s">
        <v>1128</v>
      </c>
      <c r="E912" s="61" t="s">
        <v>1615</v>
      </c>
      <c r="F912" s="2">
        <v>3</v>
      </c>
      <c r="G912" s="2" t="str">
        <f t="shared" si="53"/>
        <v>c</v>
      </c>
      <c r="H912" s="2">
        <v>2009</v>
      </c>
      <c r="I912" s="2" t="str">
        <f t="shared" si="59"/>
        <v>ch09c091</v>
      </c>
      <c r="J912" s="2" t="s">
        <v>1616</v>
      </c>
      <c r="K912" s="8" t="s">
        <v>1600</v>
      </c>
      <c r="L912"/>
      <c r="M912" s="2" t="s">
        <v>1601</v>
      </c>
      <c r="P912" s="2" t="s">
        <v>1127</v>
      </c>
      <c r="Q912" t="s">
        <v>1127</v>
      </c>
    </row>
    <row r="913" spans="1:17" x14ac:dyDescent="0.2">
      <c r="A913" s="61" t="s">
        <v>777</v>
      </c>
      <c r="B913" s="61" t="str">
        <f t="shared" si="55"/>
        <v>ch10d</v>
      </c>
      <c r="C913" s="61" t="s">
        <v>4182</v>
      </c>
      <c r="D913" s="61" t="s">
        <v>1128</v>
      </c>
      <c r="E913" s="61" t="s">
        <v>1615</v>
      </c>
      <c r="F913" s="2">
        <v>4</v>
      </c>
      <c r="G913" s="2" t="str">
        <f t="shared" si="53"/>
        <v>d</v>
      </c>
      <c r="H913" s="2">
        <v>2010</v>
      </c>
      <c r="I913" s="2" t="str">
        <f t="shared" si="59"/>
        <v>ch10d091</v>
      </c>
      <c r="J913" s="2" t="s">
        <v>1616</v>
      </c>
      <c r="K913" s="8" t="s">
        <v>1600</v>
      </c>
      <c r="L913"/>
      <c r="M913" s="2" t="s">
        <v>1601</v>
      </c>
      <c r="P913" s="2" t="s">
        <v>1127</v>
      </c>
      <c r="Q913" t="s">
        <v>1127</v>
      </c>
    </row>
    <row r="914" spans="1:17" x14ac:dyDescent="0.2">
      <c r="A914" s="61" t="s">
        <v>777</v>
      </c>
      <c r="B914" s="61" t="str">
        <f t="shared" si="55"/>
        <v>ch11e</v>
      </c>
      <c r="C914" s="61" t="s">
        <v>4182</v>
      </c>
      <c r="D914" s="61" t="s">
        <v>1128</v>
      </c>
      <c r="E914" s="61" t="s">
        <v>1615</v>
      </c>
      <c r="F914" s="2">
        <v>5</v>
      </c>
      <c r="G914" s="2" t="str">
        <f t="shared" si="53"/>
        <v>e</v>
      </c>
      <c r="H914" s="2">
        <v>2011</v>
      </c>
      <c r="I914" s="2" t="str">
        <f t="shared" si="59"/>
        <v>ch11e091</v>
      </c>
      <c r="J914" s="2" t="s">
        <v>1616</v>
      </c>
      <c r="K914" s="8" t="s">
        <v>1600</v>
      </c>
      <c r="L914"/>
      <c r="M914" s="2" t="s">
        <v>1601</v>
      </c>
      <c r="P914" s="2" t="s">
        <v>1127</v>
      </c>
      <c r="Q914" t="s">
        <v>1127</v>
      </c>
    </row>
    <row r="915" spans="1:17" x14ac:dyDescent="0.2">
      <c r="A915" s="61" t="s">
        <v>777</v>
      </c>
      <c r="B915" s="61" t="str">
        <f t="shared" si="55"/>
        <v>ch12f</v>
      </c>
      <c r="C915" s="61" t="s">
        <v>4182</v>
      </c>
      <c r="D915" s="61" t="s">
        <v>1128</v>
      </c>
      <c r="E915" s="61" t="s">
        <v>1615</v>
      </c>
      <c r="F915" s="2">
        <v>6</v>
      </c>
      <c r="G915" s="2" t="str">
        <f t="shared" si="53"/>
        <v>f</v>
      </c>
      <c r="H915" s="2">
        <v>2012</v>
      </c>
      <c r="I915" s="2" t="str">
        <f t="shared" si="59"/>
        <v>ch12f091</v>
      </c>
      <c r="J915" s="2" t="s">
        <v>1616</v>
      </c>
      <c r="K915" s="8" t="s">
        <v>1600</v>
      </c>
      <c r="L915"/>
      <c r="M915" s="2" t="s">
        <v>1601</v>
      </c>
      <c r="P915" s="2" t="s">
        <v>1127</v>
      </c>
      <c r="Q915" t="s">
        <v>1127</v>
      </c>
    </row>
    <row r="916" spans="1:17" x14ac:dyDescent="0.2">
      <c r="A916" s="61" t="s">
        <v>777</v>
      </c>
      <c r="B916" s="61" t="str">
        <f t="shared" si="55"/>
        <v>ch13g</v>
      </c>
      <c r="C916" s="61" t="s">
        <v>4182</v>
      </c>
      <c r="D916" s="61" t="s">
        <v>1128</v>
      </c>
      <c r="E916" s="61" t="s">
        <v>1615</v>
      </c>
      <c r="F916" s="2">
        <v>7</v>
      </c>
      <c r="G916" s="2" t="str">
        <f t="shared" si="53"/>
        <v>g</v>
      </c>
      <c r="H916" s="2">
        <v>2013</v>
      </c>
      <c r="I916" s="2" t="str">
        <f t="shared" si="59"/>
        <v>ch13g091</v>
      </c>
      <c r="J916" s="2" t="s">
        <v>1616</v>
      </c>
      <c r="K916" s="8" t="s">
        <v>1600</v>
      </c>
      <c r="L916"/>
      <c r="M916" s="2" t="s">
        <v>1601</v>
      </c>
      <c r="P916" s="2" t="s">
        <v>1127</v>
      </c>
      <c r="Q916" t="s">
        <v>1127</v>
      </c>
    </row>
    <row r="917" spans="1:17" x14ac:dyDescent="0.2">
      <c r="A917" s="61" t="s">
        <v>777</v>
      </c>
      <c r="B917" s="61" t="str">
        <f t="shared" si="55"/>
        <v>ch15h</v>
      </c>
      <c r="C917" s="61" t="s">
        <v>4182</v>
      </c>
      <c r="D917" s="61" t="s">
        <v>1128</v>
      </c>
      <c r="E917" s="61" t="s">
        <v>1615</v>
      </c>
      <c r="F917" s="2">
        <v>8</v>
      </c>
      <c r="G917" s="2" t="str">
        <f t="shared" si="53"/>
        <v>h</v>
      </c>
      <c r="H917" s="2">
        <v>2015</v>
      </c>
      <c r="I917" s="2" t="str">
        <f t="shared" si="59"/>
        <v>ch15h091</v>
      </c>
      <c r="J917" s="2" t="s">
        <v>1616</v>
      </c>
      <c r="K917" s="8" t="s">
        <v>1600</v>
      </c>
      <c r="L917"/>
      <c r="M917" s="2" t="s">
        <v>1601</v>
      </c>
      <c r="P917" s="2" t="s">
        <v>1127</v>
      </c>
      <c r="Q917" t="s">
        <v>1127</v>
      </c>
    </row>
    <row r="918" spans="1:17" x14ac:dyDescent="0.2">
      <c r="A918" s="61" t="s">
        <v>777</v>
      </c>
      <c r="B918" s="61" t="str">
        <f t="shared" si="55"/>
        <v>ch16i</v>
      </c>
      <c r="C918" s="61" t="s">
        <v>4182</v>
      </c>
      <c r="D918" s="61" t="s">
        <v>1128</v>
      </c>
      <c r="E918" s="61" t="s">
        <v>1615</v>
      </c>
      <c r="F918" s="2">
        <v>9</v>
      </c>
      <c r="G918" s="2" t="str">
        <f t="shared" si="53"/>
        <v>i</v>
      </c>
      <c r="H918" s="2">
        <v>2016</v>
      </c>
      <c r="I918" s="2" t="str">
        <f t="shared" si="59"/>
        <v>ch16i091</v>
      </c>
      <c r="J918" s="2" t="s">
        <v>1616</v>
      </c>
      <c r="K918" s="8" t="s">
        <v>1600</v>
      </c>
      <c r="L918"/>
      <c r="M918" s="2" t="s">
        <v>1601</v>
      </c>
      <c r="P918" s="2" t="s">
        <v>1127</v>
      </c>
      <c r="Q918" t="s">
        <v>1127</v>
      </c>
    </row>
    <row r="919" spans="1:17" x14ac:dyDescent="0.2">
      <c r="A919" s="61" t="s">
        <v>777</v>
      </c>
      <c r="B919" s="61" t="str">
        <f t="shared" si="55"/>
        <v>ch17j</v>
      </c>
      <c r="C919" s="61" t="s">
        <v>4182</v>
      </c>
      <c r="D919" s="61" t="s">
        <v>1128</v>
      </c>
      <c r="E919" s="61" t="s">
        <v>1615</v>
      </c>
      <c r="F919" s="2">
        <v>10</v>
      </c>
      <c r="G919" s="2" t="str">
        <f t="shared" si="53"/>
        <v>j</v>
      </c>
      <c r="H919" s="2">
        <v>2017</v>
      </c>
      <c r="I919" s="2" t="str">
        <f t="shared" si="59"/>
        <v>ch17j091</v>
      </c>
      <c r="J919" s="2" t="s">
        <v>1616</v>
      </c>
      <c r="K919" s="8" t="s">
        <v>1600</v>
      </c>
      <c r="L919"/>
      <c r="M919" s="2" t="s">
        <v>1601</v>
      </c>
      <c r="P919" s="2" t="s">
        <v>1127</v>
      </c>
      <c r="Q919" t="s">
        <v>1127</v>
      </c>
    </row>
    <row r="920" spans="1:17" x14ac:dyDescent="0.2">
      <c r="A920" s="61" t="s">
        <v>777</v>
      </c>
      <c r="B920" s="61" t="str">
        <f t="shared" si="55"/>
        <v>ch18k</v>
      </c>
      <c r="C920" s="61" t="s">
        <v>4182</v>
      </c>
      <c r="D920" s="61" t="s">
        <v>1128</v>
      </c>
      <c r="E920" s="61" t="s">
        <v>1615</v>
      </c>
      <c r="F920" s="2">
        <v>11</v>
      </c>
      <c r="G920" s="2" t="str">
        <f t="shared" si="53"/>
        <v>k</v>
      </c>
      <c r="H920" s="2">
        <v>2018</v>
      </c>
      <c r="I920" s="2" t="str">
        <f t="shared" si="59"/>
        <v>ch18k091</v>
      </c>
      <c r="J920" s="2" t="s">
        <v>1616</v>
      </c>
      <c r="K920" s="8" t="s">
        <v>1600</v>
      </c>
      <c r="L920"/>
      <c r="M920" s="2" t="s">
        <v>1601</v>
      </c>
      <c r="P920" s="2" t="s">
        <v>1127</v>
      </c>
      <c r="Q920" t="s">
        <v>1127</v>
      </c>
    </row>
    <row r="921" spans="1:17" x14ac:dyDescent="0.2">
      <c r="A921" s="61" t="s">
        <v>777</v>
      </c>
      <c r="B921" s="61" t="str">
        <f t="shared" si="55"/>
        <v>ch07a</v>
      </c>
      <c r="C921" s="61" t="s">
        <v>4182</v>
      </c>
      <c r="D921" s="61" t="s">
        <v>1128</v>
      </c>
      <c r="E921" s="61" t="s">
        <v>1318</v>
      </c>
      <c r="F921" s="2">
        <v>1</v>
      </c>
      <c r="G921" s="2" t="str">
        <f t="shared" si="53"/>
        <v>a</v>
      </c>
      <c r="H921" s="2">
        <v>2007</v>
      </c>
      <c r="I921" s="2" t="str">
        <f t="shared" ref="I921:I931" si="60">B921&amp;"084"</f>
        <v>ch07a084</v>
      </c>
      <c r="J921" s="2" t="s">
        <v>1617</v>
      </c>
      <c r="K921" s="8" t="s">
        <v>1600</v>
      </c>
      <c r="L921"/>
      <c r="M921" s="2" t="s">
        <v>1601</v>
      </c>
      <c r="P921" s="2" t="s">
        <v>1127</v>
      </c>
      <c r="Q921" t="s">
        <v>1127</v>
      </c>
    </row>
    <row r="922" spans="1:17" x14ac:dyDescent="0.2">
      <c r="A922" s="61" t="s">
        <v>777</v>
      </c>
      <c r="B922" s="61" t="str">
        <f t="shared" si="55"/>
        <v>ch08b</v>
      </c>
      <c r="C922" s="61" t="s">
        <v>4182</v>
      </c>
      <c r="D922" s="61" t="s">
        <v>1128</v>
      </c>
      <c r="E922" s="61" t="s">
        <v>1318</v>
      </c>
      <c r="F922" s="2">
        <v>2</v>
      </c>
      <c r="G922" s="2" t="str">
        <f t="shared" si="53"/>
        <v>b</v>
      </c>
      <c r="H922" s="2">
        <v>2008</v>
      </c>
      <c r="I922" s="2" t="str">
        <f t="shared" si="60"/>
        <v>ch08b084</v>
      </c>
      <c r="J922" s="2" t="s">
        <v>1617</v>
      </c>
      <c r="K922" s="8" t="s">
        <v>1600</v>
      </c>
      <c r="L922"/>
      <c r="M922" s="2" t="s">
        <v>1601</v>
      </c>
      <c r="P922" s="2" t="s">
        <v>1127</v>
      </c>
      <c r="Q922" t="s">
        <v>1127</v>
      </c>
    </row>
    <row r="923" spans="1:17" x14ac:dyDescent="0.2">
      <c r="A923" s="61" t="s">
        <v>777</v>
      </c>
      <c r="B923" s="61" t="str">
        <f t="shared" si="55"/>
        <v>ch09c</v>
      </c>
      <c r="C923" s="61" t="s">
        <v>4182</v>
      </c>
      <c r="D923" s="61" t="s">
        <v>1128</v>
      </c>
      <c r="E923" s="61" t="s">
        <v>1318</v>
      </c>
      <c r="F923" s="2">
        <v>3</v>
      </c>
      <c r="G923" s="2" t="str">
        <f t="shared" si="53"/>
        <v>c</v>
      </c>
      <c r="H923" s="2">
        <v>2009</v>
      </c>
      <c r="I923" s="2" t="str">
        <f t="shared" si="60"/>
        <v>ch09c084</v>
      </c>
      <c r="J923" s="2" t="s">
        <v>1617</v>
      </c>
      <c r="K923" s="8" t="s">
        <v>1600</v>
      </c>
      <c r="L923"/>
      <c r="M923" s="2" t="s">
        <v>1601</v>
      </c>
      <c r="P923" s="2" t="s">
        <v>1127</v>
      </c>
      <c r="Q923" t="s">
        <v>1127</v>
      </c>
    </row>
    <row r="924" spans="1:17" ht="18" customHeight="1" x14ac:dyDescent="0.2">
      <c r="A924" s="61" t="s">
        <v>777</v>
      </c>
      <c r="B924" s="61" t="str">
        <f t="shared" si="55"/>
        <v>ch10d</v>
      </c>
      <c r="C924" s="61" t="s">
        <v>4182</v>
      </c>
      <c r="D924" s="61" t="s">
        <v>1128</v>
      </c>
      <c r="E924" s="61" t="s">
        <v>1318</v>
      </c>
      <c r="F924" s="2">
        <v>4</v>
      </c>
      <c r="G924" s="2" t="str">
        <f t="shared" si="53"/>
        <v>d</v>
      </c>
      <c r="H924" s="2">
        <v>2010</v>
      </c>
      <c r="I924" s="2" t="str">
        <f t="shared" si="60"/>
        <v>ch10d084</v>
      </c>
      <c r="J924" s="2" t="s">
        <v>1617</v>
      </c>
      <c r="K924" s="8" t="s">
        <v>1600</v>
      </c>
      <c r="L924"/>
      <c r="M924" s="2" t="s">
        <v>1601</v>
      </c>
      <c r="P924" s="2" t="s">
        <v>1127</v>
      </c>
      <c r="Q924" t="s">
        <v>1127</v>
      </c>
    </row>
    <row r="925" spans="1:17" ht="18" customHeight="1" x14ac:dyDescent="0.2">
      <c r="A925" s="61" t="s">
        <v>777</v>
      </c>
      <c r="B925" s="61" t="str">
        <f t="shared" si="55"/>
        <v>ch11e</v>
      </c>
      <c r="C925" s="61" t="s">
        <v>4182</v>
      </c>
      <c r="D925" s="61" t="s">
        <v>1128</v>
      </c>
      <c r="E925" s="61" t="s">
        <v>1318</v>
      </c>
      <c r="F925" s="2">
        <v>5</v>
      </c>
      <c r="G925" s="2" t="str">
        <f t="shared" si="53"/>
        <v>e</v>
      </c>
      <c r="H925" s="2">
        <v>2011</v>
      </c>
      <c r="I925" s="2" t="str">
        <f t="shared" si="60"/>
        <v>ch11e084</v>
      </c>
      <c r="J925" s="2" t="s">
        <v>1617</v>
      </c>
      <c r="K925" s="8" t="s">
        <v>1600</v>
      </c>
      <c r="L925"/>
      <c r="M925" s="2" t="s">
        <v>1601</v>
      </c>
      <c r="P925" s="2" t="s">
        <v>1127</v>
      </c>
      <c r="Q925" t="s">
        <v>1127</v>
      </c>
    </row>
    <row r="926" spans="1:17" ht="18" customHeight="1" x14ac:dyDescent="0.2">
      <c r="A926" s="61" t="s">
        <v>777</v>
      </c>
      <c r="B926" s="61" t="str">
        <f t="shared" si="55"/>
        <v>ch12f</v>
      </c>
      <c r="C926" s="61" t="s">
        <v>4182</v>
      </c>
      <c r="D926" s="61" t="s">
        <v>1128</v>
      </c>
      <c r="E926" s="61" t="s">
        <v>1318</v>
      </c>
      <c r="F926" s="2">
        <v>6</v>
      </c>
      <c r="G926" s="2" t="str">
        <f t="shared" si="53"/>
        <v>f</v>
      </c>
      <c r="H926" s="2">
        <v>2012</v>
      </c>
      <c r="I926" s="2" t="str">
        <f t="shared" si="60"/>
        <v>ch12f084</v>
      </c>
      <c r="J926" s="2" t="s">
        <v>1617</v>
      </c>
      <c r="K926" s="8" t="s">
        <v>1600</v>
      </c>
      <c r="L926"/>
      <c r="M926" s="2" t="s">
        <v>1601</v>
      </c>
      <c r="P926" s="2" t="s">
        <v>1127</v>
      </c>
      <c r="Q926" t="s">
        <v>1127</v>
      </c>
    </row>
    <row r="927" spans="1:17" ht="18" customHeight="1" x14ac:dyDescent="0.2">
      <c r="A927" s="61" t="s">
        <v>777</v>
      </c>
      <c r="B927" s="61" t="str">
        <f t="shared" si="55"/>
        <v>ch13g</v>
      </c>
      <c r="C927" s="61" t="s">
        <v>4182</v>
      </c>
      <c r="D927" s="61" t="s">
        <v>1128</v>
      </c>
      <c r="E927" s="61" t="s">
        <v>1318</v>
      </c>
      <c r="F927" s="2">
        <v>7</v>
      </c>
      <c r="G927" s="2" t="str">
        <f t="shared" ref="G927:G942" si="61">MID("abcdefghijklmnopqrstuvwxyz",F927,1)</f>
        <v>g</v>
      </c>
      <c r="H927" s="2">
        <v>2013</v>
      </c>
      <c r="I927" s="2" t="str">
        <f t="shared" si="60"/>
        <v>ch13g084</v>
      </c>
      <c r="J927" s="2" t="s">
        <v>1617</v>
      </c>
      <c r="K927" s="8" t="s">
        <v>1600</v>
      </c>
      <c r="L927"/>
      <c r="M927" s="2" t="s">
        <v>1601</v>
      </c>
      <c r="P927" s="2" t="s">
        <v>1127</v>
      </c>
      <c r="Q927" t="s">
        <v>1127</v>
      </c>
    </row>
    <row r="928" spans="1:17" ht="18" customHeight="1" x14ac:dyDescent="0.2">
      <c r="A928" s="61" t="s">
        <v>777</v>
      </c>
      <c r="B928" s="61" t="str">
        <f t="shared" si="55"/>
        <v>ch15h</v>
      </c>
      <c r="C928" s="61" t="s">
        <v>4182</v>
      </c>
      <c r="D928" s="61" t="s">
        <v>1128</v>
      </c>
      <c r="E928" s="61" t="s">
        <v>1318</v>
      </c>
      <c r="F928" s="2">
        <v>8</v>
      </c>
      <c r="G928" s="2" t="str">
        <f t="shared" si="61"/>
        <v>h</v>
      </c>
      <c r="H928" s="2">
        <v>2015</v>
      </c>
      <c r="I928" s="2" t="str">
        <f t="shared" si="60"/>
        <v>ch15h084</v>
      </c>
      <c r="J928" s="2" t="s">
        <v>1617</v>
      </c>
      <c r="K928" s="8" t="s">
        <v>1600</v>
      </c>
      <c r="L928"/>
      <c r="M928" s="2" t="s">
        <v>1601</v>
      </c>
      <c r="P928" s="2" t="s">
        <v>1127</v>
      </c>
      <c r="Q928" t="s">
        <v>1127</v>
      </c>
    </row>
    <row r="929" spans="1:17" ht="18" customHeight="1" x14ac:dyDescent="0.2">
      <c r="A929" s="61" t="s">
        <v>777</v>
      </c>
      <c r="B929" s="61" t="str">
        <f t="shared" si="55"/>
        <v>ch16i</v>
      </c>
      <c r="C929" s="61" t="s">
        <v>4182</v>
      </c>
      <c r="D929" s="61" t="s">
        <v>1128</v>
      </c>
      <c r="E929" s="61" t="s">
        <v>1318</v>
      </c>
      <c r="F929" s="2">
        <v>9</v>
      </c>
      <c r="G929" s="2" t="str">
        <f t="shared" si="61"/>
        <v>i</v>
      </c>
      <c r="H929" s="2">
        <v>2016</v>
      </c>
      <c r="I929" s="2" t="str">
        <f t="shared" si="60"/>
        <v>ch16i084</v>
      </c>
      <c r="J929" s="2" t="s">
        <v>1617</v>
      </c>
      <c r="K929" s="8" t="s">
        <v>1600</v>
      </c>
      <c r="L929"/>
      <c r="M929" s="2" t="s">
        <v>1601</v>
      </c>
      <c r="P929" s="2" t="s">
        <v>1127</v>
      </c>
      <c r="Q929" t="s">
        <v>1127</v>
      </c>
    </row>
    <row r="930" spans="1:17" ht="18" customHeight="1" x14ac:dyDescent="0.2">
      <c r="A930" s="61" t="s">
        <v>777</v>
      </c>
      <c r="B930" s="61" t="str">
        <f t="shared" si="55"/>
        <v>ch17j</v>
      </c>
      <c r="C930" s="61" t="s">
        <v>4182</v>
      </c>
      <c r="D930" s="61" t="s">
        <v>1128</v>
      </c>
      <c r="E930" s="61" t="s">
        <v>1318</v>
      </c>
      <c r="F930" s="2">
        <v>10</v>
      </c>
      <c r="G930" s="2" t="str">
        <f t="shared" si="61"/>
        <v>j</v>
      </c>
      <c r="H930" s="2">
        <v>2017</v>
      </c>
      <c r="I930" s="2" t="str">
        <f t="shared" si="60"/>
        <v>ch17j084</v>
      </c>
      <c r="J930" s="2" t="s">
        <v>1617</v>
      </c>
      <c r="K930" s="8" t="s">
        <v>1600</v>
      </c>
      <c r="L930"/>
      <c r="M930" s="2" t="s">
        <v>1601</v>
      </c>
      <c r="P930" s="2" t="s">
        <v>1127</v>
      </c>
      <c r="Q930" t="s">
        <v>1127</v>
      </c>
    </row>
    <row r="931" spans="1:17" ht="18" customHeight="1" x14ac:dyDescent="0.2">
      <c r="A931" s="61" t="s">
        <v>777</v>
      </c>
      <c r="B931" s="61" t="str">
        <f t="shared" ref="B931:B942" si="62">"ch" &amp; RIGHT(H931, 2) &amp; G931</f>
        <v>ch18k</v>
      </c>
      <c r="C931" s="61" t="s">
        <v>4182</v>
      </c>
      <c r="D931" s="61" t="s">
        <v>1128</v>
      </c>
      <c r="E931" s="61" t="s">
        <v>1318</v>
      </c>
      <c r="F931" s="2">
        <v>11</v>
      </c>
      <c r="G931" s="2" t="str">
        <f t="shared" si="61"/>
        <v>k</v>
      </c>
      <c r="H931" s="2">
        <v>2018</v>
      </c>
      <c r="I931" s="2" t="str">
        <f t="shared" si="60"/>
        <v>ch18k084</v>
      </c>
      <c r="J931" s="2" t="s">
        <v>1617</v>
      </c>
      <c r="K931" s="8" t="s">
        <v>1600</v>
      </c>
      <c r="L931"/>
      <c r="M931" s="2" t="s">
        <v>1601</v>
      </c>
      <c r="P931" s="2" t="s">
        <v>1127</v>
      </c>
      <c r="Q931" t="s">
        <v>1127</v>
      </c>
    </row>
    <row r="932" spans="1:17" ht="18" customHeight="1" x14ac:dyDescent="0.2">
      <c r="A932" s="61" t="s">
        <v>777</v>
      </c>
      <c r="B932" s="61" t="str">
        <f t="shared" si="62"/>
        <v>ch07a</v>
      </c>
      <c r="C932" s="61" t="s">
        <v>4182</v>
      </c>
      <c r="D932" s="61" t="s">
        <v>1128</v>
      </c>
      <c r="E932" s="61" t="s">
        <v>1618</v>
      </c>
      <c r="F932" s="2">
        <v>1</v>
      </c>
      <c r="G932" s="2" t="str">
        <f t="shared" si="61"/>
        <v>a</v>
      </c>
      <c r="H932" s="2">
        <v>2007</v>
      </c>
      <c r="I932" s="2" t="str">
        <f t="shared" ref="I932:I942" si="63">B932&amp;"090"</f>
        <v>ch07a090</v>
      </c>
      <c r="J932" s="2" t="s">
        <v>1619</v>
      </c>
      <c r="K932" s="8" t="s">
        <v>1600</v>
      </c>
      <c r="L932"/>
      <c r="M932" s="2" t="s">
        <v>1601</v>
      </c>
      <c r="P932" s="2" t="s">
        <v>1127</v>
      </c>
      <c r="Q932" t="s">
        <v>1127</v>
      </c>
    </row>
    <row r="933" spans="1:17" ht="18" customHeight="1" x14ac:dyDescent="0.2">
      <c r="A933" s="61" t="s">
        <v>777</v>
      </c>
      <c r="B933" s="61" t="str">
        <f t="shared" si="62"/>
        <v>ch08b</v>
      </c>
      <c r="C933" s="61" t="s">
        <v>4182</v>
      </c>
      <c r="D933" s="61" t="s">
        <v>1128</v>
      </c>
      <c r="E933" s="61" t="s">
        <v>1618</v>
      </c>
      <c r="F933" s="2">
        <v>2</v>
      </c>
      <c r="G933" s="2" t="str">
        <f t="shared" si="61"/>
        <v>b</v>
      </c>
      <c r="H933" s="2">
        <v>2008</v>
      </c>
      <c r="I933" s="2" t="str">
        <f t="shared" si="63"/>
        <v>ch08b090</v>
      </c>
      <c r="J933" s="2" t="s">
        <v>1619</v>
      </c>
      <c r="K933" s="8" t="s">
        <v>1600</v>
      </c>
      <c r="L933"/>
      <c r="M933" s="2" t="s">
        <v>1601</v>
      </c>
      <c r="P933" s="2" t="s">
        <v>1127</v>
      </c>
      <c r="Q933" t="s">
        <v>1127</v>
      </c>
    </row>
    <row r="934" spans="1:17" ht="18" customHeight="1" x14ac:dyDescent="0.2">
      <c r="A934" s="61" t="s">
        <v>777</v>
      </c>
      <c r="B934" s="61" t="str">
        <f t="shared" si="62"/>
        <v>ch09c</v>
      </c>
      <c r="C934" s="61" t="s">
        <v>4182</v>
      </c>
      <c r="D934" s="61" t="s">
        <v>1128</v>
      </c>
      <c r="E934" s="61" t="s">
        <v>1618</v>
      </c>
      <c r="F934" s="2">
        <v>3</v>
      </c>
      <c r="G934" s="2" t="str">
        <f t="shared" si="61"/>
        <v>c</v>
      </c>
      <c r="H934" s="2">
        <v>2009</v>
      </c>
      <c r="I934" s="2" t="str">
        <f t="shared" si="63"/>
        <v>ch09c090</v>
      </c>
      <c r="J934" s="2" t="s">
        <v>1619</v>
      </c>
      <c r="K934" s="8" t="s">
        <v>1600</v>
      </c>
      <c r="L934"/>
      <c r="M934" s="2" t="s">
        <v>1601</v>
      </c>
      <c r="P934" s="2" t="s">
        <v>1127</v>
      </c>
      <c r="Q934" t="s">
        <v>1127</v>
      </c>
    </row>
    <row r="935" spans="1:17" ht="18" customHeight="1" x14ac:dyDescent="0.2">
      <c r="A935" s="61" t="s">
        <v>777</v>
      </c>
      <c r="B935" s="61" t="str">
        <f t="shared" si="62"/>
        <v>ch10d</v>
      </c>
      <c r="C935" s="61" t="s">
        <v>4182</v>
      </c>
      <c r="D935" s="61" t="s">
        <v>1128</v>
      </c>
      <c r="E935" s="61" t="s">
        <v>1618</v>
      </c>
      <c r="F935" s="2">
        <v>4</v>
      </c>
      <c r="G935" s="2" t="str">
        <f t="shared" si="61"/>
        <v>d</v>
      </c>
      <c r="H935" s="2">
        <v>2010</v>
      </c>
      <c r="I935" s="2" t="str">
        <f t="shared" si="63"/>
        <v>ch10d090</v>
      </c>
      <c r="J935" s="2" t="s">
        <v>1619</v>
      </c>
      <c r="K935" s="8" t="s">
        <v>1600</v>
      </c>
      <c r="L935"/>
      <c r="M935" s="2" t="s">
        <v>1601</v>
      </c>
      <c r="P935" s="2" t="s">
        <v>1127</v>
      </c>
      <c r="Q935" t="s">
        <v>1127</v>
      </c>
    </row>
    <row r="936" spans="1:17" ht="18" customHeight="1" x14ac:dyDescent="0.2">
      <c r="A936" s="61" t="s">
        <v>777</v>
      </c>
      <c r="B936" s="61" t="str">
        <f t="shared" si="62"/>
        <v>ch11e</v>
      </c>
      <c r="C936" s="61" t="s">
        <v>4182</v>
      </c>
      <c r="D936" s="61" t="s">
        <v>1128</v>
      </c>
      <c r="E936" s="61" t="s">
        <v>1618</v>
      </c>
      <c r="F936" s="2">
        <v>5</v>
      </c>
      <c r="G936" s="2" t="str">
        <f t="shared" si="61"/>
        <v>e</v>
      </c>
      <c r="H936" s="2">
        <v>2011</v>
      </c>
      <c r="I936" s="2" t="str">
        <f t="shared" si="63"/>
        <v>ch11e090</v>
      </c>
      <c r="J936" s="2" t="s">
        <v>1619</v>
      </c>
      <c r="K936" s="8" t="s">
        <v>1600</v>
      </c>
      <c r="L936"/>
      <c r="M936" s="2" t="s">
        <v>1601</v>
      </c>
      <c r="P936" s="2" t="s">
        <v>1127</v>
      </c>
      <c r="Q936" t="s">
        <v>1127</v>
      </c>
    </row>
    <row r="937" spans="1:17" ht="18" customHeight="1" x14ac:dyDescent="0.2">
      <c r="A937" s="61" t="s">
        <v>777</v>
      </c>
      <c r="B937" s="61" t="str">
        <f t="shared" si="62"/>
        <v>ch12f</v>
      </c>
      <c r="C937" s="61" t="s">
        <v>4182</v>
      </c>
      <c r="D937" s="61" t="s">
        <v>1128</v>
      </c>
      <c r="E937" s="61" t="s">
        <v>1618</v>
      </c>
      <c r="F937" s="2">
        <v>6</v>
      </c>
      <c r="G937" s="2" t="str">
        <f t="shared" si="61"/>
        <v>f</v>
      </c>
      <c r="H937" s="2">
        <v>2012</v>
      </c>
      <c r="I937" s="2" t="str">
        <f t="shared" si="63"/>
        <v>ch12f090</v>
      </c>
      <c r="J937" s="2" t="s">
        <v>1619</v>
      </c>
      <c r="K937" s="8" t="s">
        <v>1600</v>
      </c>
      <c r="L937"/>
      <c r="M937" s="2" t="s">
        <v>1601</v>
      </c>
      <c r="P937" s="2" t="s">
        <v>1127</v>
      </c>
      <c r="Q937" t="s">
        <v>1127</v>
      </c>
    </row>
    <row r="938" spans="1:17" ht="18" customHeight="1" x14ac:dyDescent="0.2">
      <c r="A938" s="61" t="s">
        <v>777</v>
      </c>
      <c r="B938" s="61" t="str">
        <f t="shared" si="62"/>
        <v>ch13g</v>
      </c>
      <c r="C938" s="61" t="s">
        <v>4182</v>
      </c>
      <c r="D938" s="61" t="s">
        <v>1128</v>
      </c>
      <c r="E938" s="61" t="s">
        <v>1618</v>
      </c>
      <c r="F938" s="2">
        <v>7</v>
      </c>
      <c r="G938" s="2" t="str">
        <f t="shared" si="61"/>
        <v>g</v>
      </c>
      <c r="H938" s="2">
        <v>2013</v>
      </c>
      <c r="I938" s="2" t="str">
        <f t="shared" si="63"/>
        <v>ch13g090</v>
      </c>
      <c r="J938" s="2" t="s">
        <v>1619</v>
      </c>
      <c r="K938" s="8" t="s">
        <v>1600</v>
      </c>
      <c r="L938"/>
      <c r="M938" s="2" t="s">
        <v>1601</v>
      </c>
      <c r="P938" s="2" t="s">
        <v>1127</v>
      </c>
      <c r="Q938" t="s">
        <v>1127</v>
      </c>
    </row>
    <row r="939" spans="1:17" ht="18" customHeight="1" x14ac:dyDescent="0.2">
      <c r="A939" s="61" t="s">
        <v>777</v>
      </c>
      <c r="B939" s="61" t="str">
        <f t="shared" si="62"/>
        <v>ch15h</v>
      </c>
      <c r="C939" s="61" t="s">
        <v>4182</v>
      </c>
      <c r="D939" s="61" t="s">
        <v>1128</v>
      </c>
      <c r="E939" s="61" t="s">
        <v>1618</v>
      </c>
      <c r="F939" s="2">
        <v>8</v>
      </c>
      <c r="G939" s="2" t="str">
        <f t="shared" si="61"/>
        <v>h</v>
      </c>
      <c r="H939" s="2">
        <v>2015</v>
      </c>
      <c r="I939" s="2" t="str">
        <f t="shared" si="63"/>
        <v>ch15h090</v>
      </c>
      <c r="J939" s="2" t="s">
        <v>1619</v>
      </c>
      <c r="K939" s="8" t="s">
        <v>1600</v>
      </c>
      <c r="L939"/>
      <c r="M939" s="2" t="s">
        <v>1601</v>
      </c>
      <c r="P939" s="2" t="s">
        <v>1127</v>
      </c>
      <c r="Q939" t="s">
        <v>1127</v>
      </c>
    </row>
    <row r="940" spans="1:17" ht="18" customHeight="1" x14ac:dyDescent="0.2">
      <c r="A940" s="61" t="s">
        <v>777</v>
      </c>
      <c r="B940" s="61" t="str">
        <f t="shared" si="62"/>
        <v>ch16i</v>
      </c>
      <c r="C940" s="61" t="s">
        <v>4182</v>
      </c>
      <c r="D940" s="61" t="s">
        <v>1128</v>
      </c>
      <c r="E940" s="61" t="s">
        <v>1618</v>
      </c>
      <c r="F940" s="2">
        <v>9</v>
      </c>
      <c r="G940" s="2" t="str">
        <f t="shared" si="61"/>
        <v>i</v>
      </c>
      <c r="H940" s="2">
        <v>2016</v>
      </c>
      <c r="I940" s="2" t="str">
        <f t="shared" si="63"/>
        <v>ch16i090</v>
      </c>
      <c r="J940" s="2" t="s">
        <v>1619</v>
      </c>
      <c r="K940" s="8" t="s">
        <v>1600</v>
      </c>
      <c r="L940"/>
      <c r="M940" s="2" t="s">
        <v>1601</v>
      </c>
      <c r="P940" s="2" t="s">
        <v>1127</v>
      </c>
      <c r="Q940" t="s">
        <v>1127</v>
      </c>
    </row>
    <row r="941" spans="1:17" ht="18" customHeight="1" x14ac:dyDescent="0.2">
      <c r="A941" s="61" t="s">
        <v>777</v>
      </c>
      <c r="B941" s="61" t="str">
        <f t="shared" si="62"/>
        <v>ch17j</v>
      </c>
      <c r="C941" s="61" t="s">
        <v>4182</v>
      </c>
      <c r="D941" s="61" t="s">
        <v>1128</v>
      </c>
      <c r="E941" s="61" t="s">
        <v>1618</v>
      </c>
      <c r="F941" s="2">
        <v>10</v>
      </c>
      <c r="G941" s="2" t="str">
        <f t="shared" si="61"/>
        <v>j</v>
      </c>
      <c r="H941" s="2">
        <v>2017</v>
      </c>
      <c r="I941" s="2" t="str">
        <f t="shared" si="63"/>
        <v>ch17j090</v>
      </c>
      <c r="J941" s="2" t="s">
        <v>1619</v>
      </c>
      <c r="K941" s="8" t="s">
        <v>1600</v>
      </c>
      <c r="L941"/>
      <c r="M941" s="2" t="s">
        <v>1601</v>
      </c>
      <c r="P941" s="2" t="s">
        <v>1127</v>
      </c>
      <c r="Q941" t="s">
        <v>1127</v>
      </c>
    </row>
    <row r="942" spans="1:17" ht="18" customHeight="1" x14ac:dyDescent="0.2">
      <c r="A942" s="61" t="s">
        <v>777</v>
      </c>
      <c r="B942" s="61" t="str">
        <f t="shared" si="62"/>
        <v>ch18k</v>
      </c>
      <c r="C942" s="61" t="s">
        <v>4182</v>
      </c>
      <c r="D942" s="61" t="s">
        <v>1128</v>
      </c>
      <c r="E942" s="61" t="s">
        <v>1618</v>
      </c>
      <c r="F942" s="2">
        <v>11</v>
      </c>
      <c r="G942" s="2" t="str">
        <f t="shared" si="61"/>
        <v>k</v>
      </c>
      <c r="H942" s="2">
        <v>2018</v>
      </c>
      <c r="I942" s="2" t="str">
        <f t="shared" si="63"/>
        <v>ch18k090</v>
      </c>
      <c r="J942" s="2" t="s">
        <v>1619</v>
      </c>
      <c r="K942" s="8" t="s">
        <v>1600</v>
      </c>
      <c r="L942"/>
      <c r="M942" s="2" t="s">
        <v>1601</v>
      </c>
      <c r="P942" s="2" t="s">
        <v>1127</v>
      </c>
      <c r="Q942" t="s">
        <v>1127</v>
      </c>
    </row>
    <row r="943" spans="1:17" ht="18" customHeight="1" x14ac:dyDescent="0.2">
      <c r="A943" s="64" t="s">
        <v>777</v>
      </c>
      <c r="B943" s="64" t="s">
        <v>3896</v>
      </c>
      <c r="C943" s="64" t="s">
        <v>4182</v>
      </c>
      <c r="D943" s="64" t="s">
        <v>1637</v>
      </c>
      <c r="E943" s="64" t="s">
        <v>1637</v>
      </c>
      <c r="F943" s="2"/>
      <c r="G943" s="2"/>
      <c r="H943" s="2">
        <v>2007</v>
      </c>
      <c r="I943" s="2" t="s">
        <v>3971</v>
      </c>
      <c r="J943" s="2" t="s">
        <v>3967</v>
      </c>
      <c r="K943" s="2" t="s">
        <v>3968</v>
      </c>
      <c r="L943"/>
      <c r="M943" s="2" t="s">
        <v>3969</v>
      </c>
      <c r="P943" s="2" t="s">
        <v>1527</v>
      </c>
      <c r="Q943" t="s">
        <v>3462</v>
      </c>
    </row>
    <row r="944" spans="1:17" ht="18" customHeight="1" x14ac:dyDescent="0.2">
      <c r="A944" s="64" t="s">
        <v>777</v>
      </c>
      <c r="B944" s="64" t="s">
        <v>3894</v>
      </c>
      <c r="C944" s="64" t="s">
        <v>4182</v>
      </c>
      <c r="D944" s="64" t="s">
        <v>1637</v>
      </c>
      <c r="E944" s="64" t="s">
        <v>1637</v>
      </c>
      <c r="F944" s="2"/>
      <c r="G944" s="2"/>
      <c r="H944" s="2">
        <v>2008</v>
      </c>
      <c r="I944" s="2" t="s">
        <v>3970</v>
      </c>
      <c r="J944" s="2" t="s">
        <v>3967</v>
      </c>
      <c r="K944" s="2" t="s">
        <v>3968</v>
      </c>
      <c r="L944"/>
      <c r="M944" s="2" t="s">
        <v>3969</v>
      </c>
      <c r="P944" s="2" t="s">
        <v>1527</v>
      </c>
      <c r="Q944" t="s">
        <v>3462</v>
      </c>
    </row>
    <row r="945" spans="1:17" ht="18" customHeight="1" x14ac:dyDescent="0.2">
      <c r="A945" s="64" t="s">
        <v>777</v>
      </c>
      <c r="B945" s="64" t="s">
        <v>3888</v>
      </c>
      <c r="C945" s="64" t="s">
        <v>4182</v>
      </c>
      <c r="D945" s="64" t="s">
        <v>1637</v>
      </c>
      <c r="E945" s="64" t="s">
        <v>1637</v>
      </c>
      <c r="F945" s="2"/>
      <c r="G945" s="2"/>
      <c r="H945" s="2">
        <v>2009</v>
      </c>
      <c r="I945" s="2" t="s">
        <v>3966</v>
      </c>
      <c r="J945" s="2" t="s">
        <v>3967</v>
      </c>
      <c r="K945" s="2" t="s">
        <v>3968</v>
      </c>
      <c r="L945"/>
      <c r="M945" s="2" t="s">
        <v>3969</v>
      </c>
      <c r="P945" s="2" t="s">
        <v>1527</v>
      </c>
      <c r="Q945" t="s">
        <v>3462</v>
      </c>
    </row>
    <row r="946" spans="1:17" ht="18" customHeight="1" x14ac:dyDescent="0.2">
      <c r="A946" s="64" t="s">
        <v>777</v>
      </c>
      <c r="B946" s="64" t="s">
        <v>3898</v>
      </c>
      <c r="C946" s="64" t="s">
        <v>4182</v>
      </c>
      <c r="D946" s="64" t="s">
        <v>1637</v>
      </c>
      <c r="E946" s="64" t="s">
        <v>1637</v>
      </c>
      <c r="F946" s="2"/>
      <c r="G946" s="2"/>
      <c r="H946" s="2">
        <v>2010</v>
      </c>
      <c r="I946" s="2" t="s">
        <v>3972</v>
      </c>
      <c r="J946" s="2" t="s">
        <v>3967</v>
      </c>
      <c r="K946" s="2" t="s">
        <v>3968</v>
      </c>
      <c r="L946"/>
      <c r="M946" s="2" t="s">
        <v>3969</v>
      </c>
      <c r="P946" s="2" t="s">
        <v>1527</v>
      </c>
      <c r="Q946" t="s">
        <v>3462</v>
      </c>
    </row>
    <row r="947" spans="1:17" ht="18" customHeight="1" x14ac:dyDescent="0.2">
      <c r="A947" s="64" t="s">
        <v>777</v>
      </c>
      <c r="B947" s="64" t="s">
        <v>3900</v>
      </c>
      <c r="C947" s="64" t="s">
        <v>4182</v>
      </c>
      <c r="D947" s="64" t="s">
        <v>1637</v>
      </c>
      <c r="E947" s="64" t="s">
        <v>1637</v>
      </c>
      <c r="F947" s="2"/>
      <c r="G947" s="2"/>
      <c r="H947" s="2">
        <v>2011</v>
      </c>
      <c r="I947" s="2" t="s">
        <v>3973</v>
      </c>
      <c r="J947" s="2" t="s">
        <v>3967</v>
      </c>
      <c r="K947" s="2" t="s">
        <v>3968</v>
      </c>
      <c r="L947"/>
      <c r="M947" s="2" t="s">
        <v>3969</v>
      </c>
      <c r="P947" s="2" t="s">
        <v>1527</v>
      </c>
      <c r="Q947" t="s">
        <v>3462</v>
      </c>
    </row>
    <row r="948" spans="1:17" ht="18" customHeight="1" x14ac:dyDescent="0.2">
      <c r="A948" s="64" t="s">
        <v>777</v>
      </c>
      <c r="B948" s="64" t="s">
        <v>3902</v>
      </c>
      <c r="C948" s="64" t="s">
        <v>4182</v>
      </c>
      <c r="D948" s="64" t="s">
        <v>1637</v>
      </c>
      <c r="E948" s="64" t="s">
        <v>1637</v>
      </c>
      <c r="F948" s="2"/>
      <c r="G948" s="2"/>
      <c r="H948" s="2">
        <v>2012</v>
      </c>
      <c r="I948" s="2" t="s">
        <v>3974</v>
      </c>
      <c r="J948" s="2" t="s">
        <v>3967</v>
      </c>
      <c r="K948" s="2" t="s">
        <v>3968</v>
      </c>
      <c r="L948"/>
      <c r="M948" s="2" t="s">
        <v>3969</v>
      </c>
      <c r="P948" s="2" t="s">
        <v>1527</v>
      </c>
      <c r="Q948" t="s">
        <v>3462</v>
      </c>
    </row>
    <row r="949" spans="1:17" ht="18" customHeight="1" x14ac:dyDescent="0.2">
      <c r="A949" s="64" t="s">
        <v>777</v>
      </c>
      <c r="B949" s="64" t="s">
        <v>3904</v>
      </c>
      <c r="C949" s="64" t="s">
        <v>4182</v>
      </c>
      <c r="D949" s="64" t="s">
        <v>1637</v>
      </c>
      <c r="E949" s="64" t="s">
        <v>1637</v>
      </c>
      <c r="F949" s="2"/>
      <c r="G949" s="2"/>
      <c r="H949" s="2">
        <v>2013</v>
      </c>
      <c r="I949" s="2" t="s">
        <v>3975</v>
      </c>
      <c r="J949" s="2" t="s">
        <v>3967</v>
      </c>
      <c r="K949" s="2" t="s">
        <v>3968</v>
      </c>
      <c r="L949"/>
      <c r="M949" s="2" t="s">
        <v>3969</v>
      </c>
      <c r="P949" s="2" t="s">
        <v>1527</v>
      </c>
      <c r="Q949" t="s">
        <v>3462</v>
      </c>
    </row>
    <row r="950" spans="1:17" ht="18" customHeight="1" x14ac:dyDescent="0.2">
      <c r="A950" s="64" t="s">
        <v>777</v>
      </c>
      <c r="B950" s="64" t="s">
        <v>3906</v>
      </c>
      <c r="C950" s="64" t="s">
        <v>4182</v>
      </c>
      <c r="D950" s="64" t="s">
        <v>1637</v>
      </c>
      <c r="E950" s="64" t="s">
        <v>1637</v>
      </c>
      <c r="F950" s="2"/>
      <c r="G950" s="2"/>
      <c r="H950" s="2">
        <v>2015</v>
      </c>
      <c r="I950" s="2" t="s">
        <v>3976</v>
      </c>
      <c r="J950" s="2" t="s">
        <v>3967</v>
      </c>
      <c r="K950" s="2" t="s">
        <v>3968</v>
      </c>
      <c r="L950"/>
      <c r="M950" s="2" t="s">
        <v>3969</v>
      </c>
      <c r="P950" s="2" t="s">
        <v>1527</v>
      </c>
      <c r="Q950" t="s">
        <v>3462</v>
      </c>
    </row>
    <row r="951" spans="1:17" ht="18" customHeight="1" x14ac:dyDescent="0.2">
      <c r="A951" s="64" t="s">
        <v>777</v>
      </c>
      <c r="B951" s="64" t="s">
        <v>3908</v>
      </c>
      <c r="C951" s="64" t="s">
        <v>4182</v>
      </c>
      <c r="D951" s="64" t="s">
        <v>1637</v>
      </c>
      <c r="E951" s="64" t="s">
        <v>1637</v>
      </c>
      <c r="F951" s="2"/>
      <c r="G951" s="2"/>
      <c r="H951" s="2">
        <v>2016</v>
      </c>
      <c r="I951" s="2" t="s">
        <v>3977</v>
      </c>
      <c r="J951" s="2" t="s">
        <v>3967</v>
      </c>
      <c r="K951" s="2" t="s">
        <v>3968</v>
      </c>
      <c r="L951"/>
      <c r="M951" s="2" t="s">
        <v>3969</v>
      </c>
      <c r="P951" s="2" t="s">
        <v>1527</v>
      </c>
      <c r="Q951" t="s">
        <v>3462</v>
      </c>
    </row>
    <row r="952" spans="1:17" ht="18" customHeight="1" x14ac:dyDescent="0.2">
      <c r="A952" s="64" t="s">
        <v>777</v>
      </c>
      <c r="B952" s="64" t="s">
        <v>3910</v>
      </c>
      <c r="C952" s="64" t="s">
        <v>4182</v>
      </c>
      <c r="D952" s="64" t="s">
        <v>1637</v>
      </c>
      <c r="E952" s="64" t="s">
        <v>1637</v>
      </c>
      <c r="F952" s="2"/>
      <c r="G952" s="2"/>
      <c r="H952" s="2">
        <v>2017</v>
      </c>
      <c r="I952" s="2" t="s">
        <v>3978</v>
      </c>
      <c r="J952" s="2" t="s">
        <v>3967</v>
      </c>
      <c r="K952" s="2" t="s">
        <v>3968</v>
      </c>
      <c r="L952"/>
      <c r="M952" s="2" t="s">
        <v>3969</v>
      </c>
      <c r="P952" s="2" t="s">
        <v>1527</v>
      </c>
      <c r="Q952" t="s">
        <v>3462</v>
      </c>
    </row>
    <row r="953" spans="1:17" ht="18" customHeight="1" x14ac:dyDescent="0.2">
      <c r="A953" s="69" t="s">
        <v>777</v>
      </c>
      <c r="B953" s="69" t="s">
        <v>3868</v>
      </c>
      <c r="C953" s="69" t="s">
        <v>4182</v>
      </c>
      <c r="D953" s="69" t="s">
        <v>1639</v>
      </c>
      <c r="E953" s="69" t="s">
        <v>4022</v>
      </c>
      <c r="F953" s="2">
        <v>1</v>
      </c>
      <c r="G953" s="2" t="str">
        <f t="shared" ref="G953:G984" si="64">LEFT(RIGHT(I953,4),1)</f>
        <v>a</v>
      </c>
      <c r="H953" s="2">
        <f t="shared" ref="H953:H984" si="65">F953+2007</f>
        <v>2008</v>
      </c>
      <c r="I953" s="2" t="s">
        <v>4023</v>
      </c>
      <c r="J953" s="2" t="s">
        <v>4024</v>
      </c>
      <c r="K953" s="2" t="s">
        <v>4025</v>
      </c>
      <c r="L953"/>
      <c r="M953" s="2" t="s">
        <v>3788</v>
      </c>
      <c r="P953" s="2" t="s">
        <v>1527</v>
      </c>
      <c r="Q953" t="s">
        <v>3462</v>
      </c>
    </row>
    <row r="954" spans="1:17" ht="18" customHeight="1" x14ac:dyDescent="0.2">
      <c r="A954" s="69" t="s">
        <v>777</v>
      </c>
      <c r="B954" s="69" t="s">
        <v>3871</v>
      </c>
      <c r="C954" s="69" t="s">
        <v>4182</v>
      </c>
      <c r="D954" s="69" t="s">
        <v>1639</v>
      </c>
      <c r="E954" s="69" t="s">
        <v>4022</v>
      </c>
      <c r="F954" s="2">
        <v>2</v>
      </c>
      <c r="G954" s="2" t="str">
        <f t="shared" si="64"/>
        <v>b</v>
      </c>
      <c r="H954" s="2">
        <f t="shared" si="65"/>
        <v>2009</v>
      </c>
      <c r="I954" s="2" t="s">
        <v>4026</v>
      </c>
      <c r="J954" s="2" t="s">
        <v>4024</v>
      </c>
      <c r="K954" s="2" t="s">
        <v>4025</v>
      </c>
      <c r="L954"/>
      <c r="M954" s="2" t="s">
        <v>3788</v>
      </c>
      <c r="P954" s="2" t="s">
        <v>1527</v>
      </c>
      <c r="Q954" t="s">
        <v>3462</v>
      </c>
    </row>
    <row r="955" spans="1:17" ht="18" customHeight="1" x14ac:dyDescent="0.2">
      <c r="A955" s="69" t="s">
        <v>777</v>
      </c>
      <c r="B955" s="69" t="s">
        <v>3873</v>
      </c>
      <c r="C955" s="69" t="s">
        <v>4182</v>
      </c>
      <c r="D955" s="69" t="s">
        <v>1639</v>
      </c>
      <c r="E955" s="69" t="s">
        <v>4022</v>
      </c>
      <c r="F955" s="2">
        <v>3</v>
      </c>
      <c r="G955" s="2" t="str">
        <f t="shared" si="64"/>
        <v>c</v>
      </c>
      <c r="H955" s="2">
        <f t="shared" si="65"/>
        <v>2010</v>
      </c>
      <c r="I955" s="2" t="s">
        <v>4027</v>
      </c>
      <c r="J955" s="2" t="s">
        <v>4024</v>
      </c>
      <c r="K955" s="2" t="s">
        <v>4025</v>
      </c>
      <c r="L955"/>
      <c r="M955" s="2" t="s">
        <v>3788</v>
      </c>
      <c r="P955" s="2" t="s">
        <v>1527</v>
      </c>
      <c r="Q955" t="s">
        <v>3462</v>
      </c>
    </row>
    <row r="956" spans="1:17" ht="18" customHeight="1" x14ac:dyDescent="0.2">
      <c r="A956" s="69" t="s">
        <v>777</v>
      </c>
      <c r="B956" s="69" t="s">
        <v>3875</v>
      </c>
      <c r="C956" s="69" t="s">
        <v>4182</v>
      </c>
      <c r="D956" s="69" t="s">
        <v>1639</v>
      </c>
      <c r="E956" s="69" t="s">
        <v>4022</v>
      </c>
      <c r="F956" s="2">
        <v>4</v>
      </c>
      <c r="G956" s="2" t="str">
        <f t="shared" si="64"/>
        <v>d</v>
      </c>
      <c r="H956" s="2">
        <f t="shared" si="65"/>
        <v>2011</v>
      </c>
      <c r="I956" s="2" t="s">
        <v>4028</v>
      </c>
      <c r="J956" s="2" t="s">
        <v>4024</v>
      </c>
      <c r="K956" s="2" t="s">
        <v>4025</v>
      </c>
      <c r="L956"/>
      <c r="M956" s="2" t="s">
        <v>3788</v>
      </c>
      <c r="P956" s="2" t="s">
        <v>1527</v>
      </c>
      <c r="Q956" t="s">
        <v>3462</v>
      </c>
    </row>
    <row r="957" spans="1:17" ht="18" customHeight="1" x14ac:dyDescent="0.2">
      <c r="A957" s="69" t="s">
        <v>777</v>
      </c>
      <c r="B957" s="69" t="s">
        <v>3877</v>
      </c>
      <c r="C957" s="69" t="s">
        <v>4182</v>
      </c>
      <c r="D957" s="69" t="s">
        <v>1639</v>
      </c>
      <c r="E957" s="69" t="s">
        <v>4022</v>
      </c>
      <c r="F957" s="2">
        <v>5</v>
      </c>
      <c r="G957" s="2" t="str">
        <f t="shared" si="64"/>
        <v>e</v>
      </c>
      <c r="H957" s="2">
        <f t="shared" si="65"/>
        <v>2012</v>
      </c>
      <c r="I957" s="2" t="s">
        <v>4029</v>
      </c>
      <c r="J957" s="2" t="s">
        <v>4024</v>
      </c>
      <c r="K957" s="2" t="s">
        <v>4025</v>
      </c>
      <c r="L957"/>
      <c r="M957" s="2" t="s">
        <v>3788</v>
      </c>
      <c r="P957" s="2" t="s">
        <v>1527</v>
      </c>
      <c r="Q957" t="s">
        <v>3462</v>
      </c>
    </row>
    <row r="958" spans="1:17" ht="18" customHeight="1" x14ac:dyDescent="0.2">
      <c r="A958" s="69" t="s">
        <v>777</v>
      </c>
      <c r="B958" s="69" t="s">
        <v>3879</v>
      </c>
      <c r="C958" s="69" t="s">
        <v>4182</v>
      </c>
      <c r="D958" s="69" t="s">
        <v>1639</v>
      </c>
      <c r="E958" s="69" t="s">
        <v>4022</v>
      </c>
      <c r="F958" s="2">
        <v>6</v>
      </c>
      <c r="G958" s="2" t="str">
        <f t="shared" si="64"/>
        <v>f</v>
      </c>
      <c r="H958" s="2">
        <f t="shared" si="65"/>
        <v>2013</v>
      </c>
      <c r="I958" s="2" t="s">
        <v>4030</v>
      </c>
      <c r="J958" s="2" t="s">
        <v>4024</v>
      </c>
      <c r="K958" s="2" t="s">
        <v>4025</v>
      </c>
      <c r="L958"/>
      <c r="M958" s="2" t="s">
        <v>3788</v>
      </c>
      <c r="P958" s="2" t="s">
        <v>1527</v>
      </c>
      <c r="Q958" t="s">
        <v>3462</v>
      </c>
    </row>
    <row r="959" spans="1:17" ht="18" customHeight="1" x14ac:dyDescent="0.2">
      <c r="A959" s="69" t="s">
        <v>777</v>
      </c>
      <c r="B959" s="69" t="s">
        <v>3881</v>
      </c>
      <c r="C959" s="69" t="s">
        <v>4182</v>
      </c>
      <c r="D959" s="69" t="s">
        <v>1639</v>
      </c>
      <c r="E959" s="69" t="s">
        <v>4022</v>
      </c>
      <c r="F959" s="2">
        <v>7</v>
      </c>
      <c r="G959" s="2" t="str">
        <f t="shared" si="64"/>
        <v>g</v>
      </c>
      <c r="H959" s="2">
        <f t="shared" si="65"/>
        <v>2014</v>
      </c>
      <c r="I959" s="2" t="s">
        <v>4031</v>
      </c>
      <c r="J959" s="2" t="s">
        <v>4024</v>
      </c>
      <c r="K959" s="2" t="s">
        <v>4025</v>
      </c>
      <c r="L959"/>
      <c r="M959" s="2" t="s">
        <v>3788</v>
      </c>
      <c r="P959" s="2" t="s">
        <v>1527</v>
      </c>
      <c r="Q959" t="s">
        <v>3462</v>
      </c>
    </row>
    <row r="960" spans="1:17" ht="18" customHeight="1" x14ac:dyDescent="0.2">
      <c r="A960" s="69" t="s">
        <v>777</v>
      </c>
      <c r="B960" s="69" t="s">
        <v>3858</v>
      </c>
      <c r="C960" s="69" t="s">
        <v>4182</v>
      </c>
      <c r="D960" s="69" t="s">
        <v>1639</v>
      </c>
      <c r="E960" s="69" t="s">
        <v>4022</v>
      </c>
      <c r="F960" s="2">
        <v>8</v>
      </c>
      <c r="G960" s="2" t="str">
        <f t="shared" si="64"/>
        <v>h</v>
      </c>
      <c r="H960" s="2">
        <f t="shared" si="65"/>
        <v>2015</v>
      </c>
      <c r="I960" s="2" t="s">
        <v>4032</v>
      </c>
      <c r="J960" s="2" t="s">
        <v>4024</v>
      </c>
      <c r="K960" s="2" t="s">
        <v>4025</v>
      </c>
      <c r="L960"/>
      <c r="M960" s="2" t="s">
        <v>3788</v>
      </c>
      <c r="P960" s="2" t="s">
        <v>1527</v>
      </c>
      <c r="Q960" t="s">
        <v>3462</v>
      </c>
    </row>
    <row r="961" spans="1:17" ht="18" customHeight="1" x14ac:dyDescent="0.2">
      <c r="A961" s="69" t="s">
        <v>777</v>
      </c>
      <c r="B961" s="69" t="s">
        <v>3864</v>
      </c>
      <c r="C961" s="69" t="s">
        <v>4182</v>
      </c>
      <c r="D961" s="69" t="s">
        <v>1639</v>
      </c>
      <c r="E961" s="69" t="s">
        <v>4022</v>
      </c>
      <c r="F961" s="2">
        <v>9</v>
      </c>
      <c r="G961" s="2" t="str">
        <f t="shared" si="64"/>
        <v>i</v>
      </c>
      <c r="H961" s="2">
        <f t="shared" si="65"/>
        <v>2016</v>
      </c>
      <c r="I961" s="2" t="s">
        <v>4033</v>
      </c>
      <c r="J961" s="2" t="s">
        <v>4024</v>
      </c>
      <c r="K961" s="2" t="s">
        <v>4025</v>
      </c>
      <c r="L961"/>
      <c r="M961" s="2" t="s">
        <v>3788</v>
      </c>
      <c r="P961" s="2" t="s">
        <v>1527</v>
      </c>
      <c r="Q961" t="s">
        <v>3462</v>
      </c>
    </row>
    <row r="962" spans="1:17" ht="18" customHeight="1" x14ac:dyDescent="0.2">
      <c r="A962" s="69" t="s">
        <v>777</v>
      </c>
      <c r="B962" s="69" t="s">
        <v>3866</v>
      </c>
      <c r="C962" s="69" t="s">
        <v>4182</v>
      </c>
      <c r="D962" s="69" t="s">
        <v>1639</v>
      </c>
      <c r="E962" s="69" t="s">
        <v>4022</v>
      </c>
      <c r="F962" s="2">
        <v>10</v>
      </c>
      <c r="G962" s="2" t="str">
        <f t="shared" si="64"/>
        <v>j</v>
      </c>
      <c r="H962" s="2">
        <f t="shared" si="65"/>
        <v>2017</v>
      </c>
      <c r="I962" s="2" t="s">
        <v>4034</v>
      </c>
      <c r="J962" s="2" t="s">
        <v>4024</v>
      </c>
      <c r="K962" s="2" t="s">
        <v>4025</v>
      </c>
      <c r="L962"/>
      <c r="M962" s="2" t="s">
        <v>3788</v>
      </c>
      <c r="P962" s="2" t="s">
        <v>1527</v>
      </c>
      <c r="Q962" t="s">
        <v>3462</v>
      </c>
    </row>
    <row r="963" spans="1:17" ht="18" customHeight="1" x14ac:dyDescent="0.2">
      <c r="A963" s="69" t="s">
        <v>777</v>
      </c>
      <c r="B963" s="69" t="s">
        <v>3868</v>
      </c>
      <c r="C963" s="69" t="s">
        <v>4182</v>
      </c>
      <c r="D963" s="69" t="s">
        <v>1639</v>
      </c>
      <c r="E963" s="69" t="s">
        <v>4035</v>
      </c>
      <c r="F963" s="2">
        <v>1</v>
      </c>
      <c r="G963" s="2" t="str">
        <f t="shared" si="64"/>
        <v>a</v>
      </c>
      <c r="H963" s="2">
        <f t="shared" si="65"/>
        <v>2008</v>
      </c>
      <c r="I963" s="2" t="s">
        <v>4036</v>
      </c>
      <c r="J963" s="2" t="s">
        <v>4037</v>
      </c>
      <c r="K963" s="2" t="s">
        <v>4025</v>
      </c>
      <c r="L963"/>
      <c r="M963" s="2" t="s">
        <v>3788</v>
      </c>
      <c r="P963" s="2" t="s">
        <v>1527</v>
      </c>
      <c r="Q963" t="s">
        <v>3462</v>
      </c>
    </row>
    <row r="964" spans="1:17" ht="18" customHeight="1" x14ac:dyDescent="0.2">
      <c r="A964" s="69" t="s">
        <v>777</v>
      </c>
      <c r="B964" s="69" t="s">
        <v>3871</v>
      </c>
      <c r="C964" s="69" t="s">
        <v>4182</v>
      </c>
      <c r="D964" s="69" t="s">
        <v>1639</v>
      </c>
      <c r="E964" s="69" t="s">
        <v>4035</v>
      </c>
      <c r="F964" s="2">
        <v>2</v>
      </c>
      <c r="G964" s="2" t="str">
        <f t="shared" si="64"/>
        <v>b</v>
      </c>
      <c r="H964" s="2">
        <f t="shared" si="65"/>
        <v>2009</v>
      </c>
      <c r="I964" s="2" t="s">
        <v>4038</v>
      </c>
      <c r="J964" s="2" t="s">
        <v>4037</v>
      </c>
      <c r="K964" s="2" t="s">
        <v>4025</v>
      </c>
      <c r="L964"/>
      <c r="M964" s="2" t="s">
        <v>3788</v>
      </c>
      <c r="P964" s="2" t="s">
        <v>1527</v>
      </c>
      <c r="Q964" t="s">
        <v>3462</v>
      </c>
    </row>
    <row r="965" spans="1:17" ht="18" customHeight="1" x14ac:dyDescent="0.2">
      <c r="A965" s="69" t="s">
        <v>777</v>
      </c>
      <c r="B965" s="69" t="s">
        <v>3873</v>
      </c>
      <c r="C965" s="69" t="s">
        <v>4182</v>
      </c>
      <c r="D965" s="69" t="s">
        <v>1639</v>
      </c>
      <c r="E965" s="69" t="s">
        <v>4035</v>
      </c>
      <c r="F965" s="2">
        <v>3</v>
      </c>
      <c r="G965" s="2" t="str">
        <f t="shared" si="64"/>
        <v>c</v>
      </c>
      <c r="H965" s="2">
        <f t="shared" si="65"/>
        <v>2010</v>
      </c>
      <c r="I965" s="2" t="s">
        <v>4039</v>
      </c>
      <c r="J965" s="2" t="s">
        <v>4037</v>
      </c>
      <c r="K965" s="2" t="s">
        <v>4025</v>
      </c>
      <c r="L965"/>
      <c r="M965" s="2" t="s">
        <v>3788</v>
      </c>
      <c r="P965" s="2" t="s">
        <v>1527</v>
      </c>
      <c r="Q965" t="s">
        <v>3462</v>
      </c>
    </row>
    <row r="966" spans="1:17" ht="18" customHeight="1" x14ac:dyDescent="0.2">
      <c r="A966" s="69" t="s">
        <v>777</v>
      </c>
      <c r="B966" s="69" t="s">
        <v>3875</v>
      </c>
      <c r="C966" s="69" t="s">
        <v>4182</v>
      </c>
      <c r="D966" s="69" t="s">
        <v>1639</v>
      </c>
      <c r="E966" s="69" t="s">
        <v>4035</v>
      </c>
      <c r="F966" s="2">
        <v>4</v>
      </c>
      <c r="G966" s="2" t="str">
        <f t="shared" si="64"/>
        <v>d</v>
      </c>
      <c r="H966" s="2">
        <f t="shared" si="65"/>
        <v>2011</v>
      </c>
      <c r="I966" s="2" t="s">
        <v>4040</v>
      </c>
      <c r="J966" s="2" t="s">
        <v>4037</v>
      </c>
      <c r="K966" s="2" t="s">
        <v>4025</v>
      </c>
      <c r="L966"/>
      <c r="M966" s="2" t="s">
        <v>3788</v>
      </c>
      <c r="P966" s="2" t="s">
        <v>1527</v>
      </c>
      <c r="Q966" t="s">
        <v>3462</v>
      </c>
    </row>
    <row r="967" spans="1:17" ht="18" customHeight="1" x14ac:dyDescent="0.2">
      <c r="A967" s="69" t="s">
        <v>777</v>
      </c>
      <c r="B967" s="69" t="s">
        <v>3877</v>
      </c>
      <c r="C967" s="69" t="s">
        <v>4182</v>
      </c>
      <c r="D967" s="69" t="s">
        <v>1639</v>
      </c>
      <c r="E967" s="69" t="s">
        <v>4035</v>
      </c>
      <c r="F967" s="2">
        <v>5</v>
      </c>
      <c r="G967" s="2" t="str">
        <f t="shared" si="64"/>
        <v>e</v>
      </c>
      <c r="H967" s="2">
        <f t="shared" si="65"/>
        <v>2012</v>
      </c>
      <c r="I967" s="2" t="s">
        <v>4041</v>
      </c>
      <c r="J967" s="2" t="s">
        <v>4037</v>
      </c>
      <c r="K967" s="2" t="s">
        <v>4025</v>
      </c>
      <c r="L967"/>
      <c r="M967" s="2" t="s">
        <v>3788</v>
      </c>
      <c r="P967" s="2" t="s">
        <v>1527</v>
      </c>
      <c r="Q967" t="s">
        <v>3462</v>
      </c>
    </row>
    <row r="968" spans="1:17" ht="18" customHeight="1" x14ac:dyDescent="0.2">
      <c r="A968" s="69" t="s">
        <v>777</v>
      </c>
      <c r="B968" s="69" t="s">
        <v>3879</v>
      </c>
      <c r="C968" s="69" t="s">
        <v>4182</v>
      </c>
      <c r="D968" s="69" t="s">
        <v>1639</v>
      </c>
      <c r="E968" s="69" t="s">
        <v>4035</v>
      </c>
      <c r="F968" s="2">
        <v>6</v>
      </c>
      <c r="G968" s="2" t="str">
        <f t="shared" si="64"/>
        <v>f</v>
      </c>
      <c r="H968" s="2">
        <f t="shared" si="65"/>
        <v>2013</v>
      </c>
      <c r="I968" s="2" t="s">
        <v>4042</v>
      </c>
      <c r="J968" s="2" t="s">
        <v>4037</v>
      </c>
      <c r="K968" s="2" t="s">
        <v>4025</v>
      </c>
      <c r="L968"/>
      <c r="M968" s="2" t="s">
        <v>3788</v>
      </c>
      <c r="P968" s="2" t="s">
        <v>1527</v>
      </c>
      <c r="Q968" t="s">
        <v>3462</v>
      </c>
    </row>
    <row r="969" spans="1:17" ht="18" customHeight="1" x14ac:dyDescent="0.2">
      <c r="A969" s="69" t="s">
        <v>777</v>
      </c>
      <c r="B969" s="69" t="s">
        <v>3881</v>
      </c>
      <c r="C969" s="69" t="s">
        <v>4182</v>
      </c>
      <c r="D969" s="69" t="s">
        <v>1639</v>
      </c>
      <c r="E969" s="69" t="s">
        <v>4035</v>
      </c>
      <c r="F969" s="2">
        <v>7</v>
      </c>
      <c r="G969" s="2" t="str">
        <f t="shared" si="64"/>
        <v>g</v>
      </c>
      <c r="H969" s="2">
        <f t="shared" si="65"/>
        <v>2014</v>
      </c>
      <c r="I969" s="2" t="s">
        <v>4043</v>
      </c>
      <c r="J969" s="2" t="s">
        <v>4037</v>
      </c>
      <c r="K969" s="2" t="s">
        <v>4025</v>
      </c>
      <c r="L969"/>
      <c r="M969" s="2" t="s">
        <v>3788</v>
      </c>
      <c r="P969" s="2" t="s">
        <v>1527</v>
      </c>
      <c r="Q969" t="s">
        <v>3462</v>
      </c>
    </row>
    <row r="970" spans="1:17" ht="18" customHeight="1" x14ac:dyDescent="0.2">
      <c r="A970" s="69" t="s">
        <v>777</v>
      </c>
      <c r="B970" s="69" t="s">
        <v>3858</v>
      </c>
      <c r="C970" s="69" t="s">
        <v>4182</v>
      </c>
      <c r="D970" s="69" t="s">
        <v>1639</v>
      </c>
      <c r="E970" s="69" t="s">
        <v>4035</v>
      </c>
      <c r="F970" s="2">
        <v>8</v>
      </c>
      <c r="G970" s="2" t="str">
        <f t="shared" si="64"/>
        <v>h</v>
      </c>
      <c r="H970" s="2">
        <f t="shared" si="65"/>
        <v>2015</v>
      </c>
      <c r="I970" s="2" t="s">
        <v>4044</v>
      </c>
      <c r="J970" s="2" t="s">
        <v>4037</v>
      </c>
      <c r="K970" s="2" t="s">
        <v>4025</v>
      </c>
      <c r="L970"/>
      <c r="M970" s="2" t="s">
        <v>3788</v>
      </c>
      <c r="P970" s="2" t="s">
        <v>1527</v>
      </c>
      <c r="Q970" t="s">
        <v>3462</v>
      </c>
    </row>
    <row r="971" spans="1:17" ht="18" customHeight="1" x14ac:dyDescent="0.2">
      <c r="A971" s="69" t="s">
        <v>777</v>
      </c>
      <c r="B971" s="69" t="s">
        <v>3864</v>
      </c>
      <c r="C971" s="69" t="s">
        <v>4182</v>
      </c>
      <c r="D971" s="69" t="s">
        <v>1639</v>
      </c>
      <c r="E971" s="69" t="s">
        <v>4035</v>
      </c>
      <c r="F971" s="2">
        <v>9</v>
      </c>
      <c r="G971" s="2" t="str">
        <f t="shared" si="64"/>
        <v>i</v>
      </c>
      <c r="H971" s="2">
        <f t="shared" si="65"/>
        <v>2016</v>
      </c>
      <c r="I971" s="2" t="s">
        <v>4045</v>
      </c>
      <c r="J971" s="2" t="s">
        <v>4037</v>
      </c>
      <c r="K971" s="2" t="s">
        <v>4025</v>
      </c>
      <c r="L971"/>
      <c r="M971" s="2" t="s">
        <v>3788</v>
      </c>
      <c r="P971" s="2" t="s">
        <v>1527</v>
      </c>
      <c r="Q971" t="s">
        <v>3462</v>
      </c>
    </row>
    <row r="972" spans="1:17" ht="18" customHeight="1" x14ac:dyDescent="0.2">
      <c r="A972" s="69" t="s">
        <v>777</v>
      </c>
      <c r="B972" s="69" t="s">
        <v>3866</v>
      </c>
      <c r="C972" s="69" t="s">
        <v>4182</v>
      </c>
      <c r="D972" s="69" t="s">
        <v>1639</v>
      </c>
      <c r="E972" s="69" t="s">
        <v>4035</v>
      </c>
      <c r="F972" s="2">
        <v>10</v>
      </c>
      <c r="G972" s="2" t="str">
        <f t="shared" si="64"/>
        <v>j</v>
      </c>
      <c r="H972" s="2">
        <f t="shared" si="65"/>
        <v>2017</v>
      </c>
      <c r="I972" s="2" t="s">
        <v>4046</v>
      </c>
      <c r="J972" s="2" t="s">
        <v>4037</v>
      </c>
      <c r="K972" s="2" t="s">
        <v>4025</v>
      </c>
      <c r="L972"/>
      <c r="M972" s="2" t="s">
        <v>3788</v>
      </c>
      <c r="P972" s="2" t="s">
        <v>1527</v>
      </c>
      <c r="Q972" t="s">
        <v>3462</v>
      </c>
    </row>
    <row r="973" spans="1:17" ht="18" customHeight="1" x14ac:dyDescent="0.2">
      <c r="A973" s="69" t="s">
        <v>777</v>
      </c>
      <c r="B973" s="69" t="s">
        <v>3868</v>
      </c>
      <c r="C973" s="69" t="s">
        <v>4182</v>
      </c>
      <c r="D973" s="69" t="s">
        <v>1639</v>
      </c>
      <c r="E973" s="69" t="s">
        <v>4047</v>
      </c>
      <c r="F973" s="2">
        <v>1</v>
      </c>
      <c r="G973" s="2" t="str">
        <f t="shared" si="64"/>
        <v>a</v>
      </c>
      <c r="H973" s="2">
        <f t="shared" si="65"/>
        <v>2008</v>
      </c>
      <c r="I973" s="2" t="s">
        <v>4048</v>
      </c>
      <c r="J973" s="2" t="s">
        <v>4049</v>
      </c>
      <c r="K973" s="2" t="s">
        <v>4025</v>
      </c>
      <c r="L973"/>
      <c r="M973" s="2" t="s">
        <v>3788</v>
      </c>
      <c r="P973" s="2" t="s">
        <v>1527</v>
      </c>
      <c r="Q973" t="s">
        <v>3462</v>
      </c>
    </row>
    <row r="974" spans="1:17" ht="18" customHeight="1" x14ac:dyDescent="0.2">
      <c r="A974" s="69" t="s">
        <v>777</v>
      </c>
      <c r="B974" s="69" t="s">
        <v>3871</v>
      </c>
      <c r="C974" s="69" t="s">
        <v>4182</v>
      </c>
      <c r="D974" s="69" t="s">
        <v>1639</v>
      </c>
      <c r="E974" s="69" t="s">
        <v>4047</v>
      </c>
      <c r="F974" s="2">
        <v>2</v>
      </c>
      <c r="G974" s="2" t="str">
        <f t="shared" si="64"/>
        <v>b</v>
      </c>
      <c r="H974" s="2">
        <f t="shared" si="65"/>
        <v>2009</v>
      </c>
      <c r="I974" s="2" t="s">
        <v>4050</v>
      </c>
      <c r="J974" s="2" t="s">
        <v>4049</v>
      </c>
      <c r="K974" s="2" t="s">
        <v>4025</v>
      </c>
      <c r="L974"/>
      <c r="M974" s="2" t="s">
        <v>3788</v>
      </c>
      <c r="P974" s="2" t="s">
        <v>1527</v>
      </c>
      <c r="Q974" t="s">
        <v>3462</v>
      </c>
    </row>
    <row r="975" spans="1:17" ht="18" customHeight="1" x14ac:dyDescent="0.2">
      <c r="A975" s="69" t="s">
        <v>777</v>
      </c>
      <c r="B975" s="69" t="s">
        <v>3873</v>
      </c>
      <c r="C975" s="69" t="s">
        <v>4182</v>
      </c>
      <c r="D975" s="69" t="s">
        <v>1639</v>
      </c>
      <c r="E975" s="69" t="s">
        <v>4047</v>
      </c>
      <c r="F975" s="2">
        <v>3</v>
      </c>
      <c r="G975" s="2" t="str">
        <f t="shared" si="64"/>
        <v>c</v>
      </c>
      <c r="H975" s="2">
        <f t="shared" si="65"/>
        <v>2010</v>
      </c>
      <c r="I975" s="2" t="s">
        <v>4051</v>
      </c>
      <c r="J975" s="2" t="s">
        <v>4049</v>
      </c>
      <c r="K975" s="2" t="s">
        <v>4025</v>
      </c>
      <c r="L975"/>
      <c r="M975" s="2" t="s">
        <v>3788</v>
      </c>
      <c r="P975" s="2" t="s">
        <v>1527</v>
      </c>
      <c r="Q975" t="s">
        <v>3462</v>
      </c>
    </row>
    <row r="976" spans="1:17" ht="18" customHeight="1" x14ac:dyDescent="0.2">
      <c r="A976" s="69" t="s">
        <v>777</v>
      </c>
      <c r="B976" s="69" t="s">
        <v>3875</v>
      </c>
      <c r="C976" s="69" t="s">
        <v>4182</v>
      </c>
      <c r="D976" s="69" t="s">
        <v>1639</v>
      </c>
      <c r="E976" s="69" t="s">
        <v>4047</v>
      </c>
      <c r="F976" s="2">
        <v>4</v>
      </c>
      <c r="G976" s="2" t="str">
        <f t="shared" si="64"/>
        <v>d</v>
      </c>
      <c r="H976" s="2">
        <f t="shared" si="65"/>
        <v>2011</v>
      </c>
      <c r="I976" s="2" t="s">
        <v>4052</v>
      </c>
      <c r="J976" s="2" t="s">
        <v>4049</v>
      </c>
      <c r="K976" s="2" t="s">
        <v>4025</v>
      </c>
      <c r="L976"/>
      <c r="M976" s="2" t="s">
        <v>3788</v>
      </c>
      <c r="P976" s="2" t="s">
        <v>1527</v>
      </c>
      <c r="Q976" t="s">
        <v>3462</v>
      </c>
    </row>
    <row r="977" spans="1:17" ht="18" customHeight="1" x14ac:dyDescent="0.2">
      <c r="A977" s="69" t="s">
        <v>777</v>
      </c>
      <c r="B977" s="69" t="s">
        <v>3877</v>
      </c>
      <c r="C977" s="69" t="s">
        <v>4182</v>
      </c>
      <c r="D977" s="69" t="s">
        <v>1639</v>
      </c>
      <c r="E977" s="69" t="s">
        <v>4047</v>
      </c>
      <c r="F977" s="2">
        <v>5</v>
      </c>
      <c r="G977" s="2" t="str">
        <f t="shared" si="64"/>
        <v>e</v>
      </c>
      <c r="H977" s="2">
        <f t="shared" si="65"/>
        <v>2012</v>
      </c>
      <c r="I977" s="2" t="s">
        <v>4053</v>
      </c>
      <c r="J977" s="2" t="s">
        <v>4049</v>
      </c>
      <c r="K977" s="2" t="s">
        <v>4025</v>
      </c>
      <c r="L977"/>
      <c r="M977" s="2" t="s">
        <v>3788</v>
      </c>
      <c r="P977" s="2" t="s">
        <v>1527</v>
      </c>
      <c r="Q977" t="s">
        <v>3462</v>
      </c>
    </row>
    <row r="978" spans="1:17" ht="18" customHeight="1" x14ac:dyDescent="0.2">
      <c r="A978" s="69" t="s">
        <v>777</v>
      </c>
      <c r="B978" s="69" t="s">
        <v>3879</v>
      </c>
      <c r="C978" s="69" t="s">
        <v>4182</v>
      </c>
      <c r="D978" s="69" t="s">
        <v>1639</v>
      </c>
      <c r="E978" s="69" t="s">
        <v>4047</v>
      </c>
      <c r="F978" s="2">
        <v>6</v>
      </c>
      <c r="G978" s="2" t="str">
        <f t="shared" si="64"/>
        <v>f</v>
      </c>
      <c r="H978" s="2">
        <f t="shared" si="65"/>
        <v>2013</v>
      </c>
      <c r="I978" s="2" t="s">
        <v>4054</v>
      </c>
      <c r="J978" s="2" t="s">
        <v>4049</v>
      </c>
      <c r="K978" s="2" t="s">
        <v>4025</v>
      </c>
      <c r="L978"/>
      <c r="M978" s="2" t="s">
        <v>3788</v>
      </c>
      <c r="P978" s="2" t="s">
        <v>1527</v>
      </c>
      <c r="Q978" t="s">
        <v>3462</v>
      </c>
    </row>
    <row r="979" spans="1:17" ht="18" customHeight="1" x14ac:dyDescent="0.2">
      <c r="A979" s="69" t="s">
        <v>777</v>
      </c>
      <c r="B979" s="69" t="s">
        <v>3881</v>
      </c>
      <c r="C979" s="69" t="s">
        <v>4182</v>
      </c>
      <c r="D979" s="69" t="s">
        <v>1639</v>
      </c>
      <c r="E979" s="69" t="s">
        <v>4047</v>
      </c>
      <c r="F979" s="2">
        <v>7</v>
      </c>
      <c r="G979" s="2" t="str">
        <f t="shared" si="64"/>
        <v>g</v>
      </c>
      <c r="H979" s="2">
        <f t="shared" si="65"/>
        <v>2014</v>
      </c>
      <c r="I979" s="2" t="s">
        <v>4055</v>
      </c>
      <c r="J979" s="2" t="s">
        <v>4049</v>
      </c>
      <c r="K979" s="2" t="s">
        <v>4025</v>
      </c>
      <c r="L979"/>
      <c r="M979" s="2" t="s">
        <v>3788</v>
      </c>
      <c r="P979" s="2" t="s">
        <v>1527</v>
      </c>
      <c r="Q979" t="s">
        <v>3462</v>
      </c>
    </row>
    <row r="980" spans="1:17" ht="18" customHeight="1" x14ac:dyDescent="0.2">
      <c r="A980" s="69" t="s">
        <v>777</v>
      </c>
      <c r="B980" s="69" t="s">
        <v>3858</v>
      </c>
      <c r="C980" s="69" t="s">
        <v>4182</v>
      </c>
      <c r="D980" s="69" t="s">
        <v>1639</v>
      </c>
      <c r="E980" s="69" t="s">
        <v>4047</v>
      </c>
      <c r="F980" s="2">
        <v>8</v>
      </c>
      <c r="G980" s="2" t="str">
        <f t="shared" si="64"/>
        <v>h</v>
      </c>
      <c r="H980" s="2">
        <f t="shared" si="65"/>
        <v>2015</v>
      </c>
      <c r="I980" s="2" t="s">
        <v>4056</v>
      </c>
      <c r="J980" s="2" t="s">
        <v>4049</v>
      </c>
      <c r="K980" s="2" t="s">
        <v>4025</v>
      </c>
      <c r="L980"/>
      <c r="M980" s="2" t="s">
        <v>3788</v>
      </c>
      <c r="P980" s="2" t="s">
        <v>1527</v>
      </c>
      <c r="Q980" t="s">
        <v>3462</v>
      </c>
    </row>
    <row r="981" spans="1:17" ht="18" customHeight="1" x14ac:dyDescent="0.2">
      <c r="A981" s="69" t="s">
        <v>777</v>
      </c>
      <c r="B981" s="69" t="s">
        <v>3864</v>
      </c>
      <c r="C981" s="69" t="s">
        <v>4182</v>
      </c>
      <c r="D981" s="69" t="s">
        <v>1639</v>
      </c>
      <c r="E981" s="69" t="s">
        <v>4047</v>
      </c>
      <c r="F981" s="2">
        <v>9</v>
      </c>
      <c r="G981" s="2" t="str">
        <f t="shared" si="64"/>
        <v>i</v>
      </c>
      <c r="H981" s="2">
        <f t="shared" si="65"/>
        <v>2016</v>
      </c>
      <c r="I981" s="2" t="s">
        <v>4057</v>
      </c>
      <c r="J981" s="2" t="s">
        <v>4049</v>
      </c>
      <c r="K981" s="2" t="s">
        <v>4025</v>
      </c>
      <c r="L981"/>
      <c r="M981" s="2" t="s">
        <v>3788</v>
      </c>
      <c r="P981" s="2" t="s">
        <v>1527</v>
      </c>
      <c r="Q981" t="s">
        <v>3462</v>
      </c>
    </row>
    <row r="982" spans="1:17" ht="18" customHeight="1" x14ac:dyDescent="0.2">
      <c r="A982" s="69" t="s">
        <v>777</v>
      </c>
      <c r="B982" s="69" t="s">
        <v>3866</v>
      </c>
      <c r="C982" s="69" t="s">
        <v>4182</v>
      </c>
      <c r="D982" s="69" t="s">
        <v>1639</v>
      </c>
      <c r="E982" s="69" t="s">
        <v>4047</v>
      </c>
      <c r="F982" s="2">
        <v>10</v>
      </c>
      <c r="G982" s="2" t="str">
        <f t="shared" si="64"/>
        <v>j</v>
      </c>
      <c r="H982" s="2">
        <f t="shared" si="65"/>
        <v>2017</v>
      </c>
      <c r="I982" s="2" t="s">
        <v>4058</v>
      </c>
      <c r="J982" s="2" t="s">
        <v>4049</v>
      </c>
      <c r="K982" s="2" t="s">
        <v>4025</v>
      </c>
      <c r="L982"/>
      <c r="M982" s="2" t="s">
        <v>3788</v>
      </c>
      <c r="P982" s="2" t="s">
        <v>1527</v>
      </c>
      <c r="Q982" t="s">
        <v>3462</v>
      </c>
    </row>
    <row r="983" spans="1:17" ht="18" customHeight="1" x14ac:dyDescent="0.2">
      <c r="A983" s="69" t="s">
        <v>777</v>
      </c>
      <c r="B983" s="69" t="s">
        <v>3868</v>
      </c>
      <c r="C983" s="69" t="s">
        <v>4182</v>
      </c>
      <c r="D983" s="69" t="s">
        <v>1639</v>
      </c>
      <c r="E983" s="69" t="s">
        <v>4059</v>
      </c>
      <c r="F983" s="2">
        <v>1</v>
      </c>
      <c r="G983" s="2" t="str">
        <f t="shared" si="64"/>
        <v>a</v>
      </c>
      <c r="H983" s="2">
        <f t="shared" si="65"/>
        <v>2008</v>
      </c>
      <c r="I983" s="2" t="s">
        <v>4060</v>
      </c>
      <c r="J983" s="2" t="s">
        <v>4061</v>
      </c>
      <c r="K983" s="2" t="s">
        <v>4025</v>
      </c>
      <c r="L983"/>
      <c r="M983" s="2" t="s">
        <v>3788</v>
      </c>
      <c r="P983" s="2" t="s">
        <v>1527</v>
      </c>
      <c r="Q983" t="s">
        <v>3462</v>
      </c>
    </row>
    <row r="984" spans="1:17" ht="18" customHeight="1" x14ac:dyDescent="0.2">
      <c r="A984" s="69" t="s">
        <v>777</v>
      </c>
      <c r="B984" s="69" t="s">
        <v>3871</v>
      </c>
      <c r="C984" s="69" t="s">
        <v>4182</v>
      </c>
      <c r="D984" s="69" t="s">
        <v>1639</v>
      </c>
      <c r="E984" s="69" t="s">
        <v>4059</v>
      </c>
      <c r="F984" s="2">
        <v>2</v>
      </c>
      <c r="G984" s="2" t="str">
        <f t="shared" si="64"/>
        <v>b</v>
      </c>
      <c r="H984" s="2">
        <f t="shared" si="65"/>
        <v>2009</v>
      </c>
      <c r="I984" s="2" t="s">
        <v>4062</v>
      </c>
      <c r="J984" s="2" t="s">
        <v>4061</v>
      </c>
      <c r="K984" s="2" t="s">
        <v>4025</v>
      </c>
      <c r="L984"/>
      <c r="M984" s="2" t="s">
        <v>3788</v>
      </c>
      <c r="P984" s="2" t="s">
        <v>1527</v>
      </c>
      <c r="Q984" t="s">
        <v>3462</v>
      </c>
    </row>
    <row r="985" spans="1:17" ht="18" customHeight="1" x14ac:dyDescent="0.2">
      <c r="A985" s="69" t="s">
        <v>777</v>
      </c>
      <c r="B985" s="69" t="s">
        <v>3873</v>
      </c>
      <c r="C985" s="69" t="s">
        <v>4182</v>
      </c>
      <c r="D985" s="69" t="s">
        <v>1639</v>
      </c>
      <c r="E985" s="69" t="s">
        <v>4059</v>
      </c>
      <c r="F985" s="2">
        <v>3</v>
      </c>
      <c r="G985" s="2" t="str">
        <f t="shared" ref="G985:G1016" si="66">LEFT(RIGHT(I985,4),1)</f>
        <v>c</v>
      </c>
      <c r="H985" s="2">
        <f t="shared" ref="H985:H1016" si="67">F985+2007</f>
        <v>2010</v>
      </c>
      <c r="I985" s="2" t="s">
        <v>4063</v>
      </c>
      <c r="J985" s="2" t="s">
        <v>4061</v>
      </c>
      <c r="K985" s="2" t="s">
        <v>4025</v>
      </c>
      <c r="L985"/>
      <c r="M985" s="2" t="s">
        <v>3788</v>
      </c>
      <c r="P985" s="2" t="s">
        <v>1527</v>
      </c>
      <c r="Q985" t="s">
        <v>3462</v>
      </c>
    </row>
    <row r="986" spans="1:17" ht="18" customHeight="1" x14ac:dyDescent="0.2">
      <c r="A986" s="69" t="s">
        <v>777</v>
      </c>
      <c r="B986" s="69" t="s">
        <v>3875</v>
      </c>
      <c r="C986" s="69" t="s">
        <v>4182</v>
      </c>
      <c r="D986" s="69" t="s">
        <v>1639</v>
      </c>
      <c r="E986" s="69" t="s">
        <v>4059</v>
      </c>
      <c r="F986" s="2">
        <v>4</v>
      </c>
      <c r="G986" s="2" t="str">
        <f t="shared" si="66"/>
        <v>d</v>
      </c>
      <c r="H986" s="2">
        <f t="shared" si="67"/>
        <v>2011</v>
      </c>
      <c r="I986" s="2" t="s">
        <v>4064</v>
      </c>
      <c r="J986" s="2" t="s">
        <v>4061</v>
      </c>
      <c r="K986" s="2" t="s">
        <v>4025</v>
      </c>
      <c r="L986"/>
      <c r="M986" s="2" t="s">
        <v>3788</v>
      </c>
      <c r="P986" s="2" t="s">
        <v>1527</v>
      </c>
      <c r="Q986" t="s">
        <v>3462</v>
      </c>
    </row>
    <row r="987" spans="1:17" ht="18" customHeight="1" x14ac:dyDescent="0.2">
      <c r="A987" s="69" t="s">
        <v>777</v>
      </c>
      <c r="B987" s="69" t="s">
        <v>3877</v>
      </c>
      <c r="C987" s="69" t="s">
        <v>4182</v>
      </c>
      <c r="D987" s="69" t="s">
        <v>1639</v>
      </c>
      <c r="E987" s="69" t="s">
        <v>4059</v>
      </c>
      <c r="F987" s="2">
        <v>5</v>
      </c>
      <c r="G987" s="2" t="str">
        <f t="shared" si="66"/>
        <v>e</v>
      </c>
      <c r="H987" s="2">
        <f t="shared" si="67"/>
        <v>2012</v>
      </c>
      <c r="I987" s="2" t="s">
        <v>4065</v>
      </c>
      <c r="J987" s="2" t="s">
        <v>4061</v>
      </c>
      <c r="K987" s="2" t="s">
        <v>4025</v>
      </c>
      <c r="L987"/>
      <c r="M987" s="2" t="s">
        <v>3788</v>
      </c>
      <c r="P987" s="2" t="s">
        <v>1527</v>
      </c>
      <c r="Q987" t="s">
        <v>3462</v>
      </c>
    </row>
    <row r="988" spans="1:17" ht="18" customHeight="1" x14ac:dyDescent="0.2">
      <c r="A988" s="69" t="s">
        <v>777</v>
      </c>
      <c r="B988" s="69" t="s">
        <v>3879</v>
      </c>
      <c r="C988" s="69" t="s">
        <v>4182</v>
      </c>
      <c r="D988" s="69" t="s">
        <v>1639</v>
      </c>
      <c r="E988" s="69" t="s">
        <v>4059</v>
      </c>
      <c r="F988" s="2">
        <v>6</v>
      </c>
      <c r="G988" s="2" t="str">
        <f t="shared" si="66"/>
        <v>f</v>
      </c>
      <c r="H988" s="2">
        <f t="shared" si="67"/>
        <v>2013</v>
      </c>
      <c r="I988" s="2" t="s">
        <v>4066</v>
      </c>
      <c r="J988" s="2" t="s">
        <v>4061</v>
      </c>
      <c r="K988" s="2" t="s">
        <v>4025</v>
      </c>
      <c r="L988"/>
      <c r="M988" s="2" t="s">
        <v>3788</v>
      </c>
      <c r="P988" s="2" t="s">
        <v>1527</v>
      </c>
      <c r="Q988" t="s">
        <v>3462</v>
      </c>
    </row>
    <row r="989" spans="1:17" ht="18" customHeight="1" x14ac:dyDescent="0.2">
      <c r="A989" s="69" t="s">
        <v>777</v>
      </c>
      <c r="B989" s="69" t="s">
        <v>3881</v>
      </c>
      <c r="C989" s="69" t="s">
        <v>4182</v>
      </c>
      <c r="D989" s="69" t="s">
        <v>1639</v>
      </c>
      <c r="E989" s="69" t="s">
        <v>4059</v>
      </c>
      <c r="F989" s="2">
        <v>7</v>
      </c>
      <c r="G989" s="2" t="str">
        <f t="shared" si="66"/>
        <v>g</v>
      </c>
      <c r="H989" s="2">
        <f t="shared" si="67"/>
        <v>2014</v>
      </c>
      <c r="I989" s="2" t="s">
        <v>4067</v>
      </c>
      <c r="J989" s="2" t="s">
        <v>4061</v>
      </c>
      <c r="K989" s="2" t="s">
        <v>4025</v>
      </c>
      <c r="L989"/>
      <c r="M989" s="2" t="s">
        <v>3788</v>
      </c>
      <c r="P989" s="2" t="s">
        <v>1527</v>
      </c>
      <c r="Q989" t="s">
        <v>3462</v>
      </c>
    </row>
    <row r="990" spans="1:17" ht="18" customHeight="1" x14ac:dyDescent="0.2">
      <c r="A990" s="69" t="s">
        <v>777</v>
      </c>
      <c r="B990" s="69" t="s">
        <v>3858</v>
      </c>
      <c r="C990" s="69" t="s">
        <v>4182</v>
      </c>
      <c r="D990" s="69" t="s">
        <v>1639</v>
      </c>
      <c r="E990" s="69" t="s">
        <v>4059</v>
      </c>
      <c r="F990" s="2">
        <v>8</v>
      </c>
      <c r="G990" s="2" t="str">
        <f t="shared" si="66"/>
        <v>h</v>
      </c>
      <c r="H990" s="2">
        <f t="shared" si="67"/>
        <v>2015</v>
      </c>
      <c r="I990" s="2" t="s">
        <v>4068</v>
      </c>
      <c r="J990" s="2" t="s">
        <v>4061</v>
      </c>
      <c r="K990" s="2" t="s">
        <v>4025</v>
      </c>
      <c r="L990"/>
      <c r="M990" s="2" t="s">
        <v>3788</v>
      </c>
      <c r="P990" s="2" t="s">
        <v>1527</v>
      </c>
      <c r="Q990" t="s">
        <v>3462</v>
      </c>
    </row>
    <row r="991" spans="1:17" ht="18" customHeight="1" x14ac:dyDescent="0.2">
      <c r="A991" s="69" t="s">
        <v>777</v>
      </c>
      <c r="B991" s="69" t="s">
        <v>3864</v>
      </c>
      <c r="C991" s="69" t="s">
        <v>4182</v>
      </c>
      <c r="D991" s="69" t="s">
        <v>1639</v>
      </c>
      <c r="E991" s="69" t="s">
        <v>4059</v>
      </c>
      <c r="F991" s="2">
        <v>9</v>
      </c>
      <c r="G991" s="2" t="str">
        <f t="shared" si="66"/>
        <v>i</v>
      </c>
      <c r="H991" s="2">
        <f t="shared" si="67"/>
        <v>2016</v>
      </c>
      <c r="I991" s="2" t="s">
        <v>4069</v>
      </c>
      <c r="J991" s="2" t="s">
        <v>4061</v>
      </c>
      <c r="K991" s="2" t="s">
        <v>4025</v>
      </c>
      <c r="L991"/>
      <c r="M991" s="2" t="s">
        <v>3788</v>
      </c>
      <c r="P991" s="2" t="s">
        <v>1527</v>
      </c>
      <c r="Q991" t="s">
        <v>3462</v>
      </c>
    </row>
    <row r="992" spans="1:17" ht="18" customHeight="1" x14ac:dyDescent="0.2">
      <c r="A992" s="69" t="s">
        <v>777</v>
      </c>
      <c r="B992" s="69" t="s">
        <v>3866</v>
      </c>
      <c r="C992" s="69" t="s">
        <v>4182</v>
      </c>
      <c r="D992" s="69" t="s">
        <v>1639</v>
      </c>
      <c r="E992" s="69" t="s">
        <v>4059</v>
      </c>
      <c r="F992" s="2">
        <v>10</v>
      </c>
      <c r="G992" s="2" t="str">
        <f t="shared" si="66"/>
        <v>j</v>
      </c>
      <c r="H992" s="2">
        <f t="shared" si="67"/>
        <v>2017</v>
      </c>
      <c r="I992" s="2" t="s">
        <v>4070</v>
      </c>
      <c r="J992" s="2" t="s">
        <v>4061</v>
      </c>
      <c r="K992" s="2" t="s">
        <v>4025</v>
      </c>
      <c r="L992"/>
      <c r="M992" s="2" t="s">
        <v>3788</v>
      </c>
      <c r="P992" s="2" t="s">
        <v>1527</v>
      </c>
      <c r="Q992" t="s">
        <v>3462</v>
      </c>
    </row>
    <row r="993" spans="1:17" ht="18" customHeight="1" x14ac:dyDescent="0.2">
      <c r="A993" s="69" t="s">
        <v>777</v>
      </c>
      <c r="B993" s="69" t="s">
        <v>3868</v>
      </c>
      <c r="C993" s="69" t="s">
        <v>4182</v>
      </c>
      <c r="D993" s="69" t="s">
        <v>1639</v>
      </c>
      <c r="E993" s="69" t="s">
        <v>4071</v>
      </c>
      <c r="F993" s="2">
        <v>1</v>
      </c>
      <c r="G993" s="2" t="str">
        <f t="shared" si="66"/>
        <v>a</v>
      </c>
      <c r="H993" s="2">
        <f t="shared" si="67"/>
        <v>2008</v>
      </c>
      <c r="I993" s="2" t="s">
        <v>4072</v>
      </c>
      <c r="J993" s="2" t="s">
        <v>4073</v>
      </c>
      <c r="K993" s="2" t="s">
        <v>4025</v>
      </c>
      <c r="L993"/>
      <c r="M993" s="2" t="s">
        <v>3788</v>
      </c>
      <c r="P993" s="2" t="s">
        <v>1527</v>
      </c>
      <c r="Q993" t="s">
        <v>3462</v>
      </c>
    </row>
    <row r="994" spans="1:17" ht="18" customHeight="1" x14ac:dyDescent="0.2">
      <c r="A994" s="69" t="s">
        <v>777</v>
      </c>
      <c r="B994" s="69" t="s">
        <v>3871</v>
      </c>
      <c r="C994" s="69" t="s">
        <v>4182</v>
      </c>
      <c r="D994" s="69" t="s">
        <v>1639</v>
      </c>
      <c r="E994" s="69" t="s">
        <v>4071</v>
      </c>
      <c r="F994" s="2">
        <v>2</v>
      </c>
      <c r="G994" s="2" t="str">
        <f t="shared" si="66"/>
        <v>b</v>
      </c>
      <c r="H994" s="2">
        <f t="shared" si="67"/>
        <v>2009</v>
      </c>
      <c r="I994" s="2" t="s">
        <v>4074</v>
      </c>
      <c r="J994" s="2" t="s">
        <v>4073</v>
      </c>
      <c r="K994" s="2" t="s">
        <v>4025</v>
      </c>
      <c r="L994"/>
      <c r="M994" s="2" t="s">
        <v>3788</v>
      </c>
      <c r="P994" s="2" t="s">
        <v>1527</v>
      </c>
      <c r="Q994" t="s">
        <v>3462</v>
      </c>
    </row>
    <row r="995" spans="1:17" ht="18" customHeight="1" x14ac:dyDescent="0.2">
      <c r="A995" s="69" t="s">
        <v>777</v>
      </c>
      <c r="B995" s="69" t="s">
        <v>3873</v>
      </c>
      <c r="C995" s="69" t="s">
        <v>4182</v>
      </c>
      <c r="D995" s="69" t="s">
        <v>1639</v>
      </c>
      <c r="E995" s="69" t="s">
        <v>4071</v>
      </c>
      <c r="F995" s="2">
        <v>3</v>
      </c>
      <c r="G995" s="2" t="str">
        <f t="shared" si="66"/>
        <v>c</v>
      </c>
      <c r="H995" s="2">
        <f t="shared" si="67"/>
        <v>2010</v>
      </c>
      <c r="I995" s="2" t="s">
        <v>4075</v>
      </c>
      <c r="J995" s="2" t="s">
        <v>4073</v>
      </c>
      <c r="K995" s="2" t="s">
        <v>4025</v>
      </c>
      <c r="L995"/>
      <c r="M995" s="2" t="s">
        <v>3788</v>
      </c>
      <c r="P995" s="2" t="s">
        <v>1527</v>
      </c>
      <c r="Q995" t="s">
        <v>3462</v>
      </c>
    </row>
    <row r="996" spans="1:17" ht="18" customHeight="1" x14ac:dyDescent="0.2">
      <c r="A996" s="69" t="s">
        <v>777</v>
      </c>
      <c r="B996" s="69" t="s">
        <v>3875</v>
      </c>
      <c r="C996" s="69" t="s">
        <v>4182</v>
      </c>
      <c r="D996" s="69" t="s">
        <v>1639</v>
      </c>
      <c r="E996" s="69" t="s">
        <v>4071</v>
      </c>
      <c r="F996" s="2">
        <v>4</v>
      </c>
      <c r="G996" s="2" t="str">
        <f t="shared" si="66"/>
        <v>d</v>
      </c>
      <c r="H996" s="2">
        <f t="shared" si="67"/>
        <v>2011</v>
      </c>
      <c r="I996" s="2" t="s">
        <v>4076</v>
      </c>
      <c r="J996" s="2" t="s">
        <v>4073</v>
      </c>
      <c r="K996" s="2" t="s">
        <v>4025</v>
      </c>
      <c r="L996"/>
      <c r="M996" s="2" t="s">
        <v>3788</v>
      </c>
      <c r="P996" s="2" t="s">
        <v>1527</v>
      </c>
      <c r="Q996" t="s">
        <v>3462</v>
      </c>
    </row>
    <row r="997" spans="1:17" ht="18" customHeight="1" x14ac:dyDescent="0.2">
      <c r="A997" s="69" t="s">
        <v>777</v>
      </c>
      <c r="B997" s="69" t="s">
        <v>3877</v>
      </c>
      <c r="C997" s="69" t="s">
        <v>4182</v>
      </c>
      <c r="D997" s="69" t="s">
        <v>1639</v>
      </c>
      <c r="E997" s="69" t="s">
        <v>4071</v>
      </c>
      <c r="F997" s="2">
        <v>5</v>
      </c>
      <c r="G997" s="2" t="str">
        <f t="shared" si="66"/>
        <v>e</v>
      </c>
      <c r="H997" s="2">
        <f t="shared" si="67"/>
        <v>2012</v>
      </c>
      <c r="I997" s="2" t="s">
        <v>4077</v>
      </c>
      <c r="J997" s="2" t="s">
        <v>4073</v>
      </c>
      <c r="K997" s="2" t="s">
        <v>4025</v>
      </c>
      <c r="L997"/>
      <c r="M997" s="2" t="s">
        <v>3788</v>
      </c>
      <c r="P997" s="2" t="s">
        <v>1527</v>
      </c>
      <c r="Q997" t="s">
        <v>3462</v>
      </c>
    </row>
    <row r="998" spans="1:17" ht="18" customHeight="1" x14ac:dyDescent="0.2">
      <c r="A998" s="69" t="s">
        <v>777</v>
      </c>
      <c r="B998" s="69" t="s">
        <v>3879</v>
      </c>
      <c r="C998" s="69" t="s">
        <v>4182</v>
      </c>
      <c r="D998" s="69" t="s">
        <v>1639</v>
      </c>
      <c r="E998" s="69" t="s">
        <v>4071</v>
      </c>
      <c r="F998" s="2">
        <v>6</v>
      </c>
      <c r="G998" s="2" t="str">
        <f t="shared" si="66"/>
        <v>f</v>
      </c>
      <c r="H998" s="2">
        <f t="shared" si="67"/>
        <v>2013</v>
      </c>
      <c r="I998" s="2" t="s">
        <v>4078</v>
      </c>
      <c r="J998" s="2" t="s">
        <v>4073</v>
      </c>
      <c r="K998" s="2" t="s">
        <v>4025</v>
      </c>
      <c r="L998"/>
      <c r="M998" s="2" t="s">
        <v>3788</v>
      </c>
      <c r="P998" s="2" t="s">
        <v>1527</v>
      </c>
      <c r="Q998" t="s">
        <v>3462</v>
      </c>
    </row>
    <row r="999" spans="1:17" ht="18" customHeight="1" x14ac:dyDescent="0.2">
      <c r="A999" s="69" t="s">
        <v>777</v>
      </c>
      <c r="B999" s="69" t="s">
        <v>3881</v>
      </c>
      <c r="C999" s="69" t="s">
        <v>4182</v>
      </c>
      <c r="D999" s="69" t="s">
        <v>1639</v>
      </c>
      <c r="E999" s="69" t="s">
        <v>4071</v>
      </c>
      <c r="F999" s="2">
        <v>7</v>
      </c>
      <c r="G999" s="2" t="str">
        <f t="shared" si="66"/>
        <v>g</v>
      </c>
      <c r="H999" s="2">
        <f t="shared" si="67"/>
        <v>2014</v>
      </c>
      <c r="I999" s="2" t="s">
        <v>4079</v>
      </c>
      <c r="J999" s="2" t="s">
        <v>4073</v>
      </c>
      <c r="K999" s="2" t="s">
        <v>4025</v>
      </c>
      <c r="L999"/>
      <c r="M999" s="2" t="s">
        <v>3788</v>
      </c>
      <c r="P999" s="2" t="s">
        <v>1527</v>
      </c>
      <c r="Q999" t="s">
        <v>3462</v>
      </c>
    </row>
    <row r="1000" spans="1:17" ht="18" customHeight="1" x14ac:dyDescent="0.2">
      <c r="A1000" s="69" t="s">
        <v>777</v>
      </c>
      <c r="B1000" s="69" t="s">
        <v>3858</v>
      </c>
      <c r="C1000" s="69" t="s">
        <v>4182</v>
      </c>
      <c r="D1000" s="69" t="s">
        <v>1639</v>
      </c>
      <c r="E1000" s="69" t="s">
        <v>4071</v>
      </c>
      <c r="F1000" s="2">
        <v>8</v>
      </c>
      <c r="G1000" s="2" t="str">
        <f t="shared" si="66"/>
        <v>h</v>
      </c>
      <c r="H1000" s="2">
        <f t="shared" si="67"/>
        <v>2015</v>
      </c>
      <c r="I1000" s="2" t="s">
        <v>4080</v>
      </c>
      <c r="J1000" s="2" t="s">
        <v>4073</v>
      </c>
      <c r="K1000" s="2" t="s">
        <v>4025</v>
      </c>
      <c r="L1000"/>
      <c r="M1000" s="2" t="s">
        <v>3788</v>
      </c>
      <c r="P1000" s="2" t="s">
        <v>1527</v>
      </c>
      <c r="Q1000" t="s">
        <v>3462</v>
      </c>
    </row>
    <row r="1001" spans="1:17" ht="18" customHeight="1" x14ac:dyDescent="0.2">
      <c r="A1001" s="69" t="s">
        <v>777</v>
      </c>
      <c r="B1001" s="69" t="s">
        <v>3864</v>
      </c>
      <c r="C1001" s="69" t="s">
        <v>4182</v>
      </c>
      <c r="D1001" s="69" t="s">
        <v>1639</v>
      </c>
      <c r="E1001" s="69" t="s">
        <v>4071</v>
      </c>
      <c r="F1001" s="2">
        <v>9</v>
      </c>
      <c r="G1001" s="2" t="str">
        <f t="shared" si="66"/>
        <v>i</v>
      </c>
      <c r="H1001" s="2">
        <f t="shared" si="67"/>
        <v>2016</v>
      </c>
      <c r="I1001" s="2" t="s">
        <v>4081</v>
      </c>
      <c r="J1001" s="2" t="s">
        <v>4073</v>
      </c>
      <c r="K1001" s="2" t="s">
        <v>4025</v>
      </c>
      <c r="L1001"/>
      <c r="M1001" s="2" t="s">
        <v>3788</v>
      </c>
      <c r="P1001" s="2" t="s">
        <v>1527</v>
      </c>
      <c r="Q1001" t="s">
        <v>3462</v>
      </c>
    </row>
    <row r="1002" spans="1:17" ht="18" customHeight="1" x14ac:dyDescent="0.2">
      <c r="A1002" s="69" t="s">
        <v>777</v>
      </c>
      <c r="B1002" s="69" t="s">
        <v>3866</v>
      </c>
      <c r="C1002" s="69" t="s">
        <v>4182</v>
      </c>
      <c r="D1002" s="69" t="s">
        <v>1639</v>
      </c>
      <c r="E1002" s="69" t="s">
        <v>4071</v>
      </c>
      <c r="F1002" s="2">
        <v>10</v>
      </c>
      <c r="G1002" s="2" t="str">
        <f t="shared" si="66"/>
        <v>j</v>
      </c>
      <c r="H1002" s="2">
        <f t="shared" si="67"/>
        <v>2017</v>
      </c>
      <c r="I1002" s="2" t="s">
        <v>4082</v>
      </c>
      <c r="J1002" s="2" t="s">
        <v>4073</v>
      </c>
      <c r="K1002" s="2" t="s">
        <v>4025</v>
      </c>
      <c r="L1002"/>
      <c r="M1002" s="2" t="s">
        <v>3788</v>
      </c>
      <c r="P1002" s="2" t="s">
        <v>1527</v>
      </c>
      <c r="Q1002" t="s">
        <v>3462</v>
      </c>
    </row>
    <row r="1003" spans="1:17" ht="18" customHeight="1" x14ac:dyDescent="0.2">
      <c r="A1003" s="69" t="s">
        <v>777</v>
      </c>
      <c r="B1003" s="69" t="s">
        <v>3868</v>
      </c>
      <c r="C1003" s="69" t="s">
        <v>4182</v>
      </c>
      <c r="D1003" s="69" t="s">
        <v>1639</v>
      </c>
      <c r="E1003" s="69" t="s">
        <v>4083</v>
      </c>
      <c r="F1003" s="2">
        <v>1</v>
      </c>
      <c r="G1003" s="2" t="str">
        <f t="shared" si="66"/>
        <v>a</v>
      </c>
      <c r="H1003" s="2">
        <f t="shared" si="67"/>
        <v>2008</v>
      </c>
      <c r="I1003" s="2" t="s">
        <v>4084</v>
      </c>
      <c r="J1003" s="2" t="s">
        <v>4085</v>
      </c>
      <c r="K1003" s="34" t="s">
        <v>4086</v>
      </c>
      <c r="L1003" s="2" t="s">
        <v>1520</v>
      </c>
      <c r="M1003" s="2" t="s">
        <v>4087</v>
      </c>
      <c r="N1003">
        <v>1</v>
      </c>
      <c r="O1003">
        <v>2</v>
      </c>
      <c r="P1003" s="2" t="s">
        <v>1527</v>
      </c>
      <c r="Q1003" t="s">
        <v>3462</v>
      </c>
    </row>
    <row r="1004" spans="1:17" ht="18" customHeight="1" x14ac:dyDescent="0.2">
      <c r="A1004" s="69" t="s">
        <v>777</v>
      </c>
      <c r="B1004" s="69" t="s">
        <v>3871</v>
      </c>
      <c r="C1004" s="69" t="s">
        <v>4182</v>
      </c>
      <c r="D1004" s="69" t="s">
        <v>1639</v>
      </c>
      <c r="E1004" s="69" t="s">
        <v>4083</v>
      </c>
      <c r="F1004" s="2">
        <v>2</v>
      </c>
      <c r="G1004" s="2" t="str">
        <f t="shared" si="66"/>
        <v>b</v>
      </c>
      <c r="H1004" s="2">
        <f t="shared" si="67"/>
        <v>2009</v>
      </c>
      <c r="I1004" s="2" t="s">
        <v>4088</v>
      </c>
      <c r="J1004" s="2" t="s">
        <v>4085</v>
      </c>
      <c r="K1004" s="34" t="s">
        <v>4086</v>
      </c>
      <c r="L1004" s="2" t="s">
        <v>1520</v>
      </c>
      <c r="M1004" s="2" t="s">
        <v>4087</v>
      </c>
      <c r="N1004">
        <v>1</v>
      </c>
      <c r="O1004">
        <v>2</v>
      </c>
      <c r="P1004" s="2" t="s">
        <v>1527</v>
      </c>
      <c r="Q1004" t="s">
        <v>3462</v>
      </c>
    </row>
    <row r="1005" spans="1:17" ht="18" customHeight="1" x14ac:dyDescent="0.2">
      <c r="A1005" s="69" t="s">
        <v>777</v>
      </c>
      <c r="B1005" s="69" t="s">
        <v>3873</v>
      </c>
      <c r="C1005" s="69" t="s">
        <v>4182</v>
      </c>
      <c r="D1005" s="69" t="s">
        <v>1639</v>
      </c>
      <c r="E1005" s="69" t="s">
        <v>4083</v>
      </c>
      <c r="F1005" s="2">
        <v>3</v>
      </c>
      <c r="G1005" s="2" t="str">
        <f t="shared" si="66"/>
        <v>c</v>
      </c>
      <c r="H1005" s="2">
        <f t="shared" si="67"/>
        <v>2010</v>
      </c>
      <c r="I1005" s="2" t="s">
        <v>4089</v>
      </c>
      <c r="J1005" s="2" t="s">
        <v>4085</v>
      </c>
      <c r="K1005" s="34" t="s">
        <v>4086</v>
      </c>
      <c r="L1005" s="2" t="s">
        <v>1520</v>
      </c>
      <c r="M1005" s="2" t="s">
        <v>4087</v>
      </c>
      <c r="N1005">
        <v>1</v>
      </c>
      <c r="O1005">
        <v>2</v>
      </c>
      <c r="P1005" s="2" t="s">
        <v>1527</v>
      </c>
      <c r="Q1005" t="s">
        <v>3462</v>
      </c>
    </row>
    <row r="1006" spans="1:17" ht="18" customHeight="1" x14ac:dyDescent="0.2">
      <c r="A1006" s="69" t="s">
        <v>777</v>
      </c>
      <c r="B1006" s="69" t="s">
        <v>3875</v>
      </c>
      <c r="C1006" s="69" t="s">
        <v>4182</v>
      </c>
      <c r="D1006" s="69" t="s">
        <v>1639</v>
      </c>
      <c r="E1006" s="69" t="s">
        <v>4083</v>
      </c>
      <c r="F1006" s="2">
        <v>4</v>
      </c>
      <c r="G1006" s="2" t="str">
        <f t="shared" si="66"/>
        <v>d</v>
      </c>
      <c r="H1006" s="2">
        <f t="shared" si="67"/>
        <v>2011</v>
      </c>
      <c r="I1006" s="2" t="s">
        <v>4090</v>
      </c>
      <c r="J1006" s="2" t="s">
        <v>4085</v>
      </c>
      <c r="K1006" s="34" t="s">
        <v>4086</v>
      </c>
      <c r="L1006" s="2" t="s">
        <v>1520</v>
      </c>
      <c r="M1006" s="2" t="s">
        <v>4087</v>
      </c>
      <c r="N1006">
        <v>1</v>
      </c>
      <c r="O1006">
        <v>2</v>
      </c>
      <c r="P1006" s="2" t="s">
        <v>1527</v>
      </c>
      <c r="Q1006" t="s">
        <v>3462</v>
      </c>
    </row>
    <row r="1007" spans="1:17" ht="18" customHeight="1" x14ac:dyDescent="0.2">
      <c r="A1007" s="69" t="s">
        <v>777</v>
      </c>
      <c r="B1007" s="69" t="s">
        <v>3877</v>
      </c>
      <c r="C1007" s="69" t="s">
        <v>4182</v>
      </c>
      <c r="D1007" s="69" t="s">
        <v>1639</v>
      </c>
      <c r="E1007" s="69" t="s">
        <v>4083</v>
      </c>
      <c r="F1007" s="2">
        <v>5</v>
      </c>
      <c r="G1007" s="2" t="str">
        <f t="shared" si="66"/>
        <v>e</v>
      </c>
      <c r="H1007" s="2">
        <f t="shared" si="67"/>
        <v>2012</v>
      </c>
      <c r="I1007" s="2" t="s">
        <v>4091</v>
      </c>
      <c r="J1007" s="2" t="s">
        <v>4085</v>
      </c>
      <c r="K1007" s="34" t="s">
        <v>4086</v>
      </c>
      <c r="L1007" s="2" t="s">
        <v>1520</v>
      </c>
      <c r="M1007" s="2" t="s">
        <v>4087</v>
      </c>
      <c r="N1007">
        <v>1</v>
      </c>
      <c r="O1007">
        <v>2</v>
      </c>
      <c r="P1007" s="2" t="s">
        <v>1527</v>
      </c>
      <c r="Q1007" t="s">
        <v>3462</v>
      </c>
    </row>
    <row r="1008" spans="1:17" ht="18" customHeight="1" x14ac:dyDescent="0.2">
      <c r="A1008" s="69" t="s">
        <v>777</v>
      </c>
      <c r="B1008" s="69" t="s">
        <v>3879</v>
      </c>
      <c r="C1008" s="69" t="s">
        <v>4182</v>
      </c>
      <c r="D1008" s="69" t="s">
        <v>1639</v>
      </c>
      <c r="E1008" s="69" t="s">
        <v>4083</v>
      </c>
      <c r="F1008" s="2">
        <v>6</v>
      </c>
      <c r="G1008" s="2" t="str">
        <f t="shared" si="66"/>
        <v>f</v>
      </c>
      <c r="H1008" s="2">
        <f t="shared" si="67"/>
        <v>2013</v>
      </c>
      <c r="I1008" s="2" t="s">
        <v>4092</v>
      </c>
      <c r="J1008" s="2" t="s">
        <v>4085</v>
      </c>
      <c r="K1008" s="34" t="s">
        <v>4086</v>
      </c>
      <c r="L1008" s="2" t="s">
        <v>1520</v>
      </c>
      <c r="M1008" s="2" t="s">
        <v>4087</v>
      </c>
      <c r="N1008">
        <v>1</v>
      </c>
      <c r="O1008">
        <v>2</v>
      </c>
      <c r="P1008" s="2" t="s">
        <v>1527</v>
      </c>
      <c r="Q1008" t="s">
        <v>3462</v>
      </c>
    </row>
    <row r="1009" spans="1:17" ht="18" customHeight="1" x14ac:dyDescent="0.2">
      <c r="A1009" s="69" t="s">
        <v>777</v>
      </c>
      <c r="B1009" s="69" t="s">
        <v>3881</v>
      </c>
      <c r="C1009" s="69" t="s">
        <v>4182</v>
      </c>
      <c r="D1009" s="69" t="s">
        <v>1639</v>
      </c>
      <c r="E1009" s="69" t="s">
        <v>4083</v>
      </c>
      <c r="F1009" s="2">
        <v>7</v>
      </c>
      <c r="G1009" s="2" t="str">
        <f t="shared" si="66"/>
        <v>g</v>
      </c>
      <c r="H1009" s="2">
        <f t="shared" si="67"/>
        <v>2014</v>
      </c>
      <c r="I1009" s="2" t="s">
        <v>4093</v>
      </c>
      <c r="J1009" s="2" t="s">
        <v>4085</v>
      </c>
      <c r="K1009" s="34" t="s">
        <v>4086</v>
      </c>
      <c r="L1009" s="2" t="s">
        <v>1520</v>
      </c>
      <c r="M1009" s="2" t="s">
        <v>4087</v>
      </c>
      <c r="N1009">
        <v>1</v>
      </c>
      <c r="O1009">
        <v>2</v>
      </c>
      <c r="P1009" s="2" t="s">
        <v>1527</v>
      </c>
      <c r="Q1009" t="s">
        <v>3462</v>
      </c>
    </row>
    <row r="1010" spans="1:17" ht="18" customHeight="1" x14ac:dyDescent="0.2">
      <c r="A1010" s="69" t="s">
        <v>777</v>
      </c>
      <c r="B1010" s="69" t="s">
        <v>3858</v>
      </c>
      <c r="C1010" s="69" t="s">
        <v>4182</v>
      </c>
      <c r="D1010" s="69" t="s">
        <v>1639</v>
      </c>
      <c r="E1010" s="69" t="s">
        <v>4083</v>
      </c>
      <c r="F1010" s="2">
        <v>8</v>
      </c>
      <c r="G1010" s="2" t="str">
        <f t="shared" si="66"/>
        <v>h</v>
      </c>
      <c r="H1010" s="2">
        <f t="shared" si="67"/>
        <v>2015</v>
      </c>
      <c r="I1010" s="2" t="s">
        <v>4094</v>
      </c>
      <c r="J1010" s="2" t="s">
        <v>4085</v>
      </c>
      <c r="K1010" s="34" t="s">
        <v>4086</v>
      </c>
      <c r="L1010" s="2" t="s">
        <v>1520</v>
      </c>
      <c r="M1010" s="2" t="s">
        <v>4087</v>
      </c>
      <c r="N1010">
        <v>1</v>
      </c>
      <c r="O1010">
        <v>2</v>
      </c>
      <c r="P1010" s="2" t="s">
        <v>1527</v>
      </c>
      <c r="Q1010" t="s">
        <v>3462</v>
      </c>
    </row>
    <row r="1011" spans="1:17" ht="18" customHeight="1" x14ac:dyDescent="0.2">
      <c r="A1011" s="69" t="s">
        <v>777</v>
      </c>
      <c r="B1011" s="69" t="s">
        <v>3864</v>
      </c>
      <c r="C1011" s="69" t="s">
        <v>4182</v>
      </c>
      <c r="D1011" s="69" t="s">
        <v>1639</v>
      </c>
      <c r="E1011" s="69" t="s">
        <v>4083</v>
      </c>
      <c r="F1011" s="2">
        <v>9</v>
      </c>
      <c r="G1011" s="2" t="str">
        <f t="shared" si="66"/>
        <v>i</v>
      </c>
      <c r="H1011" s="2">
        <f t="shared" si="67"/>
        <v>2016</v>
      </c>
      <c r="I1011" s="2" t="s">
        <v>4095</v>
      </c>
      <c r="J1011" s="2" t="s">
        <v>4085</v>
      </c>
      <c r="K1011" s="34" t="s">
        <v>4086</v>
      </c>
      <c r="L1011" s="2" t="s">
        <v>1520</v>
      </c>
      <c r="M1011" s="2" t="s">
        <v>4087</v>
      </c>
      <c r="N1011">
        <v>1</v>
      </c>
      <c r="O1011">
        <v>2</v>
      </c>
      <c r="P1011" s="2" t="s">
        <v>1527</v>
      </c>
      <c r="Q1011" t="s">
        <v>3462</v>
      </c>
    </row>
    <row r="1012" spans="1:17" ht="18" customHeight="1" x14ac:dyDescent="0.2">
      <c r="A1012" s="69" t="s">
        <v>777</v>
      </c>
      <c r="B1012" s="69" t="s">
        <v>3866</v>
      </c>
      <c r="C1012" s="69" t="s">
        <v>4182</v>
      </c>
      <c r="D1012" s="69" t="s">
        <v>1639</v>
      </c>
      <c r="E1012" s="69" t="s">
        <v>4083</v>
      </c>
      <c r="F1012" s="2">
        <v>10</v>
      </c>
      <c r="G1012" s="2" t="str">
        <f t="shared" si="66"/>
        <v>j</v>
      </c>
      <c r="H1012" s="2">
        <f t="shared" si="67"/>
        <v>2017</v>
      </c>
      <c r="I1012" s="2" t="s">
        <v>4096</v>
      </c>
      <c r="J1012" s="2" t="s">
        <v>4085</v>
      </c>
      <c r="K1012" s="34" t="s">
        <v>4086</v>
      </c>
      <c r="L1012" s="2" t="s">
        <v>1520</v>
      </c>
      <c r="M1012" s="2" t="s">
        <v>4087</v>
      </c>
      <c r="N1012">
        <v>1</v>
      </c>
      <c r="O1012">
        <v>2</v>
      </c>
      <c r="P1012" s="2" t="s">
        <v>1527</v>
      </c>
      <c r="Q1012" t="s">
        <v>3462</v>
      </c>
    </row>
    <row r="1013" spans="1:17" ht="18" customHeight="1" x14ac:dyDescent="0.2">
      <c r="A1013" s="69" t="s">
        <v>777</v>
      </c>
      <c r="B1013" s="69" t="s">
        <v>3868</v>
      </c>
      <c r="C1013" s="69" t="s">
        <v>4182</v>
      </c>
      <c r="D1013" s="69" t="s">
        <v>1639</v>
      </c>
      <c r="E1013" s="69" t="s">
        <v>4097</v>
      </c>
      <c r="F1013" s="2">
        <v>1</v>
      </c>
      <c r="G1013" s="2" t="str">
        <f t="shared" si="66"/>
        <v>a</v>
      </c>
      <c r="H1013" s="2">
        <f t="shared" si="67"/>
        <v>2008</v>
      </c>
      <c r="I1013" s="2" t="s">
        <v>4098</v>
      </c>
      <c r="J1013" s="2" t="s">
        <v>4099</v>
      </c>
      <c r="K1013" s="2" t="s">
        <v>4025</v>
      </c>
      <c r="L1013"/>
      <c r="M1013" s="2" t="s">
        <v>3788</v>
      </c>
      <c r="P1013" s="2" t="s">
        <v>1527</v>
      </c>
      <c r="Q1013" t="s">
        <v>3462</v>
      </c>
    </row>
    <row r="1014" spans="1:17" ht="18" customHeight="1" x14ac:dyDescent="0.2">
      <c r="A1014" s="69" t="s">
        <v>777</v>
      </c>
      <c r="B1014" s="69" t="s">
        <v>3871</v>
      </c>
      <c r="C1014" s="69" t="s">
        <v>4182</v>
      </c>
      <c r="D1014" s="69" t="s">
        <v>1639</v>
      </c>
      <c r="E1014" s="69" t="s">
        <v>4097</v>
      </c>
      <c r="F1014" s="2">
        <v>2</v>
      </c>
      <c r="G1014" s="2" t="str">
        <f t="shared" si="66"/>
        <v>b</v>
      </c>
      <c r="H1014" s="2">
        <f t="shared" si="67"/>
        <v>2009</v>
      </c>
      <c r="I1014" s="2" t="s">
        <v>4100</v>
      </c>
      <c r="J1014" s="2" t="s">
        <v>4099</v>
      </c>
      <c r="K1014" s="2" t="s">
        <v>4025</v>
      </c>
      <c r="L1014"/>
      <c r="M1014" s="2" t="s">
        <v>3788</v>
      </c>
      <c r="P1014" s="2" t="s">
        <v>1527</v>
      </c>
      <c r="Q1014" t="s">
        <v>3462</v>
      </c>
    </row>
    <row r="1015" spans="1:17" ht="18" customHeight="1" x14ac:dyDescent="0.2">
      <c r="A1015" s="69" t="s">
        <v>777</v>
      </c>
      <c r="B1015" s="69" t="s">
        <v>3873</v>
      </c>
      <c r="C1015" s="69" t="s">
        <v>4182</v>
      </c>
      <c r="D1015" s="69" t="s">
        <v>1639</v>
      </c>
      <c r="E1015" s="69" t="s">
        <v>4097</v>
      </c>
      <c r="F1015" s="2">
        <v>3</v>
      </c>
      <c r="G1015" s="2" t="str">
        <f t="shared" si="66"/>
        <v>c</v>
      </c>
      <c r="H1015" s="2">
        <f t="shared" si="67"/>
        <v>2010</v>
      </c>
      <c r="I1015" s="2" t="s">
        <v>4101</v>
      </c>
      <c r="J1015" s="2" t="s">
        <v>4099</v>
      </c>
      <c r="K1015" s="2" t="s">
        <v>4025</v>
      </c>
      <c r="L1015"/>
      <c r="M1015" s="2" t="s">
        <v>3788</v>
      </c>
      <c r="P1015" s="2" t="s">
        <v>1527</v>
      </c>
      <c r="Q1015" t="s">
        <v>3462</v>
      </c>
    </row>
    <row r="1016" spans="1:17" ht="18" customHeight="1" x14ac:dyDescent="0.2">
      <c r="A1016" s="69" t="s">
        <v>777</v>
      </c>
      <c r="B1016" s="69" t="s">
        <v>3875</v>
      </c>
      <c r="C1016" s="69" t="s">
        <v>4182</v>
      </c>
      <c r="D1016" s="69" t="s">
        <v>1639</v>
      </c>
      <c r="E1016" s="69" t="s">
        <v>4097</v>
      </c>
      <c r="F1016" s="2">
        <v>4</v>
      </c>
      <c r="G1016" s="2" t="str">
        <f t="shared" si="66"/>
        <v>d</v>
      </c>
      <c r="H1016" s="2">
        <f t="shared" si="67"/>
        <v>2011</v>
      </c>
      <c r="I1016" s="2" t="s">
        <v>4102</v>
      </c>
      <c r="J1016" s="2" t="s">
        <v>4099</v>
      </c>
      <c r="K1016" s="2" t="s">
        <v>4025</v>
      </c>
      <c r="L1016"/>
      <c r="M1016" s="2" t="s">
        <v>3788</v>
      </c>
      <c r="P1016" s="2" t="s">
        <v>1527</v>
      </c>
      <c r="Q1016" t="s">
        <v>3462</v>
      </c>
    </row>
    <row r="1017" spans="1:17" ht="18" customHeight="1" x14ac:dyDescent="0.2">
      <c r="A1017" s="69" t="s">
        <v>777</v>
      </c>
      <c r="B1017" s="69" t="s">
        <v>3877</v>
      </c>
      <c r="C1017" s="69" t="s">
        <v>4182</v>
      </c>
      <c r="D1017" s="69" t="s">
        <v>1639</v>
      </c>
      <c r="E1017" s="69" t="s">
        <v>4097</v>
      </c>
      <c r="F1017" s="2">
        <v>5</v>
      </c>
      <c r="G1017" s="2" t="str">
        <f t="shared" ref="G1017:G1048" si="68">LEFT(RIGHT(I1017,4),1)</f>
        <v>e</v>
      </c>
      <c r="H1017" s="2">
        <f t="shared" ref="H1017:H1048" si="69">F1017+2007</f>
        <v>2012</v>
      </c>
      <c r="I1017" s="2" t="s">
        <v>4103</v>
      </c>
      <c r="J1017" s="2" t="s">
        <v>4099</v>
      </c>
      <c r="K1017" s="2" t="s">
        <v>4025</v>
      </c>
      <c r="L1017"/>
      <c r="M1017" s="2" t="s">
        <v>3788</v>
      </c>
      <c r="P1017" s="2" t="s">
        <v>1527</v>
      </c>
      <c r="Q1017" t="s">
        <v>3462</v>
      </c>
    </row>
    <row r="1018" spans="1:17" ht="18" customHeight="1" x14ac:dyDescent="0.2">
      <c r="A1018" s="69" t="s">
        <v>777</v>
      </c>
      <c r="B1018" s="69" t="s">
        <v>3879</v>
      </c>
      <c r="C1018" s="69" t="s">
        <v>4182</v>
      </c>
      <c r="D1018" s="69" t="s">
        <v>1639</v>
      </c>
      <c r="E1018" s="69" t="s">
        <v>4097</v>
      </c>
      <c r="F1018" s="2">
        <v>6</v>
      </c>
      <c r="G1018" s="2" t="str">
        <f t="shared" si="68"/>
        <v>f</v>
      </c>
      <c r="H1018" s="2">
        <f t="shared" si="69"/>
        <v>2013</v>
      </c>
      <c r="I1018" s="2" t="s">
        <v>4104</v>
      </c>
      <c r="J1018" s="2" t="s">
        <v>4099</v>
      </c>
      <c r="K1018" s="2" t="s">
        <v>4025</v>
      </c>
      <c r="L1018"/>
      <c r="M1018" s="2" t="s">
        <v>3788</v>
      </c>
      <c r="P1018" s="2" t="s">
        <v>1527</v>
      </c>
      <c r="Q1018" t="s">
        <v>3462</v>
      </c>
    </row>
    <row r="1019" spans="1:17" ht="18" customHeight="1" x14ac:dyDescent="0.2">
      <c r="A1019" s="69" t="s">
        <v>777</v>
      </c>
      <c r="B1019" s="69" t="s">
        <v>3881</v>
      </c>
      <c r="C1019" s="69" t="s">
        <v>4182</v>
      </c>
      <c r="D1019" s="69" t="s">
        <v>1639</v>
      </c>
      <c r="E1019" s="69" t="s">
        <v>4097</v>
      </c>
      <c r="F1019" s="2">
        <v>7</v>
      </c>
      <c r="G1019" s="2" t="str">
        <f t="shared" si="68"/>
        <v>g</v>
      </c>
      <c r="H1019" s="2">
        <f t="shared" si="69"/>
        <v>2014</v>
      </c>
      <c r="I1019" s="2" t="s">
        <v>4105</v>
      </c>
      <c r="J1019" s="2" t="s">
        <v>4099</v>
      </c>
      <c r="K1019" s="2" t="s">
        <v>4025</v>
      </c>
      <c r="L1019"/>
      <c r="M1019" s="2" t="s">
        <v>3788</v>
      </c>
      <c r="P1019" s="2" t="s">
        <v>1527</v>
      </c>
      <c r="Q1019" t="s">
        <v>3462</v>
      </c>
    </row>
    <row r="1020" spans="1:17" ht="18" customHeight="1" x14ac:dyDescent="0.2">
      <c r="A1020" s="69" t="s">
        <v>777</v>
      </c>
      <c r="B1020" s="69" t="s">
        <v>3858</v>
      </c>
      <c r="C1020" s="69" t="s">
        <v>4182</v>
      </c>
      <c r="D1020" s="69" t="s">
        <v>1639</v>
      </c>
      <c r="E1020" s="69" t="s">
        <v>4097</v>
      </c>
      <c r="F1020" s="2">
        <v>8</v>
      </c>
      <c r="G1020" s="2" t="str">
        <f t="shared" si="68"/>
        <v>h</v>
      </c>
      <c r="H1020" s="2">
        <f t="shared" si="69"/>
        <v>2015</v>
      </c>
      <c r="I1020" s="2" t="s">
        <v>4106</v>
      </c>
      <c r="J1020" s="2" t="s">
        <v>4099</v>
      </c>
      <c r="K1020" s="2" t="s">
        <v>4025</v>
      </c>
      <c r="L1020"/>
      <c r="M1020" s="2" t="s">
        <v>3788</v>
      </c>
      <c r="P1020" s="2" t="s">
        <v>1527</v>
      </c>
      <c r="Q1020" t="s">
        <v>3462</v>
      </c>
    </row>
    <row r="1021" spans="1:17" ht="18" customHeight="1" x14ac:dyDescent="0.2">
      <c r="A1021" s="69" t="s">
        <v>777</v>
      </c>
      <c r="B1021" s="69" t="s">
        <v>3864</v>
      </c>
      <c r="C1021" s="69" t="s">
        <v>4182</v>
      </c>
      <c r="D1021" s="69" t="s">
        <v>1639</v>
      </c>
      <c r="E1021" s="69" t="s">
        <v>4097</v>
      </c>
      <c r="F1021" s="2">
        <v>9</v>
      </c>
      <c r="G1021" s="2" t="str">
        <f t="shared" si="68"/>
        <v>i</v>
      </c>
      <c r="H1021" s="2">
        <f t="shared" si="69"/>
        <v>2016</v>
      </c>
      <c r="I1021" s="2" t="s">
        <v>4107</v>
      </c>
      <c r="J1021" s="2" t="s">
        <v>4099</v>
      </c>
      <c r="K1021" s="2" t="s">
        <v>4025</v>
      </c>
      <c r="L1021"/>
      <c r="M1021" s="2" t="s">
        <v>3788</v>
      </c>
      <c r="P1021" s="2" t="s">
        <v>1527</v>
      </c>
      <c r="Q1021" t="s">
        <v>3462</v>
      </c>
    </row>
    <row r="1022" spans="1:17" ht="18" customHeight="1" x14ac:dyDescent="0.2">
      <c r="A1022" s="69" t="s">
        <v>777</v>
      </c>
      <c r="B1022" s="69" t="s">
        <v>3866</v>
      </c>
      <c r="C1022" s="69" t="s">
        <v>4182</v>
      </c>
      <c r="D1022" s="69" t="s">
        <v>1639</v>
      </c>
      <c r="E1022" s="69" t="s">
        <v>4097</v>
      </c>
      <c r="F1022" s="2">
        <v>10</v>
      </c>
      <c r="G1022" s="2" t="str">
        <f t="shared" si="68"/>
        <v>j</v>
      </c>
      <c r="H1022" s="2">
        <f t="shared" si="69"/>
        <v>2017</v>
      </c>
      <c r="I1022" s="2" t="s">
        <v>4108</v>
      </c>
      <c r="J1022" s="2" t="s">
        <v>4099</v>
      </c>
      <c r="K1022" s="2" t="s">
        <v>4025</v>
      </c>
      <c r="L1022"/>
      <c r="M1022" s="2" t="s">
        <v>3788</v>
      </c>
      <c r="P1022" s="2" t="s">
        <v>1527</v>
      </c>
      <c r="Q1022" t="s">
        <v>3462</v>
      </c>
    </row>
    <row r="1023" spans="1:17" ht="18" customHeight="1" x14ac:dyDescent="0.2">
      <c r="A1023" s="69" t="s">
        <v>777</v>
      </c>
      <c r="B1023" s="69" t="s">
        <v>3868</v>
      </c>
      <c r="C1023" s="69" t="s">
        <v>4182</v>
      </c>
      <c r="D1023" s="69" t="s">
        <v>1639</v>
      </c>
      <c r="E1023" s="69" t="s">
        <v>4109</v>
      </c>
      <c r="F1023" s="2">
        <v>1</v>
      </c>
      <c r="G1023" s="2" t="str">
        <f t="shared" si="68"/>
        <v>a</v>
      </c>
      <c r="H1023" s="2">
        <f t="shared" si="69"/>
        <v>2008</v>
      </c>
      <c r="I1023" s="2" t="s">
        <v>4110</v>
      </c>
      <c r="J1023" s="2" t="s">
        <v>4111</v>
      </c>
      <c r="K1023" s="2" t="s">
        <v>4025</v>
      </c>
      <c r="L1023"/>
      <c r="M1023" s="2" t="s">
        <v>3788</v>
      </c>
      <c r="P1023" s="2" t="s">
        <v>1527</v>
      </c>
      <c r="Q1023" t="s">
        <v>3462</v>
      </c>
    </row>
    <row r="1024" spans="1:17" ht="18" customHeight="1" x14ac:dyDescent="0.2">
      <c r="A1024" s="69" t="s">
        <v>777</v>
      </c>
      <c r="B1024" s="69" t="s">
        <v>3871</v>
      </c>
      <c r="C1024" s="69" t="s">
        <v>4182</v>
      </c>
      <c r="D1024" s="69" t="s">
        <v>1639</v>
      </c>
      <c r="E1024" s="69" t="s">
        <v>4109</v>
      </c>
      <c r="F1024" s="2">
        <v>2</v>
      </c>
      <c r="G1024" s="2" t="str">
        <f t="shared" si="68"/>
        <v>b</v>
      </c>
      <c r="H1024" s="2">
        <f t="shared" si="69"/>
        <v>2009</v>
      </c>
      <c r="I1024" s="2" t="s">
        <v>4112</v>
      </c>
      <c r="J1024" s="2" t="s">
        <v>4111</v>
      </c>
      <c r="K1024" s="2" t="s">
        <v>4025</v>
      </c>
      <c r="L1024"/>
      <c r="M1024" s="2" t="s">
        <v>3788</v>
      </c>
      <c r="P1024" s="2" t="s">
        <v>1527</v>
      </c>
      <c r="Q1024" t="s">
        <v>3462</v>
      </c>
    </row>
    <row r="1025" spans="1:17" ht="18" customHeight="1" x14ac:dyDescent="0.2">
      <c r="A1025" s="69" t="s">
        <v>777</v>
      </c>
      <c r="B1025" s="69" t="s">
        <v>3873</v>
      </c>
      <c r="C1025" s="69" t="s">
        <v>4182</v>
      </c>
      <c r="D1025" s="69" t="s">
        <v>1639</v>
      </c>
      <c r="E1025" s="69" t="s">
        <v>4109</v>
      </c>
      <c r="F1025" s="2">
        <v>3</v>
      </c>
      <c r="G1025" s="2" t="str">
        <f t="shared" si="68"/>
        <v>c</v>
      </c>
      <c r="H1025" s="2">
        <f t="shared" si="69"/>
        <v>2010</v>
      </c>
      <c r="I1025" s="2" t="s">
        <v>4113</v>
      </c>
      <c r="J1025" s="2" t="s">
        <v>4111</v>
      </c>
      <c r="K1025" s="2" t="s">
        <v>4025</v>
      </c>
      <c r="L1025"/>
      <c r="M1025" s="2" t="s">
        <v>3788</v>
      </c>
      <c r="P1025" s="2" t="s">
        <v>1527</v>
      </c>
      <c r="Q1025" t="s">
        <v>3462</v>
      </c>
    </row>
    <row r="1026" spans="1:17" ht="18" customHeight="1" x14ac:dyDescent="0.2">
      <c r="A1026" s="69" t="s">
        <v>777</v>
      </c>
      <c r="B1026" s="69" t="s">
        <v>3875</v>
      </c>
      <c r="C1026" s="69" t="s">
        <v>4182</v>
      </c>
      <c r="D1026" s="69" t="s">
        <v>1639</v>
      </c>
      <c r="E1026" s="69" t="s">
        <v>4109</v>
      </c>
      <c r="F1026" s="2">
        <v>4</v>
      </c>
      <c r="G1026" s="2" t="str">
        <f t="shared" si="68"/>
        <v>d</v>
      </c>
      <c r="H1026" s="2">
        <f t="shared" si="69"/>
        <v>2011</v>
      </c>
      <c r="I1026" s="2" t="s">
        <v>4114</v>
      </c>
      <c r="J1026" s="2" t="s">
        <v>4111</v>
      </c>
      <c r="K1026" s="2" t="s">
        <v>4025</v>
      </c>
      <c r="L1026"/>
      <c r="M1026" s="2" t="s">
        <v>3788</v>
      </c>
      <c r="P1026" s="2" t="s">
        <v>1527</v>
      </c>
      <c r="Q1026" t="s">
        <v>3462</v>
      </c>
    </row>
    <row r="1027" spans="1:17" ht="18" customHeight="1" x14ac:dyDescent="0.2">
      <c r="A1027" s="69" t="s">
        <v>777</v>
      </c>
      <c r="B1027" s="69" t="s">
        <v>3877</v>
      </c>
      <c r="C1027" s="69" t="s">
        <v>4182</v>
      </c>
      <c r="D1027" s="69" t="s">
        <v>1639</v>
      </c>
      <c r="E1027" s="69" t="s">
        <v>4109</v>
      </c>
      <c r="F1027" s="2">
        <v>5</v>
      </c>
      <c r="G1027" s="2" t="str">
        <f t="shared" si="68"/>
        <v>e</v>
      </c>
      <c r="H1027" s="2">
        <f t="shared" si="69"/>
        <v>2012</v>
      </c>
      <c r="I1027" s="2" t="s">
        <v>4115</v>
      </c>
      <c r="J1027" s="2" t="s">
        <v>4111</v>
      </c>
      <c r="K1027" s="2" t="s">
        <v>4025</v>
      </c>
      <c r="L1027"/>
      <c r="M1027" s="2" t="s">
        <v>3788</v>
      </c>
      <c r="P1027" s="2" t="s">
        <v>1527</v>
      </c>
      <c r="Q1027" t="s">
        <v>3462</v>
      </c>
    </row>
    <row r="1028" spans="1:17" ht="18" customHeight="1" x14ac:dyDescent="0.2">
      <c r="A1028" s="69" t="s">
        <v>777</v>
      </c>
      <c r="B1028" s="69" t="s">
        <v>3879</v>
      </c>
      <c r="C1028" s="69" t="s">
        <v>4182</v>
      </c>
      <c r="D1028" s="69" t="s">
        <v>1639</v>
      </c>
      <c r="E1028" s="69" t="s">
        <v>4109</v>
      </c>
      <c r="F1028" s="2">
        <v>6</v>
      </c>
      <c r="G1028" s="2" t="str">
        <f t="shared" si="68"/>
        <v>f</v>
      </c>
      <c r="H1028" s="2">
        <f t="shared" si="69"/>
        <v>2013</v>
      </c>
      <c r="I1028" s="2" t="s">
        <v>4116</v>
      </c>
      <c r="J1028" s="2" t="s">
        <v>4111</v>
      </c>
      <c r="K1028" s="2" t="s">
        <v>4025</v>
      </c>
      <c r="L1028"/>
      <c r="M1028" s="2" t="s">
        <v>3788</v>
      </c>
      <c r="P1028" s="2" t="s">
        <v>1527</v>
      </c>
      <c r="Q1028" t="s">
        <v>3462</v>
      </c>
    </row>
    <row r="1029" spans="1:17" ht="18" customHeight="1" x14ac:dyDescent="0.2">
      <c r="A1029" s="69" t="s">
        <v>777</v>
      </c>
      <c r="B1029" s="69" t="s">
        <v>3881</v>
      </c>
      <c r="C1029" s="69" t="s">
        <v>4182</v>
      </c>
      <c r="D1029" s="69" t="s">
        <v>1639</v>
      </c>
      <c r="E1029" s="69" t="s">
        <v>4109</v>
      </c>
      <c r="F1029" s="2">
        <v>7</v>
      </c>
      <c r="G1029" s="2" t="str">
        <f t="shared" si="68"/>
        <v>g</v>
      </c>
      <c r="H1029" s="2">
        <f t="shared" si="69"/>
        <v>2014</v>
      </c>
      <c r="I1029" s="2" t="s">
        <v>4117</v>
      </c>
      <c r="J1029" s="2" t="s">
        <v>4111</v>
      </c>
      <c r="K1029" s="2" t="s">
        <v>4025</v>
      </c>
      <c r="L1029"/>
      <c r="M1029" s="2" t="s">
        <v>3788</v>
      </c>
      <c r="P1029" s="2" t="s">
        <v>1527</v>
      </c>
      <c r="Q1029" t="s">
        <v>3462</v>
      </c>
    </row>
    <row r="1030" spans="1:17" ht="18" customHeight="1" x14ac:dyDescent="0.2">
      <c r="A1030" s="69" t="s">
        <v>777</v>
      </c>
      <c r="B1030" s="69" t="s">
        <v>3858</v>
      </c>
      <c r="C1030" s="69" t="s">
        <v>4182</v>
      </c>
      <c r="D1030" s="69" t="s">
        <v>1639</v>
      </c>
      <c r="E1030" s="69" t="s">
        <v>4109</v>
      </c>
      <c r="F1030" s="2">
        <v>8</v>
      </c>
      <c r="G1030" s="2" t="str">
        <f t="shared" si="68"/>
        <v>h</v>
      </c>
      <c r="H1030" s="2">
        <f t="shared" si="69"/>
        <v>2015</v>
      </c>
      <c r="I1030" s="2" t="s">
        <v>4118</v>
      </c>
      <c r="J1030" s="2" t="s">
        <v>4111</v>
      </c>
      <c r="K1030" s="2" t="s">
        <v>4025</v>
      </c>
      <c r="L1030"/>
      <c r="M1030" s="2" t="s">
        <v>3788</v>
      </c>
      <c r="P1030" s="2" t="s">
        <v>1527</v>
      </c>
      <c r="Q1030" t="s">
        <v>3462</v>
      </c>
    </row>
    <row r="1031" spans="1:17" ht="18" customHeight="1" x14ac:dyDescent="0.2">
      <c r="A1031" s="69" t="s">
        <v>777</v>
      </c>
      <c r="B1031" s="69" t="s">
        <v>3864</v>
      </c>
      <c r="C1031" s="69" t="s">
        <v>4182</v>
      </c>
      <c r="D1031" s="69" t="s">
        <v>1639</v>
      </c>
      <c r="E1031" s="69" t="s">
        <v>4109</v>
      </c>
      <c r="F1031" s="2">
        <v>9</v>
      </c>
      <c r="G1031" s="2" t="str">
        <f t="shared" si="68"/>
        <v>i</v>
      </c>
      <c r="H1031" s="2">
        <f t="shared" si="69"/>
        <v>2016</v>
      </c>
      <c r="I1031" s="2" t="s">
        <v>4119</v>
      </c>
      <c r="J1031" s="2" t="s">
        <v>4111</v>
      </c>
      <c r="K1031" s="2" t="s">
        <v>4025</v>
      </c>
      <c r="L1031"/>
      <c r="M1031" s="2" t="s">
        <v>3788</v>
      </c>
      <c r="P1031" s="2" t="s">
        <v>1527</v>
      </c>
      <c r="Q1031" t="s">
        <v>3462</v>
      </c>
    </row>
    <row r="1032" spans="1:17" ht="18" customHeight="1" x14ac:dyDescent="0.2">
      <c r="A1032" s="69" t="s">
        <v>777</v>
      </c>
      <c r="B1032" s="69" t="s">
        <v>3866</v>
      </c>
      <c r="C1032" s="69" t="s">
        <v>4182</v>
      </c>
      <c r="D1032" s="69" t="s">
        <v>1639</v>
      </c>
      <c r="E1032" s="69" t="s">
        <v>4109</v>
      </c>
      <c r="F1032" s="2">
        <v>10</v>
      </c>
      <c r="G1032" s="2" t="str">
        <f t="shared" si="68"/>
        <v>j</v>
      </c>
      <c r="H1032" s="2">
        <f t="shared" si="69"/>
        <v>2017</v>
      </c>
      <c r="I1032" s="2" t="s">
        <v>4120</v>
      </c>
      <c r="J1032" s="2" t="s">
        <v>4111</v>
      </c>
      <c r="K1032" s="2" t="s">
        <v>4025</v>
      </c>
      <c r="L1032"/>
      <c r="M1032" s="2" t="s">
        <v>3788</v>
      </c>
      <c r="P1032" s="2" t="s">
        <v>1527</v>
      </c>
      <c r="Q1032" t="s">
        <v>3462</v>
      </c>
    </row>
    <row r="1033" spans="1:17" ht="18" customHeight="1" x14ac:dyDescent="0.2">
      <c r="A1033" s="69" t="s">
        <v>777</v>
      </c>
      <c r="B1033" s="69" t="s">
        <v>3868</v>
      </c>
      <c r="C1033" s="69" t="s">
        <v>4182</v>
      </c>
      <c r="D1033" s="69" t="s">
        <v>1639</v>
      </c>
      <c r="E1033" s="69" t="s">
        <v>4121</v>
      </c>
      <c r="F1033" s="2">
        <v>1</v>
      </c>
      <c r="G1033" s="2" t="str">
        <f t="shared" si="68"/>
        <v>a</v>
      </c>
      <c r="H1033" s="2">
        <f t="shared" si="69"/>
        <v>2008</v>
      </c>
      <c r="I1033" s="2" t="s">
        <v>4122</v>
      </c>
      <c r="J1033" s="2" t="s">
        <v>4123</v>
      </c>
      <c r="K1033" s="2" t="s">
        <v>4025</v>
      </c>
      <c r="L1033"/>
      <c r="M1033" s="2" t="s">
        <v>3788</v>
      </c>
      <c r="P1033" s="2" t="s">
        <v>1527</v>
      </c>
      <c r="Q1033" t="s">
        <v>3462</v>
      </c>
    </row>
    <row r="1034" spans="1:17" ht="18" customHeight="1" x14ac:dyDescent="0.2">
      <c r="A1034" s="69" t="s">
        <v>777</v>
      </c>
      <c r="B1034" s="69" t="s">
        <v>3871</v>
      </c>
      <c r="C1034" s="69" t="s">
        <v>4182</v>
      </c>
      <c r="D1034" s="69" t="s">
        <v>1639</v>
      </c>
      <c r="E1034" s="69" t="s">
        <v>4121</v>
      </c>
      <c r="F1034" s="2">
        <v>2</v>
      </c>
      <c r="G1034" s="2" t="str">
        <f t="shared" si="68"/>
        <v>b</v>
      </c>
      <c r="H1034" s="2">
        <f t="shared" si="69"/>
        <v>2009</v>
      </c>
      <c r="I1034" s="2" t="s">
        <v>4124</v>
      </c>
      <c r="J1034" s="2" t="s">
        <v>4123</v>
      </c>
      <c r="K1034" s="2" t="s">
        <v>4025</v>
      </c>
      <c r="L1034"/>
      <c r="M1034" s="2" t="s">
        <v>3788</v>
      </c>
      <c r="P1034" s="2" t="s">
        <v>1527</v>
      </c>
      <c r="Q1034" t="s">
        <v>3462</v>
      </c>
    </row>
    <row r="1035" spans="1:17" ht="18" customHeight="1" x14ac:dyDescent="0.2">
      <c r="A1035" s="69" t="s">
        <v>777</v>
      </c>
      <c r="B1035" s="69" t="s">
        <v>3873</v>
      </c>
      <c r="C1035" s="69" t="s">
        <v>4182</v>
      </c>
      <c r="D1035" s="69" t="s">
        <v>1639</v>
      </c>
      <c r="E1035" s="69" t="s">
        <v>4121</v>
      </c>
      <c r="F1035" s="2">
        <v>3</v>
      </c>
      <c r="G1035" s="2" t="str">
        <f t="shared" si="68"/>
        <v>c</v>
      </c>
      <c r="H1035" s="2">
        <f t="shared" si="69"/>
        <v>2010</v>
      </c>
      <c r="I1035" s="2" t="s">
        <v>4125</v>
      </c>
      <c r="J1035" s="2" t="s">
        <v>4123</v>
      </c>
      <c r="K1035" s="2" t="s">
        <v>4025</v>
      </c>
      <c r="L1035"/>
      <c r="M1035" s="2" t="s">
        <v>3788</v>
      </c>
      <c r="P1035" s="2" t="s">
        <v>1527</v>
      </c>
      <c r="Q1035" t="s">
        <v>3462</v>
      </c>
    </row>
    <row r="1036" spans="1:17" ht="18" customHeight="1" x14ac:dyDescent="0.2">
      <c r="A1036" s="69" t="s">
        <v>777</v>
      </c>
      <c r="B1036" s="69" t="s">
        <v>3875</v>
      </c>
      <c r="C1036" s="69" t="s">
        <v>4182</v>
      </c>
      <c r="D1036" s="69" t="s">
        <v>1639</v>
      </c>
      <c r="E1036" s="69" t="s">
        <v>4121</v>
      </c>
      <c r="F1036" s="2">
        <v>4</v>
      </c>
      <c r="G1036" s="2" t="str">
        <f t="shared" si="68"/>
        <v>d</v>
      </c>
      <c r="H1036" s="2">
        <f t="shared" si="69"/>
        <v>2011</v>
      </c>
      <c r="I1036" s="2" t="s">
        <v>4126</v>
      </c>
      <c r="J1036" s="2" t="s">
        <v>4123</v>
      </c>
      <c r="K1036" s="2" t="s">
        <v>4025</v>
      </c>
      <c r="L1036"/>
      <c r="M1036" s="2" t="s">
        <v>3788</v>
      </c>
      <c r="P1036" s="2" t="s">
        <v>1527</v>
      </c>
      <c r="Q1036" t="s">
        <v>3462</v>
      </c>
    </row>
    <row r="1037" spans="1:17" ht="18" customHeight="1" x14ac:dyDescent="0.2">
      <c r="A1037" s="69" t="s">
        <v>777</v>
      </c>
      <c r="B1037" s="69" t="s">
        <v>3877</v>
      </c>
      <c r="C1037" s="69" t="s">
        <v>4182</v>
      </c>
      <c r="D1037" s="69" t="s">
        <v>1639</v>
      </c>
      <c r="E1037" s="69" t="s">
        <v>4121</v>
      </c>
      <c r="F1037" s="2">
        <v>5</v>
      </c>
      <c r="G1037" s="2" t="str">
        <f t="shared" si="68"/>
        <v>e</v>
      </c>
      <c r="H1037" s="2">
        <f t="shared" si="69"/>
        <v>2012</v>
      </c>
      <c r="I1037" s="2" t="s">
        <v>4127</v>
      </c>
      <c r="J1037" s="2" t="s">
        <v>4123</v>
      </c>
      <c r="K1037" s="2" t="s">
        <v>4025</v>
      </c>
      <c r="L1037"/>
      <c r="M1037" s="2" t="s">
        <v>3788</v>
      </c>
      <c r="P1037" s="2" t="s">
        <v>1527</v>
      </c>
      <c r="Q1037" t="s">
        <v>3462</v>
      </c>
    </row>
    <row r="1038" spans="1:17" ht="18" customHeight="1" x14ac:dyDescent="0.2">
      <c r="A1038" s="69" t="s">
        <v>777</v>
      </c>
      <c r="B1038" s="69" t="s">
        <v>3879</v>
      </c>
      <c r="C1038" s="69" t="s">
        <v>4182</v>
      </c>
      <c r="D1038" s="69" t="s">
        <v>1639</v>
      </c>
      <c r="E1038" s="69" t="s">
        <v>4121</v>
      </c>
      <c r="F1038" s="2">
        <v>6</v>
      </c>
      <c r="G1038" s="2" t="str">
        <f t="shared" si="68"/>
        <v>f</v>
      </c>
      <c r="H1038" s="2">
        <f t="shared" si="69"/>
        <v>2013</v>
      </c>
      <c r="I1038" s="2" t="s">
        <v>4128</v>
      </c>
      <c r="J1038" s="2" t="s">
        <v>4123</v>
      </c>
      <c r="K1038" s="2" t="s">
        <v>4025</v>
      </c>
      <c r="L1038"/>
      <c r="M1038" s="2" t="s">
        <v>3788</v>
      </c>
      <c r="P1038" s="2" t="s">
        <v>1527</v>
      </c>
      <c r="Q1038" t="s">
        <v>3462</v>
      </c>
    </row>
    <row r="1039" spans="1:17" ht="18" customHeight="1" x14ac:dyDescent="0.2">
      <c r="A1039" s="69" t="s">
        <v>777</v>
      </c>
      <c r="B1039" s="69" t="s">
        <v>3881</v>
      </c>
      <c r="C1039" s="69" t="s">
        <v>4182</v>
      </c>
      <c r="D1039" s="69" t="s">
        <v>1639</v>
      </c>
      <c r="E1039" s="69" t="s">
        <v>4121</v>
      </c>
      <c r="F1039" s="2">
        <v>7</v>
      </c>
      <c r="G1039" s="2" t="str">
        <f t="shared" si="68"/>
        <v>g</v>
      </c>
      <c r="H1039" s="2">
        <f t="shared" si="69"/>
        <v>2014</v>
      </c>
      <c r="I1039" s="2" t="s">
        <v>4129</v>
      </c>
      <c r="J1039" s="2" t="s">
        <v>4123</v>
      </c>
      <c r="K1039" s="2" t="s">
        <v>4025</v>
      </c>
      <c r="L1039"/>
      <c r="M1039" s="2" t="s">
        <v>3788</v>
      </c>
      <c r="P1039" s="2" t="s">
        <v>1527</v>
      </c>
      <c r="Q1039" t="s">
        <v>3462</v>
      </c>
    </row>
    <row r="1040" spans="1:17" ht="18" customHeight="1" x14ac:dyDescent="0.2">
      <c r="A1040" s="69" t="s">
        <v>777</v>
      </c>
      <c r="B1040" s="69" t="s">
        <v>3858</v>
      </c>
      <c r="C1040" s="69" t="s">
        <v>4182</v>
      </c>
      <c r="D1040" s="69" t="s">
        <v>1639</v>
      </c>
      <c r="E1040" s="69" t="s">
        <v>4121</v>
      </c>
      <c r="F1040" s="2">
        <v>8</v>
      </c>
      <c r="G1040" s="2" t="str">
        <f t="shared" si="68"/>
        <v>h</v>
      </c>
      <c r="H1040" s="2">
        <f t="shared" si="69"/>
        <v>2015</v>
      </c>
      <c r="I1040" s="2" t="s">
        <v>4130</v>
      </c>
      <c r="J1040" s="2" t="s">
        <v>4123</v>
      </c>
      <c r="K1040" s="2" t="s">
        <v>4025</v>
      </c>
      <c r="L1040"/>
      <c r="M1040" s="2" t="s">
        <v>3788</v>
      </c>
      <c r="P1040" s="2" t="s">
        <v>1527</v>
      </c>
      <c r="Q1040" t="s">
        <v>3462</v>
      </c>
    </row>
    <row r="1041" spans="1:17" ht="18" customHeight="1" x14ac:dyDescent="0.2">
      <c r="A1041" s="69" t="s">
        <v>777</v>
      </c>
      <c r="B1041" s="69" t="s">
        <v>3864</v>
      </c>
      <c r="C1041" s="69" t="s">
        <v>4182</v>
      </c>
      <c r="D1041" s="69" t="s">
        <v>1639</v>
      </c>
      <c r="E1041" s="69" t="s">
        <v>4121</v>
      </c>
      <c r="F1041" s="2">
        <v>9</v>
      </c>
      <c r="G1041" s="2" t="str">
        <f t="shared" si="68"/>
        <v>i</v>
      </c>
      <c r="H1041" s="2">
        <f t="shared" si="69"/>
        <v>2016</v>
      </c>
      <c r="I1041" s="2" t="s">
        <v>4131</v>
      </c>
      <c r="J1041" s="2" t="s">
        <v>4123</v>
      </c>
      <c r="K1041" s="2" t="s">
        <v>4025</v>
      </c>
      <c r="L1041"/>
      <c r="M1041" s="2" t="s">
        <v>3788</v>
      </c>
      <c r="P1041" s="2" t="s">
        <v>1527</v>
      </c>
      <c r="Q1041" t="s">
        <v>3462</v>
      </c>
    </row>
    <row r="1042" spans="1:17" ht="18" customHeight="1" x14ac:dyDescent="0.2">
      <c r="A1042" s="69" t="s">
        <v>777</v>
      </c>
      <c r="B1042" s="69" t="s">
        <v>3866</v>
      </c>
      <c r="C1042" s="69" t="s">
        <v>4182</v>
      </c>
      <c r="D1042" s="69" t="s">
        <v>1639</v>
      </c>
      <c r="E1042" s="69" t="s">
        <v>4121</v>
      </c>
      <c r="F1042" s="2">
        <v>10</v>
      </c>
      <c r="G1042" s="2" t="str">
        <f t="shared" si="68"/>
        <v>j</v>
      </c>
      <c r="H1042" s="2">
        <f t="shared" si="69"/>
        <v>2017</v>
      </c>
      <c r="I1042" s="2" t="s">
        <v>4132</v>
      </c>
      <c r="J1042" s="2" t="s">
        <v>4123</v>
      </c>
      <c r="K1042" s="2" t="s">
        <v>4025</v>
      </c>
      <c r="L1042"/>
      <c r="M1042" s="2" t="s">
        <v>3788</v>
      </c>
      <c r="P1042" s="2" t="s">
        <v>1527</v>
      </c>
      <c r="Q1042" t="s">
        <v>3462</v>
      </c>
    </row>
    <row r="1043" spans="1:17" ht="18" customHeight="1" x14ac:dyDescent="0.2">
      <c r="A1043" s="69" t="s">
        <v>777</v>
      </c>
      <c r="B1043" s="69" t="s">
        <v>3868</v>
      </c>
      <c r="C1043" s="69" t="s">
        <v>4182</v>
      </c>
      <c r="D1043" s="69" t="s">
        <v>1639</v>
      </c>
      <c r="E1043" s="69" t="s">
        <v>4133</v>
      </c>
      <c r="F1043" s="2">
        <v>1</v>
      </c>
      <c r="G1043" s="2" t="str">
        <f t="shared" si="68"/>
        <v>a</v>
      </c>
      <c r="H1043" s="2">
        <f t="shared" si="69"/>
        <v>2008</v>
      </c>
      <c r="I1043" s="2" t="s">
        <v>4134</v>
      </c>
      <c r="J1043" s="2" t="s">
        <v>4135</v>
      </c>
      <c r="K1043" s="2" t="s">
        <v>4025</v>
      </c>
      <c r="L1043"/>
      <c r="M1043" s="2" t="s">
        <v>3788</v>
      </c>
      <c r="P1043" s="2" t="s">
        <v>1527</v>
      </c>
      <c r="Q1043" t="s">
        <v>3462</v>
      </c>
    </row>
    <row r="1044" spans="1:17" ht="18" customHeight="1" x14ac:dyDescent="0.2">
      <c r="A1044" s="69" t="s">
        <v>777</v>
      </c>
      <c r="B1044" s="69" t="s">
        <v>3871</v>
      </c>
      <c r="C1044" s="69" t="s">
        <v>4182</v>
      </c>
      <c r="D1044" s="69" t="s">
        <v>1639</v>
      </c>
      <c r="E1044" s="69" t="s">
        <v>4133</v>
      </c>
      <c r="F1044" s="2">
        <v>2</v>
      </c>
      <c r="G1044" s="2" t="str">
        <f t="shared" si="68"/>
        <v>b</v>
      </c>
      <c r="H1044" s="2">
        <f t="shared" si="69"/>
        <v>2009</v>
      </c>
      <c r="I1044" s="2" t="s">
        <v>4136</v>
      </c>
      <c r="J1044" s="2" t="s">
        <v>4135</v>
      </c>
      <c r="K1044" s="2" t="s">
        <v>4025</v>
      </c>
      <c r="L1044"/>
      <c r="M1044" s="2" t="s">
        <v>3788</v>
      </c>
      <c r="P1044" s="2" t="s">
        <v>1527</v>
      </c>
      <c r="Q1044" t="s">
        <v>3462</v>
      </c>
    </row>
    <row r="1045" spans="1:17" ht="18" customHeight="1" x14ac:dyDescent="0.2">
      <c r="A1045" s="69" t="s">
        <v>777</v>
      </c>
      <c r="B1045" s="69" t="s">
        <v>3873</v>
      </c>
      <c r="C1045" s="69" t="s">
        <v>4182</v>
      </c>
      <c r="D1045" s="69" t="s">
        <v>1639</v>
      </c>
      <c r="E1045" s="69" t="s">
        <v>4133</v>
      </c>
      <c r="F1045" s="2">
        <v>3</v>
      </c>
      <c r="G1045" s="2" t="str">
        <f t="shared" si="68"/>
        <v>c</v>
      </c>
      <c r="H1045" s="2">
        <f t="shared" si="69"/>
        <v>2010</v>
      </c>
      <c r="I1045" s="2" t="s">
        <v>4137</v>
      </c>
      <c r="J1045" s="2" t="s">
        <v>4135</v>
      </c>
      <c r="K1045" s="2" t="s">
        <v>4025</v>
      </c>
      <c r="L1045"/>
      <c r="M1045" s="2" t="s">
        <v>3788</v>
      </c>
      <c r="P1045" s="2" t="s">
        <v>1527</v>
      </c>
      <c r="Q1045" t="s">
        <v>3462</v>
      </c>
    </row>
    <row r="1046" spans="1:17" ht="18" customHeight="1" x14ac:dyDescent="0.2">
      <c r="A1046" s="69" t="s">
        <v>777</v>
      </c>
      <c r="B1046" s="69" t="s">
        <v>3875</v>
      </c>
      <c r="C1046" s="69" t="s">
        <v>4182</v>
      </c>
      <c r="D1046" s="69" t="s">
        <v>1639</v>
      </c>
      <c r="E1046" s="69" t="s">
        <v>4133</v>
      </c>
      <c r="F1046" s="2">
        <v>4</v>
      </c>
      <c r="G1046" s="2" t="str">
        <f t="shared" si="68"/>
        <v>d</v>
      </c>
      <c r="H1046" s="2">
        <f t="shared" si="69"/>
        <v>2011</v>
      </c>
      <c r="I1046" s="2" t="s">
        <v>4138</v>
      </c>
      <c r="J1046" s="2" t="s">
        <v>4135</v>
      </c>
      <c r="K1046" s="2" t="s">
        <v>4025</v>
      </c>
      <c r="L1046"/>
      <c r="M1046" s="2" t="s">
        <v>3788</v>
      </c>
      <c r="P1046" s="2" t="s">
        <v>1527</v>
      </c>
      <c r="Q1046" t="s">
        <v>3462</v>
      </c>
    </row>
    <row r="1047" spans="1:17" ht="18" customHeight="1" x14ac:dyDescent="0.2">
      <c r="A1047" s="69" t="s">
        <v>777</v>
      </c>
      <c r="B1047" s="69" t="s">
        <v>3877</v>
      </c>
      <c r="C1047" s="69" t="s">
        <v>4182</v>
      </c>
      <c r="D1047" s="69" t="s">
        <v>1639</v>
      </c>
      <c r="E1047" s="69" t="s">
        <v>4133</v>
      </c>
      <c r="F1047" s="2">
        <v>5</v>
      </c>
      <c r="G1047" s="2" t="str">
        <f t="shared" si="68"/>
        <v>e</v>
      </c>
      <c r="H1047" s="2">
        <f t="shared" si="69"/>
        <v>2012</v>
      </c>
      <c r="I1047" s="2" t="s">
        <v>4139</v>
      </c>
      <c r="J1047" s="2" t="s">
        <v>4135</v>
      </c>
      <c r="K1047" s="2" t="s">
        <v>4025</v>
      </c>
      <c r="L1047"/>
      <c r="M1047" s="2" t="s">
        <v>3788</v>
      </c>
      <c r="P1047" s="2" t="s">
        <v>1527</v>
      </c>
      <c r="Q1047" t="s">
        <v>3462</v>
      </c>
    </row>
    <row r="1048" spans="1:17" ht="18" customHeight="1" x14ac:dyDescent="0.2">
      <c r="A1048" s="69" t="s">
        <v>777</v>
      </c>
      <c r="B1048" s="69" t="s">
        <v>3879</v>
      </c>
      <c r="C1048" s="69" t="s">
        <v>4182</v>
      </c>
      <c r="D1048" s="69" t="s">
        <v>1639</v>
      </c>
      <c r="E1048" s="69" t="s">
        <v>4133</v>
      </c>
      <c r="F1048" s="2">
        <v>6</v>
      </c>
      <c r="G1048" s="2" t="str">
        <f t="shared" si="68"/>
        <v>f</v>
      </c>
      <c r="H1048" s="2">
        <f t="shared" si="69"/>
        <v>2013</v>
      </c>
      <c r="I1048" s="2" t="s">
        <v>4140</v>
      </c>
      <c r="J1048" s="2" t="s">
        <v>4135</v>
      </c>
      <c r="K1048" s="2" t="s">
        <v>4025</v>
      </c>
      <c r="L1048"/>
      <c r="M1048" s="2" t="s">
        <v>3788</v>
      </c>
      <c r="P1048" s="2" t="s">
        <v>1527</v>
      </c>
      <c r="Q1048" t="s">
        <v>3462</v>
      </c>
    </row>
    <row r="1049" spans="1:17" ht="18" customHeight="1" x14ac:dyDescent="0.2">
      <c r="A1049" s="69" t="s">
        <v>777</v>
      </c>
      <c r="B1049" s="69" t="s">
        <v>3881</v>
      </c>
      <c r="C1049" s="69" t="s">
        <v>4182</v>
      </c>
      <c r="D1049" s="69" t="s">
        <v>1639</v>
      </c>
      <c r="E1049" s="69" t="s">
        <v>4133</v>
      </c>
      <c r="F1049" s="2">
        <v>7</v>
      </c>
      <c r="G1049" s="2" t="str">
        <f t="shared" ref="G1049:G1072" si="70">LEFT(RIGHT(I1049,4),1)</f>
        <v>g</v>
      </c>
      <c r="H1049" s="2">
        <f t="shared" ref="H1049:H1072" si="71">F1049+2007</f>
        <v>2014</v>
      </c>
      <c r="I1049" s="2" t="s">
        <v>4141</v>
      </c>
      <c r="J1049" s="2" t="s">
        <v>4135</v>
      </c>
      <c r="K1049" s="2" t="s">
        <v>4025</v>
      </c>
      <c r="L1049"/>
      <c r="M1049" s="2" t="s">
        <v>3788</v>
      </c>
      <c r="P1049" s="2" t="s">
        <v>1527</v>
      </c>
      <c r="Q1049" t="s">
        <v>3462</v>
      </c>
    </row>
    <row r="1050" spans="1:17" ht="18" customHeight="1" x14ac:dyDescent="0.2">
      <c r="A1050" s="69" t="s">
        <v>777</v>
      </c>
      <c r="B1050" s="69" t="s">
        <v>3858</v>
      </c>
      <c r="C1050" s="69" t="s">
        <v>4182</v>
      </c>
      <c r="D1050" s="69" t="s">
        <v>1639</v>
      </c>
      <c r="E1050" s="69" t="s">
        <v>4133</v>
      </c>
      <c r="F1050" s="2">
        <v>8</v>
      </c>
      <c r="G1050" s="2" t="str">
        <f t="shared" si="70"/>
        <v>h</v>
      </c>
      <c r="H1050" s="2">
        <f t="shared" si="71"/>
        <v>2015</v>
      </c>
      <c r="I1050" s="2" t="s">
        <v>4142</v>
      </c>
      <c r="J1050" s="2" t="s">
        <v>4135</v>
      </c>
      <c r="K1050" s="2" t="s">
        <v>4025</v>
      </c>
      <c r="L1050"/>
      <c r="M1050" s="2" t="s">
        <v>3788</v>
      </c>
      <c r="P1050" s="2" t="s">
        <v>1527</v>
      </c>
      <c r="Q1050" t="s">
        <v>3462</v>
      </c>
    </row>
    <row r="1051" spans="1:17" ht="18" customHeight="1" x14ac:dyDescent="0.2">
      <c r="A1051" s="69" t="s">
        <v>777</v>
      </c>
      <c r="B1051" s="69" t="s">
        <v>3864</v>
      </c>
      <c r="C1051" s="69" t="s">
        <v>4182</v>
      </c>
      <c r="D1051" s="69" t="s">
        <v>1639</v>
      </c>
      <c r="E1051" s="69" t="s">
        <v>4133</v>
      </c>
      <c r="F1051" s="2">
        <v>9</v>
      </c>
      <c r="G1051" s="2" t="str">
        <f t="shared" si="70"/>
        <v>i</v>
      </c>
      <c r="H1051" s="2">
        <f t="shared" si="71"/>
        <v>2016</v>
      </c>
      <c r="I1051" s="2" t="s">
        <v>4143</v>
      </c>
      <c r="J1051" s="2" t="s">
        <v>4135</v>
      </c>
      <c r="K1051" s="2" t="s">
        <v>4025</v>
      </c>
      <c r="L1051"/>
      <c r="M1051" s="2" t="s">
        <v>3788</v>
      </c>
      <c r="P1051" s="2" t="s">
        <v>1527</v>
      </c>
      <c r="Q1051" t="s">
        <v>3462</v>
      </c>
    </row>
    <row r="1052" spans="1:17" ht="18" customHeight="1" x14ac:dyDescent="0.2">
      <c r="A1052" s="69" t="s">
        <v>777</v>
      </c>
      <c r="B1052" s="69" t="s">
        <v>3866</v>
      </c>
      <c r="C1052" s="69" t="s">
        <v>4182</v>
      </c>
      <c r="D1052" s="69" t="s">
        <v>1639</v>
      </c>
      <c r="E1052" s="69" t="s">
        <v>4133</v>
      </c>
      <c r="F1052" s="2">
        <v>10</v>
      </c>
      <c r="G1052" s="2" t="str">
        <f t="shared" si="70"/>
        <v>j</v>
      </c>
      <c r="H1052" s="2">
        <f t="shared" si="71"/>
        <v>2017</v>
      </c>
      <c r="I1052" s="2" t="s">
        <v>4144</v>
      </c>
      <c r="J1052" s="2" t="s">
        <v>4135</v>
      </c>
      <c r="K1052" s="2" t="s">
        <v>4025</v>
      </c>
      <c r="L1052"/>
      <c r="M1052" s="2" t="s">
        <v>3788</v>
      </c>
      <c r="P1052" s="2" t="s">
        <v>1527</v>
      </c>
      <c r="Q1052" t="s">
        <v>3462</v>
      </c>
    </row>
    <row r="1053" spans="1:17" ht="18" customHeight="1" x14ac:dyDescent="0.2">
      <c r="A1053" s="69" t="s">
        <v>777</v>
      </c>
      <c r="B1053" s="69" t="s">
        <v>3868</v>
      </c>
      <c r="C1053" s="69" t="s">
        <v>4182</v>
      </c>
      <c r="D1053" s="69" t="s">
        <v>1639</v>
      </c>
      <c r="E1053" s="69" t="s">
        <v>4145</v>
      </c>
      <c r="F1053" s="2">
        <v>1</v>
      </c>
      <c r="G1053" s="2" t="str">
        <f t="shared" si="70"/>
        <v>a</v>
      </c>
      <c r="H1053" s="2">
        <f t="shared" si="71"/>
        <v>2008</v>
      </c>
      <c r="I1053" s="2" t="s">
        <v>4146</v>
      </c>
      <c r="J1053" s="2" t="s">
        <v>4147</v>
      </c>
      <c r="K1053" s="2" t="s">
        <v>4025</v>
      </c>
      <c r="L1053"/>
      <c r="M1053" s="2" t="s">
        <v>3788</v>
      </c>
      <c r="P1053" s="2" t="s">
        <v>1527</v>
      </c>
      <c r="Q1053" t="s">
        <v>3462</v>
      </c>
    </row>
    <row r="1054" spans="1:17" ht="18" customHeight="1" x14ac:dyDescent="0.2">
      <c r="A1054" s="69" t="s">
        <v>777</v>
      </c>
      <c r="B1054" s="69" t="s">
        <v>3871</v>
      </c>
      <c r="C1054" s="69" t="s">
        <v>4182</v>
      </c>
      <c r="D1054" s="69" t="s">
        <v>1639</v>
      </c>
      <c r="E1054" s="69" t="s">
        <v>4145</v>
      </c>
      <c r="F1054" s="2">
        <v>2</v>
      </c>
      <c r="G1054" s="2" t="str">
        <f t="shared" si="70"/>
        <v>b</v>
      </c>
      <c r="H1054" s="2">
        <f t="shared" si="71"/>
        <v>2009</v>
      </c>
      <c r="I1054" s="2" t="s">
        <v>4148</v>
      </c>
      <c r="J1054" s="2" t="s">
        <v>4147</v>
      </c>
      <c r="K1054" s="2" t="s">
        <v>4025</v>
      </c>
      <c r="L1054"/>
      <c r="M1054" s="2" t="s">
        <v>3788</v>
      </c>
      <c r="P1054" s="2" t="s">
        <v>1527</v>
      </c>
      <c r="Q1054" t="s">
        <v>3462</v>
      </c>
    </row>
    <row r="1055" spans="1:17" ht="18" customHeight="1" x14ac:dyDescent="0.2">
      <c r="A1055" s="69" t="s">
        <v>777</v>
      </c>
      <c r="B1055" s="69" t="s">
        <v>3873</v>
      </c>
      <c r="C1055" s="69" t="s">
        <v>4182</v>
      </c>
      <c r="D1055" s="69" t="s">
        <v>1639</v>
      </c>
      <c r="E1055" s="69" t="s">
        <v>4145</v>
      </c>
      <c r="F1055" s="2">
        <v>3</v>
      </c>
      <c r="G1055" s="2" t="str">
        <f t="shared" si="70"/>
        <v>c</v>
      </c>
      <c r="H1055" s="2">
        <f t="shared" si="71"/>
        <v>2010</v>
      </c>
      <c r="I1055" s="2" t="s">
        <v>4149</v>
      </c>
      <c r="J1055" s="2" t="s">
        <v>4147</v>
      </c>
      <c r="K1055" s="2" t="s">
        <v>4025</v>
      </c>
      <c r="L1055"/>
      <c r="M1055" s="2" t="s">
        <v>3788</v>
      </c>
      <c r="P1055" s="2" t="s">
        <v>1527</v>
      </c>
      <c r="Q1055" t="s">
        <v>3462</v>
      </c>
    </row>
    <row r="1056" spans="1:17" ht="18" customHeight="1" x14ac:dyDescent="0.2">
      <c r="A1056" s="69" t="s">
        <v>777</v>
      </c>
      <c r="B1056" s="69" t="s">
        <v>3875</v>
      </c>
      <c r="C1056" s="69" t="s">
        <v>4182</v>
      </c>
      <c r="D1056" s="69" t="s">
        <v>1639</v>
      </c>
      <c r="E1056" s="69" t="s">
        <v>4145</v>
      </c>
      <c r="F1056" s="2">
        <v>4</v>
      </c>
      <c r="G1056" s="2" t="str">
        <f t="shared" si="70"/>
        <v>d</v>
      </c>
      <c r="H1056" s="2">
        <f t="shared" si="71"/>
        <v>2011</v>
      </c>
      <c r="I1056" s="2" t="s">
        <v>4150</v>
      </c>
      <c r="J1056" s="2" t="s">
        <v>4147</v>
      </c>
      <c r="K1056" s="2" t="s">
        <v>4025</v>
      </c>
      <c r="L1056"/>
      <c r="M1056" s="2" t="s">
        <v>3788</v>
      </c>
      <c r="P1056" s="2" t="s">
        <v>1527</v>
      </c>
      <c r="Q1056" t="s">
        <v>3462</v>
      </c>
    </row>
    <row r="1057" spans="1:17" ht="18" customHeight="1" x14ac:dyDescent="0.2">
      <c r="A1057" s="69" t="s">
        <v>777</v>
      </c>
      <c r="B1057" s="69" t="s">
        <v>3877</v>
      </c>
      <c r="C1057" s="69" t="s">
        <v>4182</v>
      </c>
      <c r="D1057" s="69" t="s">
        <v>1639</v>
      </c>
      <c r="E1057" s="69" t="s">
        <v>4145</v>
      </c>
      <c r="F1057" s="2">
        <v>5</v>
      </c>
      <c r="G1057" s="2" t="str">
        <f t="shared" si="70"/>
        <v>e</v>
      </c>
      <c r="H1057" s="2">
        <f t="shared" si="71"/>
        <v>2012</v>
      </c>
      <c r="I1057" s="2" t="s">
        <v>4151</v>
      </c>
      <c r="J1057" s="2" t="s">
        <v>4147</v>
      </c>
      <c r="K1057" s="2" t="s">
        <v>4025</v>
      </c>
      <c r="L1057"/>
      <c r="M1057" s="2" t="s">
        <v>3788</v>
      </c>
      <c r="P1057" s="2" t="s">
        <v>1527</v>
      </c>
      <c r="Q1057" t="s">
        <v>3462</v>
      </c>
    </row>
    <row r="1058" spans="1:17" ht="18" customHeight="1" x14ac:dyDescent="0.2">
      <c r="A1058" s="69" t="s">
        <v>777</v>
      </c>
      <c r="B1058" s="69" t="s">
        <v>3879</v>
      </c>
      <c r="C1058" s="69" t="s">
        <v>4182</v>
      </c>
      <c r="D1058" s="69" t="s">
        <v>1639</v>
      </c>
      <c r="E1058" s="69" t="s">
        <v>4145</v>
      </c>
      <c r="F1058" s="2">
        <v>6</v>
      </c>
      <c r="G1058" s="2" t="str">
        <f t="shared" si="70"/>
        <v>f</v>
      </c>
      <c r="H1058" s="2">
        <f t="shared" si="71"/>
        <v>2013</v>
      </c>
      <c r="I1058" s="2" t="s">
        <v>4152</v>
      </c>
      <c r="J1058" s="2" t="s">
        <v>4147</v>
      </c>
      <c r="K1058" s="2" t="s">
        <v>4025</v>
      </c>
      <c r="L1058"/>
      <c r="M1058" s="2" t="s">
        <v>3788</v>
      </c>
      <c r="P1058" s="2" t="s">
        <v>1527</v>
      </c>
      <c r="Q1058" t="s">
        <v>3462</v>
      </c>
    </row>
    <row r="1059" spans="1:17" ht="18" customHeight="1" x14ac:dyDescent="0.2">
      <c r="A1059" s="69" t="s">
        <v>777</v>
      </c>
      <c r="B1059" s="69" t="s">
        <v>3881</v>
      </c>
      <c r="C1059" s="69" t="s">
        <v>4182</v>
      </c>
      <c r="D1059" s="69" t="s">
        <v>1639</v>
      </c>
      <c r="E1059" s="69" t="s">
        <v>4145</v>
      </c>
      <c r="F1059" s="2">
        <v>7</v>
      </c>
      <c r="G1059" s="2" t="str">
        <f t="shared" si="70"/>
        <v>g</v>
      </c>
      <c r="H1059" s="2">
        <f t="shared" si="71"/>
        <v>2014</v>
      </c>
      <c r="I1059" s="2" t="s">
        <v>4153</v>
      </c>
      <c r="J1059" s="2" t="s">
        <v>4147</v>
      </c>
      <c r="K1059" s="2" t="s">
        <v>4025</v>
      </c>
      <c r="L1059"/>
      <c r="M1059" s="2" t="s">
        <v>3788</v>
      </c>
      <c r="P1059" s="2" t="s">
        <v>1527</v>
      </c>
      <c r="Q1059" t="s">
        <v>3462</v>
      </c>
    </row>
    <row r="1060" spans="1:17" ht="18" customHeight="1" x14ac:dyDescent="0.2">
      <c r="A1060" s="69" t="s">
        <v>777</v>
      </c>
      <c r="B1060" s="69" t="s">
        <v>3858</v>
      </c>
      <c r="C1060" s="69" t="s">
        <v>4182</v>
      </c>
      <c r="D1060" s="69" t="s">
        <v>1639</v>
      </c>
      <c r="E1060" s="69" t="s">
        <v>4145</v>
      </c>
      <c r="F1060" s="2">
        <v>8</v>
      </c>
      <c r="G1060" s="2" t="str">
        <f t="shared" si="70"/>
        <v>h</v>
      </c>
      <c r="H1060" s="2">
        <f t="shared" si="71"/>
        <v>2015</v>
      </c>
      <c r="I1060" s="2" t="s">
        <v>4154</v>
      </c>
      <c r="J1060" s="2" t="s">
        <v>4147</v>
      </c>
      <c r="K1060" s="2" t="s">
        <v>4025</v>
      </c>
      <c r="L1060"/>
      <c r="M1060" s="2" t="s">
        <v>3788</v>
      </c>
      <c r="P1060" s="2" t="s">
        <v>1527</v>
      </c>
      <c r="Q1060" t="s">
        <v>3462</v>
      </c>
    </row>
    <row r="1061" spans="1:17" ht="18" customHeight="1" x14ac:dyDescent="0.2">
      <c r="A1061" s="69" t="s">
        <v>777</v>
      </c>
      <c r="B1061" s="69" t="s">
        <v>3864</v>
      </c>
      <c r="C1061" s="69" t="s">
        <v>4182</v>
      </c>
      <c r="D1061" s="69" t="s">
        <v>1639</v>
      </c>
      <c r="E1061" s="69" t="s">
        <v>4145</v>
      </c>
      <c r="F1061" s="2">
        <v>9</v>
      </c>
      <c r="G1061" s="2" t="str">
        <f t="shared" si="70"/>
        <v>i</v>
      </c>
      <c r="H1061" s="2">
        <f t="shared" si="71"/>
        <v>2016</v>
      </c>
      <c r="I1061" s="2" t="s">
        <v>4155</v>
      </c>
      <c r="J1061" s="2" t="s">
        <v>4147</v>
      </c>
      <c r="K1061" s="2" t="s">
        <v>4025</v>
      </c>
      <c r="L1061"/>
      <c r="M1061" s="2" t="s">
        <v>3788</v>
      </c>
      <c r="P1061" s="2" t="s">
        <v>1527</v>
      </c>
      <c r="Q1061" t="s">
        <v>3462</v>
      </c>
    </row>
    <row r="1062" spans="1:17" ht="18" customHeight="1" x14ac:dyDescent="0.2">
      <c r="A1062" s="69" t="s">
        <v>777</v>
      </c>
      <c r="B1062" s="69" t="s">
        <v>3866</v>
      </c>
      <c r="C1062" s="69" t="s">
        <v>4182</v>
      </c>
      <c r="D1062" s="69" t="s">
        <v>1639</v>
      </c>
      <c r="E1062" s="69" t="s">
        <v>4145</v>
      </c>
      <c r="F1062" s="2">
        <v>10</v>
      </c>
      <c r="G1062" s="2" t="str">
        <f t="shared" si="70"/>
        <v>j</v>
      </c>
      <c r="H1062" s="2">
        <f t="shared" si="71"/>
        <v>2017</v>
      </c>
      <c r="I1062" s="2" t="s">
        <v>4156</v>
      </c>
      <c r="J1062" s="2" t="s">
        <v>4147</v>
      </c>
      <c r="K1062" s="2" t="s">
        <v>4025</v>
      </c>
      <c r="L1062"/>
      <c r="M1062" s="2" t="s">
        <v>3788</v>
      </c>
      <c r="P1062" s="2" t="s">
        <v>1527</v>
      </c>
      <c r="Q1062" t="s">
        <v>3462</v>
      </c>
    </row>
    <row r="1063" spans="1:17" ht="18" customHeight="1" x14ac:dyDescent="0.2">
      <c r="A1063" s="69" t="s">
        <v>777</v>
      </c>
      <c r="B1063" s="69" t="s">
        <v>3868</v>
      </c>
      <c r="C1063" s="69" t="s">
        <v>4182</v>
      </c>
      <c r="D1063" s="69" t="s">
        <v>1639</v>
      </c>
      <c r="E1063" s="69" t="s">
        <v>4157</v>
      </c>
      <c r="F1063" s="2">
        <v>1</v>
      </c>
      <c r="G1063" s="2" t="str">
        <f t="shared" si="70"/>
        <v>a</v>
      </c>
      <c r="H1063" s="2">
        <f t="shared" si="71"/>
        <v>2008</v>
      </c>
      <c r="I1063" s="2" t="s">
        <v>4158</v>
      </c>
      <c r="J1063" s="2" t="s">
        <v>4159</v>
      </c>
      <c r="K1063" s="34" t="s">
        <v>4086</v>
      </c>
      <c r="L1063" s="2" t="s">
        <v>1520</v>
      </c>
      <c r="M1063" s="2" t="s">
        <v>4087</v>
      </c>
      <c r="N1063">
        <v>1</v>
      </c>
      <c r="O1063">
        <v>2</v>
      </c>
      <c r="P1063" s="2" t="s">
        <v>1527</v>
      </c>
      <c r="Q1063" t="s">
        <v>3462</v>
      </c>
    </row>
    <row r="1064" spans="1:17" ht="18" customHeight="1" x14ac:dyDescent="0.2">
      <c r="A1064" s="69" t="s">
        <v>777</v>
      </c>
      <c r="B1064" s="69" t="s">
        <v>3871</v>
      </c>
      <c r="C1064" s="69" t="s">
        <v>4182</v>
      </c>
      <c r="D1064" s="69" t="s">
        <v>1639</v>
      </c>
      <c r="E1064" s="69" t="s">
        <v>4157</v>
      </c>
      <c r="F1064" s="2">
        <v>2</v>
      </c>
      <c r="G1064" s="2" t="str">
        <f t="shared" si="70"/>
        <v>b</v>
      </c>
      <c r="H1064" s="2">
        <f t="shared" si="71"/>
        <v>2009</v>
      </c>
      <c r="I1064" s="2" t="s">
        <v>4160</v>
      </c>
      <c r="J1064" s="2" t="s">
        <v>4159</v>
      </c>
      <c r="K1064" s="34" t="s">
        <v>4086</v>
      </c>
      <c r="L1064" s="2" t="s">
        <v>1520</v>
      </c>
      <c r="M1064" s="2" t="s">
        <v>4087</v>
      </c>
      <c r="N1064">
        <v>1</v>
      </c>
      <c r="O1064">
        <v>2</v>
      </c>
      <c r="P1064" s="2" t="s">
        <v>1527</v>
      </c>
      <c r="Q1064" t="s">
        <v>3462</v>
      </c>
    </row>
    <row r="1065" spans="1:17" ht="18" customHeight="1" x14ac:dyDescent="0.2">
      <c r="A1065" s="69" t="s">
        <v>777</v>
      </c>
      <c r="B1065" s="69" t="s">
        <v>3873</v>
      </c>
      <c r="C1065" s="69" t="s">
        <v>4182</v>
      </c>
      <c r="D1065" s="69" t="s">
        <v>1639</v>
      </c>
      <c r="E1065" s="69" t="s">
        <v>4157</v>
      </c>
      <c r="F1065" s="2">
        <v>3</v>
      </c>
      <c r="G1065" s="2" t="str">
        <f t="shared" si="70"/>
        <v>c</v>
      </c>
      <c r="H1065" s="2">
        <f t="shared" si="71"/>
        <v>2010</v>
      </c>
      <c r="I1065" s="2" t="s">
        <v>4161</v>
      </c>
      <c r="J1065" s="2" t="s">
        <v>4159</v>
      </c>
      <c r="K1065" s="34" t="s">
        <v>4086</v>
      </c>
      <c r="L1065" s="2" t="s">
        <v>1520</v>
      </c>
      <c r="M1065" s="2" t="s">
        <v>4087</v>
      </c>
      <c r="N1065">
        <v>1</v>
      </c>
      <c r="O1065">
        <v>2</v>
      </c>
      <c r="P1065" s="2" t="s">
        <v>1527</v>
      </c>
      <c r="Q1065" t="s">
        <v>3462</v>
      </c>
    </row>
    <row r="1066" spans="1:17" ht="18" customHeight="1" x14ac:dyDescent="0.2">
      <c r="A1066" s="69" t="s">
        <v>777</v>
      </c>
      <c r="B1066" s="69" t="s">
        <v>3875</v>
      </c>
      <c r="C1066" s="69" t="s">
        <v>4182</v>
      </c>
      <c r="D1066" s="69" t="s">
        <v>1639</v>
      </c>
      <c r="E1066" s="69" t="s">
        <v>4157</v>
      </c>
      <c r="F1066" s="2">
        <v>4</v>
      </c>
      <c r="G1066" s="2" t="str">
        <f t="shared" si="70"/>
        <v>d</v>
      </c>
      <c r="H1066" s="2">
        <f t="shared" si="71"/>
        <v>2011</v>
      </c>
      <c r="I1066" s="2" t="s">
        <v>4162</v>
      </c>
      <c r="J1066" s="2" t="s">
        <v>4159</v>
      </c>
      <c r="K1066" s="34" t="s">
        <v>4086</v>
      </c>
      <c r="L1066" s="2" t="s">
        <v>1520</v>
      </c>
      <c r="M1066" s="2" t="s">
        <v>4087</v>
      </c>
      <c r="N1066">
        <v>1</v>
      </c>
      <c r="O1066">
        <v>2</v>
      </c>
      <c r="P1066" s="2" t="s">
        <v>1527</v>
      </c>
      <c r="Q1066" t="s">
        <v>3462</v>
      </c>
    </row>
    <row r="1067" spans="1:17" ht="18" customHeight="1" x14ac:dyDescent="0.2">
      <c r="A1067" s="69" t="s">
        <v>777</v>
      </c>
      <c r="B1067" s="69" t="s">
        <v>3877</v>
      </c>
      <c r="C1067" s="69" t="s">
        <v>4182</v>
      </c>
      <c r="D1067" s="69" t="s">
        <v>1639</v>
      </c>
      <c r="E1067" s="69" t="s">
        <v>4157</v>
      </c>
      <c r="F1067" s="2">
        <v>5</v>
      </c>
      <c r="G1067" s="2" t="str">
        <f t="shared" si="70"/>
        <v>e</v>
      </c>
      <c r="H1067" s="2">
        <f t="shared" si="71"/>
        <v>2012</v>
      </c>
      <c r="I1067" s="2" t="s">
        <v>4163</v>
      </c>
      <c r="J1067" s="2" t="s">
        <v>4159</v>
      </c>
      <c r="K1067" s="34" t="s">
        <v>4086</v>
      </c>
      <c r="L1067" s="2" t="s">
        <v>1520</v>
      </c>
      <c r="M1067" s="2" t="s">
        <v>4087</v>
      </c>
      <c r="N1067">
        <v>1</v>
      </c>
      <c r="O1067">
        <v>2</v>
      </c>
      <c r="P1067" s="2" t="s">
        <v>1527</v>
      </c>
      <c r="Q1067" t="s">
        <v>3462</v>
      </c>
    </row>
    <row r="1068" spans="1:17" ht="18" customHeight="1" x14ac:dyDescent="0.2">
      <c r="A1068" s="69" t="s">
        <v>777</v>
      </c>
      <c r="B1068" s="69" t="s">
        <v>3879</v>
      </c>
      <c r="C1068" s="69" t="s">
        <v>4182</v>
      </c>
      <c r="D1068" s="69" t="s">
        <v>1639</v>
      </c>
      <c r="E1068" s="69" t="s">
        <v>4157</v>
      </c>
      <c r="F1068" s="2">
        <v>6</v>
      </c>
      <c r="G1068" s="2" t="str">
        <f t="shared" si="70"/>
        <v>f</v>
      </c>
      <c r="H1068" s="2">
        <f t="shared" si="71"/>
        <v>2013</v>
      </c>
      <c r="I1068" s="2" t="s">
        <v>4164</v>
      </c>
      <c r="J1068" s="2" t="s">
        <v>4159</v>
      </c>
      <c r="K1068" s="34" t="s">
        <v>4086</v>
      </c>
      <c r="L1068" s="2" t="s">
        <v>1520</v>
      </c>
      <c r="M1068" s="2" t="s">
        <v>4087</v>
      </c>
      <c r="N1068">
        <v>1</v>
      </c>
      <c r="O1068">
        <v>2</v>
      </c>
      <c r="P1068" s="2" t="s">
        <v>1527</v>
      </c>
      <c r="Q1068" t="s">
        <v>3462</v>
      </c>
    </row>
    <row r="1069" spans="1:17" ht="18" customHeight="1" x14ac:dyDescent="0.2">
      <c r="A1069" s="69" t="s">
        <v>777</v>
      </c>
      <c r="B1069" s="69" t="s">
        <v>3881</v>
      </c>
      <c r="C1069" s="69" t="s">
        <v>4182</v>
      </c>
      <c r="D1069" s="69" t="s">
        <v>1639</v>
      </c>
      <c r="E1069" s="69" t="s">
        <v>4157</v>
      </c>
      <c r="F1069" s="2">
        <v>7</v>
      </c>
      <c r="G1069" s="2" t="str">
        <f t="shared" si="70"/>
        <v>g</v>
      </c>
      <c r="H1069" s="2">
        <f t="shared" si="71"/>
        <v>2014</v>
      </c>
      <c r="I1069" s="2" t="s">
        <v>4165</v>
      </c>
      <c r="J1069" s="2" t="s">
        <v>4159</v>
      </c>
      <c r="K1069" s="34" t="s">
        <v>4086</v>
      </c>
      <c r="L1069" s="2" t="s">
        <v>1520</v>
      </c>
      <c r="M1069" s="2" t="s">
        <v>4087</v>
      </c>
      <c r="N1069">
        <v>1</v>
      </c>
      <c r="O1069">
        <v>2</v>
      </c>
      <c r="P1069" s="2" t="s">
        <v>1527</v>
      </c>
      <c r="Q1069" t="s">
        <v>3462</v>
      </c>
    </row>
    <row r="1070" spans="1:17" ht="18" customHeight="1" x14ac:dyDescent="0.2">
      <c r="A1070" s="69" t="s">
        <v>777</v>
      </c>
      <c r="B1070" s="69" t="s">
        <v>3858</v>
      </c>
      <c r="C1070" s="69" t="s">
        <v>4182</v>
      </c>
      <c r="D1070" s="69" t="s">
        <v>1639</v>
      </c>
      <c r="E1070" s="69" t="s">
        <v>4157</v>
      </c>
      <c r="F1070" s="2">
        <v>8</v>
      </c>
      <c r="G1070" s="2" t="str">
        <f t="shared" si="70"/>
        <v>h</v>
      </c>
      <c r="H1070" s="2">
        <f t="shared" si="71"/>
        <v>2015</v>
      </c>
      <c r="I1070" s="2" t="s">
        <v>4166</v>
      </c>
      <c r="J1070" s="2" t="s">
        <v>4159</v>
      </c>
      <c r="K1070" s="34" t="s">
        <v>4086</v>
      </c>
      <c r="L1070" s="2" t="s">
        <v>1520</v>
      </c>
      <c r="M1070" s="2" t="s">
        <v>4087</v>
      </c>
      <c r="N1070">
        <v>1</v>
      </c>
      <c r="O1070">
        <v>2</v>
      </c>
      <c r="P1070" s="2" t="s">
        <v>1527</v>
      </c>
      <c r="Q1070" t="s">
        <v>3462</v>
      </c>
    </row>
    <row r="1071" spans="1:17" ht="18" customHeight="1" x14ac:dyDescent="0.2">
      <c r="A1071" s="69" t="s">
        <v>777</v>
      </c>
      <c r="B1071" s="69" t="s">
        <v>3864</v>
      </c>
      <c r="C1071" s="69" t="s">
        <v>4182</v>
      </c>
      <c r="D1071" s="69" t="s">
        <v>1639</v>
      </c>
      <c r="E1071" s="69" t="s">
        <v>4157</v>
      </c>
      <c r="F1071" s="2">
        <v>9</v>
      </c>
      <c r="G1071" s="2" t="str">
        <f t="shared" si="70"/>
        <v>i</v>
      </c>
      <c r="H1071" s="2">
        <f t="shared" si="71"/>
        <v>2016</v>
      </c>
      <c r="I1071" s="2" t="s">
        <v>4167</v>
      </c>
      <c r="J1071" s="2" t="s">
        <v>4159</v>
      </c>
      <c r="K1071" s="34" t="s">
        <v>4086</v>
      </c>
      <c r="L1071" s="2" t="s">
        <v>1520</v>
      </c>
      <c r="M1071" s="2" t="s">
        <v>4087</v>
      </c>
      <c r="N1071">
        <v>1</v>
      </c>
      <c r="O1071">
        <v>2</v>
      </c>
      <c r="P1071" s="2" t="s">
        <v>1527</v>
      </c>
      <c r="Q1071" t="s">
        <v>3462</v>
      </c>
    </row>
    <row r="1072" spans="1:17" ht="18" customHeight="1" x14ac:dyDescent="0.2">
      <c r="A1072" s="69" t="s">
        <v>777</v>
      </c>
      <c r="B1072" s="69" t="s">
        <v>3866</v>
      </c>
      <c r="C1072" s="69" t="s">
        <v>4182</v>
      </c>
      <c r="D1072" s="69" t="s">
        <v>1639</v>
      </c>
      <c r="E1072" s="69" t="s">
        <v>4157</v>
      </c>
      <c r="F1072" s="2">
        <v>10</v>
      </c>
      <c r="G1072" s="2" t="str">
        <f t="shared" si="70"/>
        <v>j</v>
      </c>
      <c r="H1072" s="2">
        <f t="shared" si="71"/>
        <v>2017</v>
      </c>
      <c r="I1072" s="2" t="s">
        <v>4168</v>
      </c>
      <c r="J1072" s="2" t="s">
        <v>4159</v>
      </c>
      <c r="K1072" s="34" t="s">
        <v>4086</v>
      </c>
      <c r="L1072" s="2" t="s">
        <v>1520</v>
      </c>
      <c r="M1072" s="2" t="s">
        <v>4087</v>
      </c>
      <c r="N1072">
        <v>1</v>
      </c>
      <c r="O1072">
        <v>2</v>
      </c>
      <c r="P1072" s="2" t="s">
        <v>1527</v>
      </c>
      <c r="Q1072" t="s">
        <v>3462</v>
      </c>
    </row>
    <row r="1073" spans="1:17" ht="18" customHeight="1" x14ac:dyDescent="0.2">
      <c r="A1073" s="60" t="s">
        <v>777</v>
      </c>
      <c r="B1073" s="60" t="str">
        <f t="shared" ref="B1073:B1136" si="72">"avars_" &amp;  H1073</f>
        <v>avars_2008</v>
      </c>
      <c r="C1073" s="60" t="s">
        <v>4182</v>
      </c>
      <c r="D1073" s="60" t="s">
        <v>1410</v>
      </c>
      <c r="E1073" s="60" t="s">
        <v>1410</v>
      </c>
      <c r="F1073" s="2">
        <v>1</v>
      </c>
      <c r="G1073" s="2" t="str">
        <f t="shared" ref="G1073:G1136" si="73">MID("abcdefghijklmnopqrstuvwxyz",F1073,1)</f>
        <v>a</v>
      </c>
      <c r="H1073" s="2">
        <v>2008</v>
      </c>
      <c r="I1073" s="2" t="s">
        <v>1620</v>
      </c>
      <c r="J1073" s="2" t="s">
        <v>1621</v>
      </c>
      <c r="K1073" s="8" t="s">
        <v>1622</v>
      </c>
      <c r="L1073"/>
      <c r="M1073" s="2" t="s">
        <v>1623</v>
      </c>
      <c r="P1073" s="2" t="s">
        <v>1127</v>
      </c>
      <c r="Q1073" t="s">
        <v>1127</v>
      </c>
    </row>
    <row r="1074" spans="1:17" ht="18" customHeight="1" x14ac:dyDescent="0.2">
      <c r="A1074" s="60" t="s">
        <v>777</v>
      </c>
      <c r="B1074" s="60" t="str">
        <f t="shared" si="72"/>
        <v>avars_2009</v>
      </c>
      <c r="C1074" s="60" t="s">
        <v>4182</v>
      </c>
      <c r="D1074" s="60" t="s">
        <v>1410</v>
      </c>
      <c r="E1074" s="60" t="s">
        <v>1410</v>
      </c>
      <c r="F1074" s="2">
        <v>2</v>
      </c>
      <c r="G1074" s="2" t="str">
        <f t="shared" si="73"/>
        <v>b</v>
      </c>
      <c r="H1074" s="2">
        <v>2009</v>
      </c>
      <c r="I1074" s="2" t="s">
        <v>1620</v>
      </c>
      <c r="J1074" s="2" t="s">
        <v>1621</v>
      </c>
      <c r="K1074" s="8" t="s">
        <v>1622</v>
      </c>
      <c r="L1074"/>
      <c r="M1074" s="2" t="s">
        <v>1623</v>
      </c>
      <c r="P1074" s="2" t="s">
        <v>1127</v>
      </c>
      <c r="Q1074" t="s">
        <v>1127</v>
      </c>
    </row>
    <row r="1075" spans="1:17" ht="18" customHeight="1" x14ac:dyDescent="0.2">
      <c r="A1075" s="60" t="s">
        <v>777</v>
      </c>
      <c r="B1075" s="60" t="str">
        <f t="shared" si="72"/>
        <v>avars_2010</v>
      </c>
      <c r="C1075" s="60" t="s">
        <v>4182</v>
      </c>
      <c r="D1075" s="60" t="s">
        <v>1410</v>
      </c>
      <c r="E1075" s="60" t="s">
        <v>1410</v>
      </c>
      <c r="F1075" s="2">
        <v>3</v>
      </c>
      <c r="G1075" s="2" t="str">
        <f t="shared" si="73"/>
        <v>c</v>
      </c>
      <c r="H1075" s="2">
        <v>2010</v>
      </c>
      <c r="I1075" s="2" t="s">
        <v>1620</v>
      </c>
      <c r="J1075" s="2" t="s">
        <v>1621</v>
      </c>
      <c r="K1075" s="8" t="s">
        <v>1622</v>
      </c>
      <c r="L1075"/>
      <c r="M1075" s="2" t="s">
        <v>1623</v>
      </c>
      <c r="P1075" s="2" t="s">
        <v>1127</v>
      </c>
      <c r="Q1075" t="s">
        <v>1127</v>
      </c>
    </row>
    <row r="1076" spans="1:17" ht="18" customHeight="1" x14ac:dyDescent="0.2">
      <c r="A1076" s="60" t="s">
        <v>777</v>
      </c>
      <c r="B1076" s="60" t="str">
        <f t="shared" si="72"/>
        <v>avars_2011</v>
      </c>
      <c r="C1076" s="60" t="s">
        <v>4182</v>
      </c>
      <c r="D1076" s="60" t="s">
        <v>1410</v>
      </c>
      <c r="E1076" s="60" t="s">
        <v>1410</v>
      </c>
      <c r="F1076" s="2">
        <v>4</v>
      </c>
      <c r="G1076" s="2" t="str">
        <f t="shared" si="73"/>
        <v>d</v>
      </c>
      <c r="H1076" s="2">
        <v>2011</v>
      </c>
      <c r="I1076" s="2" t="s">
        <v>1620</v>
      </c>
      <c r="J1076" s="2" t="s">
        <v>1621</v>
      </c>
      <c r="K1076" s="8" t="s">
        <v>1622</v>
      </c>
      <c r="L1076"/>
      <c r="M1076" s="2" t="s">
        <v>1623</v>
      </c>
      <c r="P1076" s="2" t="s">
        <v>1127</v>
      </c>
      <c r="Q1076" t="s">
        <v>1127</v>
      </c>
    </row>
    <row r="1077" spans="1:17" ht="18" customHeight="1" x14ac:dyDescent="0.2">
      <c r="A1077" s="60" t="s">
        <v>777</v>
      </c>
      <c r="B1077" s="60" t="str">
        <f t="shared" si="72"/>
        <v>avars_2012</v>
      </c>
      <c r="C1077" s="60" t="s">
        <v>4182</v>
      </c>
      <c r="D1077" s="60" t="s">
        <v>1410</v>
      </c>
      <c r="E1077" s="60" t="s">
        <v>1410</v>
      </c>
      <c r="F1077" s="2">
        <v>5</v>
      </c>
      <c r="G1077" s="2" t="str">
        <f t="shared" si="73"/>
        <v>e</v>
      </c>
      <c r="H1077" s="2">
        <v>2012</v>
      </c>
      <c r="I1077" s="2" t="s">
        <v>1620</v>
      </c>
      <c r="J1077" s="2" t="s">
        <v>1621</v>
      </c>
      <c r="K1077" s="8" t="s">
        <v>1622</v>
      </c>
      <c r="L1077"/>
      <c r="M1077" s="2" t="s">
        <v>1623</v>
      </c>
      <c r="P1077" s="2" t="s">
        <v>1127</v>
      </c>
      <c r="Q1077" t="s">
        <v>1127</v>
      </c>
    </row>
    <row r="1078" spans="1:17" ht="18" customHeight="1" x14ac:dyDescent="0.2">
      <c r="A1078" s="60" t="s">
        <v>777</v>
      </c>
      <c r="B1078" s="60" t="str">
        <f t="shared" si="72"/>
        <v>avars_2013</v>
      </c>
      <c r="C1078" s="60" t="s">
        <v>4182</v>
      </c>
      <c r="D1078" s="60" t="s">
        <v>1410</v>
      </c>
      <c r="E1078" s="60" t="s">
        <v>1410</v>
      </c>
      <c r="F1078" s="2">
        <v>6</v>
      </c>
      <c r="G1078" s="2" t="str">
        <f t="shared" si="73"/>
        <v>f</v>
      </c>
      <c r="H1078" s="2">
        <v>2013</v>
      </c>
      <c r="I1078" s="2" t="s">
        <v>1620</v>
      </c>
      <c r="J1078" s="2" t="s">
        <v>1621</v>
      </c>
      <c r="K1078" s="8" t="s">
        <v>1622</v>
      </c>
      <c r="L1078"/>
      <c r="M1078" s="2" t="s">
        <v>1623</v>
      </c>
      <c r="P1078" s="2" t="s">
        <v>1127</v>
      </c>
      <c r="Q1078" t="s">
        <v>1127</v>
      </c>
    </row>
    <row r="1079" spans="1:17" ht="18" customHeight="1" x14ac:dyDescent="0.2">
      <c r="A1079" s="60" t="s">
        <v>777</v>
      </c>
      <c r="B1079" s="60" t="str">
        <f t="shared" si="72"/>
        <v>avars_2014</v>
      </c>
      <c r="C1079" s="60" t="s">
        <v>4182</v>
      </c>
      <c r="D1079" s="60" t="s">
        <v>1410</v>
      </c>
      <c r="E1079" s="60" t="s">
        <v>1410</v>
      </c>
      <c r="F1079" s="2">
        <v>7</v>
      </c>
      <c r="G1079" s="2" t="str">
        <f t="shared" si="73"/>
        <v>g</v>
      </c>
      <c r="H1079" s="2">
        <v>2014</v>
      </c>
      <c r="I1079" s="2" t="s">
        <v>1620</v>
      </c>
      <c r="J1079" s="2" t="s">
        <v>1621</v>
      </c>
      <c r="K1079" s="8" t="s">
        <v>1622</v>
      </c>
      <c r="L1079"/>
      <c r="M1079" s="2" t="s">
        <v>1623</v>
      </c>
      <c r="P1079" s="2" t="s">
        <v>1127</v>
      </c>
      <c r="Q1079" t="s">
        <v>1127</v>
      </c>
    </row>
    <row r="1080" spans="1:17" ht="18" customHeight="1" x14ac:dyDescent="0.2">
      <c r="A1080" s="60" t="s">
        <v>777</v>
      </c>
      <c r="B1080" s="60" t="str">
        <f t="shared" si="72"/>
        <v>avars_2015</v>
      </c>
      <c r="C1080" s="60" t="s">
        <v>4182</v>
      </c>
      <c r="D1080" s="60" t="s">
        <v>1410</v>
      </c>
      <c r="E1080" s="60" t="s">
        <v>1410</v>
      </c>
      <c r="F1080" s="2">
        <v>8</v>
      </c>
      <c r="G1080" s="2" t="str">
        <f t="shared" si="73"/>
        <v>h</v>
      </c>
      <c r="H1080" s="2">
        <v>2015</v>
      </c>
      <c r="I1080" s="2" t="s">
        <v>1620</v>
      </c>
      <c r="J1080" s="2" t="s">
        <v>1621</v>
      </c>
      <c r="K1080" s="8" t="s">
        <v>1622</v>
      </c>
      <c r="L1080"/>
      <c r="M1080" s="2" t="s">
        <v>1623</v>
      </c>
      <c r="P1080" s="2" t="s">
        <v>1127</v>
      </c>
      <c r="Q1080" t="s">
        <v>1127</v>
      </c>
    </row>
    <row r="1081" spans="1:17" ht="18" customHeight="1" x14ac:dyDescent="0.2">
      <c r="A1081" s="60" t="s">
        <v>777</v>
      </c>
      <c r="B1081" s="60" t="str">
        <f t="shared" si="72"/>
        <v>avars_2016</v>
      </c>
      <c r="C1081" s="60" t="s">
        <v>4182</v>
      </c>
      <c r="D1081" s="60" t="s">
        <v>1410</v>
      </c>
      <c r="E1081" s="60" t="s">
        <v>1410</v>
      </c>
      <c r="F1081" s="2">
        <v>9</v>
      </c>
      <c r="G1081" s="2" t="str">
        <f t="shared" si="73"/>
        <v>i</v>
      </c>
      <c r="H1081" s="2">
        <v>2016</v>
      </c>
      <c r="I1081" s="2" t="s">
        <v>1620</v>
      </c>
      <c r="J1081" s="2" t="s">
        <v>1621</v>
      </c>
      <c r="K1081" s="8" t="s">
        <v>1622</v>
      </c>
      <c r="L1081"/>
      <c r="M1081" s="2" t="s">
        <v>1623</v>
      </c>
      <c r="P1081" s="2" t="s">
        <v>1127</v>
      </c>
      <c r="Q1081" t="s">
        <v>1127</v>
      </c>
    </row>
    <row r="1082" spans="1:17" ht="18" customHeight="1" x14ac:dyDescent="0.2">
      <c r="A1082" s="60" t="s">
        <v>777</v>
      </c>
      <c r="B1082" s="60" t="str">
        <f t="shared" si="72"/>
        <v>avars_2017</v>
      </c>
      <c r="C1082" s="60" t="s">
        <v>4182</v>
      </c>
      <c r="D1082" s="60" t="s">
        <v>1410</v>
      </c>
      <c r="E1082" s="60" t="s">
        <v>1410</v>
      </c>
      <c r="F1082" s="2">
        <v>10</v>
      </c>
      <c r="G1082" s="2" t="str">
        <f t="shared" si="73"/>
        <v>j</v>
      </c>
      <c r="H1082" s="2">
        <v>2017</v>
      </c>
      <c r="I1082" s="2" t="s">
        <v>1620</v>
      </c>
      <c r="J1082" s="2" t="s">
        <v>1621</v>
      </c>
      <c r="K1082" s="8" t="s">
        <v>1622</v>
      </c>
      <c r="L1082"/>
      <c r="M1082" s="2" t="s">
        <v>1623</v>
      </c>
      <c r="P1082" s="2" t="s">
        <v>1127</v>
      </c>
      <c r="Q1082" t="s">
        <v>1127</v>
      </c>
    </row>
    <row r="1083" spans="1:17" ht="18" customHeight="1" x14ac:dyDescent="0.2">
      <c r="A1083" s="60" t="s">
        <v>777</v>
      </c>
      <c r="B1083" s="60" t="str">
        <f t="shared" si="72"/>
        <v>avars_2018</v>
      </c>
      <c r="C1083" s="60" t="s">
        <v>4182</v>
      </c>
      <c r="D1083" s="60" t="s">
        <v>1410</v>
      </c>
      <c r="E1083" s="60" t="s">
        <v>1410</v>
      </c>
      <c r="F1083" s="2">
        <v>11</v>
      </c>
      <c r="G1083" s="2" t="str">
        <f t="shared" si="73"/>
        <v>k</v>
      </c>
      <c r="H1083" s="2">
        <v>2018</v>
      </c>
      <c r="I1083" s="2" t="s">
        <v>1620</v>
      </c>
      <c r="J1083" s="2" t="s">
        <v>1621</v>
      </c>
      <c r="K1083" s="8" t="s">
        <v>1622</v>
      </c>
      <c r="L1083"/>
      <c r="M1083" s="2" t="s">
        <v>1623</v>
      </c>
      <c r="P1083" s="2" t="s">
        <v>1127</v>
      </c>
      <c r="Q1083" t="s">
        <v>1127</v>
      </c>
    </row>
    <row r="1084" spans="1:17" ht="18" customHeight="1" x14ac:dyDescent="0.2">
      <c r="A1084" s="60" t="s">
        <v>777</v>
      </c>
      <c r="B1084" s="60" t="str">
        <f t="shared" si="72"/>
        <v>avars_2008</v>
      </c>
      <c r="C1084" s="60" t="s">
        <v>4182</v>
      </c>
      <c r="D1084" s="60" t="s">
        <v>1410</v>
      </c>
      <c r="E1084" s="60" t="s">
        <v>1410</v>
      </c>
      <c r="F1084" s="2">
        <v>1</v>
      </c>
      <c r="G1084" s="2" t="str">
        <f t="shared" si="73"/>
        <v>a</v>
      </c>
      <c r="H1084" s="2">
        <v>2008</v>
      </c>
      <c r="I1084" s="2" t="s">
        <v>1620</v>
      </c>
      <c r="J1084" s="2" t="s">
        <v>1621</v>
      </c>
      <c r="K1084" s="8" t="s">
        <v>1622</v>
      </c>
      <c r="L1084"/>
      <c r="M1084" s="2" t="s">
        <v>1623</v>
      </c>
      <c r="P1084" s="2" t="s">
        <v>1127</v>
      </c>
      <c r="Q1084" t="s">
        <v>1127</v>
      </c>
    </row>
    <row r="1085" spans="1:17" ht="18" customHeight="1" x14ac:dyDescent="0.2">
      <c r="A1085" s="60" t="s">
        <v>777</v>
      </c>
      <c r="B1085" s="60" t="str">
        <f t="shared" si="72"/>
        <v>avars_2009</v>
      </c>
      <c r="C1085" s="60" t="s">
        <v>4182</v>
      </c>
      <c r="D1085" s="60" t="s">
        <v>1410</v>
      </c>
      <c r="E1085" s="60" t="s">
        <v>1410</v>
      </c>
      <c r="F1085" s="2">
        <v>2</v>
      </c>
      <c r="G1085" s="2" t="str">
        <f t="shared" si="73"/>
        <v>b</v>
      </c>
      <c r="H1085" s="2">
        <v>2009</v>
      </c>
      <c r="I1085" s="2" t="s">
        <v>1620</v>
      </c>
      <c r="J1085" s="2" t="s">
        <v>1621</v>
      </c>
      <c r="K1085" s="8" t="s">
        <v>1622</v>
      </c>
      <c r="L1085"/>
      <c r="M1085" s="2" t="s">
        <v>1623</v>
      </c>
      <c r="P1085" s="2" t="s">
        <v>1127</v>
      </c>
      <c r="Q1085" t="s">
        <v>1127</v>
      </c>
    </row>
    <row r="1086" spans="1:17" ht="18" customHeight="1" x14ac:dyDescent="0.2">
      <c r="A1086" s="60" t="s">
        <v>777</v>
      </c>
      <c r="B1086" s="60" t="str">
        <f t="shared" si="72"/>
        <v>avars_2010</v>
      </c>
      <c r="C1086" s="60" t="s">
        <v>4182</v>
      </c>
      <c r="D1086" s="60" t="s">
        <v>1410</v>
      </c>
      <c r="E1086" s="60" t="s">
        <v>1410</v>
      </c>
      <c r="F1086" s="2">
        <v>3</v>
      </c>
      <c r="G1086" s="2" t="str">
        <f t="shared" si="73"/>
        <v>c</v>
      </c>
      <c r="H1086" s="2">
        <v>2010</v>
      </c>
      <c r="I1086" s="2" t="s">
        <v>1620</v>
      </c>
      <c r="J1086" s="2" t="s">
        <v>1621</v>
      </c>
      <c r="K1086" s="8" t="s">
        <v>1622</v>
      </c>
      <c r="L1086"/>
      <c r="M1086" s="2" t="s">
        <v>1623</v>
      </c>
      <c r="P1086" s="2" t="s">
        <v>1127</v>
      </c>
      <c r="Q1086" t="s">
        <v>1127</v>
      </c>
    </row>
    <row r="1087" spans="1:17" ht="18" customHeight="1" x14ac:dyDescent="0.2">
      <c r="A1087" s="60" t="s">
        <v>777</v>
      </c>
      <c r="B1087" s="60" t="str">
        <f t="shared" si="72"/>
        <v>avars_2011</v>
      </c>
      <c r="C1087" s="60" t="s">
        <v>4182</v>
      </c>
      <c r="D1087" s="60" t="s">
        <v>1410</v>
      </c>
      <c r="E1087" s="60" t="s">
        <v>1410</v>
      </c>
      <c r="F1087" s="2">
        <v>4</v>
      </c>
      <c r="G1087" s="2" t="str">
        <f t="shared" si="73"/>
        <v>d</v>
      </c>
      <c r="H1087" s="2">
        <v>2011</v>
      </c>
      <c r="I1087" s="2" t="s">
        <v>1620</v>
      </c>
      <c r="J1087" s="2" t="s">
        <v>1621</v>
      </c>
      <c r="K1087" s="8" t="s">
        <v>1622</v>
      </c>
      <c r="L1087"/>
      <c r="M1087" s="2" t="s">
        <v>1623</v>
      </c>
      <c r="P1087" s="2" t="s">
        <v>1127</v>
      </c>
      <c r="Q1087" t="s">
        <v>1127</v>
      </c>
    </row>
    <row r="1088" spans="1:17" ht="18" customHeight="1" x14ac:dyDescent="0.2">
      <c r="A1088" s="60" t="s">
        <v>777</v>
      </c>
      <c r="B1088" s="60" t="str">
        <f t="shared" si="72"/>
        <v>avars_2012</v>
      </c>
      <c r="C1088" s="60" t="s">
        <v>4182</v>
      </c>
      <c r="D1088" s="60" t="s">
        <v>1410</v>
      </c>
      <c r="E1088" s="60" t="s">
        <v>1410</v>
      </c>
      <c r="F1088" s="2">
        <v>5</v>
      </c>
      <c r="G1088" s="2" t="str">
        <f t="shared" si="73"/>
        <v>e</v>
      </c>
      <c r="H1088" s="2">
        <v>2012</v>
      </c>
      <c r="I1088" s="2" t="s">
        <v>1620</v>
      </c>
      <c r="J1088" s="2" t="s">
        <v>1621</v>
      </c>
      <c r="K1088" s="8" t="s">
        <v>1622</v>
      </c>
      <c r="L1088"/>
      <c r="M1088" s="2" t="s">
        <v>1623</v>
      </c>
      <c r="P1088" s="2" t="s">
        <v>1127</v>
      </c>
      <c r="Q1088" t="s">
        <v>1127</v>
      </c>
    </row>
    <row r="1089" spans="1:17" ht="18" customHeight="1" x14ac:dyDescent="0.2">
      <c r="A1089" s="60" t="s">
        <v>777</v>
      </c>
      <c r="B1089" s="60" t="str">
        <f t="shared" si="72"/>
        <v>avars_2013</v>
      </c>
      <c r="C1089" s="60" t="s">
        <v>4182</v>
      </c>
      <c r="D1089" s="60" t="s">
        <v>1410</v>
      </c>
      <c r="E1089" s="60" t="s">
        <v>1410</v>
      </c>
      <c r="F1089" s="2">
        <v>6</v>
      </c>
      <c r="G1089" s="2" t="str">
        <f t="shared" si="73"/>
        <v>f</v>
      </c>
      <c r="H1089" s="2">
        <v>2013</v>
      </c>
      <c r="I1089" s="2" t="s">
        <v>1620</v>
      </c>
      <c r="J1089" s="2" t="s">
        <v>1621</v>
      </c>
      <c r="K1089" s="8" t="s">
        <v>1622</v>
      </c>
      <c r="L1089"/>
      <c r="M1089" s="2" t="s">
        <v>1623</v>
      </c>
      <c r="P1089" s="2" t="s">
        <v>1127</v>
      </c>
      <c r="Q1089" t="s">
        <v>1127</v>
      </c>
    </row>
    <row r="1090" spans="1:17" ht="18" customHeight="1" x14ac:dyDescent="0.2">
      <c r="A1090" s="60" t="s">
        <v>777</v>
      </c>
      <c r="B1090" s="60" t="str">
        <f t="shared" si="72"/>
        <v>avars_2014</v>
      </c>
      <c r="C1090" s="60" t="s">
        <v>4182</v>
      </c>
      <c r="D1090" s="60" t="s">
        <v>1410</v>
      </c>
      <c r="E1090" s="60" t="s">
        <v>1410</v>
      </c>
      <c r="F1090" s="2">
        <v>7</v>
      </c>
      <c r="G1090" s="2" t="str">
        <f t="shared" si="73"/>
        <v>g</v>
      </c>
      <c r="H1090" s="2">
        <v>2014</v>
      </c>
      <c r="I1090" s="2" t="s">
        <v>1620</v>
      </c>
      <c r="J1090" s="2" t="s">
        <v>1621</v>
      </c>
      <c r="K1090" s="8" t="s">
        <v>1622</v>
      </c>
      <c r="L1090"/>
      <c r="M1090" s="2" t="s">
        <v>1623</v>
      </c>
      <c r="P1090" s="2" t="s">
        <v>1127</v>
      </c>
      <c r="Q1090" t="s">
        <v>1127</v>
      </c>
    </row>
    <row r="1091" spans="1:17" ht="18" customHeight="1" x14ac:dyDescent="0.2">
      <c r="A1091" s="60" t="s">
        <v>777</v>
      </c>
      <c r="B1091" s="60" t="str">
        <f t="shared" si="72"/>
        <v>avars_2015</v>
      </c>
      <c r="C1091" s="60" t="s">
        <v>4182</v>
      </c>
      <c r="D1091" s="60" t="s">
        <v>1410</v>
      </c>
      <c r="E1091" s="60" t="s">
        <v>1410</v>
      </c>
      <c r="F1091" s="2">
        <v>8</v>
      </c>
      <c r="G1091" s="2" t="str">
        <f t="shared" si="73"/>
        <v>h</v>
      </c>
      <c r="H1091" s="2">
        <v>2015</v>
      </c>
      <c r="I1091" s="2" t="s">
        <v>1620</v>
      </c>
      <c r="J1091" s="2" t="s">
        <v>1621</v>
      </c>
      <c r="K1091" s="8" t="s">
        <v>1622</v>
      </c>
      <c r="L1091"/>
      <c r="M1091" s="2" t="s">
        <v>1623</v>
      </c>
      <c r="P1091" s="2" t="s">
        <v>1127</v>
      </c>
      <c r="Q1091" t="s">
        <v>1127</v>
      </c>
    </row>
    <row r="1092" spans="1:17" ht="18" customHeight="1" x14ac:dyDescent="0.2">
      <c r="A1092" s="60" t="s">
        <v>777</v>
      </c>
      <c r="B1092" s="60" t="str">
        <f t="shared" si="72"/>
        <v>avars_2016</v>
      </c>
      <c r="C1092" s="60" t="s">
        <v>4182</v>
      </c>
      <c r="D1092" s="60" t="s">
        <v>1410</v>
      </c>
      <c r="E1092" s="60" t="s">
        <v>1410</v>
      </c>
      <c r="F1092" s="2">
        <v>9</v>
      </c>
      <c r="G1092" s="2" t="str">
        <f t="shared" si="73"/>
        <v>i</v>
      </c>
      <c r="H1092" s="2">
        <v>2016</v>
      </c>
      <c r="I1092" s="2" t="s">
        <v>1620</v>
      </c>
      <c r="J1092" s="2" t="s">
        <v>1621</v>
      </c>
      <c r="K1092" s="8" t="s">
        <v>1622</v>
      </c>
      <c r="L1092"/>
      <c r="M1092" s="2" t="s">
        <v>1623</v>
      </c>
      <c r="P1092" s="2" t="s">
        <v>1127</v>
      </c>
      <c r="Q1092" t="s">
        <v>1127</v>
      </c>
    </row>
    <row r="1093" spans="1:17" ht="18" customHeight="1" x14ac:dyDescent="0.2">
      <c r="A1093" s="60" t="s">
        <v>777</v>
      </c>
      <c r="B1093" s="60" t="str">
        <f t="shared" si="72"/>
        <v>avars_2017</v>
      </c>
      <c r="C1093" s="60" t="s">
        <v>4182</v>
      </c>
      <c r="D1093" s="60" t="s">
        <v>1410</v>
      </c>
      <c r="E1093" s="60" t="s">
        <v>1410</v>
      </c>
      <c r="F1093" s="2">
        <v>10</v>
      </c>
      <c r="G1093" s="2" t="str">
        <f t="shared" si="73"/>
        <v>j</v>
      </c>
      <c r="H1093" s="2">
        <v>2017</v>
      </c>
      <c r="I1093" s="2" t="s">
        <v>1620</v>
      </c>
      <c r="J1093" s="2" t="s">
        <v>1621</v>
      </c>
      <c r="K1093" s="8" t="s">
        <v>1622</v>
      </c>
      <c r="L1093"/>
      <c r="M1093" s="2" t="s">
        <v>1623</v>
      </c>
      <c r="P1093" s="2" t="s">
        <v>1127</v>
      </c>
      <c r="Q1093" t="s">
        <v>1127</v>
      </c>
    </row>
    <row r="1094" spans="1:17" ht="18" customHeight="1" x14ac:dyDescent="0.2">
      <c r="A1094" s="60" t="s">
        <v>777</v>
      </c>
      <c r="B1094" s="60" t="str">
        <f t="shared" si="72"/>
        <v>avars_2018</v>
      </c>
      <c r="C1094" s="60" t="s">
        <v>4182</v>
      </c>
      <c r="D1094" s="60" t="s">
        <v>1410</v>
      </c>
      <c r="E1094" s="60" t="s">
        <v>1410</v>
      </c>
      <c r="F1094" s="2">
        <v>11</v>
      </c>
      <c r="G1094" s="2" t="str">
        <f t="shared" si="73"/>
        <v>k</v>
      </c>
      <c r="H1094" s="2">
        <v>2018</v>
      </c>
      <c r="I1094" s="2" t="s">
        <v>1620</v>
      </c>
      <c r="J1094" s="2" t="s">
        <v>1621</v>
      </c>
      <c r="K1094" s="8" t="s">
        <v>1622</v>
      </c>
      <c r="L1094"/>
      <c r="M1094" s="2" t="s">
        <v>1623</v>
      </c>
      <c r="P1094" s="2" t="s">
        <v>1127</v>
      </c>
      <c r="Q1094" t="s">
        <v>1127</v>
      </c>
    </row>
    <row r="1095" spans="1:17" ht="18" customHeight="1" x14ac:dyDescent="0.2">
      <c r="A1095" s="60" t="s">
        <v>777</v>
      </c>
      <c r="B1095" s="60" t="str">
        <f t="shared" si="72"/>
        <v>avars_2008</v>
      </c>
      <c r="C1095" s="60" t="s">
        <v>4182</v>
      </c>
      <c r="D1095" s="60" t="s">
        <v>1410</v>
      </c>
      <c r="E1095" s="60" t="s">
        <v>1410</v>
      </c>
      <c r="F1095" s="2">
        <v>1</v>
      </c>
      <c r="G1095" s="2" t="str">
        <f t="shared" si="73"/>
        <v>a</v>
      </c>
      <c r="H1095" s="2">
        <v>2008</v>
      </c>
      <c r="I1095" s="2" t="s">
        <v>1620</v>
      </c>
      <c r="J1095" s="2" t="s">
        <v>1621</v>
      </c>
      <c r="K1095" s="8" t="s">
        <v>1622</v>
      </c>
      <c r="L1095"/>
      <c r="M1095" s="2" t="s">
        <v>1623</v>
      </c>
      <c r="P1095" s="2" t="s">
        <v>1127</v>
      </c>
      <c r="Q1095" t="s">
        <v>1127</v>
      </c>
    </row>
    <row r="1096" spans="1:17" ht="18" customHeight="1" x14ac:dyDescent="0.2">
      <c r="A1096" s="60" t="s">
        <v>777</v>
      </c>
      <c r="B1096" s="60" t="str">
        <f t="shared" si="72"/>
        <v>avars_2009</v>
      </c>
      <c r="C1096" s="60" t="s">
        <v>4182</v>
      </c>
      <c r="D1096" s="60" t="s">
        <v>1410</v>
      </c>
      <c r="E1096" s="60" t="s">
        <v>1410</v>
      </c>
      <c r="F1096" s="2">
        <v>2</v>
      </c>
      <c r="G1096" s="2" t="str">
        <f t="shared" si="73"/>
        <v>b</v>
      </c>
      <c r="H1096" s="2">
        <v>2009</v>
      </c>
      <c r="I1096" s="2" t="s">
        <v>1620</v>
      </c>
      <c r="J1096" s="2" t="s">
        <v>1621</v>
      </c>
      <c r="K1096" s="8" t="s">
        <v>1622</v>
      </c>
      <c r="L1096"/>
      <c r="M1096" s="2" t="s">
        <v>1623</v>
      </c>
      <c r="P1096" s="2" t="s">
        <v>1127</v>
      </c>
      <c r="Q1096" t="s">
        <v>1127</v>
      </c>
    </row>
    <row r="1097" spans="1:17" ht="18" customHeight="1" x14ac:dyDescent="0.2">
      <c r="A1097" s="60" t="s">
        <v>777</v>
      </c>
      <c r="B1097" s="60" t="str">
        <f t="shared" si="72"/>
        <v>avars_2010</v>
      </c>
      <c r="C1097" s="60" t="s">
        <v>4182</v>
      </c>
      <c r="D1097" s="60" t="s">
        <v>1410</v>
      </c>
      <c r="E1097" s="60" t="s">
        <v>1410</v>
      </c>
      <c r="F1097" s="2">
        <v>3</v>
      </c>
      <c r="G1097" s="2" t="str">
        <f t="shared" si="73"/>
        <v>c</v>
      </c>
      <c r="H1097" s="2">
        <v>2010</v>
      </c>
      <c r="I1097" s="2" t="s">
        <v>1620</v>
      </c>
      <c r="J1097" s="2" t="s">
        <v>1621</v>
      </c>
      <c r="K1097" s="8" t="s">
        <v>1622</v>
      </c>
      <c r="L1097"/>
      <c r="M1097" s="2" t="s">
        <v>1623</v>
      </c>
      <c r="P1097" s="2" t="s">
        <v>1127</v>
      </c>
      <c r="Q1097" t="s">
        <v>1127</v>
      </c>
    </row>
    <row r="1098" spans="1:17" ht="18" customHeight="1" x14ac:dyDescent="0.2">
      <c r="A1098" s="60" t="s">
        <v>777</v>
      </c>
      <c r="B1098" s="60" t="str">
        <f t="shared" si="72"/>
        <v>avars_2011</v>
      </c>
      <c r="C1098" s="60" t="s">
        <v>4182</v>
      </c>
      <c r="D1098" s="60" t="s">
        <v>1410</v>
      </c>
      <c r="E1098" s="60" t="s">
        <v>1410</v>
      </c>
      <c r="F1098" s="2">
        <v>4</v>
      </c>
      <c r="G1098" s="2" t="str">
        <f t="shared" si="73"/>
        <v>d</v>
      </c>
      <c r="H1098" s="2">
        <v>2011</v>
      </c>
      <c r="I1098" s="2" t="s">
        <v>1620</v>
      </c>
      <c r="J1098" s="2" t="s">
        <v>1621</v>
      </c>
      <c r="K1098" s="8" t="s">
        <v>1622</v>
      </c>
      <c r="L1098"/>
      <c r="M1098" s="2" t="s">
        <v>1623</v>
      </c>
      <c r="P1098" s="2" t="s">
        <v>1127</v>
      </c>
      <c r="Q1098" t="s">
        <v>1127</v>
      </c>
    </row>
    <row r="1099" spans="1:17" ht="18" customHeight="1" x14ac:dyDescent="0.2">
      <c r="A1099" s="60" t="s">
        <v>777</v>
      </c>
      <c r="B1099" s="60" t="str">
        <f t="shared" si="72"/>
        <v>avars_2012</v>
      </c>
      <c r="C1099" s="60" t="s">
        <v>4182</v>
      </c>
      <c r="D1099" s="60" t="s">
        <v>1410</v>
      </c>
      <c r="E1099" s="60" t="s">
        <v>1410</v>
      </c>
      <c r="F1099" s="2">
        <v>5</v>
      </c>
      <c r="G1099" s="2" t="str">
        <f t="shared" si="73"/>
        <v>e</v>
      </c>
      <c r="H1099" s="2">
        <v>2012</v>
      </c>
      <c r="I1099" s="2" t="s">
        <v>1620</v>
      </c>
      <c r="J1099" s="2" t="s">
        <v>1621</v>
      </c>
      <c r="K1099" s="8" t="s">
        <v>1622</v>
      </c>
      <c r="L1099"/>
      <c r="M1099" s="2" t="s">
        <v>1623</v>
      </c>
      <c r="P1099" s="2" t="s">
        <v>1127</v>
      </c>
      <c r="Q1099" t="s">
        <v>1127</v>
      </c>
    </row>
    <row r="1100" spans="1:17" ht="18" customHeight="1" x14ac:dyDescent="0.2">
      <c r="A1100" s="60" t="s">
        <v>777</v>
      </c>
      <c r="B1100" s="60" t="str">
        <f t="shared" si="72"/>
        <v>avars_2013</v>
      </c>
      <c r="C1100" s="60" t="s">
        <v>4182</v>
      </c>
      <c r="D1100" s="60" t="s">
        <v>1410</v>
      </c>
      <c r="E1100" s="60" t="s">
        <v>1410</v>
      </c>
      <c r="F1100" s="2">
        <v>6</v>
      </c>
      <c r="G1100" s="2" t="str">
        <f t="shared" si="73"/>
        <v>f</v>
      </c>
      <c r="H1100" s="2">
        <v>2013</v>
      </c>
      <c r="I1100" s="2" t="s">
        <v>1620</v>
      </c>
      <c r="J1100" s="2" t="s">
        <v>1621</v>
      </c>
      <c r="K1100" s="8" t="s">
        <v>1622</v>
      </c>
      <c r="L1100"/>
      <c r="M1100" s="2" t="s">
        <v>1623</v>
      </c>
      <c r="P1100" s="2" t="s">
        <v>1127</v>
      </c>
      <c r="Q1100" t="s">
        <v>1127</v>
      </c>
    </row>
    <row r="1101" spans="1:17" ht="18" customHeight="1" x14ac:dyDescent="0.2">
      <c r="A1101" s="60" t="s">
        <v>777</v>
      </c>
      <c r="B1101" s="60" t="str">
        <f t="shared" si="72"/>
        <v>avars_2014</v>
      </c>
      <c r="C1101" s="60" t="s">
        <v>4182</v>
      </c>
      <c r="D1101" s="60" t="s">
        <v>1410</v>
      </c>
      <c r="E1101" s="60" t="s">
        <v>1410</v>
      </c>
      <c r="F1101" s="2">
        <v>7</v>
      </c>
      <c r="G1101" s="2" t="str">
        <f t="shared" si="73"/>
        <v>g</v>
      </c>
      <c r="H1101" s="2">
        <v>2014</v>
      </c>
      <c r="I1101" s="2" t="s">
        <v>1620</v>
      </c>
      <c r="J1101" s="2" t="s">
        <v>1621</v>
      </c>
      <c r="K1101" s="8" t="s">
        <v>1622</v>
      </c>
      <c r="L1101"/>
      <c r="M1101" s="2" t="s">
        <v>1623</v>
      </c>
      <c r="P1101" s="2" t="s">
        <v>1127</v>
      </c>
      <c r="Q1101" t="s">
        <v>1127</v>
      </c>
    </row>
    <row r="1102" spans="1:17" ht="18" customHeight="1" x14ac:dyDescent="0.2">
      <c r="A1102" s="60" t="s">
        <v>777</v>
      </c>
      <c r="B1102" s="60" t="str">
        <f t="shared" si="72"/>
        <v>avars_2015</v>
      </c>
      <c r="C1102" s="60" t="s">
        <v>4182</v>
      </c>
      <c r="D1102" s="60" t="s">
        <v>1410</v>
      </c>
      <c r="E1102" s="60" t="s">
        <v>1410</v>
      </c>
      <c r="F1102" s="2">
        <v>8</v>
      </c>
      <c r="G1102" s="2" t="str">
        <f t="shared" si="73"/>
        <v>h</v>
      </c>
      <c r="H1102" s="2">
        <v>2015</v>
      </c>
      <c r="I1102" s="2" t="s">
        <v>1620</v>
      </c>
      <c r="J1102" s="2" t="s">
        <v>1621</v>
      </c>
      <c r="K1102" s="8" t="s">
        <v>1622</v>
      </c>
      <c r="L1102"/>
      <c r="M1102" s="2" t="s">
        <v>1623</v>
      </c>
      <c r="P1102" s="2" t="s">
        <v>1127</v>
      </c>
      <c r="Q1102" t="s">
        <v>1127</v>
      </c>
    </row>
    <row r="1103" spans="1:17" ht="18" customHeight="1" x14ac:dyDescent="0.2">
      <c r="A1103" s="60" t="s">
        <v>777</v>
      </c>
      <c r="B1103" s="60" t="str">
        <f t="shared" si="72"/>
        <v>avars_2016</v>
      </c>
      <c r="C1103" s="60" t="s">
        <v>4182</v>
      </c>
      <c r="D1103" s="60" t="s">
        <v>1410</v>
      </c>
      <c r="E1103" s="60" t="s">
        <v>1410</v>
      </c>
      <c r="F1103" s="2">
        <v>9</v>
      </c>
      <c r="G1103" s="2" t="str">
        <f t="shared" si="73"/>
        <v>i</v>
      </c>
      <c r="H1103" s="2">
        <v>2016</v>
      </c>
      <c r="I1103" s="2" t="s">
        <v>1620</v>
      </c>
      <c r="J1103" s="2" t="s">
        <v>1621</v>
      </c>
      <c r="K1103" s="8" t="s">
        <v>1622</v>
      </c>
      <c r="L1103"/>
      <c r="M1103" s="2" t="s">
        <v>1623</v>
      </c>
      <c r="P1103" s="2" t="s">
        <v>1127</v>
      </c>
      <c r="Q1103" t="s">
        <v>1127</v>
      </c>
    </row>
    <row r="1104" spans="1:17" ht="18" customHeight="1" x14ac:dyDescent="0.2">
      <c r="A1104" s="60" t="s">
        <v>777</v>
      </c>
      <c r="B1104" s="60" t="str">
        <f t="shared" si="72"/>
        <v>avars_2017</v>
      </c>
      <c r="C1104" s="60" t="s">
        <v>4182</v>
      </c>
      <c r="D1104" s="60" t="s">
        <v>1410</v>
      </c>
      <c r="E1104" s="60" t="s">
        <v>1410</v>
      </c>
      <c r="F1104" s="2">
        <v>10</v>
      </c>
      <c r="G1104" s="2" t="str">
        <f t="shared" si="73"/>
        <v>j</v>
      </c>
      <c r="H1104" s="2">
        <v>2017</v>
      </c>
      <c r="I1104" s="2" t="s">
        <v>1620</v>
      </c>
      <c r="J1104" s="2" t="s">
        <v>1621</v>
      </c>
      <c r="K1104" s="8" t="s">
        <v>1622</v>
      </c>
      <c r="L1104"/>
      <c r="M1104" s="2" t="s">
        <v>1623</v>
      </c>
      <c r="P1104" s="2" t="s">
        <v>1127</v>
      </c>
      <c r="Q1104" t="s">
        <v>1127</v>
      </c>
    </row>
    <row r="1105" spans="1:17" ht="18" customHeight="1" x14ac:dyDescent="0.2">
      <c r="A1105" s="60" t="s">
        <v>777</v>
      </c>
      <c r="B1105" s="60" t="str">
        <f t="shared" si="72"/>
        <v>avars_2018</v>
      </c>
      <c r="C1105" s="60" t="s">
        <v>4182</v>
      </c>
      <c r="D1105" s="60" t="s">
        <v>1410</v>
      </c>
      <c r="E1105" s="60" t="s">
        <v>1410</v>
      </c>
      <c r="F1105" s="2">
        <v>11</v>
      </c>
      <c r="G1105" s="2" t="str">
        <f t="shared" si="73"/>
        <v>k</v>
      </c>
      <c r="H1105" s="2">
        <v>2018</v>
      </c>
      <c r="I1105" s="2" t="s">
        <v>1620</v>
      </c>
      <c r="J1105" s="2" t="s">
        <v>1621</v>
      </c>
      <c r="K1105" s="8" t="s">
        <v>1622</v>
      </c>
      <c r="L1105"/>
      <c r="M1105" s="2" t="s">
        <v>1623</v>
      </c>
      <c r="P1105" s="2" t="s">
        <v>1127</v>
      </c>
      <c r="Q1105" t="s">
        <v>1127</v>
      </c>
    </row>
    <row r="1106" spans="1:17" ht="18" customHeight="1" x14ac:dyDescent="0.2">
      <c r="A1106" s="60" t="s">
        <v>777</v>
      </c>
      <c r="B1106" s="60" t="str">
        <f t="shared" si="72"/>
        <v>avars_2008</v>
      </c>
      <c r="C1106" s="60" t="s">
        <v>4182</v>
      </c>
      <c r="D1106" s="60" t="s">
        <v>1410</v>
      </c>
      <c r="E1106" s="60" t="s">
        <v>1410</v>
      </c>
      <c r="F1106" s="2">
        <v>1</v>
      </c>
      <c r="G1106" s="2" t="str">
        <f t="shared" si="73"/>
        <v>a</v>
      </c>
      <c r="H1106" s="2">
        <v>2008</v>
      </c>
      <c r="I1106" s="2" t="s">
        <v>1620</v>
      </c>
      <c r="J1106" s="2" t="s">
        <v>1621</v>
      </c>
      <c r="K1106" s="8" t="s">
        <v>1622</v>
      </c>
      <c r="L1106"/>
      <c r="M1106" s="2" t="s">
        <v>1623</v>
      </c>
      <c r="P1106" s="2" t="s">
        <v>1127</v>
      </c>
      <c r="Q1106" t="s">
        <v>1127</v>
      </c>
    </row>
    <row r="1107" spans="1:17" ht="18" customHeight="1" x14ac:dyDescent="0.2">
      <c r="A1107" s="60" t="s">
        <v>777</v>
      </c>
      <c r="B1107" s="60" t="str">
        <f t="shared" si="72"/>
        <v>avars_2009</v>
      </c>
      <c r="C1107" s="60" t="s">
        <v>4182</v>
      </c>
      <c r="D1107" s="60" t="s">
        <v>1410</v>
      </c>
      <c r="E1107" s="60" t="s">
        <v>1410</v>
      </c>
      <c r="F1107" s="2">
        <v>2</v>
      </c>
      <c r="G1107" s="2" t="str">
        <f t="shared" si="73"/>
        <v>b</v>
      </c>
      <c r="H1107" s="2">
        <v>2009</v>
      </c>
      <c r="I1107" s="2" t="s">
        <v>1620</v>
      </c>
      <c r="J1107" s="2" t="s">
        <v>1621</v>
      </c>
      <c r="K1107" s="8" t="s">
        <v>1622</v>
      </c>
      <c r="L1107"/>
      <c r="M1107" s="2" t="s">
        <v>1623</v>
      </c>
      <c r="P1107" s="2" t="s">
        <v>1127</v>
      </c>
      <c r="Q1107" t="s">
        <v>1127</v>
      </c>
    </row>
    <row r="1108" spans="1:17" ht="18" customHeight="1" x14ac:dyDescent="0.2">
      <c r="A1108" s="60" t="s">
        <v>777</v>
      </c>
      <c r="B1108" s="60" t="str">
        <f t="shared" si="72"/>
        <v>avars_2010</v>
      </c>
      <c r="C1108" s="60" t="s">
        <v>4182</v>
      </c>
      <c r="D1108" s="60" t="s">
        <v>1410</v>
      </c>
      <c r="E1108" s="60" t="s">
        <v>1410</v>
      </c>
      <c r="F1108" s="2">
        <v>3</v>
      </c>
      <c r="G1108" s="2" t="str">
        <f t="shared" si="73"/>
        <v>c</v>
      </c>
      <c r="H1108" s="2">
        <v>2010</v>
      </c>
      <c r="I1108" s="2" t="s">
        <v>1620</v>
      </c>
      <c r="J1108" s="2" t="s">
        <v>1621</v>
      </c>
      <c r="K1108" s="8" t="s">
        <v>1622</v>
      </c>
      <c r="L1108"/>
      <c r="M1108" s="2" t="s">
        <v>1623</v>
      </c>
      <c r="P1108" s="2" t="s">
        <v>1127</v>
      </c>
      <c r="Q1108" t="s">
        <v>1127</v>
      </c>
    </row>
    <row r="1109" spans="1:17" ht="18" customHeight="1" x14ac:dyDescent="0.2">
      <c r="A1109" s="60" t="s">
        <v>777</v>
      </c>
      <c r="B1109" s="60" t="str">
        <f t="shared" si="72"/>
        <v>avars_2011</v>
      </c>
      <c r="C1109" s="60" t="s">
        <v>4182</v>
      </c>
      <c r="D1109" s="60" t="s">
        <v>1410</v>
      </c>
      <c r="E1109" s="60" t="s">
        <v>1410</v>
      </c>
      <c r="F1109" s="2">
        <v>4</v>
      </c>
      <c r="G1109" s="2" t="str">
        <f t="shared" si="73"/>
        <v>d</v>
      </c>
      <c r="H1109" s="2">
        <v>2011</v>
      </c>
      <c r="I1109" s="2" t="s">
        <v>1620</v>
      </c>
      <c r="J1109" s="2" t="s">
        <v>1621</v>
      </c>
      <c r="K1109" s="8" t="s">
        <v>1622</v>
      </c>
      <c r="L1109"/>
      <c r="M1109" s="2" t="s">
        <v>1623</v>
      </c>
      <c r="P1109" s="2" t="s">
        <v>1127</v>
      </c>
      <c r="Q1109" t="s">
        <v>1127</v>
      </c>
    </row>
    <row r="1110" spans="1:17" ht="18" customHeight="1" x14ac:dyDescent="0.2">
      <c r="A1110" s="60" t="s">
        <v>777</v>
      </c>
      <c r="B1110" s="60" t="str">
        <f t="shared" si="72"/>
        <v>avars_2012</v>
      </c>
      <c r="C1110" s="60" t="s">
        <v>4182</v>
      </c>
      <c r="D1110" s="60" t="s">
        <v>1410</v>
      </c>
      <c r="E1110" s="60" t="s">
        <v>1410</v>
      </c>
      <c r="F1110" s="2">
        <v>5</v>
      </c>
      <c r="G1110" s="2" t="str">
        <f t="shared" si="73"/>
        <v>e</v>
      </c>
      <c r="H1110" s="2">
        <v>2012</v>
      </c>
      <c r="I1110" s="2" t="s">
        <v>1620</v>
      </c>
      <c r="J1110" s="2" t="s">
        <v>1621</v>
      </c>
      <c r="K1110" s="8" t="s">
        <v>1622</v>
      </c>
      <c r="L1110"/>
      <c r="M1110" s="2" t="s">
        <v>1623</v>
      </c>
      <c r="P1110" s="2" t="s">
        <v>1127</v>
      </c>
      <c r="Q1110" t="s">
        <v>1127</v>
      </c>
    </row>
    <row r="1111" spans="1:17" ht="18" customHeight="1" x14ac:dyDescent="0.2">
      <c r="A1111" s="60" t="s">
        <v>777</v>
      </c>
      <c r="B1111" s="60" t="str">
        <f t="shared" si="72"/>
        <v>avars_2013</v>
      </c>
      <c r="C1111" s="60" t="s">
        <v>4182</v>
      </c>
      <c r="D1111" s="60" t="s">
        <v>1410</v>
      </c>
      <c r="E1111" s="60" t="s">
        <v>1410</v>
      </c>
      <c r="F1111" s="2">
        <v>6</v>
      </c>
      <c r="G1111" s="2" t="str">
        <f t="shared" si="73"/>
        <v>f</v>
      </c>
      <c r="H1111" s="2">
        <v>2013</v>
      </c>
      <c r="I1111" s="2" t="s">
        <v>1620</v>
      </c>
      <c r="J1111" s="2" t="s">
        <v>1621</v>
      </c>
      <c r="K1111" s="8" t="s">
        <v>1622</v>
      </c>
      <c r="L1111"/>
      <c r="M1111" s="2" t="s">
        <v>1623</v>
      </c>
      <c r="P1111" s="2" t="s">
        <v>1127</v>
      </c>
      <c r="Q1111" t="s">
        <v>1127</v>
      </c>
    </row>
    <row r="1112" spans="1:17" ht="18" customHeight="1" x14ac:dyDescent="0.2">
      <c r="A1112" s="60" t="s">
        <v>777</v>
      </c>
      <c r="B1112" s="60" t="str">
        <f t="shared" si="72"/>
        <v>avars_2014</v>
      </c>
      <c r="C1112" s="60" t="s">
        <v>4182</v>
      </c>
      <c r="D1112" s="60" t="s">
        <v>1410</v>
      </c>
      <c r="E1112" s="60" t="s">
        <v>1410</v>
      </c>
      <c r="F1112" s="2">
        <v>7</v>
      </c>
      <c r="G1112" s="2" t="str">
        <f t="shared" si="73"/>
        <v>g</v>
      </c>
      <c r="H1112" s="2">
        <v>2014</v>
      </c>
      <c r="I1112" s="2" t="s">
        <v>1620</v>
      </c>
      <c r="J1112" s="2" t="s">
        <v>1621</v>
      </c>
      <c r="K1112" s="8" t="s">
        <v>1622</v>
      </c>
      <c r="L1112"/>
      <c r="M1112" s="2" t="s">
        <v>1623</v>
      </c>
      <c r="P1112" s="2" t="s">
        <v>1127</v>
      </c>
      <c r="Q1112" t="s">
        <v>1127</v>
      </c>
    </row>
    <row r="1113" spans="1:17" ht="18" customHeight="1" x14ac:dyDescent="0.2">
      <c r="A1113" s="60" t="s">
        <v>777</v>
      </c>
      <c r="B1113" s="60" t="str">
        <f t="shared" si="72"/>
        <v>avars_2015</v>
      </c>
      <c r="C1113" s="60" t="s">
        <v>4182</v>
      </c>
      <c r="D1113" s="60" t="s">
        <v>1410</v>
      </c>
      <c r="E1113" s="60" t="s">
        <v>1410</v>
      </c>
      <c r="F1113" s="2">
        <v>8</v>
      </c>
      <c r="G1113" s="2" t="str">
        <f t="shared" si="73"/>
        <v>h</v>
      </c>
      <c r="H1113" s="2">
        <v>2015</v>
      </c>
      <c r="I1113" s="2" t="s">
        <v>1620</v>
      </c>
      <c r="J1113" s="2" t="s">
        <v>1621</v>
      </c>
      <c r="K1113" s="8" t="s">
        <v>1622</v>
      </c>
      <c r="L1113"/>
      <c r="M1113" s="2" t="s">
        <v>1623</v>
      </c>
      <c r="P1113" s="2" t="s">
        <v>1127</v>
      </c>
      <c r="Q1113" t="s">
        <v>1127</v>
      </c>
    </row>
    <row r="1114" spans="1:17" ht="18" customHeight="1" x14ac:dyDescent="0.2">
      <c r="A1114" s="60" t="s">
        <v>777</v>
      </c>
      <c r="B1114" s="60" t="str">
        <f t="shared" si="72"/>
        <v>avars_2016</v>
      </c>
      <c r="C1114" s="60" t="s">
        <v>4182</v>
      </c>
      <c r="D1114" s="60" t="s">
        <v>1410</v>
      </c>
      <c r="E1114" s="60" t="s">
        <v>1410</v>
      </c>
      <c r="F1114" s="2">
        <v>9</v>
      </c>
      <c r="G1114" s="2" t="str">
        <f t="shared" si="73"/>
        <v>i</v>
      </c>
      <c r="H1114" s="2">
        <v>2016</v>
      </c>
      <c r="I1114" s="2" t="s">
        <v>1620</v>
      </c>
      <c r="J1114" s="2" t="s">
        <v>1621</v>
      </c>
      <c r="K1114" s="8" t="s">
        <v>1622</v>
      </c>
      <c r="L1114"/>
      <c r="M1114" s="2" t="s">
        <v>1623</v>
      </c>
      <c r="P1114" s="2" t="s">
        <v>1127</v>
      </c>
      <c r="Q1114" t="s">
        <v>1127</v>
      </c>
    </row>
    <row r="1115" spans="1:17" ht="18" customHeight="1" x14ac:dyDescent="0.2">
      <c r="A1115" s="60" t="s">
        <v>777</v>
      </c>
      <c r="B1115" s="60" t="str">
        <f t="shared" si="72"/>
        <v>avars_2017</v>
      </c>
      <c r="C1115" s="60" t="s">
        <v>4182</v>
      </c>
      <c r="D1115" s="60" t="s">
        <v>1410</v>
      </c>
      <c r="E1115" s="60" t="s">
        <v>1410</v>
      </c>
      <c r="F1115" s="2">
        <v>10</v>
      </c>
      <c r="G1115" s="2" t="str">
        <f t="shared" si="73"/>
        <v>j</v>
      </c>
      <c r="H1115" s="2">
        <v>2017</v>
      </c>
      <c r="I1115" s="2" t="s">
        <v>1620</v>
      </c>
      <c r="J1115" s="2" t="s">
        <v>1621</v>
      </c>
      <c r="K1115" s="8" t="s">
        <v>1622</v>
      </c>
      <c r="L1115"/>
      <c r="M1115" s="2" t="s">
        <v>1623</v>
      </c>
      <c r="P1115" s="2" t="s">
        <v>1127</v>
      </c>
      <c r="Q1115" t="s">
        <v>1127</v>
      </c>
    </row>
    <row r="1116" spans="1:17" ht="18" customHeight="1" x14ac:dyDescent="0.2">
      <c r="A1116" s="60" t="s">
        <v>777</v>
      </c>
      <c r="B1116" s="60" t="str">
        <f t="shared" si="72"/>
        <v>avars_2018</v>
      </c>
      <c r="C1116" s="60" t="s">
        <v>4182</v>
      </c>
      <c r="D1116" s="60" t="s">
        <v>1410</v>
      </c>
      <c r="E1116" s="60" t="s">
        <v>1410</v>
      </c>
      <c r="F1116" s="2">
        <v>11</v>
      </c>
      <c r="G1116" s="2" t="str">
        <f t="shared" si="73"/>
        <v>k</v>
      </c>
      <c r="H1116" s="2">
        <v>2018</v>
      </c>
      <c r="I1116" s="2" t="s">
        <v>1620</v>
      </c>
      <c r="J1116" s="2" t="s">
        <v>1621</v>
      </c>
      <c r="K1116" s="8" t="s">
        <v>1622</v>
      </c>
      <c r="L1116"/>
      <c r="M1116" s="2" t="s">
        <v>1623</v>
      </c>
      <c r="P1116" s="2" t="s">
        <v>1127</v>
      </c>
      <c r="Q1116" t="s">
        <v>1127</v>
      </c>
    </row>
    <row r="1117" spans="1:17" ht="18" customHeight="1" x14ac:dyDescent="0.2">
      <c r="A1117" s="60" t="s">
        <v>777</v>
      </c>
      <c r="B1117" s="60" t="str">
        <f t="shared" si="72"/>
        <v>avars_2008</v>
      </c>
      <c r="C1117" s="60" t="s">
        <v>4182</v>
      </c>
      <c r="D1117" s="60" t="s">
        <v>1410</v>
      </c>
      <c r="E1117" s="60" t="s">
        <v>1410</v>
      </c>
      <c r="F1117" s="2">
        <v>1</v>
      </c>
      <c r="G1117" s="2" t="str">
        <f t="shared" si="73"/>
        <v>a</v>
      </c>
      <c r="H1117" s="2">
        <v>2008</v>
      </c>
      <c r="I1117" s="2" t="s">
        <v>1620</v>
      </c>
      <c r="J1117" s="2" t="s">
        <v>1621</v>
      </c>
      <c r="K1117" s="8" t="s">
        <v>1622</v>
      </c>
      <c r="L1117"/>
      <c r="M1117" s="2" t="s">
        <v>1623</v>
      </c>
      <c r="P1117" s="2" t="s">
        <v>1127</v>
      </c>
      <c r="Q1117" t="s">
        <v>1127</v>
      </c>
    </row>
    <row r="1118" spans="1:17" ht="18" customHeight="1" x14ac:dyDescent="0.2">
      <c r="A1118" s="60" t="s">
        <v>777</v>
      </c>
      <c r="B1118" s="60" t="str">
        <f t="shared" si="72"/>
        <v>avars_2009</v>
      </c>
      <c r="C1118" s="60" t="s">
        <v>4182</v>
      </c>
      <c r="D1118" s="60" t="s">
        <v>1410</v>
      </c>
      <c r="E1118" s="60" t="s">
        <v>1410</v>
      </c>
      <c r="F1118" s="2">
        <v>2</v>
      </c>
      <c r="G1118" s="2" t="str">
        <f t="shared" si="73"/>
        <v>b</v>
      </c>
      <c r="H1118" s="2">
        <v>2009</v>
      </c>
      <c r="I1118" s="2" t="s">
        <v>1620</v>
      </c>
      <c r="J1118" s="2" t="s">
        <v>1621</v>
      </c>
      <c r="K1118" s="8" t="s">
        <v>1622</v>
      </c>
      <c r="L1118"/>
      <c r="M1118" s="2" t="s">
        <v>1623</v>
      </c>
      <c r="P1118" s="2" t="s">
        <v>1127</v>
      </c>
      <c r="Q1118" t="s">
        <v>1127</v>
      </c>
    </row>
    <row r="1119" spans="1:17" ht="18" customHeight="1" x14ac:dyDescent="0.2">
      <c r="A1119" s="60" t="s">
        <v>777</v>
      </c>
      <c r="B1119" s="60" t="str">
        <f t="shared" si="72"/>
        <v>avars_2010</v>
      </c>
      <c r="C1119" s="60" t="s">
        <v>4182</v>
      </c>
      <c r="D1119" s="60" t="s">
        <v>1410</v>
      </c>
      <c r="E1119" s="60" t="s">
        <v>1410</v>
      </c>
      <c r="F1119" s="2">
        <v>3</v>
      </c>
      <c r="G1119" s="2" t="str">
        <f t="shared" si="73"/>
        <v>c</v>
      </c>
      <c r="H1119" s="2">
        <v>2010</v>
      </c>
      <c r="I1119" s="2" t="s">
        <v>1620</v>
      </c>
      <c r="J1119" s="2" t="s">
        <v>1621</v>
      </c>
      <c r="K1119" s="8" t="s">
        <v>1622</v>
      </c>
      <c r="L1119"/>
      <c r="M1119" s="2" t="s">
        <v>1623</v>
      </c>
      <c r="P1119" s="2" t="s">
        <v>1127</v>
      </c>
      <c r="Q1119" t="s">
        <v>1127</v>
      </c>
    </row>
    <row r="1120" spans="1:17" ht="18" customHeight="1" x14ac:dyDescent="0.2">
      <c r="A1120" s="60" t="s">
        <v>777</v>
      </c>
      <c r="B1120" s="60" t="str">
        <f t="shared" si="72"/>
        <v>avars_2011</v>
      </c>
      <c r="C1120" s="60" t="s">
        <v>4182</v>
      </c>
      <c r="D1120" s="60" t="s">
        <v>1410</v>
      </c>
      <c r="E1120" s="60" t="s">
        <v>1410</v>
      </c>
      <c r="F1120" s="2">
        <v>4</v>
      </c>
      <c r="G1120" s="2" t="str">
        <f t="shared" si="73"/>
        <v>d</v>
      </c>
      <c r="H1120" s="2">
        <v>2011</v>
      </c>
      <c r="I1120" s="2" t="s">
        <v>1620</v>
      </c>
      <c r="J1120" s="2" t="s">
        <v>1621</v>
      </c>
      <c r="K1120" s="8" t="s">
        <v>1622</v>
      </c>
      <c r="L1120"/>
      <c r="M1120" s="2" t="s">
        <v>1623</v>
      </c>
      <c r="P1120" s="2" t="s">
        <v>1127</v>
      </c>
      <c r="Q1120" t="s">
        <v>1127</v>
      </c>
    </row>
    <row r="1121" spans="1:17" ht="18" customHeight="1" x14ac:dyDescent="0.2">
      <c r="A1121" s="60" t="s">
        <v>777</v>
      </c>
      <c r="B1121" s="60" t="str">
        <f t="shared" si="72"/>
        <v>avars_2012</v>
      </c>
      <c r="C1121" s="60" t="s">
        <v>4182</v>
      </c>
      <c r="D1121" s="60" t="s">
        <v>1410</v>
      </c>
      <c r="E1121" s="60" t="s">
        <v>1410</v>
      </c>
      <c r="F1121" s="2">
        <v>5</v>
      </c>
      <c r="G1121" s="2" t="str">
        <f t="shared" si="73"/>
        <v>e</v>
      </c>
      <c r="H1121" s="2">
        <v>2012</v>
      </c>
      <c r="I1121" s="2" t="s">
        <v>1620</v>
      </c>
      <c r="J1121" s="2" t="s">
        <v>1621</v>
      </c>
      <c r="K1121" s="8" t="s">
        <v>1622</v>
      </c>
      <c r="L1121"/>
      <c r="M1121" s="2" t="s">
        <v>1623</v>
      </c>
      <c r="P1121" s="2" t="s">
        <v>1127</v>
      </c>
      <c r="Q1121" t="s">
        <v>1127</v>
      </c>
    </row>
    <row r="1122" spans="1:17" ht="18" customHeight="1" x14ac:dyDescent="0.2">
      <c r="A1122" s="60" t="s">
        <v>777</v>
      </c>
      <c r="B1122" s="60" t="str">
        <f t="shared" si="72"/>
        <v>avars_2013</v>
      </c>
      <c r="C1122" s="60" t="s">
        <v>4182</v>
      </c>
      <c r="D1122" s="60" t="s">
        <v>1410</v>
      </c>
      <c r="E1122" s="60" t="s">
        <v>1410</v>
      </c>
      <c r="F1122" s="2">
        <v>6</v>
      </c>
      <c r="G1122" s="2" t="str">
        <f t="shared" si="73"/>
        <v>f</v>
      </c>
      <c r="H1122" s="2">
        <v>2013</v>
      </c>
      <c r="I1122" s="2" t="s">
        <v>1620</v>
      </c>
      <c r="J1122" s="2" t="s">
        <v>1621</v>
      </c>
      <c r="K1122" s="8" t="s">
        <v>1622</v>
      </c>
      <c r="L1122"/>
      <c r="M1122" s="2" t="s">
        <v>1623</v>
      </c>
      <c r="P1122" s="2" t="s">
        <v>1127</v>
      </c>
      <c r="Q1122" t="s">
        <v>1127</v>
      </c>
    </row>
    <row r="1123" spans="1:17" ht="18" customHeight="1" x14ac:dyDescent="0.2">
      <c r="A1123" s="60" t="s">
        <v>777</v>
      </c>
      <c r="B1123" s="60" t="str">
        <f t="shared" si="72"/>
        <v>avars_2014</v>
      </c>
      <c r="C1123" s="60" t="s">
        <v>4182</v>
      </c>
      <c r="D1123" s="60" t="s">
        <v>1410</v>
      </c>
      <c r="E1123" s="60" t="s">
        <v>1410</v>
      </c>
      <c r="F1123" s="2">
        <v>7</v>
      </c>
      <c r="G1123" s="2" t="str">
        <f t="shared" si="73"/>
        <v>g</v>
      </c>
      <c r="H1123" s="2">
        <v>2014</v>
      </c>
      <c r="I1123" s="2" t="s">
        <v>1620</v>
      </c>
      <c r="J1123" s="2" t="s">
        <v>1621</v>
      </c>
      <c r="K1123" s="8" t="s">
        <v>1622</v>
      </c>
      <c r="L1123"/>
      <c r="M1123" s="2" t="s">
        <v>1623</v>
      </c>
      <c r="P1123" s="2" t="s">
        <v>1127</v>
      </c>
      <c r="Q1123" t="s">
        <v>1127</v>
      </c>
    </row>
    <row r="1124" spans="1:17" ht="18" customHeight="1" x14ac:dyDescent="0.2">
      <c r="A1124" s="60" t="s">
        <v>777</v>
      </c>
      <c r="B1124" s="60" t="str">
        <f t="shared" si="72"/>
        <v>avars_2015</v>
      </c>
      <c r="C1124" s="60" t="s">
        <v>4182</v>
      </c>
      <c r="D1124" s="60" t="s">
        <v>1410</v>
      </c>
      <c r="E1124" s="60" t="s">
        <v>1410</v>
      </c>
      <c r="F1124" s="2">
        <v>8</v>
      </c>
      <c r="G1124" s="2" t="str">
        <f t="shared" si="73"/>
        <v>h</v>
      </c>
      <c r="H1124" s="2">
        <v>2015</v>
      </c>
      <c r="I1124" s="2" t="s">
        <v>1620</v>
      </c>
      <c r="J1124" s="2" t="s">
        <v>1621</v>
      </c>
      <c r="K1124" s="8" t="s">
        <v>1622</v>
      </c>
      <c r="L1124"/>
      <c r="M1124" s="2" t="s">
        <v>1623</v>
      </c>
      <c r="P1124" s="2" t="s">
        <v>1127</v>
      </c>
      <c r="Q1124" t="s">
        <v>1127</v>
      </c>
    </row>
    <row r="1125" spans="1:17" ht="18" customHeight="1" x14ac:dyDescent="0.2">
      <c r="A1125" s="60" t="s">
        <v>777</v>
      </c>
      <c r="B1125" s="60" t="str">
        <f t="shared" si="72"/>
        <v>avars_2016</v>
      </c>
      <c r="C1125" s="60" t="s">
        <v>4182</v>
      </c>
      <c r="D1125" s="60" t="s">
        <v>1410</v>
      </c>
      <c r="E1125" s="60" t="s">
        <v>1410</v>
      </c>
      <c r="F1125" s="2">
        <v>9</v>
      </c>
      <c r="G1125" s="2" t="str">
        <f t="shared" si="73"/>
        <v>i</v>
      </c>
      <c r="H1125" s="2">
        <v>2016</v>
      </c>
      <c r="I1125" s="2" t="s">
        <v>1620</v>
      </c>
      <c r="J1125" s="2" t="s">
        <v>1621</v>
      </c>
      <c r="K1125" s="8" t="s">
        <v>1622</v>
      </c>
      <c r="L1125"/>
      <c r="M1125" s="2" t="s">
        <v>1623</v>
      </c>
      <c r="P1125" s="2" t="s">
        <v>1127</v>
      </c>
      <c r="Q1125" t="s">
        <v>1127</v>
      </c>
    </row>
    <row r="1126" spans="1:17" ht="18" customHeight="1" x14ac:dyDescent="0.2">
      <c r="A1126" s="60" t="s">
        <v>777</v>
      </c>
      <c r="B1126" s="60" t="str">
        <f t="shared" si="72"/>
        <v>avars_2017</v>
      </c>
      <c r="C1126" s="60" t="s">
        <v>4182</v>
      </c>
      <c r="D1126" s="60" t="s">
        <v>1410</v>
      </c>
      <c r="E1126" s="60" t="s">
        <v>1410</v>
      </c>
      <c r="F1126" s="2">
        <v>10</v>
      </c>
      <c r="G1126" s="2" t="str">
        <f t="shared" si="73"/>
        <v>j</v>
      </c>
      <c r="H1126" s="2">
        <v>2017</v>
      </c>
      <c r="I1126" s="2" t="s">
        <v>1620</v>
      </c>
      <c r="J1126" s="2" t="s">
        <v>1621</v>
      </c>
      <c r="K1126" s="8" t="s">
        <v>1622</v>
      </c>
      <c r="L1126"/>
      <c r="M1126" s="2" t="s">
        <v>1623</v>
      </c>
      <c r="P1126" s="2" t="s">
        <v>1127</v>
      </c>
      <c r="Q1126" t="s">
        <v>1127</v>
      </c>
    </row>
    <row r="1127" spans="1:17" ht="18" customHeight="1" x14ac:dyDescent="0.2">
      <c r="A1127" s="60" t="s">
        <v>777</v>
      </c>
      <c r="B1127" s="60" t="str">
        <f t="shared" si="72"/>
        <v>avars_2018</v>
      </c>
      <c r="C1127" s="60" t="s">
        <v>4182</v>
      </c>
      <c r="D1127" s="60" t="s">
        <v>1410</v>
      </c>
      <c r="E1127" s="60" t="s">
        <v>1410</v>
      </c>
      <c r="F1127" s="2">
        <v>11</v>
      </c>
      <c r="G1127" s="2" t="str">
        <f t="shared" si="73"/>
        <v>k</v>
      </c>
      <c r="H1127" s="2">
        <v>2018</v>
      </c>
      <c r="I1127" s="2" t="s">
        <v>1620</v>
      </c>
      <c r="J1127" s="2" t="s">
        <v>1621</v>
      </c>
      <c r="K1127" s="8" t="s">
        <v>1622</v>
      </c>
      <c r="L1127"/>
      <c r="M1127" s="2" t="s">
        <v>1623</v>
      </c>
      <c r="P1127" s="2" t="s">
        <v>1127</v>
      </c>
      <c r="Q1127" t="s">
        <v>1127</v>
      </c>
    </row>
    <row r="1128" spans="1:17" ht="18" customHeight="1" x14ac:dyDescent="0.2">
      <c r="A1128" s="60" t="s">
        <v>777</v>
      </c>
      <c r="B1128" s="60" t="str">
        <f t="shared" si="72"/>
        <v>avars_2008</v>
      </c>
      <c r="C1128" s="60" t="s">
        <v>4182</v>
      </c>
      <c r="D1128" s="60" t="s">
        <v>1410</v>
      </c>
      <c r="E1128" s="60" t="s">
        <v>1410</v>
      </c>
      <c r="F1128" s="2">
        <v>1</v>
      </c>
      <c r="G1128" s="2" t="str">
        <f t="shared" si="73"/>
        <v>a</v>
      </c>
      <c r="H1128" s="2">
        <v>2008</v>
      </c>
      <c r="I1128" s="2" t="s">
        <v>1620</v>
      </c>
      <c r="J1128" s="2" t="s">
        <v>1621</v>
      </c>
      <c r="K1128" s="8" t="s">
        <v>1622</v>
      </c>
      <c r="L1128"/>
      <c r="M1128" s="2" t="s">
        <v>1623</v>
      </c>
      <c r="P1128" s="2" t="s">
        <v>1127</v>
      </c>
      <c r="Q1128" t="s">
        <v>1127</v>
      </c>
    </row>
    <row r="1129" spans="1:17" ht="18" customHeight="1" x14ac:dyDescent="0.2">
      <c r="A1129" s="60" t="s">
        <v>777</v>
      </c>
      <c r="B1129" s="60" t="str">
        <f t="shared" si="72"/>
        <v>avars_2009</v>
      </c>
      <c r="C1129" s="60" t="s">
        <v>4182</v>
      </c>
      <c r="D1129" s="60" t="s">
        <v>1410</v>
      </c>
      <c r="E1129" s="60" t="s">
        <v>1410</v>
      </c>
      <c r="F1129" s="2">
        <v>2</v>
      </c>
      <c r="G1129" s="2" t="str">
        <f t="shared" si="73"/>
        <v>b</v>
      </c>
      <c r="H1129" s="2">
        <v>2009</v>
      </c>
      <c r="I1129" s="2" t="s">
        <v>1620</v>
      </c>
      <c r="J1129" s="2" t="s">
        <v>1621</v>
      </c>
      <c r="K1129" s="8" t="s">
        <v>1622</v>
      </c>
      <c r="L1129"/>
      <c r="M1129" s="2" t="s">
        <v>1623</v>
      </c>
      <c r="P1129" s="2" t="s">
        <v>1127</v>
      </c>
      <c r="Q1129" t="s">
        <v>1127</v>
      </c>
    </row>
    <row r="1130" spans="1:17" ht="18" customHeight="1" x14ac:dyDescent="0.2">
      <c r="A1130" s="60" t="s">
        <v>777</v>
      </c>
      <c r="B1130" s="60" t="str">
        <f t="shared" si="72"/>
        <v>avars_2010</v>
      </c>
      <c r="C1130" s="60" t="s">
        <v>4182</v>
      </c>
      <c r="D1130" s="60" t="s">
        <v>1410</v>
      </c>
      <c r="E1130" s="60" t="s">
        <v>1410</v>
      </c>
      <c r="F1130" s="2">
        <v>3</v>
      </c>
      <c r="G1130" s="2" t="str">
        <f t="shared" si="73"/>
        <v>c</v>
      </c>
      <c r="H1130" s="2">
        <v>2010</v>
      </c>
      <c r="I1130" s="2" t="s">
        <v>1620</v>
      </c>
      <c r="J1130" s="2" t="s">
        <v>1621</v>
      </c>
      <c r="K1130" s="8" t="s">
        <v>1622</v>
      </c>
      <c r="L1130"/>
      <c r="M1130" s="2" t="s">
        <v>1623</v>
      </c>
      <c r="P1130" s="2" t="s">
        <v>1127</v>
      </c>
      <c r="Q1130" t="s">
        <v>1127</v>
      </c>
    </row>
    <row r="1131" spans="1:17" ht="18" customHeight="1" x14ac:dyDescent="0.2">
      <c r="A1131" s="60" t="s">
        <v>777</v>
      </c>
      <c r="B1131" s="60" t="str">
        <f t="shared" si="72"/>
        <v>avars_2011</v>
      </c>
      <c r="C1131" s="60" t="s">
        <v>4182</v>
      </c>
      <c r="D1131" s="60" t="s">
        <v>1410</v>
      </c>
      <c r="E1131" s="60" t="s">
        <v>1410</v>
      </c>
      <c r="F1131" s="2">
        <v>4</v>
      </c>
      <c r="G1131" s="2" t="str">
        <f t="shared" si="73"/>
        <v>d</v>
      </c>
      <c r="H1131" s="2">
        <v>2011</v>
      </c>
      <c r="I1131" s="2" t="s">
        <v>1620</v>
      </c>
      <c r="J1131" s="2" t="s">
        <v>1621</v>
      </c>
      <c r="K1131" s="8" t="s">
        <v>1622</v>
      </c>
      <c r="L1131"/>
      <c r="M1131" s="2" t="s">
        <v>1623</v>
      </c>
      <c r="P1131" s="2" t="s">
        <v>1127</v>
      </c>
      <c r="Q1131" t="s">
        <v>1127</v>
      </c>
    </row>
    <row r="1132" spans="1:17" ht="18" customHeight="1" x14ac:dyDescent="0.2">
      <c r="A1132" s="60" t="s">
        <v>777</v>
      </c>
      <c r="B1132" s="60" t="str">
        <f t="shared" si="72"/>
        <v>avars_2012</v>
      </c>
      <c r="C1132" s="60" t="s">
        <v>4182</v>
      </c>
      <c r="D1132" s="60" t="s">
        <v>1410</v>
      </c>
      <c r="E1132" s="60" t="s">
        <v>1410</v>
      </c>
      <c r="F1132" s="2">
        <v>5</v>
      </c>
      <c r="G1132" s="2" t="str">
        <f t="shared" si="73"/>
        <v>e</v>
      </c>
      <c r="H1132" s="2">
        <v>2012</v>
      </c>
      <c r="I1132" s="2" t="s">
        <v>1620</v>
      </c>
      <c r="J1132" s="2" t="s">
        <v>1621</v>
      </c>
      <c r="K1132" s="8" t="s">
        <v>1622</v>
      </c>
      <c r="L1132"/>
      <c r="M1132" s="2" t="s">
        <v>1623</v>
      </c>
      <c r="P1132" s="2" t="s">
        <v>1127</v>
      </c>
      <c r="Q1132" t="s">
        <v>1127</v>
      </c>
    </row>
    <row r="1133" spans="1:17" ht="18" customHeight="1" x14ac:dyDescent="0.2">
      <c r="A1133" s="60" t="s">
        <v>777</v>
      </c>
      <c r="B1133" s="60" t="str">
        <f t="shared" si="72"/>
        <v>avars_2013</v>
      </c>
      <c r="C1133" s="60" t="s">
        <v>4182</v>
      </c>
      <c r="D1133" s="60" t="s">
        <v>1410</v>
      </c>
      <c r="E1133" s="60" t="s">
        <v>1410</v>
      </c>
      <c r="F1133" s="2">
        <v>6</v>
      </c>
      <c r="G1133" s="2" t="str">
        <f t="shared" si="73"/>
        <v>f</v>
      </c>
      <c r="H1133" s="2">
        <v>2013</v>
      </c>
      <c r="I1133" s="2" t="s">
        <v>1620</v>
      </c>
      <c r="J1133" s="2" t="s">
        <v>1621</v>
      </c>
      <c r="K1133" s="8" t="s">
        <v>1622</v>
      </c>
      <c r="L1133"/>
      <c r="M1133" s="2" t="s">
        <v>1623</v>
      </c>
      <c r="P1133" s="2" t="s">
        <v>1127</v>
      </c>
      <c r="Q1133" t="s">
        <v>1127</v>
      </c>
    </row>
    <row r="1134" spans="1:17" ht="18" customHeight="1" x14ac:dyDescent="0.2">
      <c r="A1134" s="60" t="s">
        <v>777</v>
      </c>
      <c r="B1134" s="60" t="str">
        <f t="shared" si="72"/>
        <v>avars_2014</v>
      </c>
      <c r="C1134" s="60" t="s">
        <v>4182</v>
      </c>
      <c r="D1134" s="60" t="s">
        <v>1410</v>
      </c>
      <c r="E1134" s="60" t="s">
        <v>1410</v>
      </c>
      <c r="F1134" s="2">
        <v>7</v>
      </c>
      <c r="G1134" s="2" t="str">
        <f t="shared" si="73"/>
        <v>g</v>
      </c>
      <c r="H1134" s="2">
        <v>2014</v>
      </c>
      <c r="I1134" s="2" t="s">
        <v>1620</v>
      </c>
      <c r="J1134" s="2" t="s">
        <v>1621</v>
      </c>
      <c r="K1134" s="8" t="s">
        <v>1622</v>
      </c>
      <c r="L1134"/>
      <c r="M1134" s="2" t="s">
        <v>1623</v>
      </c>
      <c r="P1134" s="2" t="s">
        <v>1127</v>
      </c>
      <c r="Q1134" t="s">
        <v>1127</v>
      </c>
    </row>
    <row r="1135" spans="1:17" ht="18" customHeight="1" x14ac:dyDescent="0.2">
      <c r="A1135" s="60" t="s">
        <v>777</v>
      </c>
      <c r="B1135" s="60" t="str">
        <f t="shared" si="72"/>
        <v>avars_2015</v>
      </c>
      <c r="C1135" s="60" t="s">
        <v>4182</v>
      </c>
      <c r="D1135" s="60" t="s">
        <v>1410</v>
      </c>
      <c r="E1135" s="60" t="s">
        <v>1410</v>
      </c>
      <c r="F1135" s="2">
        <v>8</v>
      </c>
      <c r="G1135" s="2" t="str">
        <f t="shared" si="73"/>
        <v>h</v>
      </c>
      <c r="H1135" s="2">
        <v>2015</v>
      </c>
      <c r="I1135" s="2" t="s">
        <v>1620</v>
      </c>
      <c r="J1135" s="2" t="s">
        <v>1621</v>
      </c>
      <c r="K1135" s="8" t="s">
        <v>1622</v>
      </c>
      <c r="L1135"/>
      <c r="M1135" s="2" t="s">
        <v>1623</v>
      </c>
      <c r="P1135" s="2" t="s">
        <v>1127</v>
      </c>
      <c r="Q1135" t="s">
        <v>1127</v>
      </c>
    </row>
    <row r="1136" spans="1:17" ht="18" customHeight="1" x14ac:dyDescent="0.2">
      <c r="A1136" s="60" t="s">
        <v>777</v>
      </c>
      <c r="B1136" s="60" t="str">
        <f t="shared" si="72"/>
        <v>avars_2016</v>
      </c>
      <c r="C1136" s="60" t="s">
        <v>4182</v>
      </c>
      <c r="D1136" s="60" t="s">
        <v>1410</v>
      </c>
      <c r="E1136" s="60" t="s">
        <v>1410</v>
      </c>
      <c r="F1136" s="2">
        <v>9</v>
      </c>
      <c r="G1136" s="2" t="str">
        <f t="shared" si="73"/>
        <v>i</v>
      </c>
      <c r="H1136" s="2">
        <v>2016</v>
      </c>
      <c r="I1136" s="2" t="s">
        <v>1620</v>
      </c>
      <c r="J1136" s="2" t="s">
        <v>1621</v>
      </c>
      <c r="K1136" s="8" t="s">
        <v>1622</v>
      </c>
      <c r="L1136"/>
      <c r="M1136" s="2" t="s">
        <v>1623</v>
      </c>
      <c r="P1136" s="2" t="s">
        <v>1127</v>
      </c>
      <c r="Q1136" t="s">
        <v>1127</v>
      </c>
    </row>
    <row r="1137" spans="1:17" ht="18" customHeight="1" x14ac:dyDescent="0.2">
      <c r="A1137" s="60" t="s">
        <v>777</v>
      </c>
      <c r="B1137" s="60" t="str">
        <f t="shared" ref="B1137:B1200" si="74">"avars_" &amp;  H1137</f>
        <v>avars_2017</v>
      </c>
      <c r="C1137" s="60" t="s">
        <v>4182</v>
      </c>
      <c r="D1137" s="60" t="s">
        <v>1410</v>
      </c>
      <c r="E1137" s="60" t="s">
        <v>1410</v>
      </c>
      <c r="F1137" s="2">
        <v>10</v>
      </c>
      <c r="G1137" s="2" t="str">
        <f t="shared" ref="G1137:G1200" si="75">MID("abcdefghijklmnopqrstuvwxyz",F1137,1)</f>
        <v>j</v>
      </c>
      <c r="H1137" s="2">
        <v>2017</v>
      </c>
      <c r="I1137" s="2" t="s">
        <v>1620</v>
      </c>
      <c r="J1137" s="2" t="s">
        <v>1621</v>
      </c>
      <c r="K1137" s="8" t="s">
        <v>1622</v>
      </c>
      <c r="L1137"/>
      <c r="M1137" s="2" t="s">
        <v>1623</v>
      </c>
      <c r="P1137" s="2" t="s">
        <v>1127</v>
      </c>
      <c r="Q1137" t="s">
        <v>1127</v>
      </c>
    </row>
    <row r="1138" spans="1:17" ht="18" customHeight="1" x14ac:dyDescent="0.2">
      <c r="A1138" s="60" t="s">
        <v>777</v>
      </c>
      <c r="B1138" s="60" t="str">
        <f t="shared" si="74"/>
        <v>avars_2018</v>
      </c>
      <c r="C1138" s="60" t="s">
        <v>4182</v>
      </c>
      <c r="D1138" s="60" t="s">
        <v>1410</v>
      </c>
      <c r="E1138" s="60" t="s">
        <v>1410</v>
      </c>
      <c r="F1138" s="2">
        <v>11</v>
      </c>
      <c r="G1138" s="2" t="str">
        <f t="shared" si="75"/>
        <v>k</v>
      </c>
      <c r="H1138" s="2">
        <v>2018</v>
      </c>
      <c r="I1138" s="2" t="s">
        <v>1620</v>
      </c>
      <c r="J1138" s="2" t="s">
        <v>1621</v>
      </c>
      <c r="K1138" s="8" t="s">
        <v>1622</v>
      </c>
      <c r="L1138"/>
      <c r="M1138" s="2" t="s">
        <v>1623</v>
      </c>
      <c r="P1138" s="2" t="s">
        <v>1127</v>
      </c>
      <c r="Q1138" t="s">
        <v>1127</v>
      </c>
    </row>
    <row r="1139" spans="1:17" ht="18" customHeight="1" x14ac:dyDescent="0.2">
      <c r="A1139" s="60" t="s">
        <v>777</v>
      </c>
      <c r="B1139" s="60" t="str">
        <f t="shared" si="74"/>
        <v>avars_2008</v>
      </c>
      <c r="C1139" s="60" t="s">
        <v>4182</v>
      </c>
      <c r="D1139" s="60" t="s">
        <v>1410</v>
      </c>
      <c r="E1139" s="60" t="s">
        <v>1410</v>
      </c>
      <c r="F1139" s="2">
        <v>1</v>
      </c>
      <c r="G1139" s="2" t="str">
        <f t="shared" si="75"/>
        <v>a</v>
      </c>
      <c r="H1139" s="2">
        <v>2008</v>
      </c>
      <c r="I1139" s="2" t="s">
        <v>1620</v>
      </c>
      <c r="J1139" s="2" t="s">
        <v>1621</v>
      </c>
      <c r="K1139" s="8" t="s">
        <v>1622</v>
      </c>
      <c r="L1139"/>
      <c r="M1139" s="2" t="s">
        <v>1623</v>
      </c>
      <c r="P1139" s="2" t="s">
        <v>1127</v>
      </c>
      <c r="Q1139" t="s">
        <v>1127</v>
      </c>
    </row>
    <row r="1140" spans="1:17" ht="18" customHeight="1" x14ac:dyDescent="0.2">
      <c r="A1140" s="60" t="s">
        <v>777</v>
      </c>
      <c r="B1140" s="60" t="str">
        <f t="shared" si="74"/>
        <v>avars_2009</v>
      </c>
      <c r="C1140" s="60" t="s">
        <v>4182</v>
      </c>
      <c r="D1140" s="60" t="s">
        <v>1410</v>
      </c>
      <c r="E1140" s="60" t="s">
        <v>1410</v>
      </c>
      <c r="F1140" s="2">
        <v>2</v>
      </c>
      <c r="G1140" s="2" t="str">
        <f t="shared" si="75"/>
        <v>b</v>
      </c>
      <c r="H1140" s="2">
        <v>2009</v>
      </c>
      <c r="I1140" s="2" t="s">
        <v>1620</v>
      </c>
      <c r="J1140" s="2" t="s">
        <v>1621</v>
      </c>
      <c r="K1140" s="8" t="s">
        <v>1622</v>
      </c>
      <c r="L1140"/>
      <c r="M1140" s="2" t="s">
        <v>1623</v>
      </c>
      <c r="P1140" s="2" t="s">
        <v>1127</v>
      </c>
      <c r="Q1140" t="s">
        <v>1127</v>
      </c>
    </row>
    <row r="1141" spans="1:17" ht="18" customHeight="1" x14ac:dyDescent="0.2">
      <c r="A1141" s="60" t="s">
        <v>777</v>
      </c>
      <c r="B1141" s="60" t="str">
        <f t="shared" si="74"/>
        <v>avars_2010</v>
      </c>
      <c r="C1141" s="60" t="s">
        <v>4182</v>
      </c>
      <c r="D1141" s="60" t="s">
        <v>1410</v>
      </c>
      <c r="E1141" s="60" t="s">
        <v>1410</v>
      </c>
      <c r="F1141" s="2">
        <v>3</v>
      </c>
      <c r="G1141" s="2" t="str">
        <f t="shared" si="75"/>
        <v>c</v>
      </c>
      <c r="H1141" s="2">
        <v>2010</v>
      </c>
      <c r="I1141" s="2" t="s">
        <v>1620</v>
      </c>
      <c r="J1141" s="2" t="s">
        <v>1621</v>
      </c>
      <c r="K1141" s="8" t="s">
        <v>1622</v>
      </c>
      <c r="L1141"/>
      <c r="M1141" s="2" t="s">
        <v>1623</v>
      </c>
      <c r="P1141" s="2" t="s">
        <v>1127</v>
      </c>
      <c r="Q1141" t="s">
        <v>1127</v>
      </c>
    </row>
    <row r="1142" spans="1:17" ht="18" customHeight="1" x14ac:dyDescent="0.2">
      <c r="A1142" s="60" t="s">
        <v>777</v>
      </c>
      <c r="B1142" s="60" t="str">
        <f t="shared" si="74"/>
        <v>avars_2011</v>
      </c>
      <c r="C1142" s="60" t="s">
        <v>4182</v>
      </c>
      <c r="D1142" s="60" t="s">
        <v>1410</v>
      </c>
      <c r="E1142" s="60" t="s">
        <v>1410</v>
      </c>
      <c r="F1142" s="2">
        <v>4</v>
      </c>
      <c r="G1142" s="2" t="str">
        <f t="shared" si="75"/>
        <v>d</v>
      </c>
      <c r="H1142" s="2">
        <v>2011</v>
      </c>
      <c r="I1142" s="2" t="s">
        <v>1620</v>
      </c>
      <c r="J1142" s="2" t="s">
        <v>1621</v>
      </c>
      <c r="K1142" s="8" t="s">
        <v>1622</v>
      </c>
      <c r="L1142"/>
      <c r="M1142" s="2" t="s">
        <v>1623</v>
      </c>
      <c r="P1142" s="2" t="s">
        <v>1127</v>
      </c>
      <c r="Q1142" t="s">
        <v>1127</v>
      </c>
    </row>
    <row r="1143" spans="1:17" ht="18" customHeight="1" x14ac:dyDescent="0.2">
      <c r="A1143" s="60" t="s">
        <v>777</v>
      </c>
      <c r="B1143" s="60" t="str">
        <f t="shared" si="74"/>
        <v>avars_2012</v>
      </c>
      <c r="C1143" s="60" t="s">
        <v>4182</v>
      </c>
      <c r="D1143" s="60" t="s">
        <v>1410</v>
      </c>
      <c r="E1143" s="60" t="s">
        <v>1410</v>
      </c>
      <c r="F1143" s="2">
        <v>5</v>
      </c>
      <c r="G1143" s="2" t="str">
        <f t="shared" si="75"/>
        <v>e</v>
      </c>
      <c r="H1143" s="2">
        <v>2012</v>
      </c>
      <c r="I1143" s="2" t="s">
        <v>1620</v>
      </c>
      <c r="J1143" s="2" t="s">
        <v>1621</v>
      </c>
      <c r="K1143" s="8" t="s">
        <v>1622</v>
      </c>
      <c r="L1143"/>
      <c r="M1143" s="2" t="s">
        <v>1623</v>
      </c>
      <c r="P1143" s="2" t="s">
        <v>1127</v>
      </c>
      <c r="Q1143" t="s">
        <v>1127</v>
      </c>
    </row>
    <row r="1144" spans="1:17" ht="18" customHeight="1" x14ac:dyDescent="0.2">
      <c r="A1144" s="60" t="s">
        <v>777</v>
      </c>
      <c r="B1144" s="60" t="str">
        <f t="shared" si="74"/>
        <v>avars_2013</v>
      </c>
      <c r="C1144" s="60" t="s">
        <v>4182</v>
      </c>
      <c r="D1144" s="60" t="s">
        <v>1410</v>
      </c>
      <c r="E1144" s="60" t="s">
        <v>1410</v>
      </c>
      <c r="F1144" s="2">
        <v>6</v>
      </c>
      <c r="G1144" s="2" t="str">
        <f t="shared" si="75"/>
        <v>f</v>
      </c>
      <c r="H1144" s="2">
        <v>2013</v>
      </c>
      <c r="I1144" s="2" t="s">
        <v>1620</v>
      </c>
      <c r="J1144" s="2" t="s">
        <v>1621</v>
      </c>
      <c r="K1144" s="8" t="s">
        <v>1622</v>
      </c>
      <c r="L1144"/>
      <c r="M1144" s="2" t="s">
        <v>1623</v>
      </c>
      <c r="P1144" s="2" t="s">
        <v>1127</v>
      </c>
      <c r="Q1144" t="s">
        <v>1127</v>
      </c>
    </row>
    <row r="1145" spans="1:17" ht="18" customHeight="1" x14ac:dyDescent="0.2">
      <c r="A1145" s="60" t="s">
        <v>777</v>
      </c>
      <c r="B1145" s="60" t="str">
        <f t="shared" si="74"/>
        <v>avars_2014</v>
      </c>
      <c r="C1145" s="60" t="s">
        <v>4182</v>
      </c>
      <c r="D1145" s="60" t="s">
        <v>1410</v>
      </c>
      <c r="E1145" s="60" t="s">
        <v>1410</v>
      </c>
      <c r="F1145" s="2">
        <v>7</v>
      </c>
      <c r="G1145" s="2" t="str">
        <f t="shared" si="75"/>
        <v>g</v>
      </c>
      <c r="H1145" s="2">
        <v>2014</v>
      </c>
      <c r="I1145" s="2" t="s">
        <v>1620</v>
      </c>
      <c r="J1145" s="2" t="s">
        <v>1621</v>
      </c>
      <c r="K1145" s="8" t="s">
        <v>1622</v>
      </c>
      <c r="L1145"/>
      <c r="M1145" s="2" t="s">
        <v>1623</v>
      </c>
      <c r="P1145" s="2" t="s">
        <v>1127</v>
      </c>
      <c r="Q1145" t="s">
        <v>1127</v>
      </c>
    </row>
    <row r="1146" spans="1:17" ht="18" customHeight="1" x14ac:dyDescent="0.2">
      <c r="A1146" s="60" t="s">
        <v>777</v>
      </c>
      <c r="B1146" s="60" t="str">
        <f t="shared" si="74"/>
        <v>avars_2015</v>
      </c>
      <c r="C1146" s="60" t="s">
        <v>4182</v>
      </c>
      <c r="D1146" s="60" t="s">
        <v>1410</v>
      </c>
      <c r="E1146" s="60" t="s">
        <v>1410</v>
      </c>
      <c r="F1146" s="2">
        <v>8</v>
      </c>
      <c r="G1146" s="2" t="str">
        <f t="shared" si="75"/>
        <v>h</v>
      </c>
      <c r="H1146" s="2">
        <v>2015</v>
      </c>
      <c r="I1146" s="2" t="s">
        <v>1620</v>
      </c>
      <c r="J1146" s="2" t="s">
        <v>1621</v>
      </c>
      <c r="K1146" s="8" t="s">
        <v>1622</v>
      </c>
      <c r="L1146"/>
      <c r="M1146" s="2" t="s">
        <v>1623</v>
      </c>
      <c r="P1146" s="2" t="s">
        <v>1127</v>
      </c>
      <c r="Q1146" t="s">
        <v>1127</v>
      </c>
    </row>
    <row r="1147" spans="1:17" ht="18" customHeight="1" x14ac:dyDescent="0.2">
      <c r="A1147" s="60" t="s">
        <v>777</v>
      </c>
      <c r="B1147" s="60" t="str">
        <f t="shared" si="74"/>
        <v>avars_2016</v>
      </c>
      <c r="C1147" s="60" t="s">
        <v>4182</v>
      </c>
      <c r="D1147" s="60" t="s">
        <v>1410</v>
      </c>
      <c r="E1147" s="60" t="s">
        <v>1410</v>
      </c>
      <c r="F1147" s="2">
        <v>9</v>
      </c>
      <c r="G1147" s="2" t="str">
        <f t="shared" si="75"/>
        <v>i</v>
      </c>
      <c r="H1147" s="2">
        <v>2016</v>
      </c>
      <c r="I1147" s="2" t="s">
        <v>1620</v>
      </c>
      <c r="J1147" s="2" t="s">
        <v>1621</v>
      </c>
      <c r="K1147" s="8" t="s">
        <v>1622</v>
      </c>
      <c r="L1147"/>
      <c r="M1147" s="2" t="s">
        <v>1623</v>
      </c>
      <c r="P1147" s="2" t="s">
        <v>1127</v>
      </c>
      <c r="Q1147" t="s">
        <v>1127</v>
      </c>
    </row>
    <row r="1148" spans="1:17" ht="18" customHeight="1" x14ac:dyDescent="0.2">
      <c r="A1148" s="60" t="s">
        <v>777</v>
      </c>
      <c r="B1148" s="60" t="str">
        <f t="shared" si="74"/>
        <v>avars_2017</v>
      </c>
      <c r="C1148" s="60" t="s">
        <v>4182</v>
      </c>
      <c r="D1148" s="60" t="s">
        <v>1410</v>
      </c>
      <c r="E1148" s="60" t="s">
        <v>1410</v>
      </c>
      <c r="F1148" s="2">
        <v>10</v>
      </c>
      <c r="G1148" s="2" t="str">
        <f t="shared" si="75"/>
        <v>j</v>
      </c>
      <c r="H1148" s="2">
        <v>2017</v>
      </c>
      <c r="I1148" s="2" t="s">
        <v>1620</v>
      </c>
      <c r="J1148" s="2" t="s">
        <v>1621</v>
      </c>
      <c r="K1148" s="8" t="s">
        <v>1622</v>
      </c>
      <c r="L1148"/>
      <c r="M1148" s="2" t="s">
        <v>1623</v>
      </c>
      <c r="P1148" s="2" t="s">
        <v>1127</v>
      </c>
      <c r="Q1148" t="s">
        <v>1127</v>
      </c>
    </row>
    <row r="1149" spans="1:17" ht="18" customHeight="1" x14ac:dyDescent="0.2">
      <c r="A1149" s="60" t="s">
        <v>777</v>
      </c>
      <c r="B1149" s="60" t="str">
        <f t="shared" si="74"/>
        <v>avars_2018</v>
      </c>
      <c r="C1149" s="60" t="s">
        <v>4182</v>
      </c>
      <c r="D1149" s="60" t="s">
        <v>1410</v>
      </c>
      <c r="E1149" s="60" t="s">
        <v>1410</v>
      </c>
      <c r="F1149" s="2">
        <v>11</v>
      </c>
      <c r="G1149" s="2" t="str">
        <f t="shared" si="75"/>
        <v>k</v>
      </c>
      <c r="H1149" s="2">
        <v>2018</v>
      </c>
      <c r="I1149" s="2" t="s">
        <v>1620</v>
      </c>
      <c r="J1149" s="2" t="s">
        <v>1621</v>
      </c>
      <c r="K1149" s="8" t="s">
        <v>1622</v>
      </c>
      <c r="L1149"/>
      <c r="M1149" s="2" t="s">
        <v>1623</v>
      </c>
      <c r="P1149" s="2" t="s">
        <v>1127</v>
      </c>
      <c r="Q1149" t="s">
        <v>1127</v>
      </c>
    </row>
    <row r="1150" spans="1:17" ht="18" customHeight="1" x14ac:dyDescent="0.2">
      <c r="A1150" s="60" t="s">
        <v>777</v>
      </c>
      <c r="B1150" s="60" t="str">
        <f t="shared" si="74"/>
        <v>avars_2008</v>
      </c>
      <c r="C1150" s="60" t="s">
        <v>4182</v>
      </c>
      <c r="D1150" s="60" t="s">
        <v>1410</v>
      </c>
      <c r="E1150" s="60" t="s">
        <v>1410</v>
      </c>
      <c r="F1150" s="2">
        <v>1</v>
      </c>
      <c r="G1150" s="2" t="str">
        <f t="shared" si="75"/>
        <v>a</v>
      </c>
      <c r="H1150" s="2">
        <v>2008</v>
      </c>
      <c r="I1150" s="2" t="s">
        <v>1620</v>
      </c>
      <c r="J1150" s="2" t="s">
        <v>1621</v>
      </c>
      <c r="K1150" s="8" t="s">
        <v>1622</v>
      </c>
      <c r="L1150"/>
      <c r="M1150" s="2" t="s">
        <v>1623</v>
      </c>
      <c r="P1150" s="2" t="s">
        <v>1127</v>
      </c>
      <c r="Q1150" t="s">
        <v>1127</v>
      </c>
    </row>
    <row r="1151" spans="1:17" ht="18" customHeight="1" x14ac:dyDescent="0.2">
      <c r="A1151" s="60" t="s">
        <v>777</v>
      </c>
      <c r="B1151" s="60" t="str">
        <f t="shared" si="74"/>
        <v>avars_2009</v>
      </c>
      <c r="C1151" s="60" t="s">
        <v>4182</v>
      </c>
      <c r="D1151" s="60" t="s">
        <v>1410</v>
      </c>
      <c r="E1151" s="60" t="s">
        <v>1410</v>
      </c>
      <c r="F1151" s="2">
        <v>2</v>
      </c>
      <c r="G1151" s="2" t="str">
        <f t="shared" si="75"/>
        <v>b</v>
      </c>
      <c r="H1151" s="2">
        <v>2009</v>
      </c>
      <c r="I1151" s="2" t="s">
        <v>1620</v>
      </c>
      <c r="J1151" s="2" t="s">
        <v>1621</v>
      </c>
      <c r="K1151" s="8" t="s">
        <v>1622</v>
      </c>
      <c r="L1151"/>
      <c r="M1151" s="2" t="s">
        <v>1623</v>
      </c>
      <c r="P1151" s="2" t="s">
        <v>1127</v>
      </c>
      <c r="Q1151" t="s">
        <v>1127</v>
      </c>
    </row>
    <row r="1152" spans="1:17" ht="18" customHeight="1" x14ac:dyDescent="0.2">
      <c r="A1152" s="60" t="s">
        <v>777</v>
      </c>
      <c r="B1152" s="60" t="str">
        <f t="shared" si="74"/>
        <v>avars_2010</v>
      </c>
      <c r="C1152" s="60" t="s">
        <v>4182</v>
      </c>
      <c r="D1152" s="60" t="s">
        <v>1410</v>
      </c>
      <c r="E1152" s="60" t="s">
        <v>1410</v>
      </c>
      <c r="F1152" s="2">
        <v>3</v>
      </c>
      <c r="G1152" s="2" t="str">
        <f t="shared" si="75"/>
        <v>c</v>
      </c>
      <c r="H1152" s="2">
        <v>2010</v>
      </c>
      <c r="I1152" s="2" t="s">
        <v>1620</v>
      </c>
      <c r="J1152" s="2" t="s">
        <v>1621</v>
      </c>
      <c r="K1152" s="8" t="s">
        <v>1622</v>
      </c>
      <c r="L1152"/>
      <c r="M1152" s="2" t="s">
        <v>1623</v>
      </c>
      <c r="P1152" s="2" t="s">
        <v>1127</v>
      </c>
      <c r="Q1152" t="s">
        <v>1127</v>
      </c>
    </row>
    <row r="1153" spans="1:17" ht="18" customHeight="1" x14ac:dyDescent="0.2">
      <c r="A1153" s="60" t="s">
        <v>777</v>
      </c>
      <c r="B1153" s="60" t="str">
        <f t="shared" si="74"/>
        <v>avars_2011</v>
      </c>
      <c r="C1153" s="60" t="s">
        <v>4182</v>
      </c>
      <c r="D1153" s="60" t="s">
        <v>1410</v>
      </c>
      <c r="E1153" s="60" t="s">
        <v>1410</v>
      </c>
      <c r="F1153" s="2">
        <v>4</v>
      </c>
      <c r="G1153" s="2" t="str">
        <f t="shared" si="75"/>
        <v>d</v>
      </c>
      <c r="H1153" s="2">
        <v>2011</v>
      </c>
      <c r="I1153" s="2" t="s">
        <v>1620</v>
      </c>
      <c r="J1153" s="2" t="s">
        <v>1621</v>
      </c>
      <c r="K1153" s="8" t="s">
        <v>1622</v>
      </c>
      <c r="L1153"/>
      <c r="M1153" s="2" t="s">
        <v>1623</v>
      </c>
      <c r="P1153" s="2" t="s">
        <v>1127</v>
      </c>
      <c r="Q1153" t="s">
        <v>1127</v>
      </c>
    </row>
    <row r="1154" spans="1:17" ht="18" customHeight="1" x14ac:dyDescent="0.2">
      <c r="A1154" s="60" t="s">
        <v>777</v>
      </c>
      <c r="B1154" s="60" t="str">
        <f t="shared" si="74"/>
        <v>avars_2012</v>
      </c>
      <c r="C1154" s="60" t="s">
        <v>4182</v>
      </c>
      <c r="D1154" s="60" t="s">
        <v>1410</v>
      </c>
      <c r="E1154" s="60" t="s">
        <v>1410</v>
      </c>
      <c r="F1154" s="2">
        <v>5</v>
      </c>
      <c r="G1154" s="2" t="str">
        <f t="shared" si="75"/>
        <v>e</v>
      </c>
      <c r="H1154" s="2">
        <v>2012</v>
      </c>
      <c r="I1154" s="2" t="s">
        <v>1620</v>
      </c>
      <c r="J1154" s="2" t="s">
        <v>1621</v>
      </c>
      <c r="K1154" s="8" t="s">
        <v>1622</v>
      </c>
      <c r="L1154"/>
      <c r="M1154" s="2" t="s">
        <v>1623</v>
      </c>
      <c r="P1154" s="2" t="s">
        <v>1127</v>
      </c>
      <c r="Q1154" t="s">
        <v>1127</v>
      </c>
    </row>
    <row r="1155" spans="1:17" ht="18" customHeight="1" x14ac:dyDescent="0.2">
      <c r="A1155" s="60" t="s">
        <v>777</v>
      </c>
      <c r="B1155" s="60" t="str">
        <f t="shared" si="74"/>
        <v>avars_2013</v>
      </c>
      <c r="C1155" s="60" t="s">
        <v>4182</v>
      </c>
      <c r="D1155" s="60" t="s">
        <v>1410</v>
      </c>
      <c r="E1155" s="60" t="s">
        <v>1410</v>
      </c>
      <c r="F1155" s="2">
        <v>6</v>
      </c>
      <c r="G1155" s="2" t="str">
        <f t="shared" si="75"/>
        <v>f</v>
      </c>
      <c r="H1155" s="2">
        <v>2013</v>
      </c>
      <c r="I1155" s="2" t="s">
        <v>1620</v>
      </c>
      <c r="J1155" s="2" t="s">
        <v>1621</v>
      </c>
      <c r="K1155" s="8" t="s">
        <v>1622</v>
      </c>
      <c r="L1155"/>
      <c r="M1155" s="2" t="s">
        <v>1623</v>
      </c>
      <c r="P1155" s="2" t="s">
        <v>1127</v>
      </c>
      <c r="Q1155" t="s">
        <v>1127</v>
      </c>
    </row>
    <row r="1156" spans="1:17" ht="18" customHeight="1" x14ac:dyDescent="0.2">
      <c r="A1156" s="60" t="s">
        <v>777</v>
      </c>
      <c r="B1156" s="60" t="str">
        <f t="shared" si="74"/>
        <v>avars_2014</v>
      </c>
      <c r="C1156" s="60" t="s">
        <v>4182</v>
      </c>
      <c r="D1156" s="60" t="s">
        <v>1410</v>
      </c>
      <c r="E1156" s="60" t="s">
        <v>1410</v>
      </c>
      <c r="F1156" s="2">
        <v>7</v>
      </c>
      <c r="G1156" s="2" t="str">
        <f t="shared" si="75"/>
        <v>g</v>
      </c>
      <c r="H1156" s="2">
        <v>2014</v>
      </c>
      <c r="I1156" s="2" t="s">
        <v>1620</v>
      </c>
      <c r="J1156" s="2" t="s">
        <v>1621</v>
      </c>
      <c r="K1156" s="8" t="s">
        <v>1622</v>
      </c>
      <c r="L1156"/>
      <c r="M1156" s="2" t="s">
        <v>1623</v>
      </c>
      <c r="P1156" s="2" t="s">
        <v>1127</v>
      </c>
      <c r="Q1156" t="s">
        <v>1127</v>
      </c>
    </row>
    <row r="1157" spans="1:17" ht="18" customHeight="1" x14ac:dyDescent="0.2">
      <c r="A1157" s="60" t="s">
        <v>777</v>
      </c>
      <c r="B1157" s="60" t="str">
        <f t="shared" si="74"/>
        <v>avars_2015</v>
      </c>
      <c r="C1157" s="60" t="s">
        <v>4182</v>
      </c>
      <c r="D1157" s="60" t="s">
        <v>1410</v>
      </c>
      <c r="E1157" s="60" t="s">
        <v>1410</v>
      </c>
      <c r="F1157" s="2">
        <v>8</v>
      </c>
      <c r="G1157" s="2" t="str">
        <f t="shared" si="75"/>
        <v>h</v>
      </c>
      <c r="H1157" s="2">
        <v>2015</v>
      </c>
      <c r="I1157" s="2" t="s">
        <v>1620</v>
      </c>
      <c r="J1157" s="2" t="s">
        <v>1621</v>
      </c>
      <c r="K1157" s="8" t="s">
        <v>1622</v>
      </c>
      <c r="L1157"/>
      <c r="M1157" s="2" t="s">
        <v>1623</v>
      </c>
      <c r="P1157" s="2" t="s">
        <v>1127</v>
      </c>
      <c r="Q1157" t="s">
        <v>1127</v>
      </c>
    </row>
    <row r="1158" spans="1:17" ht="18" customHeight="1" x14ac:dyDescent="0.2">
      <c r="A1158" s="60" t="s">
        <v>777</v>
      </c>
      <c r="B1158" s="60" t="str">
        <f t="shared" si="74"/>
        <v>avars_2016</v>
      </c>
      <c r="C1158" s="60" t="s">
        <v>4182</v>
      </c>
      <c r="D1158" s="60" t="s">
        <v>1410</v>
      </c>
      <c r="E1158" s="60" t="s">
        <v>1410</v>
      </c>
      <c r="F1158" s="2">
        <v>9</v>
      </c>
      <c r="G1158" s="2" t="str">
        <f t="shared" si="75"/>
        <v>i</v>
      </c>
      <c r="H1158" s="2">
        <v>2016</v>
      </c>
      <c r="I1158" s="2" t="s">
        <v>1620</v>
      </c>
      <c r="J1158" s="2" t="s">
        <v>1621</v>
      </c>
      <c r="K1158" s="8" t="s">
        <v>1622</v>
      </c>
      <c r="L1158"/>
      <c r="M1158" s="2" t="s">
        <v>1623</v>
      </c>
      <c r="P1158" s="2" t="s">
        <v>1127</v>
      </c>
      <c r="Q1158" t="s">
        <v>1127</v>
      </c>
    </row>
    <row r="1159" spans="1:17" ht="18" customHeight="1" x14ac:dyDescent="0.2">
      <c r="A1159" s="60" t="s">
        <v>777</v>
      </c>
      <c r="B1159" s="60" t="str">
        <f t="shared" si="74"/>
        <v>avars_2017</v>
      </c>
      <c r="C1159" s="60" t="s">
        <v>4182</v>
      </c>
      <c r="D1159" s="60" t="s">
        <v>1410</v>
      </c>
      <c r="E1159" s="60" t="s">
        <v>1410</v>
      </c>
      <c r="F1159" s="2">
        <v>10</v>
      </c>
      <c r="G1159" s="2" t="str">
        <f t="shared" si="75"/>
        <v>j</v>
      </c>
      <c r="H1159" s="2">
        <v>2017</v>
      </c>
      <c r="I1159" s="2" t="s">
        <v>1620</v>
      </c>
      <c r="J1159" s="2" t="s">
        <v>1621</v>
      </c>
      <c r="K1159" s="8" t="s">
        <v>1622</v>
      </c>
      <c r="L1159"/>
      <c r="M1159" s="2" t="s">
        <v>1623</v>
      </c>
      <c r="P1159" s="2" t="s">
        <v>1127</v>
      </c>
      <c r="Q1159" t="s">
        <v>1127</v>
      </c>
    </row>
    <row r="1160" spans="1:17" ht="18" customHeight="1" x14ac:dyDescent="0.2">
      <c r="A1160" s="60" t="s">
        <v>777</v>
      </c>
      <c r="B1160" s="60" t="str">
        <f t="shared" si="74"/>
        <v>avars_2018</v>
      </c>
      <c r="C1160" s="60" t="s">
        <v>4182</v>
      </c>
      <c r="D1160" s="60" t="s">
        <v>1410</v>
      </c>
      <c r="E1160" s="60" t="s">
        <v>1410</v>
      </c>
      <c r="F1160" s="2">
        <v>11</v>
      </c>
      <c r="G1160" s="2" t="str">
        <f t="shared" si="75"/>
        <v>k</v>
      </c>
      <c r="H1160" s="2">
        <v>2018</v>
      </c>
      <c r="I1160" s="2" t="s">
        <v>1620</v>
      </c>
      <c r="J1160" s="2" t="s">
        <v>1621</v>
      </c>
      <c r="K1160" s="8" t="s">
        <v>1622</v>
      </c>
      <c r="L1160"/>
      <c r="M1160" s="2" t="s">
        <v>1623</v>
      </c>
      <c r="P1160" s="2" t="s">
        <v>1127</v>
      </c>
      <c r="Q1160" t="s">
        <v>1127</v>
      </c>
    </row>
    <row r="1161" spans="1:17" ht="18" customHeight="1" x14ac:dyDescent="0.2">
      <c r="A1161" s="60" t="s">
        <v>777</v>
      </c>
      <c r="B1161" s="60" t="str">
        <f t="shared" si="74"/>
        <v>avars_2008</v>
      </c>
      <c r="C1161" s="60" t="s">
        <v>4182</v>
      </c>
      <c r="D1161" s="60" t="s">
        <v>1410</v>
      </c>
      <c r="E1161" s="60" t="s">
        <v>1410</v>
      </c>
      <c r="F1161" s="2">
        <v>1</v>
      </c>
      <c r="G1161" s="2" t="str">
        <f t="shared" si="75"/>
        <v>a</v>
      </c>
      <c r="H1161" s="2">
        <v>2008</v>
      </c>
      <c r="I1161" s="2" t="s">
        <v>1620</v>
      </c>
      <c r="J1161" s="2" t="s">
        <v>1621</v>
      </c>
      <c r="K1161" s="8" t="s">
        <v>1622</v>
      </c>
      <c r="L1161"/>
      <c r="M1161" s="2" t="s">
        <v>1623</v>
      </c>
      <c r="P1161" s="2" t="s">
        <v>1127</v>
      </c>
      <c r="Q1161" t="s">
        <v>1127</v>
      </c>
    </row>
    <row r="1162" spans="1:17" ht="18" customHeight="1" x14ac:dyDescent="0.2">
      <c r="A1162" s="60" t="s">
        <v>777</v>
      </c>
      <c r="B1162" s="60" t="str">
        <f t="shared" si="74"/>
        <v>avars_2009</v>
      </c>
      <c r="C1162" s="60" t="s">
        <v>4182</v>
      </c>
      <c r="D1162" s="60" t="s">
        <v>1410</v>
      </c>
      <c r="E1162" s="60" t="s">
        <v>1410</v>
      </c>
      <c r="F1162" s="2">
        <v>2</v>
      </c>
      <c r="G1162" s="2" t="str">
        <f t="shared" si="75"/>
        <v>b</v>
      </c>
      <c r="H1162" s="2">
        <v>2009</v>
      </c>
      <c r="I1162" s="2" t="s">
        <v>1620</v>
      </c>
      <c r="J1162" s="2" t="s">
        <v>1621</v>
      </c>
      <c r="K1162" s="8" t="s">
        <v>1622</v>
      </c>
      <c r="L1162"/>
      <c r="M1162" s="2" t="s">
        <v>1623</v>
      </c>
      <c r="P1162" s="2" t="s">
        <v>1127</v>
      </c>
      <c r="Q1162" t="s">
        <v>1127</v>
      </c>
    </row>
    <row r="1163" spans="1:17" ht="18" customHeight="1" x14ac:dyDescent="0.2">
      <c r="A1163" s="60" t="s">
        <v>777</v>
      </c>
      <c r="B1163" s="60" t="str">
        <f t="shared" si="74"/>
        <v>avars_2010</v>
      </c>
      <c r="C1163" s="60" t="s">
        <v>4182</v>
      </c>
      <c r="D1163" s="60" t="s">
        <v>1410</v>
      </c>
      <c r="E1163" s="60" t="s">
        <v>1410</v>
      </c>
      <c r="F1163" s="2">
        <v>3</v>
      </c>
      <c r="G1163" s="2" t="str">
        <f t="shared" si="75"/>
        <v>c</v>
      </c>
      <c r="H1163" s="2">
        <v>2010</v>
      </c>
      <c r="I1163" s="2" t="s">
        <v>1620</v>
      </c>
      <c r="J1163" s="2" t="s">
        <v>1621</v>
      </c>
      <c r="K1163" s="8" t="s">
        <v>1622</v>
      </c>
      <c r="L1163"/>
      <c r="M1163" s="2" t="s">
        <v>1623</v>
      </c>
      <c r="P1163" s="2" t="s">
        <v>1127</v>
      </c>
      <c r="Q1163" t="s">
        <v>1127</v>
      </c>
    </row>
    <row r="1164" spans="1:17" ht="18" customHeight="1" x14ac:dyDescent="0.2">
      <c r="A1164" s="60" t="s">
        <v>777</v>
      </c>
      <c r="B1164" s="60" t="str">
        <f t="shared" si="74"/>
        <v>avars_2011</v>
      </c>
      <c r="C1164" s="60" t="s">
        <v>4182</v>
      </c>
      <c r="D1164" s="60" t="s">
        <v>1410</v>
      </c>
      <c r="E1164" s="60" t="s">
        <v>1410</v>
      </c>
      <c r="F1164" s="2">
        <v>4</v>
      </c>
      <c r="G1164" s="2" t="str">
        <f t="shared" si="75"/>
        <v>d</v>
      </c>
      <c r="H1164" s="2">
        <v>2011</v>
      </c>
      <c r="I1164" s="2" t="s">
        <v>1620</v>
      </c>
      <c r="J1164" s="2" t="s">
        <v>1621</v>
      </c>
      <c r="K1164" s="8" t="s">
        <v>1622</v>
      </c>
      <c r="L1164"/>
      <c r="M1164" s="2" t="s">
        <v>1623</v>
      </c>
      <c r="P1164" s="2" t="s">
        <v>1127</v>
      </c>
      <c r="Q1164" t="s">
        <v>1127</v>
      </c>
    </row>
    <row r="1165" spans="1:17" ht="18" customHeight="1" x14ac:dyDescent="0.2">
      <c r="A1165" s="60" t="s">
        <v>777</v>
      </c>
      <c r="B1165" s="60" t="str">
        <f t="shared" si="74"/>
        <v>avars_2012</v>
      </c>
      <c r="C1165" s="60" t="s">
        <v>4182</v>
      </c>
      <c r="D1165" s="60" t="s">
        <v>1410</v>
      </c>
      <c r="E1165" s="60" t="s">
        <v>1410</v>
      </c>
      <c r="F1165" s="2">
        <v>5</v>
      </c>
      <c r="G1165" s="2" t="str">
        <f t="shared" si="75"/>
        <v>e</v>
      </c>
      <c r="H1165" s="2">
        <v>2012</v>
      </c>
      <c r="I1165" s="2" t="s">
        <v>1620</v>
      </c>
      <c r="J1165" s="2" t="s">
        <v>1621</v>
      </c>
      <c r="K1165" s="8" t="s">
        <v>1622</v>
      </c>
      <c r="L1165"/>
      <c r="M1165" s="2" t="s">
        <v>1623</v>
      </c>
      <c r="P1165" s="2" t="s">
        <v>1127</v>
      </c>
      <c r="Q1165" t="s">
        <v>1127</v>
      </c>
    </row>
    <row r="1166" spans="1:17" ht="18" customHeight="1" x14ac:dyDescent="0.2">
      <c r="A1166" s="60" t="s">
        <v>777</v>
      </c>
      <c r="B1166" s="60" t="str">
        <f t="shared" si="74"/>
        <v>avars_2013</v>
      </c>
      <c r="C1166" s="60" t="s">
        <v>4182</v>
      </c>
      <c r="D1166" s="60" t="s">
        <v>1410</v>
      </c>
      <c r="E1166" s="60" t="s">
        <v>1410</v>
      </c>
      <c r="F1166" s="2">
        <v>6</v>
      </c>
      <c r="G1166" s="2" t="str">
        <f t="shared" si="75"/>
        <v>f</v>
      </c>
      <c r="H1166" s="2">
        <v>2013</v>
      </c>
      <c r="I1166" s="2" t="s">
        <v>1620</v>
      </c>
      <c r="J1166" s="2" t="s">
        <v>1621</v>
      </c>
      <c r="K1166" s="8" t="s">
        <v>1622</v>
      </c>
      <c r="L1166"/>
      <c r="M1166" s="2" t="s">
        <v>1623</v>
      </c>
      <c r="P1166" s="2" t="s">
        <v>1127</v>
      </c>
      <c r="Q1166" t="s">
        <v>1127</v>
      </c>
    </row>
    <row r="1167" spans="1:17" ht="18" customHeight="1" x14ac:dyDescent="0.2">
      <c r="A1167" s="60" t="s">
        <v>777</v>
      </c>
      <c r="B1167" s="60" t="str">
        <f t="shared" si="74"/>
        <v>avars_2014</v>
      </c>
      <c r="C1167" s="60" t="s">
        <v>4182</v>
      </c>
      <c r="D1167" s="60" t="s">
        <v>1410</v>
      </c>
      <c r="E1167" s="60" t="s">
        <v>1410</v>
      </c>
      <c r="F1167" s="2">
        <v>7</v>
      </c>
      <c r="G1167" s="2" t="str">
        <f t="shared" si="75"/>
        <v>g</v>
      </c>
      <c r="H1167" s="2">
        <v>2014</v>
      </c>
      <c r="I1167" s="2" t="s">
        <v>1620</v>
      </c>
      <c r="J1167" s="2" t="s">
        <v>1621</v>
      </c>
      <c r="K1167" s="8" t="s">
        <v>1622</v>
      </c>
      <c r="L1167"/>
      <c r="M1167" s="2" t="s">
        <v>1623</v>
      </c>
      <c r="P1167" s="2" t="s">
        <v>1127</v>
      </c>
      <c r="Q1167" t="s">
        <v>1127</v>
      </c>
    </row>
    <row r="1168" spans="1:17" ht="18" customHeight="1" x14ac:dyDescent="0.2">
      <c r="A1168" s="60" t="s">
        <v>777</v>
      </c>
      <c r="B1168" s="60" t="str">
        <f t="shared" si="74"/>
        <v>avars_2015</v>
      </c>
      <c r="C1168" s="60" t="s">
        <v>4182</v>
      </c>
      <c r="D1168" s="60" t="s">
        <v>1410</v>
      </c>
      <c r="E1168" s="60" t="s">
        <v>1410</v>
      </c>
      <c r="F1168" s="2">
        <v>8</v>
      </c>
      <c r="G1168" s="2" t="str">
        <f t="shared" si="75"/>
        <v>h</v>
      </c>
      <c r="H1168" s="2">
        <v>2015</v>
      </c>
      <c r="I1168" s="2" t="s">
        <v>1620</v>
      </c>
      <c r="J1168" s="2" t="s">
        <v>1621</v>
      </c>
      <c r="K1168" s="8" t="s">
        <v>1622</v>
      </c>
      <c r="L1168"/>
      <c r="M1168" s="2" t="s">
        <v>1623</v>
      </c>
      <c r="P1168" s="2" t="s">
        <v>1127</v>
      </c>
      <c r="Q1168" t="s">
        <v>1127</v>
      </c>
    </row>
    <row r="1169" spans="1:17" ht="18" customHeight="1" x14ac:dyDescent="0.2">
      <c r="A1169" s="60" t="s">
        <v>777</v>
      </c>
      <c r="B1169" s="60" t="str">
        <f t="shared" si="74"/>
        <v>avars_2016</v>
      </c>
      <c r="C1169" s="60" t="s">
        <v>4182</v>
      </c>
      <c r="D1169" s="60" t="s">
        <v>1410</v>
      </c>
      <c r="E1169" s="60" t="s">
        <v>1410</v>
      </c>
      <c r="F1169" s="2">
        <v>9</v>
      </c>
      <c r="G1169" s="2" t="str">
        <f t="shared" si="75"/>
        <v>i</v>
      </c>
      <c r="H1169" s="2">
        <v>2016</v>
      </c>
      <c r="I1169" s="2" t="s">
        <v>1620</v>
      </c>
      <c r="J1169" s="2" t="s">
        <v>1621</v>
      </c>
      <c r="K1169" s="8" t="s">
        <v>1622</v>
      </c>
      <c r="L1169"/>
      <c r="M1169" s="2" t="s">
        <v>1623</v>
      </c>
      <c r="P1169" s="2" t="s">
        <v>1127</v>
      </c>
      <c r="Q1169" t="s">
        <v>1127</v>
      </c>
    </row>
    <row r="1170" spans="1:17" ht="18" customHeight="1" x14ac:dyDescent="0.2">
      <c r="A1170" s="60" t="s">
        <v>777</v>
      </c>
      <c r="B1170" s="60" t="str">
        <f t="shared" si="74"/>
        <v>avars_2017</v>
      </c>
      <c r="C1170" s="60" t="s">
        <v>4182</v>
      </c>
      <c r="D1170" s="60" t="s">
        <v>1410</v>
      </c>
      <c r="E1170" s="60" t="s">
        <v>1410</v>
      </c>
      <c r="F1170" s="2">
        <v>10</v>
      </c>
      <c r="G1170" s="2" t="str">
        <f t="shared" si="75"/>
        <v>j</v>
      </c>
      <c r="H1170" s="2">
        <v>2017</v>
      </c>
      <c r="I1170" s="2" t="s">
        <v>1620</v>
      </c>
      <c r="J1170" s="2" t="s">
        <v>1621</v>
      </c>
      <c r="K1170" s="8" t="s">
        <v>1622</v>
      </c>
      <c r="L1170"/>
      <c r="M1170" s="2" t="s">
        <v>1623</v>
      </c>
      <c r="P1170" s="2" t="s">
        <v>1127</v>
      </c>
      <c r="Q1170" t="s">
        <v>1127</v>
      </c>
    </row>
    <row r="1171" spans="1:17" ht="18" customHeight="1" x14ac:dyDescent="0.2">
      <c r="A1171" s="60" t="s">
        <v>777</v>
      </c>
      <c r="B1171" s="60" t="str">
        <f t="shared" si="74"/>
        <v>avars_2018</v>
      </c>
      <c r="C1171" s="60" t="s">
        <v>4182</v>
      </c>
      <c r="D1171" s="60" t="s">
        <v>1410</v>
      </c>
      <c r="E1171" s="60" t="s">
        <v>1410</v>
      </c>
      <c r="F1171" s="2">
        <v>11</v>
      </c>
      <c r="G1171" s="2" t="str">
        <f t="shared" si="75"/>
        <v>k</v>
      </c>
      <c r="H1171" s="2">
        <v>2018</v>
      </c>
      <c r="I1171" s="2" t="s">
        <v>1620</v>
      </c>
      <c r="J1171" s="2" t="s">
        <v>1621</v>
      </c>
      <c r="K1171" s="8" t="s">
        <v>1622</v>
      </c>
      <c r="L1171"/>
      <c r="M1171" s="2" t="s">
        <v>1623</v>
      </c>
      <c r="P1171" s="2" t="s">
        <v>1127</v>
      </c>
      <c r="Q1171" t="s">
        <v>1127</v>
      </c>
    </row>
    <row r="1172" spans="1:17" ht="18" customHeight="1" x14ac:dyDescent="0.2">
      <c r="A1172" s="60" t="s">
        <v>777</v>
      </c>
      <c r="B1172" s="60" t="str">
        <f t="shared" si="74"/>
        <v>avars_2008</v>
      </c>
      <c r="C1172" s="60" t="s">
        <v>4182</v>
      </c>
      <c r="D1172" s="60" t="s">
        <v>1410</v>
      </c>
      <c r="E1172" s="60" t="s">
        <v>1410</v>
      </c>
      <c r="F1172" s="2">
        <v>1</v>
      </c>
      <c r="G1172" s="2" t="str">
        <f t="shared" si="75"/>
        <v>a</v>
      </c>
      <c r="H1172" s="2">
        <v>2008</v>
      </c>
      <c r="I1172" s="2" t="s">
        <v>1620</v>
      </c>
      <c r="J1172" s="2" t="s">
        <v>1621</v>
      </c>
      <c r="K1172" s="8" t="s">
        <v>1622</v>
      </c>
      <c r="L1172"/>
      <c r="M1172" s="2" t="s">
        <v>1623</v>
      </c>
      <c r="P1172" s="2" t="s">
        <v>1127</v>
      </c>
      <c r="Q1172" t="s">
        <v>1127</v>
      </c>
    </row>
    <row r="1173" spans="1:17" ht="18" customHeight="1" x14ac:dyDescent="0.2">
      <c r="A1173" s="60" t="s">
        <v>777</v>
      </c>
      <c r="B1173" s="60" t="str">
        <f t="shared" si="74"/>
        <v>avars_2009</v>
      </c>
      <c r="C1173" s="60" t="s">
        <v>4182</v>
      </c>
      <c r="D1173" s="60" t="s">
        <v>1410</v>
      </c>
      <c r="E1173" s="60" t="s">
        <v>1410</v>
      </c>
      <c r="F1173" s="2">
        <v>2</v>
      </c>
      <c r="G1173" s="2" t="str">
        <f t="shared" si="75"/>
        <v>b</v>
      </c>
      <c r="H1173" s="2">
        <v>2009</v>
      </c>
      <c r="I1173" s="2" t="s">
        <v>1620</v>
      </c>
      <c r="J1173" s="2" t="s">
        <v>1621</v>
      </c>
      <c r="K1173" s="8" t="s">
        <v>1622</v>
      </c>
      <c r="L1173"/>
      <c r="M1173" s="2" t="s">
        <v>1623</v>
      </c>
      <c r="P1173" s="2" t="s">
        <v>1127</v>
      </c>
      <c r="Q1173" t="s">
        <v>1127</v>
      </c>
    </row>
    <row r="1174" spans="1:17" ht="18" customHeight="1" x14ac:dyDescent="0.2">
      <c r="A1174" s="60" t="s">
        <v>777</v>
      </c>
      <c r="B1174" s="60" t="str">
        <f t="shared" si="74"/>
        <v>avars_2010</v>
      </c>
      <c r="C1174" s="60" t="s">
        <v>4182</v>
      </c>
      <c r="D1174" s="60" t="s">
        <v>1410</v>
      </c>
      <c r="E1174" s="60" t="s">
        <v>1410</v>
      </c>
      <c r="F1174" s="2">
        <v>3</v>
      </c>
      <c r="G1174" s="2" t="str">
        <f t="shared" si="75"/>
        <v>c</v>
      </c>
      <c r="H1174" s="2">
        <v>2010</v>
      </c>
      <c r="I1174" s="2" t="s">
        <v>1620</v>
      </c>
      <c r="J1174" s="2" t="s">
        <v>1621</v>
      </c>
      <c r="K1174" s="8" t="s">
        <v>1622</v>
      </c>
      <c r="L1174"/>
      <c r="M1174" s="2" t="s">
        <v>1623</v>
      </c>
      <c r="P1174" s="2" t="s">
        <v>1127</v>
      </c>
      <c r="Q1174" t="s">
        <v>1127</v>
      </c>
    </row>
    <row r="1175" spans="1:17" ht="18" customHeight="1" x14ac:dyDescent="0.2">
      <c r="A1175" s="60" t="s">
        <v>777</v>
      </c>
      <c r="B1175" s="60" t="str">
        <f t="shared" si="74"/>
        <v>avars_2011</v>
      </c>
      <c r="C1175" s="60" t="s">
        <v>4182</v>
      </c>
      <c r="D1175" s="60" t="s">
        <v>1410</v>
      </c>
      <c r="E1175" s="60" t="s">
        <v>1410</v>
      </c>
      <c r="F1175" s="2">
        <v>4</v>
      </c>
      <c r="G1175" s="2" t="str">
        <f t="shared" si="75"/>
        <v>d</v>
      </c>
      <c r="H1175" s="2">
        <v>2011</v>
      </c>
      <c r="I1175" s="2" t="s">
        <v>1620</v>
      </c>
      <c r="J1175" s="2" t="s">
        <v>1621</v>
      </c>
      <c r="K1175" s="8" t="s">
        <v>1622</v>
      </c>
      <c r="L1175"/>
      <c r="M1175" s="2" t="s">
        <v>1623</v>
      </c>
      <c r="P1175" s="2" t="s">
        <v>1127</v>
      </c>
      <c r="Q1175" t="s">
        <v>1127</v>
      </c>
    </row>
    <row r="1176" spans="1:17" ht="18" customHeight="1" x14ac:dyDescent="0.2">
      <c r="A1176" s="60" t="s">
        <v>777</v>
      </c>
      <c r="B1176" s="60" t="str">
        <f t="shared" si="74"/>
        <v>avars_2012</v>
      </c>
      <c r="C1176" s="60" t="s">
        <v>4182</v>
      </c>
      <c r="D1176" s="60" t="s">
        <v>1410</v>
      </c>
      <c r="E1176" s="60" t="s">
        <v>1410</v>
      </c>
      <c r="F1176" s="2">
        <v>5</v>
      </c>
      <c r="G1176" s="2" t="str">
        <f t="shared" si="75"/>
        <v>e</v>
      </c>
      <c r="H1176" s="2">
        <v>2012</v>
      </c>
      <c r="I1176" s="2" t="s">
        <v>1620</v>
      </c>
      <c r="J1176" s="2" t="s">
        <v>1621</v>
      </c>
      <c r="K1176" s="8" t="s">
        <v>1622</v>
      </c>
      <c r="L1176"/>
      <c r="M1176" s="2" t="s">
        <v>1623</v>
      </c>
      <c r="P1176" s="2" t="s">
        <v>1127</v>
      </c>
      <c r="Q1176" t="s">
        <v>1127</v>
      </c>
    </row>
    <row r="1177" spans="1:17" ht="18" customHeight="1" x14ac:dyDescent="0.2">
      <c r="A1177" s="60" t="s">
        <v>777</v>
      </c>
      <c r="B1177" s="60" t="str">
        <f t="shared" si="74"/>
        <v>avars_2013</v>
      </c>
      <c r="C1177" s="60" t="s">
        <v>4182</v>
      </c>
      <c r="D1177" s="60" t="s">
        <v>1410</v>
      </c>
      <c r="E1177" s="60" t="s">
        <v>1410</v>
      </c>
      <c r="F1177" s="2">
        <v>6</v>
      </c>
      <c r="G1177" s="2" t="str">
        <f t="shared" si="75"/>
        <v>f</v>
      </c>
      <c r="H1177" s="2">
        <v>2013</v>
      </c>
      <c r="I1177" s="2" t="s">
        <v>1620</v>
      </c>
      <c r="J1177" s="2" t="s">
        <v>1621</v>
      </c>
      <c r="K1177" s="8" t="s">
        <v>1622</v>
      </c>
      <c r="L1177"/>
      <c r="M1177" s="2" t="s">
        <v>1623</v>
      </c>
      <c r="P1177" s="2" t="s">
        <v>1127</v>
      </c>
      <c r="Q1177" t="s">
        <v>1127</v>
      </c>
    </row>
    <row r="1178" spans="1:17" ht="18" customHeight="1" x14ac:dyDescent="0.2">
      <c r="A1178" s="60" t="s">
        <v>777</v>
      </c>
      <c r="B1178" s="60" t="str">
        <f t="shared" si="74"/>
        <v>avars_2014</v>
      </c>
      <c r="C1178" s="60" t="s">
        <v>4182</v>
      </c>
      <c r="D1178" s="60" t="s">
        <v>1410</v>
      </c>
      <c r="E1178" s="60" t="s">
        <v>1410</v>
      </c>
      <c r="F1178" s="2">
        <v>7</v>
      </c>
      <c r="G1178" s="2" t="str">
        <f t="shared" si="75"/>
        <v>g</v>
      </c>
      <c r="H1178" s="2">
        <v>2014</v>
      </c>
      <c r="I1178" s="2" t="s">
        <v>1620</v>
      </c>
      <c r="J1178" s="2" t="s">
        <v>1621</v>
      </c>
      <c r="K1178" s="8" t="s">
        <v>1622</v>
      </c>
      <c r="L1178"/>
      <c r="M1178" s="2" t="s">
        <v>1623</v>
      </c>
      <c r="P1178" s="2" t="s">
        <v>1127</v>
      </c>
      <c r="Q1178" t="s">
        <v>1127</v>
      </c>
    </row>
    <row r="1179" spans="1:17" ht="18" customHeight="1" x14ac:dyDescent="0.2">
      <c r="A1179" s="60" t="s">
        <v>777</v>
      </c>
      <c r="B1179" s="60" t="str">
        <f t="shared" si="74"/>
        <v>avars_2015</v>
      </c>
      <c r="C1179" s="60" t="s">
        <v>4182</v>
      </c>
      <c r="D1179" s="60" t="s">
        <v>1410</v>
      </c>
      <c r="E1179" s="60" t="s">
        <v>1410</v>
      </c>
      <c r="F1179" s="2">
        <v>8</v>
      </c>
      <c r="G1179" s="2" t="str">
        <f t="shared" si="75"/>
        <v>h</v>
      </c>
      <c r="H1179" s="2">
        <v>2015</v>
      </c>
      <c r="I1179" s="2" t="s">
        <v>1620</v>
      </c>
      <c r="J1179" s="2" t="s">
        <v>1621</v>
      </c>
      <c r="K1179" s="8" t="s">
        <v>1622</v>
      </c>
      <c r="L1179"/>
      <c r="M1179" s="2" t="s">
        <v>1623</v>
      </c>
      <c r="P1179" s="2" t="s">
        <v>1127</v>
      </c>
      <c r="Q1179" t="s">
        <v>1127</v>
      </c>
    </row>
    <row r="1180" spans="1:17" ht="18" customHeight="1" x14ac:dyDescent="0.2">
      <c r="A1180" s="60" t="s">
        <v>777</v>
      </c>
      <c r="B1180" s="60" t="str">
        <f t="shared" si="74"/>
        <v>avars_2016</v>
      </c>
      <c r="C1180" s="60" t="s">
        <v>4182</v>
      </c>
      <c r="D1180" s="60" t="s">
        <v>1410</v>
      </c>
      <c r="E1180" s="60" t="s">
        <v>1410</v>
      </c>
      <c r="F1180" s="2">
        <v>9</v>
      </c>
      <c r="G1180" s="2" t="str">
        <f t="shared" si="75"/>
        <v>i</v>
      </c>
      <c r="H1180" s="2">
        <v>2016</v>
      </c>
      <c r="I1180" s="2" t="s">
        <v>1620</v>
      </c>
      <c r="J1180" s="2" t="s">
        <v>1621</v>
      </c>
      <c r="K1180" s="8" t="s">
        <v>1622</v>
      </c>
      <c r="L1180"/>
      <c r="M1180" s="2" t="s">
        <v>1623</v>
      </c>
      <c r="P1180" s="2" t="s">
        <v>1127</v>
      </c>
      <c r="Q1180" t="s">
        <v>1127</v>
      </c>
    </row>
    <row r="1181" spans="1:17" ht="18" customHeight="1" x14ac:dyDescent="0.2">
      <c r="A1181" s="60" t="s">
        <v>777</v>
      </c>
      <c r="B1181" s="60" t="str">
        <f t="shared" si="74"/>
        <v>avars_2017</v>
      </c>
      <c r="C1181" s="60" t="s">
        <v>4182</v>
      </c>
      <c r="D1181" s="60" t="s">
        <v>1410</v>
      </c>
      <c r="E1181" s="60" t="s">
        <v>1410</v>
      </c>
      <c r="F1181" s="2">
        <v>10</v>
      </c>
      <c r="G1181" s="2" t="str">
        <f t="shared" si="75"/>
        <v>j</v>
      </c>
      <c r="H1181" s="2">
        <v>2017</v>
      </c>
      <c r="I1181" s="2" t="s">
        <v>1620</v>
      </c>
      <c r="J1181" s="2" t="s">
        <v>1621</v>
      </c>
      <c r="K1181" s="8" t="s">
        <v>1622</v>
      </c>
      <c r="L1181"/>
      <c r="M1181" s="2" t="s">
        <v>1623</v>
      </c>
      <c r="P1181" s="2" t="s">
        <v>1127</v>
      </c>
      <c r="Q1181" t="s">
        <v>1127</v>
      </c>
    </row>
    <row r="1182" spans="1:17" ht="18" customHeight="1" x14ac:dyDescent="0.2">
      <c r="A1182" s="60" t="s">
        <v>777</v>
      </c>
      <c r="B1182" s="60" t="str">
        <f t="shared" si="74"/>
        <v>avars_2018</v>
      </c>
      <c r="C1182" s="60" t="s">
        <v>4182</v>
      </c>
      <c r="D1182" s="60" t="s">
        <v>1410</v>
      </c>
      <c r="E1182" s="60" t="s">
        <v>1410</v>
      </c>
      <c r="F1182" s="2">
        <v>11</v>
      </c>
      <c r="G1182" s="2" t="str">
        <f t="shared" si="75"/>
        <v>k</v>
      </c>
      <c r="H1182" s="2">
        <v>2018</v>
      </c>
      <c r="I1182" s="2" t="s">
        <v>1620</v>
      </c>
      <c r="J1182" s="2" t="s">
        <v>1621</v>
      </c>
      <c r="K1182" s="8" t="s">
        <v>1622</v>
      </c>
      <c r="L1182"/>
      <c r="M1182" s="2" t="s">
        <v>1623</v>
      </c>
      <c r="P1182" s="2" t="s">
        <v>1127</v>
      </c>
      <c r="Q1182" t="s">
        <v>1127</v>
      </c>
    </row>
    <row r="1183" spans="1:17" ht="18" customHeight="1" x14ac:dyDescent="0.2">
      <c r="A1183" s="60" t="s">
        <v>777</v>
      </c>
      <c r="B1183" s="60" t="str">
        <f t="shared" si="74"/>
        <v>avars_2008</v>
      </c>
      <c r="C1183" s="60" t="s">
        <v>4182</v>
      </c>
      <c r="D1183" s="60" t="s">
        <v>1410</v>
      </c>
      <c r="E1183" s="60" t="s">
        <v>1410</v>
      </c>
      <c r="F1183" s="2">
        <v>1</v>
      </c>
      <c r="G1183" s="2" t="str">
        <f t="shared" si="75"/>
        <v>a</v>
      </c>
      <c r="H1183" s="2">
        <v>2008</v>
      </c>
      <c r="I1183" s="2" t="s">
        <v>1620</v>
      </c>
      <c r="J1183" s="2" t="s">
        <v>1621</v>
      </c>
      <c r="K1183" s="8" t="s">
        <v>1622</v>
      </c>
      <c r="L1183"/>
      <c r="M1183" s="2" t="s">
        <v>1623</v>
      </c>
      <c r="P1183" s="2" t="s">
        <v>1127</v>
      </c>
      <c r="Q1183" t="s">
        <v>1127</v>
      </c>
    </row>
    <row r="1184" spans="1:17" ht="18" customHeight="1" x14ac:dyDescent="0.2">
      <c r="A1184" s="60" t="s">
        <v>777</v>
      </c>
      <c r="B1184" s="60" t="str">
        <f t="shared" si="74"/>
        <v>avars_2009</v>
      </c>
      <c r="C1184" s="60" t="s">
        <v>4182</v>
      </c>
      <c r="D1184" s="60" t="s">
        <v>1410</v>
      </c>
      <c r="E1184" s="60" t="s">
        <v>1410</v>
      </c>
      <c r="F1184" s="2">
        <v>2</v>
      </c>
      <c r="G1184" s="2" t="str">
        <f t="shared" si="75"/>
        <v>b</v>
      </c>
      <c r="H1184" s="2">
        <v>2009</v>
      </c>
      <c r="I1184" s="2" t="s">
        <v>1620</v>
      </c>
      <c r="J1184" s="2" t="s">
        <v>1621</v>
      </c>
      <c r="K1184" s="8" t="s">
        <v>1622</v>
      </c>
      <c r="L1184"/>
      <c r="M1184" s="2" t="s">
        <v>1623</v>
      </c>
      <c r="P1184" s="2" t="s">
        <v>1127</v>
      </c>
      <c r="Q1184" t="s">
        <v>1127</v>
      </c>
    </row>
    <row r="1185" spans="1:17" ht="18" customHeight="1" x14ac:dyDescent="0.2">
      <c r="A1185" s="60" t="s">
        <v>777</v>
      </c>
      <c r="B1185" s="60" t="str">
        <f t="shared" si="74"/>
        <v>avars_2010</v>
      </c>
      <c r="C1185" s="60" t="s">
        <v>4182</v>
      </c>
      <c r="D1185" s="60" t="s">
        <v>1410</v>
      </c>
      <c r="E1185" s="60" t="s">
        <v>1410</v>
      </c>
      <c r="F1185" s="2">
        <v>3</v>
      </c>
      <c r="G1185" s="2" t="str">
        <f t="shared" si="75"/>
        <v>c</v>
      </c>
      <c r="H1185" s="2">
        <v>2010</v>
      </c>
      <c r="I1185" s="2" t="s">
        <v>1620</v>
      </c>
      <c r="J1185" s="2" t="s">
        <v>1621</v>
      </c>
      <c r="K1185" s="8" t="s">
        <v>1622</v>
      </c>
      <c r="L1185"/>
      <c r="M1185" s="2" t="s">
        <v>1623</v>
      </c>
      <c r="P1185" s="2" t="s">
        <v>1127</v>
      </c>
      <c r="Q1185" t="s">
        <v>1127</v>
      </c>
    </row>
    <row r="1186" spans="1:17" ht="18" customHeight="1" x14ac:dyDescent="0.2">
      <c r="A1186" s="60" t="s">
        <v>777</v>
      </c>
      <c r="B1186" s="60" t="str">
        <f t="shared" si="74"/>
        <v>avars_2011</v>
      </c>
      <c r="C1186" s="60" t="s">
        <v>4182</v>
      </c>
      <c r="D1186" s="60" t="s">
        <v>1410</v>
      </c>
      <c r="E1186" s="60" t="s">
        <v>1410</v>
      </c>
      <c r="F1186" s="2">
        <v>4</v>
      </c>
      <c r="G1186" s="2" t="str">
        <f t="shared" si="75"/>
        <v>d</v>
      </c>
      <c r="H1186" s="2">
        <v>2011</v>
      </c>
      <c r="I1186" s="2" t="s">
        <v>1620</v>
      </c>
      <c r="J1186" s="2" t="s">
        <v>1621</v>
      </c>
      <c r="K1186" s="8" t="s">
        <v>1622</v>
      </c>
      <c r="L1186"/>
      <c r="M1186" s="2" t="s">
        <v>1623</v>
      </c>
      <c r="P1186" s="2" t="s">
        <v>1127</v>
      </c>
      <c r="Q1186" t="s">
        <v>1127</v>
      </c>
    </row>
    <row r="1187" spans="1:17" ht="18" customHeight="1" x14ac:dyDescent="0.2">
      <c r="A1187" s="60" t="s">
        <v>777</v>
      </c>
      <c r="B1187" s="60" t="str">
        <f t="shared" si="74"/>
        <v>avars_2012</v>
      </c>
      <c r="C1187" s="60" t="s">
        <v>4182</v>
      </c>
      <c r="D1187" s="60" t="s">
        <v>1410</v>
      </c>
      <c r="E1187" s="60" t="s">
        <v>1410</v>
      </c>
      <c r="F1187" s="2">
        <v>5</v>
      </c>
      <c r="G1187" s="2" t="str">
        <f t="shared" si="75"/>
        <v>e</v>
      </c>
      <c r="H1187" s="2">
        <v>2012</v>
      </c>
      <c r="I1187" s="2" t="s">
        <v>1620</v>
      </c>
      <c r="J1187" s="2" t="s">
        <v>1621</v>
      </c>
      <c r="K1187" s="8" t="s">
        <v>1622</v>
      </c>
      <c r="L1187"/>
      <c r="M1187" s="2" t="s">
        <v>1623</v>
      </c>
      <c r="P1187" s="2" t="s">
        <v>1127</v>
      </c>
      <c r="Q1187" t="s">
        <v>1127</v>
      </c>
    </row>
    <row r="1188" spans="1:17" ht="18" customHeight="1" x14ac:dyDescent="0.2">
      <c r="A1188" s="60" t="s">
        <v>777</v>
      </c>
      <c r="B1188" s="60" t="str">
        <f t="shared" si="74"/>
        <v>avars_2013</v>
      </c>
      <c r="C1188" s="60" t="s">
        <v>4182</v>
      </c>
      <c r="D1188" s="60" t="s">
        <v>1410</v>
      </c>
      <c r="E1188" s="60" t="s">
        <v>1410</v>
      </c>
      <c r="F1188" s="2">
        <v>6</v>
      </c>
      <c r="G1188" s="2" t="str">
        <f t="shared" si="75"/>
        <v>f</v>
      </c>
      <c r="H1188" s="2">
        <v>2013</v>
      </c>
      <c r="I1188" s="2" t="s">
        <v>1620</v>
      </c>
      <c r="J1188" s="2" t="s">
        <v>1621</v>
      </c>
      <c r="K1188" s="8" t="s">
        <v>1622</v>
      </c>
      <c r="L1188"/>
      <c r="M1188" s="2" t="s">
        <v>1623</v>
      </c>
      <c r="P1188" s="2" t="s">
        <v>1127</v>
      </c>
      <c r="Q1188" t="s">
        <v>1127</v>
      </c>
    </row>
    <row r="1189" spans="1:17" ht="18" customHeight="1" x14ac:dyDescent="0.2">
      <c r="A1189" s="60" t="s">
        <v>777</v>
      </c>
      <c r="B1189" s="60" t="str">
        <f t="shared" si="74"/>
        <v>avars_2014</v>
      </c>
      <c r="C1189" s="60" t="s">
        <v>4182</v>
      </c>
      <c r="D1189" s="60" t="s">
        <v>1410</v>
      </c>
      <c r="E1189" s="60" t="s">
        <v>1410</v>
      </c>
      <c r="F1189" s="2">
        <v>7</v>
      </c>
      <c r="G1189" s="2" t="str">
        <f t="shared" si="75"/>
        <v>g</v>
      </c>
      <c r="H1189" s="2">
        <v>2014</v>
      </c>
      <c r="I1189" s="2" t="s">
        <v>1620</v>
      </c>
      <c r="J1189" s="2" t="s">
        <v>1621</v>
      </c>
      <c r="K1189" s="8" t="s">
        <v>1622</v>
      </c>
      <c r="L1189"/>
      <c r="M1189" s="2" t="s">
        <v>1623</v>
      </c>
      <c r="P1189" s="2" t="s">
        <v>1127</v>
      </c>
      <c r="Q1189" t="s">
        <v>1127</v>
      </c>
    </row>
    <row r="1190" spans="1:17" ht="18" customHeight="1" x14ac:dyDescent="0.2">
      <c r="A1190" s="60" t="s">
        <v>777</v>
      </c>
      <c r="B1190" s="60" t="str">
        <f t="shared" si="74"/>
        <v>avars_2015</v>
      </c>
      <c r="C1190" s="60" t="s">
        <v>4182</v>
      </c>
      <c r="D1190" s="60" t="s">
        <v>1410</v>
      </c>
      <c r="E1190" s="60" t="s">
        <v>1410</v>
      </c>
      <c r="F1190" s="2">
        <v>8</v>
      </c>
      <c r="G1190" s="2" t="str">
        <f t="shared" si="75"/>
        <v>h</v>
      </c>
      <c r="H1190" s="2">
        <v>2015</v>
      </c>
      <c r="I1190" s="2" t="s">
        <v>1620</v>
      </c>
      <c r="J1190" s="2" t="s">
        <v>1621</v>
      </c>
      <c r="K1190" s="8" t="s">
        <v>1622</v>
      </c>
      <c r="L1190"/>
      <c r="M1190" s="2" t="s">
        <v>1623</v>
      </c>
      <c r="P1190" s="2" t="s">
        <v>1127</v>
      </c>
      <c r="Q1190" t="s">
        <v>1127</v>
      </c>
    </row>
    <row r="1191" spans="1:17" ht="18" customHeight="1" x14ac:dyDescent="0.2">
      <c r="A1191" s="60" t="s">
        <v>777</v>
      </c>
      <c r="B1191" s="60" t="str">
        <f t="shared" si="74"/>
        <v>avars_2016</v>
      </c>
      <c r="C1191" s="60" t="s">
        <v>4182</v>
      </c>
      <c r="D1191" s="60" t="s">
        <v>1410</v>
      </c>
      <c r="E1191" s="60" t="s">
        <v>1410</v>
      </c>
      <c r="F1191" s="2">
        <v>9</v>
      </c>
      <c r="G1191" s="2" t="str">
        <f t="shared" si="75"/>
        <v>i</v>
      </c>
      <c r="H1191" s="2">
        <v>2016</v>
      </c>
      <c r="I1191" s="2" t="s">
        <v>1620</v>
      </c>
      <c r="J1191" s="2" t="s">
        <v>1621</v>
      </c>
      <c r="K1191" s="8" t="s">
        <v>1622</v>
      </c>
      <c r="L1191"/>
      <c r="M1191" s="2" t="s">
        <v>1623</v>
      </c>
      <c r="P1191" s="2" t="s">
        <v>1127</v>
      </c>
      <c r="Q1191" t="s">
        <v>1127</v>
      </c>
    </row>
    <row r="1192" spans="1:17" ht="18" customHeight="1" x14ac:dyDescent="0.2">
      <c r="A1192" s="60" t="s">
        <v>777</v>
      </c>
      <c r="B1192" s="60" t="str">
        <f t="shared" si="74"/>
        <v>avars_2017</v>
      </c>
      <c r="C1192" s="60" t="s">
        <v>4182</v>
      </c>
      <c r="D1192" s="60" t="s">
        <v>1410</v>
      </c>
      <c r="E1192" s="60" t="s">
        <v>1410</v>
      </c>
      <c r="F1192" s="2">
        <v>10</v>
      </c>
      <c r="G1192" s="2" t="str">
        <f t="shared" si="75"/>
        <v>j</v>
      </c>
      <c r="H1192" s="2">
        <v>2017</v>
      </c>
      <c r="I1192" s="2" t="s">
        <v>1620</v>
      </c>
      <c r="J1192" s="2" t="s">
        <v>1621</v>
      </c>
      <c r="K1192" s="8" t="s">
        <v>1622</v>
      </c>
      <c r="L1192"/>
      <c r="M1192" s="2" t="s">
        <v>1623</v>
      </c>
      <c r="P1192" s="2" t="s">
        <v>1127</v>
      </c>
      <c r="Q1192" t="s">
        <v>1127</v>
      </c>
    </row>
    <row r="1193" spans="1:17" ht="18" customHeight="1" x14ac:dyDescent="0.2">
      <c r="A1193" s="60" t="s">
        <v>777</v>
      </c>
      <c r="B1193" s="60" t="str">
        <f t="shared" si="74"/>
        <v>avars_2018</v>
      </c>
      <c r="C1193" s="60" t="s">
        <v>4182</v>
      </c>
      <c r="D1193" s="60" t="s">
        <v>1410</v>
      </c>
      <c r="E1193" s="60" t="s">
        <v>1410</v>
      </c>
      <c r="F1193" s="2">
        <v>11</v>
      </c>
      <c r="G1193" s="2" t="str">
        <f t="shared" si="75"/>
        <v>k</v>
      </c>
      <c r="H1193" s="2">
        <v>2018</v>
      </c>
      <c r="I1193" s="2" t="s">
        <v>1620</v>
      </c>
      <c r="J1193" s="2" t="s">
        <v>1621</v>
      </c>
      <c r="K1193" s="8" t="s">
        <v>1622</v>
      </c>
      <c r="L1193"/>
      <c r="M1193" s="2" t="s">
        <v>1623</v>
      </c>
      <c r="P1193" s="2" t="s">
        <v>1127</v>
      </c>
      <c r="Q1193" t="s">
        <v>1127</v>
      </c>
    </row>
    <row r="1194" spans="1:17" ht="18" customHeight="1" x14ac:dyDescent="0.2">
      <c r="A1194" s="60" t="s">
        <v>777</v>
      </c>
      <c r="B1194" s="60" t="str">
        <f t="shared" si="74"/>
        <v>avars_2008</v>
      </c>
      <c r="C1194" s="60" t="s">
        <v>4182</v>
      </c>
      <c r="D1194" s="60" t="s">
        <v>1410</v>
      </c>
      <c r="E1194" s="60" t="s">
        <v>1410</v>
      </c>
      <c r="F1194" s="2">
        <v>1</v>
      </c>
      <c r="G1194" s="2" t="str">
        <f t="shared" si="75"/>
        <v>a</v>
      </c>
      <c r="H1194" s="2">
        <v>2008</v>
      </c>
      <c r="I1194" s="2" t="s">
        <v>1620</v>
      </c>
      <c r="J1194" s="2" t="s">
        <v>1621</v>
      </c>
      <c r="K1194" s="8" t="s">
        <v>1622</v>
      </c>
      <c r="L1194"/>
      <c r="M1194" s="2" t="s">
        <v>1623</v>
      </c>
      <c r="P1194" s="2" t="s">
        <v>1127</v>
      </c>
      <c r="Q1194" t="s">
        <v>1127</v>
      </c>
    </row>
    <row r="1195" spans="1:17" ht="18" customHeight="1" x14ac:dyDescent="0.2">
      <c r="A1195" s="60" t="s">
        <v>777</v>
      </c>
      <c r="B1195" s="60" t="str">
        <f t="shared" si="74"/>
        <v>avars_2009</v>
      </c>
      <c r="C1195" s="60" t="s">
        <v>4182</v>
      </c>
      <c r="D1195" s="60" t="s">
        <v>1410</v>
      </c>
      <c r="E1195" s="60" t="s">
        <v>1410</v>
      </c>
      <c r="F1195" s="2">
        <v>2</v>
      </c>
      <c r="G1195" s="2" t="str">
        <f t="shared" si="75"/>
        <v>b</v>
      </c>
      <c r="H1195" s="2">
        <v>2009</v>
      </c>
      <c r="I1195" s="2" t="s">
        <v>1620</v>
      </c>
      <c r="J1195" s="2" t="s">
        <v>1621</v>
      </c>
      <c r="K1195" s="8" t="s">
        <v>1622</v>
      </c>
      <c r="L1195"/>
      <c r="M1195" s="2" t="s">
        <v>1623</v>
      </c>
      <c r="P1195" s="2" t="s">
        <v>1127</v>
      </c>
      <c r="Q1195" t="s">
        <v>1127</v>
      </c>
    </row>
    <row r="1196" spans="1:17" ht="18" customHeight="1" x14ac:dyDescent="0.2">
      <c r="A1196" s="60" t="s">
        <v>777</v>
      </c>
      <c r="B1196" s="60" t="str">
        <f t="shared" si="74"/>
        <v>avars_2010</v>
      </c>
      <c r="C1196" s="60" t="s">
        <v>4182</v>
      </c>
      <c r="D1196" s="60" t="s">
        <v>1410</v>
      </c>
      <c r="E1196" s="60" t="s">
        <v>1410</v>
      </c>
      <c r="F1196" s="2">
        <v>3</v>
      </c>
      <c r="G1196" s="2" t="str">
        <f t="shared" si="75"/>
        <v>c</v>
      </c>
      <c r="H1196" s="2">
        <v>2010</v>
      </c>
      <c r="I1196" s="2" t="s">
        <v>1620</v>
      </c>
      <c r="J1196" s="2" t="s">
        <v>1621</v>
      </c>
      <c r="K1196" s="8" t="s">
        <v>1622</v>
      </c>
      <c r="L1196"/>
      <c r="M1196" s="2" t="s">
        <v>1623</v>
      </c>
      <c r="P1196" s="2" t="s">
        <v>1127</v>
      </c>
      <c r="Q1196" t="s">
        <v>1127</v>
      </c>
    </row>
    <row r="1197" spans="1:17" ht="18" customHeight="1" x14ac:dyDescent="0.2">
      <c r="A1197" s="60" t="s">
        <v>777</v>
      </c>
      <c r="B1197" s="60" t="str">
        <f t="shared" si="74"/>
        <v>avars_2011</v>
      </c>
      <c r="C1197" s="60" t="s">
        <v>4182</v>
      </c>
      <c r="D1197" s="60" t="s">
        <v>1410</v>
      </c>
      <c r="E1197" s="60" t="s">
        <v>1410</v>
      </c>
      <c r="F1197" s="2">
        <v>4</v>
      </c>
      <c r="G1197" s="2" t="str">
        <f t="shared" si="75"/>
        <v>d</v>
      </c>
      <c r="H1197" s="2">
        <v>2011</v>
      </c>
      <c r="I1197" s="2" t="s">
        <v>1620</v>
      </c>
      <c r="J1197" s="2" t="s">
        <v>1621</v>
      </c>
      <c r="K1197" s="8" t="s">
        <v>1622</v>
      </c>
      <c r="L1197"/>
      <c r="M1197" s="2" t="s">
        <v>1623</v>
      </c>
      <c r="P1197" s="2" t="s">
        <v>1127</v>
      </c>
      <c r="Q1197" t="s">
        <v>1127</v>
      </c>
    </row>
    <row r="1198" spans="1:17" ht="18" customHeight="1" x14ac:dyDescent="0.2">
      <c r="A1198" s="60" t="s">
        <v>777</v>
      </c>
      <c r="B1198" s="60" t="str">
        <f t="shared" si="74"/>
        <v>avars_2012</v>
      </c>
      <c r="C1198" s="60" t="s">
        <v>4182</v>
      </c>
      <c r="D1198" s="60" t="s">
        <v>1410</v>
      </c>
      <c r="E1198" s="60" t="s">
        <v>1410</v>
      </c>
      <c r="F1198" s="2">
        <v>5</v>
      </c>
      <c r="G1198" s="2" t="str">
        <f t="shared" si="75"/>
        <v>e</v>
      </c>
      <c r="H1198" s="2">
        <v>2012</v>
      </c>
      <c r="I1198" s="2" t="s">
        <v>1620</v>
      </c>
      <c r="J1198" s="2" t="s">
        <v>1621</v>
      </c>
      <c r="K1198" s="8" t="s">
        <v>1622</v>
      </c>
      <c r="L1198"/>
      <c r="M1198" s="2" t="s">
        <v>1623</v>
      </c>
      <c r="P1198" s="2" t="s">
        <v>1127</v>
      </c>
      <c r="Q1198" t="s">
        <v>1127</v>
      </c>
    </row>
    <row r="1199" spans="1:17" ht="18" customHeight="1" x14ac:dyDescent="0.2">
      <c r="A1199" s="60" t="s">
        <v>777</v>
      </c>
      <c r="B1199" s="60" t="str">
        <f t="shared" si="74"/>
        <v>avars_2013</v>
      </c>
      <c r="C1199" s="60" t="s">
        <v>4182</v>
      </c>
      <c r="D1199" s="60" t="s">
        <v>1410</v>
      </c>
      <c r="E1199" s="60" t="s">
        <v>1410</v>
      </c>
      <c r="F1199" s="2">
        <v>6</v>
      </c>
      <c r="G1199" s="2" t="str">
        <f t="shared" si="75"/>
        <v>f</v>
      </c>
      <c r="H1199" s="2">
        <v>2013</v>
      </c>
      <c r="I1199" s="2" t="s">
        <v>1620</v>
      </c>
      <c r="J1199" s="2" t="s">
        <v>1621</v>
      </c>
      <c r="K1199" s="8" t="s">
        <v>1622</v>
      </c>
      <c r="L1199"/>
      <c r="M1199" s="2" t="s">
        <v>1623</v>
      </c>
      <c r="P1199" s="2" t="s">
        <v>1127</v>
      </c>
      <c r="Q1199" t="s">
        <v>1127</v>
      </c>
    </row>
    <row r="1200" spans="1:17" ht="18" customHeight="1" x14ac:dyDescent="0.2">
      <c r="A1200" s="60" t="s">
        <v>777</v>
      </c>
      <c r="B1200" s="60" t="str">
        <f t="shared" si="74"/>
        <v>avars_2014</v>
      </c>
      <c r="C1200" s="60" t="s">
        <v>4182</v>
      </c>
      <c r="D1200" s="60" t="s">
        <v>1410</v>
      </c>
      <c r="E1200" s="60" t="s">
        <v>1410</v>
      </c>
      <c r="F1200" s="2">
        <v>7</v>
      </c>
      <c r="G1200" s="2" t="str">
        <f t="shared" si="75"/>
        <v>g</v>
      </c>
      <c r="H1200" s="2">
        <v>2014</v>
      </c>
      <c r="I1200" s="2" t="s">
        <v>1620</v>
      </c>
      <c r="J1200" s="2" t="s">
        <v>1621</v>
      </c>
      <c r="K1200" s="8" t="s">
        <v>1622</v>
      </c>
      <c r="L1200"/>
      <c r="M1200" s="2" t="s">
        <v>1623</v>
      </c>
      <c r="P1200" s="2" t="s">
        <v>1127</v>
      </c>
      <c r="Q1200" t="s">
        <v>1127</v>
      </c>
    </row>
    <row r="1201" spans="1:17" ht="18" customHeight="1" x14ac:dyDescent="0.2">
      <c r="A1201" s="60" t="s">
        <v>777</v>
      </c>
      <c r="B1201" s="60" t="str">
        <f t="shared" ref="B1201:B1264" si="76">"avars_" &amp;  H1201</f>
        <v>avars_2015</v>
      </c>
      <c r="C1201" s="60" t="s">
        <v>4182</v>
      </c>
      <c r="D1201" s="60" t="s">
        <v>1410</v>
      </c>
      <c r="E1201" s="60" t="s">
        <v>1410</v>
      </c>
      <c r="F1201" s="2">
        <v>8</v>
      </c>
      <c r="G1201" s="2" t="str">
        <f t="shared" ref="G1201:G1264" si="77">MID("abcdefghijklmnopqrstuvwxyz",F1201,1)</f>
        <v>h</v>
      </c>
      <c r="H1201" s="2">
        <v>2015</v>
      </c>
      <c r="I1201" s="2" t="s">
        <v>1620</v>
      </c>
      <c r="J1201" s="2" t="s">
        <v>1621</v>
      </c>
      <c r="K1201" s="8" t="s">
        <v>1622</v>
      </c>
      <c r="L1201"/>
      <c r="M1201" s="2" t="s">
        <v>1623</v>
      </c>
      <c r="P1201" s="2" t="s">
        <v>1127</v>
      </c>
      <c r="Q1201" t="s">
        <v>1127</v>
      </c>
    </row>
    <row r="1202" spans="1:17" ht="18" customHeight="1" x14ac:dyDescent="0.2">
      <c r="A1202" s="60" t="s">
        <v>777</v>
      </c>
      <c r="B1202" s="60" t="str">
        <f t="shared" si="76"/>
        <v>avars_2016</v>
      </c>
      <c r="C1202" s="60" t="s">
        <v>4182</v>
      </c>
      <c r="D1202" s="60" t="s">
        <v>1410</v>
      </c>
      <c r="E1202" s="60" t="s">
        <v>1410</v>
      </c>
      <c r="F1202" s="2">
        <v>9</v>
      </c>
      <c r="G1202" s="2" t="str">
        <f t="shared" si="77"/>
        <v>i</v>
      </c>
      <c r="H1202" s="2">
        <v>2016</v>
      </c>
      <c r="I1202" s="2" t="s">
        <v>1620</v>
      </c>
      <c r="J1202" s="2" t="s">
        <v>1621</v>
      </c>
      <c r="K1202" s="8" t="s">
        <v>1622</v>
      </c>
      <c r="L1202"/>
      <c r="M1202" s="2" t="s">
        <v>1623</v>
      </c>
      <c r="P1202" s="2" t="s">
        <v>1127</v>
      </c>
      <c r="Q1202" t="s">
        <v>1127</v>
      </c>
    </row>
    <row r="1203" spans="1:17" ht="18" customHeight="1" x14ac:dyDescent="0.2">
      <c r="A1203" s="60" t="s">
        <v>777</v>
      </c>
      <c r="B1203" s="60" t="str">
        <f t="shared" si="76"/>
        <v>avars_2017</v>
      </c>
      <c r="C1203" s="60" t="s">
        <v>4182</v>
      </c>
      <c r="D1203" s="60" t="s">
        <v>1410</v>
      </c>
      <c r="E1203" s="60" t="s">
        <v>1410</v>
      </c>
      <c r="F1203" s="2">
        <v>10</v>
      </c>
      <c r="G1203" s="2" t="str">
        <f t="shared" si="77"/>
        <v>j</v>
      </c>
      <c r="H1203" s="2">
        <v>2017</v>
      </c>
      <c r="I1203" s="2" t="s">
        <v>1620</v>
      </c>
      <c r="J1203" s="2" t="s">
        <v>1621</v>
      </c>
      <c r="K1203" s="8" t="s">
        <v>1622</v>
      </c>
      <c r="L1203"/>
      <c r="M1203" s="2" t="s">
        <v>1623</v>
      </c>
      <c r="P1203" s="2" t="s">
        <v>1127</v>
      </c>
      <c r="Q1203" t="s">
        <v>1127</v>
      </c>
    </row>
    <row r="1204" spans="1:17" ht="18" customHeight="1" x14ac:dyDescent="0.2">
      <c r="A1204" s="60" t="s">
        <v>777</v>
      </c>
      <c r="B1204" s="60" t="str">
        <f t="shared" si="76"/>
        <v>avars_2018</v>
      </c>
      <c r="C1204" s="60" t="s">
        <v>4182</v>
      </c>
      <c r="D1204" s="60" t="s">
        <v>1410</v>
      </c>
      <c r="E1204" s="60" t="s">
        <v>1410</v>
      </c>
      <c r="F1204" s="2">
        <v>11</v>
      </c>
      <c r="G1204" s="2" t="str">
        <f t="shared" si="77"/>
        <v>k</v>
      </c>
      <c r="H1204" s="2">
        <v>2018</v>
      </c>
      <c r="I1204" s="2" t="s">
        <v>1620</v>
      </c>
      <c r="J1204" s="2" t="s">
        <v>1621</v>
      </c>
      <c r="K1204" s="8" t="s">
        <v>1622</v>
      </c>
      <c r="L1204"/>
      <c r="M1204" s="2" t="s">
        <v>1623</v>
      </c>
      <c r="P1204" s="2" t="s">
        <v>1127</v>
      </c>
      <c r="Q1204" t="s">
        <v>1127</v>
      </c>
    </row>
    <row r="1205" spans="1:17" ht="18" customHeight="1" x14ac:dyDescent="0.2">
      <c r="A1205" s="70" t="s">
        <v>777</v>
      </c>
      <c r="B1205" s="70" t="str">
        <f t="shared" si="76"/>
        <v>avars_2008</v>
      </c>
      <c r="C1205" s="70" t="s">
        <v>4182</v>
      </c>
      <c r="D1205" s="70" t="s">
        <v>638</v>
      </c>
      <c r="E1205" s="70" t="s">
        <v>4193</v>
      </c>
      <c r="F1205" s="2">
        <v>1</v>
      </c>
      <c r="G1205" s="2" t="str">
        <f t="shared" si="77"/>
        <v>a</v>
      </c>
      <c r="H1205" s="2">
        <v>2008</v>
      </c>
      <c r="I1205" s="2" t="s">
        <v>968</v>
      </c>
      <c r="J1205" s="2" t="s">
        <v>664</v>
      </c>
      <c r="K1205" s="2" t="s">
        <v>642</v>
      </c>
      <c r="M1205" s="2" t="s">
        <v>972</v>
      </c>
      <c r="P1205" s="2" t="s">
        <v>4181</v>
      </c>
      <c r="Q1205" t="s">
        <v>4181</v>
      </c>
    </row>
    <row r="1206" spans="1:17" ht="18" customHeight="1" x14ac:dyDescent="0.2">
      <c r="A1206" s="67" t="s">
        <v>777</v>
      </c>
      <c r="B1206" s="67" t="str">
        <f t="shared" si="76"/>
        <v>avars_2009</v>
      </c>
      <c r="C1206" s="67" t="s">
        <v>4182</v>
      </c>
      <c r="D1206" s="70" t="s">
        <v>638</v>
      </c>
      <c r="E1206" s="70" t="s">
        <v>4193</v>
      </c>
      <c r="F1206" s="2">
        <v>2</v>
      </c>
      <c r="G1206" s="2" t="str">
        <f t="shared" si="77"/>
        <v>b</v>
      </c>
      <c r="H1206" s="2">
        <v>2009</v>
      </c>
      <c r="I1206" s="2" t="s">
        <v>968</v>
      </c>
      <c r="J1206" s="2" t="s">
        <v>664</v>
      </c>
      <c r="K1206" s="2" t="s">
        <v>642</v>
      </c>
      <c r="M1206" s="2" t="s">
        <v>972</v>
      </c>
      <c r="P1206" s="2" t="s">
        <v>4181</v>
      </c>
      <c r="Q1206" t="s">
        <v>4181</v>
      </c>
    </row>
    <row r="1207" spans="1:17" ht="18" customHeight="1" x14ac:dyDescent="0.2">
      <c r="A1207" s="67" t="s">
        <v>777</v>
      </c>
      <c r="B1207" s="67" t="str">
        <f t="shared" si="76"/>
        <v>avars_2010</v>
      </c>
      <c r="C1207" s="67" t="s">
        <v>4182</v>
      </c>
      <c r="D1207" s="70" t="s">
        <v>638</v>
      </c>
      <c r="E1207" s="70" t="s">
        <v>4193</v>
      </c>
      <c r="F1207" s="2">
        <v>3</v>
      </c>
      <c r="G1207" s="2" t="str">
        <f t="shared" si="77"/>
        <v>c</v>
      </c>
      <c r="H1207" s="2">
        <v>2010</v>
      </c>
      <c r="I1207" s="2" t="s">
        <v>968</v>
      </c>
      <c r="J1207" s="2" t="s">
        <v>664</v>
      </c>
      <c r="K1207" s="2" t="s">
        <v>642</v>
      </c>
      <c r="M1207" s="2" t="s">
        <v>972</v>
      </c>
      <c r="P1207" s="2" t="s">
        <v>4181</v>
      </c>
      <c r="Q1207" t="s">
        <v>4181</v>
      </c>
    </row>
    <row r="1208" spans="1:17" ht="18" customHeight="1" x14ac:dyDescent="0.2">
      <c r="A1208" s="67" t="s">
        <v>777</v>
      </c>
      <c r="B1208" s="67" t="str">
        <f t="shared" si="76"/>
        <v>avars_2011</v>
      </c>
      <c r="C1208" s="67" t="s">
        <v>4182</v>
      </c>
      <c r="D1208" s="70" t="s">
        <v>638</v>
      </c>
      <c r="E1208" s="70" t="s">
        <v>4193</v>
      </c>
      <c r="F1208" s="2">
        <v>4</v>
      </c>
      <c r="G1208" s="2" t="str">
        <f t="shared" si="77"/>
        <v>d</v>
      </c>
      <c r="H1208" s="2">
        <v>2011</v>
      </c>
      <c r="I1208" s="2" t="s">
        <v>968</v>
      </c>
      <c r="J1208" s="2" t="s">
        <v>664</v>
      </c>
      <c r="K1208" s="2" t="s">
        <v>642</v>
      </c>
      <c r="M1208" s="2" t="s">
        <v>972</v>
      </c>
      <c r="P1208" s="2" t="s">
        <v>4181</v>
      </c>
      <c r="Q1208" t="s">
        <v>4181</v>
      </c>
    </row>
    <row r="1209" spans="1:17" ht="18" customHeight="1" x14ac:dyDescent="0.2">
      <c r="A1209" s="67" t="s">
        <v>777</v>
      </c>
      <c r="B1209" s="67" t="str">
        <f t="shared" si="76"/>
        <v>avars_2012</v>
      </c>
      <c r="C1209" s="67" t="s">
        <v>4182</v>
      </c>
      <c r="D1209" s="70" t="s">
        <v>638</v>
      </c>
      <c r="E1209" s="70" t="s">
        <v>4193</v>
      </c>
      <c r="F1209" s="2">
        <v>5</v>
      </c>
      <c r="G1209" s="2" t="str">
        <f t="shared" si="77"/>
        <v>e</v>
      </c>
      <c r="H1209" s="2">
        <v>2012</v>
      </c>
      <c r="I1209" s="2" t="s">
        <v>968</v>
      </c>
      <c r="J1209" s="2" t="s">
        <v>664</v>
      </c>
      <c r="K1209" s="2" t="s">
        <v>642</v>
      </c>
      <c r="M1209" s="2" t="s">
        <v>972</v>
      </c>
      <c r="P1209" s="2" t="s">
        <v>4181</v>
      </c>
      <c r="Q1209" t="s">
        <v>4181</v>
      </c>
    </row>
    <row r="1210" spans="1:17" ht="18" customHeight="1" x14ac:dyDescent="0.2">
      <c r="A1210" s="67" t="s">
        <v>777</v>
      </c>
      <c r="B1210" s="67" t="str">
        <f t="shared" si="76"/>
        <v>avars_2013</v>
      </c>
      <c r="C1210" s="67" t="s">
        <v>4182</v>
      </c>
      <c r="D1210" s="70" t="s">
        <v>638</v>
      </c>
      <c r="E1210" s="70" t="s">
        <v>4193</v>
      </c>
      <c r="F1210" s="2">
        <v>6</v>
      </c>
      <c r="G1210" s="2" t="str">
        <f t="shared" si="77"/>
        <v>f</v>
      </c>
      <c r="H1210" s="2">
        <v>2013</v>
      </c>
      <c r="I1210" s="2" t="s">
        <v>968</v>
      </c>
      <c r="J1210" s="2" t="s">
        <v>664</v>
      </c>
      <c r="K1210" s="2" t="s">
        <v>642</v>
      </c>
      <c r="M1210" s="2" t="s">
        <v>972</v>
      </c>
      <c r="P1210" s="2" t="s">
        <v>4181</v>
      </c>
      <c r="Q1210" t="s">
        <v>4181</v>
      </c>
    </row>
    <row r="1211" spans="1:17" ht="18" customHeight="1" x14ac:dyDescent="0.2">
      <c r="A1211" s="67" t="s">
        <v>777</v>
      </c>
      <c r="B1211" s="67" t="str">
        <f t="shared" si="76"/>
        <v>avars_2014</v>
      </c>
      <c r="C1211" s="67" t="s">
        <v>4182</v>
      </c>
      <c r="D1211" s="70" t="s">
        <v>638</v>
      </c>
      <c r="E1211" s="70" t="s">
        <v>4193</v>
      </c>
      <c r="F1211" s="2">
        <v>7</v>
      </c>
      <c r="G1211" s="2" t="str">
        <f t="shared" si="77"/>
        <v>g</v>
      </c>
      <c r="H1211" s="2">
        <v>2014</v>
      </c>
      <c r="I1211" s="2" t="s">
        <v>968</v>
      </c>
      <c r="J1211" s="2" t="s">
        <v>664</v>
      </c>
      <c r="K1211" s="2" t="s">
        <v>642</v>
      </c>
      <c r="M1211" s="2" t="s">
        <v>972</v>
      </c>
      <c r="P1211" s="2" t="s">
        <v>4181</v>
      </c>
      <c r="Q1211" t="s">
        <v>4181</v>
      </c>
    </row>
    <row r="1212" spans="1:17" ht="18" customHeight="1" x14ac:dyDescent="0.2">
      <c r="A1212" s="67" t="s">
        <v>777</v>
      </c>
      <c r="B1212" s="67" t="str">
        <f t="shared" si="76"/>
        <v>avars_2015</v>
      </c>
      <c r="C1212" s="67" t="s">
        <v>4182</v>
      </c>
      <c r="D1212" s="70" t="s">
        <v>638</v>
      </c>
      <c r="E1212" s="70" t="s">
        <v>4193</v>
      </c>
      <c r="F1212" s="2">
        <v>8</v>
      </c>
      <c r="G1212" s="2" t="str">
        <f t="shared" si="77"/>
        <v>h</v>
      </c>
      <c r="H1212" s="2">
        <v>2015</v>
      </c>
      <c r="I1212" s="2" t="s">
        <v>968</v>
      </c>
      <c r="J1212" s="2" t="s">
        <v>664</v>
      </c>
      <c r="K1212" s="2" t="s">
        <v>642</v>
      </c>
      <c r="M1212" s="2" t="s">
        <v>972</v>
      </c>
      <c r="P1212" s="2" t="s">
        <v>4181</v>
      </c>
      <c r="Q1212" t="s">
        <v>4181</v>
      </c>
    </row>
    <row r="1213" spans="1:17" ht="18" customHeight="1" x14ac:dyDescent="0.2">
      <c r="A1213" s="67" t="s">
        <v>777</v>
      </c>
      <c r="B1213" s="67" t="str">
        <f t="shared" si="76"/>
        <v>avars_2016</v>
      </c>
      <c r="C1213" s="67" t="s">
        <v>4182</v>
      </c>
      <c r="D1213" s="70" t="s">
        <v>638</v>
      </c>
      <c r="E1213" s="70" t="s">
        <v>4193</v>
      </c>
      <c r="F1213" s="2">
        <v>9</v>
      </c>
      <c r="G1213" s="2" t="str">
        <f t="shared" si="77"/>
        <v>i</v>
      </c>
      <c r="H1213" s="2">
        <v>2016</v>
      </c>
      <c r="I1213" s="2" t="s">
        <v>968</v>
      </c>
      <c r="J1213" s="2" t="s">
        <v>664</v>
      </c>
      <c r="K1213" s="2" t="s">
        <v>642</v>
      </c>
      <c r="M1213" s="2" t="s">
        <v>972</v>
      </c>
      <c r="P1213" s="2" t="s">
        <v>4181</v>
      </c>
      <c r="Q1213" t="s">
        <v>4181</v>
      </c>
    </row>
    <row r="1214" spans="1:17" ht="18" customHeight="1" x14ac:dyDescent="0.2">
      <c r="A1214" s="67" t="s">
        <v>777</v>
      </c>
      <c r="B1214" s="67" t="str">
        <f t="shared" si="76"/>
        <v>avars_2017</v>
      </c>
      <c r="C1214" s="67" t="s">
        <v>4182</v>
      </c>
      <c r="D1214" s="70" t="s">
        <v>638</v>
      </c>
      <c r="E1214" s="70" t="s">
        <v>4193</v>
      </c>
      <c r="F1214" s="2">
        <v>10</v>
      </c>
      <c r="G1214" s="2" t="str">
        <f t="shared" si="77"/>
        <v>j</v>
      </c>
      <c r="H1214" s="2">
        <v>2017</v>
      </c>
      <c r="I1214" s="2" t="s">
        <v>968</v>
      </c>
      <c r="J1214" s="2" t="s">
        <v>664</v>
      </c>
      <c r="K1214" s="2" t="s">
        <v>642</v>
      </c>
      <c r="M1214" s="2" t="s">
        <v>972</v>
      </c>
      <c r="P1214" s="2" t="s">
        <v>4181</v>
      </c>
      <c r="Q1214" t="s">
        <v>4181</v>
      </c>
    </row>
    <row r="1215" spans="1:17" ht="18" customHeight="1" x14ac:dyDescent="0.2">
      <c r="A1215" s="67" t="s">
        <v>777</v>
      </c>
      <c r="B1215" s="67" t="str">
        <f t="shared" si="76"/>
        <v>avars_2018</v>
      </c>
      <c r="C1215" s="67" t="s">
        <v>4182</v>
      </c>
      <c r="D1215" s="70" t="s">
        <v>638</v>
      </c>
      <c r="E1215" s="70" t="s">
        <v>4193</v>
      </c>
      <c r="F1215" s="2">
        <v>11</v>
      </c>
      <c r="G1215" s="2" t="str">
        <f t="shared" si="77"/>
        <v>k</v>
      </c>
      <c r="H1215" s="2">
        <v>2018</v>
      </c>
      <c r="I1215" s="2" t="s">
        <v>968</v>
      </c>
      <c r="J1215" s="2" t="s">
        <v>664</v>
      </c>
      <c r="K1215" s="2" t="s">
        <v>642</v>
      </c>
      <c r="M1215" s="2" t="s">
        <v>972</v>
      </c>
      <c r="P1215" s="2" t="s">
        <v>4181</v>
      </c>
      <c r="Q1215" t="s">
        <v>4181</v>
      </c>
    </row>
    <row r="1216" spans="1:17" ht="18" customHeight="1" x14ac:dyDescent="0.2">
      <c r="A1216" s="67" t="s">
        <v>777</v>
      </c>
      <c r="B1216" s="67" t="str">
        <f t="shared" si="76"/>
        <v>avars_2008</v>
      </c>
      <c r="C1216" s="67" t="s">
        <v>4182</v>
      </c>
      <c r="D1216" s="70" t="s">
        <v>638</v>
      </c>
      <c r="E1216" s="70" t="s">
        <v>4193</v>
      </c>
      <c r="F1216" s="2">
        <v>1</v>
      </c>
      <c r="G1216" s="2" t="str">
        <f t="shared" si="77"/>
        <v>a</v>
      </c>
      <c r="H1216" s="2">
        <v>2008</v>
      </c>
      <c r="I1216" s="2" t="s">
        <v>968</v>
      </c>
      <c r="J1216" s="2" t="s">
        <v>664</v>
      </c>
      <c r="K1216" s="2" t="s">
        <v>642</v>
      </c>
      <c r="M1216" s="2" t="s">
        <v>972</v>
      </c>
      <c r="P1216" s="2" t="s">
        <v>4181</v>
      </c>
      <c r="Q1216" t="s">
        <v>4181</v>
      </c>
    </row>
    <row r="1217" spans="1:17" ht="18" customHeight="1" x14ac:dyDescent="0.2">
      <c r="A1217" s="67" t="s">
        <v>777</v>
      </c>
      <c r="B1217" s="67" t="str">
        <f t="shared" si="76"/>
        <v>avars_2009</v>
      </c>
      <c r="C1217" s="67" t="s">
        <v>4182</v>
      </c>
      <c r="D1217" s="70" t="s">
        <v>638</v>
      </c>
      <c r="E1217" s="70" t="s">
        <v>4193</v>
      </c>
      <c r="F1217" s="2">
        <v>2</v>
      </c>
      <c r="G1217" s="2" t="str">
        <f t="shared" si="77"/>
        <v>b</v>
      </c>
      <c r="H1217" s="2">
        <v>2009</v>
      </c>
      <c r="I1217" s="2" t="s">
        <v>968</v>
      </c>
      <c r="J1217" s="2" t="s">
        <v>664</v>
      </c>
      <c r="K1217" s="2" t="s">
        <v>642</v>
      </c>
      <c r="M1217" s="2" t="s">
        <v>972</v>
      </c>
      <c r="P1217" s="2" t="s">
        <v>4181</v>
      </c>
      <c r="Q1217" t="s">
        <v>4181</v>
      </c>
    </row>
    <row r="1218" spans="1:17" ht="18" customHeight="1" x14ac:dyDescent="0.2">
      <c r="A1218" s="67" t="s">
        <v>777</v>
      </c>
      <c r="B1218" s="67" t="str">
        <f t="shared" si="76"/>
        <v>avars_2010</v>
      </c>
      <c r="C1218" s="67" t="s">
        <v>4182</v>
      </c>
      <c r="D1218" s="70" t="s">
        <v>638</v>
      </c>
      <c r="E1218" s="70" t="s">
        <v>4193</v>
      </c>
      <c r="F1218" s="2">
        <v>3</v>
      </c>
      <c r="G1218" s="2" t="str">
        <f t="shared" si="77"/>
        <v>c</v>
      </c>
      <c r="H1218" s="2">
        <v>2010</v>
      </c>
      <c r="I1218" s="2" t="s">
        <v>968</v>
      </c>
      <c r="J1218" s="2" t="s">
        <v>664</v>
      </c>
      <c r="K1218" s="2" t="s">
        <v>642</v>
      </c>
      <c r="M1218" s="2" t="s">
        <v>972</v>
      </c>
      <c r="P1218" s="2" t="s">
        <v>4181</v>
      </c>
      <c r="Q1218" t="s">
        <v>4181</v>
      </c>
    </row>
    <row r="1219" spans="1:17" ht="18" customHeight="1" x14ac:dyDescent="0.2">
      <c r="A1219" s="67" t="s">
        <v>777</v>
      </c>
      <c r="B1219" s="67" t="str">
        <f t="shared" si="76"/>
        <v>avars_2011</v>
      </c>
      <c r="C1219" s="67" t="s">
        <v>4182</v>
      </c>
      <c r="D1219" s="70" t="s">
        <v>638</v>
      </c>
      <c r="E1219" s="70" t="s">
        <v>4193</v>
      </c>
      <c r="F1219" s="2">
        <v>4</v>
      </c>
      <c r="G1219" s="2" t="str">
        <f t="shared" si="77"/>
        <v>d</v>
      </c>
      <c r="H1219" s="2">
        <v>2011</v>
      </c>
      <c r="I1219" s="2" t="s">
        <v>968</v>
      </c>
      <c r="J1219" s="2" t="s">
        <v>664</v>
      </c>
      <c r="K1219" s="2" t="s">
        <v>642</v>
      </c>
      <c r="M1219" s="2" t="s">
        <v>972</v>
      </c>
      <c r="P1219" s="2" t="s">
        <v>4181</v>
      </c>
      <c r="Q1219" t="s">
        <v>4181</v>
      </c>
    </row>
    <row r="1220" spans="1:17" ht="18" customHeight="1" x14ac:dyDescent="0.2">
      <c r="A1220" s="67" t="s">
        <v>777</v>
      </c>
      <c r="B1220" s="67" t="str">
        <f t="shared" si="76"/>
        <v>avars_2012</v>
      </c>
      <c r="C1220" s="67" t="s">
        <v>4182</v>
      </c>
      <c r="D1220" s="70" t="s">
        <v>638</v>
      </c>
      <c r="E1220" s="70" t="s">
        <v>4193</v>
      </c>
      <c r="F1220" s="2">
        <v>5</v>
      </c>
      <c r="G1220" s="2" t="str">
        <f t="shared" si="77"/>
        <v>e</v>
      </c>
      <c r="H1220" s="2">
        <v>2012</v>
      </c>
      <c r="I1220" s="2" t="s">
        <v>968</v>
      </c>
      <c r="J1220" s="2" t="s">
        <v>664</v>
      </c>
      <c r="K1220" s="2" t="s">
        <v>642</v>
      </c>
      <c r="M1220" s="2" t="s">
        <v>972</v>
      </c>
      <c r="P1220" s="2" t="s">
        <v>4181</v>
      </c>
      <c r="Q1220" t="s">
        <v>4181</v>
      </c>
    </row>
    <row r="1221" spans="1:17" ht="18" customHeight="1" x14ac:dyDescent="0.2">
      <c r="A1221" s="67" t="s">
        <v>777</v>
      </c>
      <c r="B1221" s="67" t="str">
        <f t="shared" si="76"/>
        <v>avars_2013</v>
      </c>
      <c r="C1221" s="67" t="s">
        <v>4182</v>
      </c>
      <c r="D1221" s="70" t="s">
        <v>638</v>
      </c>
      <c r="E1221" s="70" t="s">
        <v>4193</v>
      </c>
      <c r="F1221" s="2">
        <v>6</v>
      </c>
      <c r="G1221" s="2" t="str">
        <f t="shared" si="77"/>
        <v>f</v>
      </c>
      <c r="H1221" s="2">
        <v>2013</v>
      </c>
      <c r="I1221" s="2" t="s">
        <v>968</v>
      </c>
      <c r="J1221" s="2" t="s">
        <v>664</v>
      </c>
      <c r="K1221" s="2" t="s">
        <v>642</v>
      </c>
      <c r="M1221" s="2" t="s">
        <v>972</v>
      </c>
      <c r="P1221" s="2" t="s">
        <v>4181</v>
      </c>
      <c r="Q1221" t="s">
        <v>4181</v>
      </c>
    </row>
    <row r="1222" spans="1:17" ht="18" customHeight="1" x14ac:dyDescent="0.2">
      <c r="A1222" s="67" t="s">
        <v>777</v>
      </c>
      <c r="B1222" s="67" t="str">
        <f t="shared" si="76"/>
        <v>avars_2014</v>
      </c>
      <c r="C1222" s="67" t="s">
        <v>4182</v>
      </c>
      <c r="D1222" s="70" t="s">
        <v>638</v>
      </c>
      <c r="E1222" s="70" t="s">
        <v>4193</v>
      </c>
      <c r="F1222" s="2">
        <v>7</v>
      </c>
      <c r="G1222" s="2" t="str">
        <f t="shared" si="77"/>
        <v>g</v>
      </c>
      <c r="H1222" s="2">
        <v>2014</v>
      </c>
      <c r="I1222" s="2" t="s">
        <v>968</v>
      </c>
      <c r="J1222" s="2" t="s">
        <v>664</v>
      </c>
      <c r="K1222" s="2" t="s">
        <v>642</v>
      </c>
      <c r="M1222" s="2" t="s">
        <v>972</v>
      </c>
      <c r="P1222" s="2" t="s">
        <v>4181</v>
      </c>
      <c r="Q1222" t="s">
        <v>4181</v>
      </c>
    </row>
    <row r="1223" spans="1:17" ht="18" customHeight="1" x14ac:dyDescent="0.2">
      <c r="A1223" s="67" t="s">
        <v>777</v>
      </c>
      <c r="B1223" s="67" t="str">
        <f t="shared" si="76"/>
        <v>avars_2015</v>
      </c>
      <c r="C1223" s="67" t="s">
        <v>4182</v>
      </c>
      <c r="D1223" s="70" t="s">
        <v>638</v>
      </c>
      <c r="E1223" s="70" t="s">
        <v>4193</v>
      </c>
      <c r="F1223" s="2">
        <v>8</v>
      </c>
      <c r="G1223" s="2" t="str">
        <f t="shared" si="77"/>
        <v>h</v>
      </c>
      <c r="H1223" s="2">
        <v>2015</v>
      </c>
      <c r="I1223" s="2" t="s">
        <v>968</v>
      </c>
      <c r="J1223" s="2" t="s">
        <v>664</v>
      </c>
      <c r="K1223" s="2" t="s">
        <v>642</v>
      </c>
      <c r="M1223" s="2" t="s">
        <v>972</v>
      </c>
      <c r="P1223" s="2" t="s">
        <v>4181</v>
      </c>
      <c r="Q1223" t="s">
        <v>4181</v>
      </c>
    </row>
    <row r="1224" spans="1:17" ht="18" customHeight="1" x14ac:dyDescent="0.2">
      <c r="A1224" s="67" t="s">
        <v>777</v>
      </c>
      <c r="B1224" s="67" t="str">
        <f t="shared" si="76"/>
        <v>avars_2016</v>
      </c>
      <c r="C1224" s="67" t="s">
        <v>4182</v>
      </c>
      <c r="D1224" s="70" t="s">
        <v>638</v>
      </c>
      <c r="E1224" s="70" t="s">
        <v>4193</v>
      </c>
      <c r="F1224" s="2">
        <v>9</v>
      </c>
      <c r="G1224" s="2" t="str">
        <f t="shared" si="77"/>
        <v>i</v>
      </c>
      <c r="H1224" s="2">
        <v>2016</v>
      </c>
      <c r="I1224" s="2" t="s">
        <v>968</v>
      </c>
      <c r="J1224" s="2" t="s">
        <v>664</v>
      </c>
      <c r="K1224" s="2" t="s">
        <v>642</v>
      </c>
      <c r="M1224" s="2" t="s">
        <v>972</v>
      </c>
      <c r="P1224" s="2" t="s">
        <v>4181</v>
      </c>
      <c r="Q1224" t="s">
        <v>4181</v>
      </c>
    </row>
    <row r="1225" spans="1:17" ht="18" customHeight="1" x14ac:dyDescent="0.2">
      <c r="A1225" s="67" t="s">
        <v>777</v>
      </c>
      <c r="B1225" s="67" t="str">
        <f t="shared" si="76"/>
        <v>avars_2017</v>
      </c>
      <c r="C1225" s="67" t="s">
        <v>4182</v>
      </c>
      <c r="D1225" s="70" t="s">
        <v>638</v>
      </c>
      <c r="E1225" s="70" t="s">
        <v>4193</v>
      </c>
      <c r="F1225" s="2">
        <v>10</v>
      </c>
      <c r="G1225" s="2" t="str">
        <f t="shared" si="77"/>
        <v>j</v>
      </c>
      <c r="H1225" s="2">
        <v>2017</v>
      </c>
      <c r="I1225" s="2" t="s">
        <v>968</v>
      </c>
      <c r="J1225" s="2" t="s">
        <v>664</v>
      </c>
      <c r="K1225" s="2" t="s">
        <v>642</v>
      </c>
      <c r="M1225" s="2" t="s">
        <v>972</v>
      </c>
      <c r="P1225" s="2" t="s">
        <v>4181</v>
      </c>
      <c r="Q1225" t="s">
        <v>4181</v>
      </c>
    </row>
    <row r="1226" spans="1:17" ht="18" customHeight="1" x14ac:dyDescent="0.2">
      <c r="A1226" s="67" t="s">
        <v>777</v>
      </c>
      <c r="B1226" s="67" t="str">
        <f t="shared" si="76"/>
        <v>avars_2018</v>
      </c>
      <c r="C1226" s="67" t="s">
        <v>4182</v>
      </c>
      <c r="D1226" s="70" t="s">
        <v>638</v>
      </c>
      <c r="E1226" s="70" t="s">
        <v>4193</v>
      </c>
      <c r="F1226" s="2">
        <v>11</v>
      </c>
      <c r="G1226" s="2" t="str">
        <f t="shared" si="77"/>
        <v>k</v>
      </c>
      <c r="H1226" s="2">
        <v>2018</v>
      </c>
      <c r="I1226" s="2" t="s">
        <v>968</v>
      </c>
      <c r="J1226" s="2" t="s">
        <v>664</v>
      </c>
      <c r="K1226" s="2" t="s">
        <v>642</v>
      </c>
      <c r="M1226" s="2" t="s">
        <v>972</v>
      </c>
      <c r="P1226" s="2" t="s">
        <v>4181</v>
      </c>
      <c r="Q1226" t="s">
        <v>4181</v>
      </c>
    </row>
    <row r="1227" spans="1:17" ht="18" customHeight="1" x14ac:dyDescent="0.2">
      <c r="A1227" s="67" t="s">
        <v>777</v>
      </c>
      <c r="B1227" s="67" t="str">
        <f t="shared" si="76"/>
        <v>avars_2008</v>
      </c>
      <c r="C1227" s="67" t="s">
        <v>4182</v>
      </c>
      <c r="D1227" s="70" t="s">
        <v>638</v>
      </c>
      <c r="E1227" s="70" t="s">
        <v>4193</v>
      </c>
      <c r="F1227" s="2">
        <v>1</v>
      </c>
      <c r="G1227" s="2" t="str">
        <f t="shared" si="77"/>
        <v>a</v>
      </c>
      <c r="H1227" s="2">
        <v>2008</v>
      </c>
      <c r="I1227" s="2" t="s">
        <v>968</v>
      </c>
      <c r="J1227" s="2" t="s">
        <v>664</v>
      </c>
      <c r="K1227" s="2" t="s">
        <v>642</v>
      </c>
      <c r="M1227" s="2" t="s">
        <v>972</v>
      </c>
      <c r="P1227" s="2" t="s">
        <v>4181</v>
      </c>
      <c r="Q1227" t="s">
        <v>4181</v>
      </c>
    </row>
    <row r="1228" spans="1:17" ht="18" customHeight="1" x14ac:dyDescent="0.2">
      <c r="A1228" s="67" t="s">
        <v>777</v>
      </c>
      <c r="B1228" s="67" t="str">
        <f t="shared" si="76"/>
        <v>avars_2009</v>
      </c>
      <c r="C1228" s="67" t="s">
        <v>4182</v>
      </c>
      <c r="D1228" s="70" t="s">
        <v>638</v>
      </c>
      <c r="E1228" s="70" t="s">
        <v>4193</v>
      </c>
      <c r="F1228" s="2">
        <v>2</v>
      </c>
      <c r="G1228" s="2" t="str">
        <f t="shared" si="77"/>
        <v>b</v>
      </c>
      <c r="H1228" s="2">
        <v>2009</v>
      </c>
      <c r="I1228" s="2" t="s">
        <v>968</v>
      </c>
      <c r="J1228" s="2" t="s">
        <v>664</v>
      </c>
      <c r="K1228" s="2" t="s">
        <v>642</v>
      </c>
      <c r="M1228" s="2" t="s">
        <v>972</v>
      </c>
      <c r="P1228" s="2" t="s">
        <v>4181</v>
      </c>
      <c r="Q1228" t="s">
        <v>4181</v>
      </c>
    </row>
    <row r="1229" spans="1:17" ht="18" customHeight="1" x14ac:dyDescent="0.2">
      <c r="A1229" s="67" t="s">
        <v>777</v>
      </c>
      <c r="B1229" s="67" t="str">
        <f t="shared" si="76"/>
        <v>avars_2010</v>
      </c>
      <c r="C1229" s="67" t="s">
        <v>4182</v>
      </c>
      <c r="D1229" s="70" t="s">
        <v>638</v>
      </c>
      <c r="E1229" s="70" t="s">
        <v>4193</v>
      </c>
      <c r="F1229" s="2">
        <v>3</v>
      </c>
      <c r="G1229" s="2" t="str">
        <f t="shared" si="77"/>
        <v>c</v>
      </c>
      <c r="H1229" s="2">
        <v>2010</v>
      </c>
      <c r="I1229" s="2" t="s">
        <v>968</v>
      </c>
      <c r="J1229" s="2" t="s">
        <v>664</v>
      </c>
      <c r="K1229" s="2" t="s">
        <v>642</v>
      </c>
      <c r="M1229" s="2" t="s">
        <v>972</v>
      </c>
      <c r="P1229" s="2" t="s">
        <v>4181</v>
      </c>
      <c r="Q1229" t="s">
        <v>4181</v>
      </c>
    </row>
    <row r="1230" spans="1:17" ht="18" customHeight="1" x14ac:dyDescent="0.2">
      <c r="A1230" s="67" t="s">
        <v>777</v>
      </c>
      <c r="B1230" s="67" t="str">
        <f t="shared" si="76"/>
        <v>avars_2011</v>
      </c>
      <c r="C1230" s="67" t="s">
        <v>4182</v>
      </c>
      <c r="D1230" s="70" t="s">
        <v>638</v>
      </c>
      <c r="E1230" s="70" t="s">
        <v>4193</v>
      </c>
      <c r="F1230" s="2">
        <v>4</v>
      </c>
      <c r="G1230" s="2" t="str">
        <f t="shared" si="77"/>
        <v>d</v>
      </c>
      <c r="H1230" s="2">
        <v>2011</v>
      </c>
      <c r="I1230" s="2" t="s">
        <v>968</v>
      </c>
      <c r="J1230" s="2" t="s">
        <v>664</v>
      </c>
      <c r="K1230" s="2" t="s">
        <v>642</v>
      </c>
      <c r="M1230" s="2" t="s">
        <v>972</v>
      </c>
      <c r="P1230" s="2" t="s">
        <v>4181</v>
      </c>
      <c r="Q1230" t="s">
        <v>4181</v>
      </c>
    </row>
    <row r="1231" spans="1:17" ht="18" customHeight="1" x14ac:dyDescent="0.2">
      <c r="A1231" s="67" t="s">
        <v>777</v>
      </c>
      <c r="B1231" s="67" t="str">
        <f t="shared" si="76"/>
        <v>avars_2012</v>
      </c>
      <c r="C1231" s="67" t="s">
        <v>4182</v>
      </c>
      <c r="D1231" s="70" t="s">
        <v>638</v>
      </c>
      <c r="E1231" s="70" t="s">
        <v>4193</v>
      </c>
      <c r="F1231" s="2">
        <v>5</v>
      </c>
      <c r="G1231" s="2" t="str">
        <f t="shared" si="77"/>
        <v>e</v>
      </c>
      <c r="H1231" s="2">
        <v>2012</v>
      </c>
      <c r="I1231" s="2" t="s">
        <v>968</v>
      </c>
      <c r="J1231" s="2" t="s">
        <v>664</v>
      </c>
      <c r="K1231" s="2" t="s">
        <v>642</v>
      </c>
      <c r="M1231" s="2" t="s">
        <v>972</v>
      </c>
      <c r="P1231" s="2" t="s">
        <v>4181</v>
      </c>
      <c r="Q1231" t="s">
        <v>4181</v>
      </c>
    </row>
    <row r="1232" spans="1:17" ht="18" customHeight="1" x14ac:dyDescent="0.2">
      <c r="A1232" s="67" t="s">
        <v>777</v>
      </c>
      <c r="B1232" s="67" t="str">
        <f t="shared" si="76"/>
        <v>avars_2013</v>
      </c>
      <c r="C1232" s="67" t="s">
        <v>4182</v>
      </c>
      <c r="D1232" s="70" t="s">
        <v>638</v>
      </c>
      <c r="E1232" s="70" t="s">
        <v>4193</v>
      </c>
      <c r="F1232" s="2">
        <v>6</v>
      </c>
      <c r="G1232" s="2" t="str">
        <f t="shared" si="77"/>
        <v>f</v>
      </c>
      <c r="H1232" s="2">
        <v>2013</v>
      </c>
      <c r="I1232" s="2" t="s">
        <v>968</v>
      </c>
      <c r="J1232" s="2" t="s">
        <v>664</v>
      </c>
      <c r="K1232" s="2" t="s">
        <v>642</v>
      </c>
      <c r="M1232" s="2" t="s">
        <v>972</v>
      </c>
      <c r="P1232" s="2" t="s">
        <v>4181</v>
      </c>
      <c r="Q1232" t="s">
        <v>4181</v>
      </c>
    </row>
    <row r="1233" spans="1:17" ht="18" customHeight="1" x14ac:dyDescent="0.2">
      <c r="A1233" s="67" t="s">
        <v>777</v>
      </c>
      <c r="B1233" s="67" t="str">
        <f t="shared" si="76"/>
        <v>avars_2014</v>
      </c>
      <c r="C1233" s="67" t="s">
        <v>4182</v>
      </c>
      <c r="D1233" s="70" t="s">
        <v>638</v>
      </c>
      <c r="E1233" s="70" t="s">
        <v>4193</v>
      </c>
      <c r="F1233" s="2">
        <v>7</v>
      </c>
      <c r="G1233" s="2" t="str">
        <f t="shared" si="77"/>
        <v>g</v>
      </c>
      <c r="H1233" s="2">
        <v>2014</v>
      </c>
      <c r="I1233" s="2" t="s">
        <v>968</v>
      </c>
      <c r="J1233" s="2" t="s">
        <v>664</v>
      </c>
      <c r="K1233" s="2" t="s">
        <v>642</v>
      </c>
      <c r="M1233" s="2" t="s">
        <v>972</v>
      </c>
      <c r="P1233" s="2" t="s">
        <v>4181</v>
      </c>
      <c r="Q1233" t="s">
        <v>4181</v>
      </c>
    </row>
    <row r="1234" spans="1:17" ht="18" customHeight="1" x14ac:dyDescent="0.2">
      <c r="A1234" s="67" t="s">
        <v>777</v>
      </c>
      <c r="B1234" s="67" t="str">
        <f t="shared" si="76"/>
        <v>avars_2015</v>
      </c>
      <c r="C1234" s="67" t="s">
        <v>4182</v>
      </c>
      <c r="D1234" s="70" t="s">
        <v>638</v>
      </c>
      <c r="E1234" s="70" t="s">
        <v>4193</v>
      </c>
      <c r="F1234" s="2">
        <v>8</v>
      </c>
      <c r="G1234" s="2" t="str">
        <f t="shared" si="77"/>
        <v>h</v>
      </c>
      <c r="H1234" s="2">
        <v>2015</v>
      </c>
      <c r="I1234" s="2" t="s">
        <v>968</v>
      </c>
      <c r="J1234" s="2" t="s">
        <v>664</v>
      </c>
      <c r="K1234" s="2" t="s">
        <v>642</v>
      </c>
      <c r="M1234" s="2" t="s">
        <v>972</v>
      </c>
      <c r="P1234" s="2" t="s">
        <v>4181</v>
      </c>
      <c r="Q1234" t="s">
        <v>4181</v>
      </c>
    </row>
    <row r="1235" spans="1:17" ht="18" customHeight="1" x14ac:dyDescent="0.2">
      <c r="A1235" s="67" t="s">
        <v>777</v>
      </c>
      <c r="B1235" s="67" t="str">
        <f t="shared" si="76"/>
        <v>avars_2016</v>
      </c>
      <c r="C1235" s="67" t="s">
        <v>4182</v>
      </c>
      <c r="D1235" s="70" t="s">
        <v>638</v>
      </c>
      <c r="E1235" s="70" t="s">
        <v>4193</v>
      </c>
      <c r="F1235" s="2">
        <v>9</v>
      </c>
      <c r="G1235" s="2" t="str">
        <f t="shared" si="77"/>
        <v>i</v>
      </c>
      <c r="H1235" s="2">
        <v>2016</v>
      </c>
      <c r="I1235" s="2" t="s">
        <v>968</v>
      </c>
      <c r="J1235" s="2" t="s">
        <v>664</v>
      </c>
      <c r="K1235" s="2" t="s">
        <v>642</v>
      </c>
      <c r="M1235" s="2" t="s">
        <v>972</v>
      </c>
      <c r="P1235" s="2" t="s">
        <v>4181</v>
      </c>
      <c r="Q1235" t="s">
        <v>4181</v>
      </c>
    </row>
    <row r="1236" spans="1:17" ht="18" customHeight="1" x14ac:dyDescent="0.2">
      <c r="A1236" s="67" t="s">
        <v>777</v>
      </c>
      <c r="B1236" s="67" t="str">
        <f t="shared" si="76"/>
        <v>avars_2017</v>
      </c>
      <c r="C1236" s="67" t="s">
        <v>4182</v>
      </c>
      <c r="D1236" s="70" t="s">
        <v>638</v>
      </c>
      <c r="E1236" s="70" t="s">
        <v>4193</v>
      </c>
      <c r="F1236" s="2">
        <v>10</v>
      </c>
      <c r="G1236" s="2" t="str">
        <f t="shared" si="77"/>
        <v>j</v>
      </c>
      <c r="H1236" s="2">
        <v>2017</v>
      </c>
      <c r="I1236" s="2" t="s">
        <v>968</v>
      </c>
      <c r="J1236" s="2" t="s">
        <v>664</v>
      </c>
      <c r="K1236" s="2" t="s">
        <v>642</v>
      </c>
      <c r="M1236" s="2" t="s">
        <v>972</v>
      </c>
      <c r="P1236" s="2" t="s">
        <v>4181</v>
      </c>
      <c r="Q1236" t="s">
        <v>4181</v>
      </c>
    </row>
    <row r="1237" spans="1:17" ht="18" customHeight="1" x14ac:dyDescent="0.2">
      <c r="A1237" s="67" t="s">
        <v>777</v>
      </c>
      <c r="B1237" s="67" t="str">
        <f t="shared" si="76"/>
        <v>avars_2018</v>
      </c>
      <c r="C1237" s="67" t="s">
        <v>4182</v>
      </c>
      <c r="D1237" s="70" t="s">
        <v>638</v>
      </c>
      <c r="E1237" s="70" t="s">
        <v>4193</v>
      </c>
      <c r="F1237" s="2">
        <v>11</v>
      </c>
      <c r="G1237" s="2" t="str">
        <f t="shared" si="77"/>
        <v>k</v>
      </c>
      <c r="H1237" s="2">
        <v>2018</v>
      </c>
      <c r="I1237" s="2" t="s">
        <v>968</v>
      </c>
      <c r="J1237" s="2" t="s">
        <v>664</v>
      </c>
      <c r="K1237" s="2" t="s">
        <v>642</v>
      </c>
      <c r="M1237" s="2" t="s">
        <v>972</v>
      </c>
      <c r="P1237" s="2" t="s">
        <v>4181</v>
      </c>
      <c r="Q1237" t="s">
        <v>4181</v>
      </c>
    </row>
    <row r="1238" spans="1:17" ht="18" customHeight="1" x14ac:dyDescent="0.2">
      <c r="A1238" s="67" t="s">
        <v>777</v>
      </c>
      <c r="B1238" s="67" t="str">
        <f t="shared" si="76"/>
        <v>avars_2008</v>
      </c>
      <c r="C1238" s="67" t="s">
        <v>4182</v>
      </c>
      <c r="D1238" s="70" t="s">
        <v>638</v>
      </c>
      <c r="E1238" s="70" t="s">
        <v>4193</v>
      </c>
      <c r="F1238" s="2">
        <v>1</v>
      </c>
      <c r="G1238" s="2" t="str">
        <f t="shared" si="77"/>
        <v>a</v>
      </c>
      <c r="H1238" s="2">
        <v>2008</v>
      </c>
      <c r="I1238" s="2" t="s">
        <v>968</v>
      </c>
      <c r="J1238" s="2" t="s">
        <v>664</v>
      </c>
      <c r="K1238" s="2" t="s">
        <v>642</v>
      </c>
      <c r="M1238" s="2" t="s">
        <v>972</v>
      </c>
      <c r="P1238" s="2" t="s">
        <v>4181</v>
      </c>
      <c r="Q1238" t="s">
        <v>4181</v>
      </c>
    </row>
    <row r="1239" spans="1:17" ht="18" customHeight="1" x14ac:dyDescent="0.2">
      <c r="A1239" s="67" t="s">
        <v>777</v>
      </c>
      <c r="B1239" s="67" t="str">
        <f t="shared" si="76"/>
        <v>avars_2009</v>
      </c>
      <c r="C1239" s="67" t="s">
        <v>4182</v>
      </c>
      <c r="D1239" s="70" t="s">
        <v>638</v>
      </c>
      <c r="E1239" s="70" t="s">
        <v>4193</v>
      </c>
      <c r="F1239" s="2">
        <v>2</v>
      </c>
      <c r="G1239" s="2" t="str">
        <f t="shared" si="77"/>
        <v>b</v>
      </c>
      <c r="H1239" s="2">
        <v>2009</v>
      </c>
      <c r="I1239" s="2" t="s">
        <v>968</v>
      </c>
      <c r="J1239" s="2" t="s">
        <v>664</v>
      </c>
      <c r="K1239" s="2" t="s">
        <v>642</v>
      </c>
      <c r="M1239" s="2" t="s">
        <v>972</v>
      </c>
      <c r="P1239" s="2" t="s">
        <v>4181</v>
      </c>
      <c r="Q1239" t="s">
        <v>4181</v>
      </c>
    </row>
    <row r="1240" spans="1:17" ht="18" customHeight="1" x14ac:dyDescent="0.2">
      <c r="A1240" s="67" t="s">
        <v>777</v>
      </c>
      <c r="B1240" s="67" t="str">
        <f t="shared" si="76"/>
        <v>avars_2010</v>
      </c>
      <c r="C1240" s="67" t="s">
        <v>4182</v>
      </c>
      <c r="D1240" s="70" t="s">
        <v>638</v>
      </c>
      <c r="E1240" s="70" t="s">
        <v>4193</v>
      </c>
      <c r="F1240" s="2">
        <v>3</v>
      </c>
      <c r="G1240" s="2" t="str">
        <f t="shared" si="77"/>
        <v>c</v>
      </c>
      <c r="H1240" s="2">
        <v>2010</v>
      </c>
      <c r="I1240" s="2" t="s">
        <v>968</v>
      </c>
      <c r="J1240" s="2" t="s">
        <v>664</v>
      </c>
      <c r="K1240" s="2" t="s">
        <v>642</v>
      </c>
      <c r="M1240" s="2" t="s">
        <v>972</v>
      </c>
      <c r="P1240" s="2" t="s">
        <v>4181</v>
      </c>
      <c r="Q1240" t="s">
        <v>4181</v>
      </c>
    </row>
    <row r="1241" spans="1:17" ht="18" customHeight="1" x14ac:dyDescent="0.2">
      <c r="A1241" s="67" t="s">
        <v>777</v>
      </c>
      <c r="B1241" s="67" t="str">
        <f t="shared" si="76"/>
        <v>avars_2011</v>
      </c>
      <c r="C1241" s="67" t="s">
        <v>4182</v>
      </c>
      <c r="D1241" s="70" t="s">
        <v>638</v>
      </c>
      <c r="E1241" s="70" t="s">
        <v>4193</v>
      </c>
      <c r="F1241" s="2">
        <v>4</v>
      </c>
      <c r="G1241" s="2" t="str">
        <f t="shared" si="77"/>
        <v>d</v>
      </c>
      <c r="H1241" s="2">
        <v>2011</v>
      </c>
      <c r="I1241" s="2" t="s">
        <v>968</v>
      </c>
      <c r="J1241" s="2" t="s">
        <v>664</v>
      </c>
      <c r="K1241" s="2" t="s">
        <v>642</v>
      </c>
      <c r="M1241" s="2" t="s">
        <v>972</v>
      </c>
      <c r="P1241" s="2" t="s">
        <v>4181</v>
      </c>
      <c r="Q1241" t="s">
        <v>4181</v>
      </c>
    </row>
    <row r="1242" spans="1:17" ht="18" customHeight="1" x14ac:dyDescent="0.2">
      <c r="A1242" s="67" t="s">
        <v>777</v>
      </c>
      <c r="B1242" s="67" t="str">
        <f t="shared" si="76"/>
        <v>avars_2012</v>
      </c>
      <c r="C1242" s="67" t="s">
        <v>4182</v>
      </c>
      <c r="D1242" s="70" t="s">
        <v>638</v>
      </c>
      <c r="E1242" s="70" t="s">
        <v>4193</v>
      </c>
      <c r="F1242" s="2">
        <v>5</v>
      </c>
      <c r="G1242" s="2" t="str">
        <f t="shared" si="77"/>
        <v>e</v>
      </c>
      <c r="H1242" s="2">
        <v>2012</v>
      </c>
      <c r="I1242" s="2" t="s">
        <v>968</v>
      </c>
      <c r="J1242" s="2" t="s">
        <v>664</v>
      </c>
      <c r="K1242" s="2" t="s">
        <v>642</v>
      </c>
      <c r="M1242" s="2" t="s">
        <v>972</v>
      </c>
      <c r="P1242" s="2" t="s">
        <v>4181</v>
      </c>
      <c r="Q1242" t="s">
        <v>4181</v>
      </c>
    </row>
    <row r="1243" spans="1:17" ht="18" customHeight="1" x14ac:dyDescent="0.2">
      <c r="A1243" s="67" t="s">
        <v>777</v>
      </c>
      <c r="B1243" s="67" t="str">
        <f t="shared" si="76"/>
        <v>avars_2013</v>
      </c>
      <c r="C1243" s="67" t="s">
        <v>4182</v>
      </c>
      <c r="D1243" s="70" t="s">
        <v>638</v>
      </c>
      <c r="E1243" s="70" t="s">
        <v>4193</v>
      </c>
      <c r="F1243" s="2">
        <v>6</v>
      </c>
      <c r="G1243" s="2" t="str">
        <f t="shared" si="77"/>
        <v>f</v>
      </c>
      <c r="H1243" s="2">
        <v>2013</v>
      </c>
      <c r="I1243" s="2" t="s">
        <v>968</v>
      </c>
      <c r="J1243" s="2" t="s">
        <v>664</v>
      </c>
      <c r="K1243" s="2" t="s">
        <v>642</v>
      </c>
      <c r="M1243" s="2" t="s">
        <v>972</v>
      </c>
      <c r="P1243" s="2" t="s">
        <v>4181</v>
      </c>
      <c r="Q1243" t="s">
        <v>4181</v>
      </c>
    </row>
    <row r="1244" spans="1:17" ht="18" customHeight="1" x14ac:dyDescent="0.2">
      <c r="A1244" s="67" t="s">
        <v>777</v>
      </c>
      <c r="B1244" s="67" t="str">
        <f t="shared" si="76"/>
        <v>avars_2014</v>
      </c>
      <c r="C1244" s="67" t="s">
        <v>4182</v>
      </c>
      <c r="D1244" s="70" t="s">
        <v>638</v>
      </c>
      <c r="E1244" s="70" t="s">
        <v>4193</v>
      </c>
      <c r="F1244" s="2">
        <v>7</v>
      </c>
      <c r="G1244" s="2" t="str">
        <f t="shared" si="77"/>
        <v>g</v>
      </c>
      <c r="H1244" s="2">
        <v>2014</v>
      </c>
      <c r="I1244" s="2" t="s">
        <v>968</v>
      </c>
      <c r="J1244" s="2" t="s">
        <v>664</v>
      </c>
      <c r="K1244" s="2" t="s">
        <v>642</v>
      </c>
      <c r="M1244" s="2" t="s">
        <v>972</v>
      </c>
      <c r="P1244" s="2" t="s">
        <v>4181</v>
      </c>
      <c r="Q1244" t="s">
        <v>4181</v>
      </c>
    </row>
    <row r="1245" spans="1:17" ht="18" customHeight="1" x14ac:dyDescent="0.2">
      <c r="A1245" s="67" t="s">
        <v>777</v>
      </c>
      <c r="B1245" s="67" t="str">
        <f t="shared" si="76"/>
        <v>avars_2015</v>
      </c>
      <c r="C1245" s="67" t="s">
        <v>4182</v>
      </c>
      <c r="D1245" s="70" t="s">
        <v>638</v>
      </c>
      <c r="E1245" s="70" t="s">
        <v>4193</v>
      </c>
      <c r="F1245" s="2">
        <v>8</v>
      </c>
      <c r="G1245" s="2" t="str">
        <f t="shared" si="77"/>
        <v>h</v>
      </c>
      <c r="H1245" s="2">
        <v>2015</v>
      </c>
      <c r="I1245" s="2" t="s">
        <v>968</v>
      </c>
      <c r="J1245" s="2" t="s">
        <v>664</v>
      </c>
      <c r="K1245" s="2" t="s">
        <v>642</v>
      </c>
      <c r="M1245" s="2" t="s">
        <v>972</v>
      </c>
      <c r="P1245" s="2" t="s">
        <v>4181</v>
      </c>
      <c r="Q1245" t="s">
        <v>4181</v>
      </c>
    </row>
    <row r="1246" spans="1:17" ht="18" customHeight="1" x14ac:dyDescent="0.2">
      <c r="A1246" s="67" t="s">
        <v>777</v>
      </c>
      <c r="B1246" s="67" t="str">
        <f t="shared" si="76"/>
        <v>avars_2016</v>
      </c>
      <c r="C1246" s="67" t="s">
        <v>4182</v>
      </c>
      <c r="D1246" s="70" t="s">
        <v>638</v>
      </c>
      <c r="E1246" s="70" t="s">
        <v>4193</v>
      </c>
      <c r="F1246" s="2">
        <v>9</v>
      </c>
      <c r="G1246" s="2" t="str">
        <f t="shared" si="77"/>
        <v>i</v>
      </c>
      <c r="H1246" s="2">
        <v>2016</v>
      </c>
      <c r="I1246" s="2" t="s">
        <v>968</v>
      </c>
      <c r="J1246" s="2" t="s">
        <v>664</v>
      </c>
      <c r="K1246" s="2" t="s">
        <v>642</v>
      </c>
      <c r="M1246" s="2" t="s">
        <v>972</v>
      </c>
      <c r="P1246" s="2" t="s">
        <v>4181</v>
      </c>
      <c r="Q1246" t="s">
        <v>4181</v>
      </c>
    </row>
    <row r="1247" spans="1:17" ht="18" customHeight="1" x14ac:dyDescent="0.2">
      <c r="A1247" s="67" t="s">
        <v>777</v>
      </c>
      <c r="B1247" s="67" t="str">
        <f t="shared" si="76"/>
        <v>avars_2017</v>
      </c>
      <c r="C1247" s="67" t="s">
        <v>4182</v>
      </c>
      <c r="D1247" s="70" t="s">
        <v>638</v>
      </c>
      <c r="E1247" s="70" t="s">
        <v>4193</v>
      </c>
      <c r="F1247" s="2">
        <v>10</v>
      </c>
      <c r="G1247" s="2" t="str">
        <f t="shared" si="77"/>
        <v>j</v>
      </c>
      <c r="H1247" s="2">
        <v>2017</v>
      </c>
      <c r="I1247" s="2" t="s">
        <v>968</v>
      </c>
      <c r="J1247" s="2" t="s">
        <v>664</v>
      </c>
      <c r="K1247" s="2" t="s">
        <v>642</v>
      </c>
      <c r="M1247" s="2" t="s">
        <v>972</v>
      </c>
      <c r="P1247" s="2" t="s">
        <v>4181</v>
      </c>
      <c r="Q1247" t="s">
        <v>4181</v>
      </c>
    </row>
    <row r="1248" spans="1:17" ht="18" customHeight="1" x14ac:dyDescent="0.2">
      <c r="A1248" s="67" t="s">
        <v>777</v>
      </c>
      <c r="B1248" s="67" t="str">
        <f t="shared" si="76"/>
        <v>avars_2018</v>
      </c>
      <c r="C1248" s="67" t="s">
        <v>4182</v>
      </c>
      <c r="D1248" s="70" t="s">
        <v>638</v>
      </c>
      <c r="E1248" s="70" t="s">
        <v>4193</v>
      </c>
      <c r="F1248" s="2">
        <v>11</v>
      </c>
      <c r="G1248" s="2" t="str">
        <f t="shared" si="77"/>
        <v>k</v>
      </c>
      <c r="H1248" s="2">
        <v>2018</v>
      </c>
      <c r="I1248" s="2" t="s">
        <v>968</v>
      </c>
      <c r="J1248" s="2" t="s">
        <v>664</v>
      </c>
      <c r="K1248" s="2" t="s">
        <v>642</v>
      </c>
      <c r="M1248" s="2" t="s">
        <v>972</v>
      </c>
      <c r="P1248" s="2" t="s">
        <v>4181</v>
      </c>
      <c r="Q1248" t="s">
        <v>4181</v>
      </c>
    </row>
    <row r="1249" spans="1:17" ht="18" customHeight="1" x14ac:dyDescent="0.2">
      <c r="A1249" s="67" t="s">
        <v>777</v>
      </c>
      <c r="B1249" s="67" t="str">
        <f t="shared" si="76"/>
        <v>avars_2008</v>
      </c>
      <c r="C1249" s="67" t="s">
        <v>4182</v>
      </c>
      <c r="D1249" s="70" t="s">
        <v>638</v>
      </c>
      <c r="E1249" s="70" t="s">
        <v>4193</v>
      </c>
      <c r="F1249" s="2">
        <v>1</v>
      </c>
      <c r="G1249" s="2" t="str">
        <f t="shared" si="77"/>
        <v>a</v>
      </c>
      <c r="H1249" s="2">
        <v>2008</v>
      </c>
      <c r="I1249" s="2" t="s">
        <v>968</v>
      </c>
      <c r="J1249" s="2" t="s">
        <v>664</v>
      </c>
      <c r="K1249" s="2" t="s">
        <v>642</v>
      </c>
      <c r="M1249" s="2" t="s">
        <v>972</v>
      </c>
      <c r="P1249" s="2" t="s">
        <v>4181</v>
      </c>
      <c r="Q1249" t="s">
        <v>4181</v>
      </c>
    </row>
    <row r="1250" spans="1:17" ht="18" customHeight="1" x14ac:dyDescent="0.2">
      <c r="A1250" s="67" t="s">
        <v>777</v>
      </c>
      <c r="B1250" s="67" t="str">
        <f t="shared" si="76"/>
        <v>avars_2009</v>
      </c>
      <c r="C1250" s="67" t="s">
        <v>4182</v>
      </c>
      <c r="D1250" s="70" t="s">
        <v>638</v>
      </c>
      <c r="E1250" s="70" t="s">
        <v>4193</v>
      </c>
      <c r="F1250" s="2">
        <v>2</v>
      </c>
      <c r="G1250" s="2" t="str">
        <f t="shared" si="77"/>
        <v>b</v>
      </c>
      <c r="H1250" s="2">
        <v>2009</v>
      </c>
      <c r="I1250" s="2" t="s">
        <v>968</v>
      </c>
      <c r="J1250" s="2" t="s">
        <v>664</v>
      </c>
      <c r="K1250" s="2" t="s">
        <v>642</v>
      </c>
      <c r="M1250" s="2" t="s">
        <v>972</v>
      </c>
      <c r="P1250" s="2" t="s">
        <v>4181</v>
      </c>
      <c r="Q1250" t="s">
        <v>4181</v>
      </c>
    </row>
    <row r="1251" spans="1:17" ht="18" customHeight="1" x14ac:dyDescent="0.2">
      <c r="A1251" s="67" t="s">
        <v>777</v>
      </c>
      <c r="B1251" s="67" t="str">
        <f t="shared" si="76"/>
        <v>avars_2010</v>
      </c>
      <c r="C1251" s="67" t="s">
        <v>4182</v>
      </c>
      <c r="D1251" s="70" t="s">
        <v>638</v>
      </c>
      <c r="E1251" s="70" t="s">
        <v>4193</v>
      </c>
      <c r="F1251" s="2">
        <v>3</v>
      </c>
      <c r="G1251" s="2" t="str">
        <f t="shared" si="77"/>
        <v>c</v>
      </c>
      <c r="H1251" s="2">
        <v>2010</v>
      </c>
      <c r="I1251" s="2" t="s">
        <v>968</v>
      </c>
      <c r="J1251" s="2" t="s">
        <v>664</v>
      </c>
      <c r="K1251" s="2" t="s">
        <v>642</v>
      </c>
      <c r="M1251" s="2" t="s">
        <v>972</v>
      </c>
      <c r="P1251" s="2" t="s">
        <v>4181</v>
      </c>
      <c r="Q1251" t="s">
        <v>4181</v>
      </c>
    </row>
    <row r="1252" spans="1:17" ht="18" customHeight="1" x14ac:dyDescent="0.2">
      <c r="A1252" s="67" t="s">
        <v>777</v>
      </c>
      <c r="B1252" s="67" t="str">
        <f t="shared" si="76"/>
        <v>avars_2011</v>
      </c>
      <c r="C1252" s="67" t="s">
        <v>4182</v>
      </c>
      <c r="D1252" s="70" t="s">
        <v>638</v>
      </c>
      <c r="E1252" s="70" t="s">
        <v>4193</v>
      </c>
      <c r="F1252" s="2">
        <v>4</v>
      </c>
      <c r="G1252" s="2" t="str">
        <f t="shared" si="77"/>
        <v>d</v>
      </c>
      <c r="H1252" s="2">
        <v>2011</v>
      </c>
      <c r="I1252" s="2" t="s">
        <v>968</v>
      </c>
      <c r="J1252" s="2" t="s">
        <v>664</v>
      </c>
      <c r="K1252" s="2" t="s">
        <v>642</v>
      </c>
      <c r="M1252" s="2" t="s">
        <v>972</v>
      </c>
      <c r="P1252" s="2" t="s">
        <v>4181</v>
      </c>
      <c r="Q1252" t="s">
        <v>4181</v>
      </c>
    </row>
    <row r="1253" spans="1:17" ht="18" customHeight="1" x14ac:dyDescent="0.2">
      <c r="A1253" s="67" t="s">
        <v>777</v>
      </c>
      <c r="B1253" s="67" t="str">
        <f t="shared" si="76"/>
        <v>avars_2012</v>
      </c>
      <c r="C1253" s="67" t="s">
        <v>4182</v>
      </c>
      <c r="D1253" s="70" t="s">
        <v>638</v>
      </c>
      <c r="E1253" s="70" t="s">
        <v>4193</v>
      </c>
      <c r="F1253" s="2">
        <v>5</v>
      </c>
      <c r="G1253" s="2" t="str">
        <f t="shared" si="77"/>
        <v>e</v>
      </c>
      <c r="H1253" s="2">
        <v>2012</v>
      </c>
      <c r="I1253" s="2" t="s">
        <v>968</v>
      </c>
      <c r="J1253" s="2" t="s">
        <v>664</v>
      </c>
      <c r="K1253" s="2" t="s">
        <v>642</v>
      </c>
      <c r="M1253" s="2" t="s">
        <v>972</v>
      </c>
      <c r="P1253" s="2" t="s">
        <v>4181</v>
      </c>
      <c r="Q1253" t="s">
        <v>4181</v>
      </c>
    </row>
    <row r="1254" spans="1:17" ht="18" customHeight="1" x14ac:dyDescent="0.2">
      <c r="A1254" s="67" t="s">
        <v>777</v>
      </c>
      <c r="B1254" s="67" t="str">
        <f t="shared" si="76"/>
        <v>avars_2013</v>
      </c>
      <c r="C1254" s="67" t="s">
        <v>4182</v>
      </c>
      <c r="D1254" s="70" t="s">
        <v>638</v>
      </c>
      <c r="E1254" s="70" t="s">
        <v>4193</v>
      </c>
      <c r="F1254" s="2">
        <v>6</v>
      </c>
      <c r="G1254" s="2" t="str">
        <f t="shared" si="77"/>
        <v>f</v>
      </c>
      <c r="H1254" s="2">
        <v>2013</v>
      </c>
      <c r="I1254" s="2" t="s">
        <v>968</v>
      </c>
      <c r="J1254" s="2" t="s">
        <v>664</v>
      </c>
      <c r="K1254" s="2" t="s">
        <v>642</v>
      </c>
      <c r="M1254" s="2" t="s">
        <v>972</v>
      </c>
      <c r="P1254" s="2" t="s">
        <v>4181</v>
      </c>
      <c r="Q1254" t="s">
        <v>4181</v>
      </c>
    </row>
    <row r="1255" spans="1:17" ht="18" customHeight="1" x14ac:dyDescent="0.2">
      <c r="A1255" s="67" t="s">
        <v>777</v>
      </c>
      <c r="B1255" s="67" t="str">
        <f t="shared" si="76"/>
        <v>avars_2014</v>
      </c>
      <c r="C1255" s="67" t="s">
        <v>4182</v>
      </c>
      <c r="D1255" s="70" t="s">
        <v>638</v>
      </c>
      <c r="E1255" s="70" t="s">
        <v>4193</v>
      </c>
      <c r="F1255" s="2">
        <v>7</v>
      </c>
      <c r="G1255" s="2" t="str">
        <f t="shared" si="77"/>
        <v>g</v>
      </c>
      <c r="H1255" s="2">
        <v>2014</v>
      </c>
      <c r="I1255" s="2" t="s">
        <v>968</v>
      </c>
      <c r="J1255" s="2" t="s">
        <v>664</v>
      </c>
      <c r="K1255" s="2" t="s">
        <v>642</v>
      </c>
      <c r="M1255" s="2" t="s">
        <v>972</v>
      </c>
      <c r="P1255" s="2" t="s">
        <v>4181</v>
      </c>
      <c r="Q1255" t="s">
        <v>4181</v>
      </c>
    </row>
    <row r="1256" spans="1:17" ht="18" customHeight="1" x14ac:dyDescent="0.2">
      <c r="A1256" s="67" t="s">
        <v>777</v>
      </c>
      <c r="B1256" s="67" t="str">
        <f t="shared" si="76"/>
        <v>avars_2015</v>
      </c>
      <c r="C1256" s="67" t="s">
        <v>4182</v>
      </c>
      <c r="D1256" s="70" t="s">
        <v>638</v>
      </c>
      <c r="E1256" s="70" t="s">
        <v>4193</v>
      </c>
      <c r="F1256" s="2">
        <v>8</v>
      </c>
      <c r="G1256" s="2" t="str">
        <f t="shared" si="77"/>
        <v>h</v>
      </c>
      <c r="H1256" s="2">
        <v>2015</v>
      </c>
      <c r="I1256" s="2" t="s">
        <v>968</v>
      </c>
      <c r="J1256" s="2" t="s">
        <v>664</v>
      </c>
      <c r="K1256" s="2" t="s">
        <v>642</v>
      </c>
      <c r="M1256" s="2" t="s">
        <v>972</v>
      </c>
      <c r="P1256" s="2" t="s">
        <v>4181</v>
      </c>
      <c r="Q1256" t="s">
        <v>4181</v>
      </c>
    </row>
    <row r="1257" spans="1:17" ht="18" customHeight="1" x14ac:dyDescent="0.2">
      <c r="A1257" s="67" t="s">
        <v>777</v>
      </c>
      <c r="B1257" s="67" t="str">
        <f t="shared" si="76"/>
        <v>avars_2016</v>
      </c>
      <c r="C1257" s="67" t="s">
        <v>4182</v>
      </c>
      <c r="D1257" s="70" t="s">
        <v>638</v>
      </c>
      <c r="E1257" s="70" t="s">
        <v>4193</v>
      </c>
      <c r="F1257" s="2">
        <v>9</v>
      </c>
      <c r="G1257" s="2" t="str">
        <f t="shared" si="77"/>
        <v>i</v>
      </c>
      <c r="H1257" s="2">
        <v>2016</v>
      </c>
      <c r="I1257" s="2" t="s">
        <v>968</v>
      </c>
      <c r="J1257" s="2" t="s">
        <v>664</v>
      </c>
      <c r="K1257" s="2" t="s">
        <v>642</v>
      </c>
      <c r="M1257" s="2" t="s">
        <v>972</v>
      </c>
      <c r="P1257" s="2" t="s">
        <v>4181</v>
      </c>
      <c r="Q1257" t="s">
        <v>4181</v>
      </c>
    </row>
    <row r="1258" spans="1:17" ht="18" customHeight="1" x14ac:dyDescent="0.2">
      <c r="A1258" s="67" t="s">
        <v>777</v>
      </c>
      <c r="B1258" s="67" t="str">
        <f t="shared" si="76"/>
        <v>avars_2017</v>
      </c>
      <c r="C1258" s="67" t="s">
        <v>4182</v>
      </c>
      <c r="D1258" s="70" t="s">
        <v>638</v>
      </c>
      <c r="E1258" s="70" t="s">
        <v>4193</v>
      </c>
      <c r="F1258" s="2">
        <v>10</v>
      </c>
      <c r="G1258" s="2" t="str">
        <f t="shared" si="77"/>
        <v>j</v>
      </c>
      <c r="H1258" s="2">
        <v>2017</v>
      </c>
      <c r="I1258" s="2" t="s">
        <v>968</v>
      </c>
      <c r="J1258" s="2" t="s">
        <v>664</v>
      </c>
      <c r="K1258" s="2" t="s">
        <v>642</v>
      </c>
      <c r="M1258" s="2" t="s">
        <v>972</v>
      </c>
      <c r="P1258" s="2" t="s">
        <v>4181</v>
      </c>
      <c r="Q1258" t="s">
        <v>4181</v>
      </c>
    </row>
    <row r="1259" spans="1:17" ht="18" customHeight="1" x14ac:dyDescent="0.2">
      <c r="A1259" s="67" t="s">
        <v>777</v>
      </c>
      <c r="B1259" s="67" t="str">
        <f t="shared" si="76"/>
        <v>avars_2018</v>
      </c>
      <c r="C1259" s="67" t="s">
        <v>4182</v>
      </c>
      <c r="D1259" s="70" t="s">
        <v>638</v>
      </c>
      <c r="E1259" s="70" t="s">
        <v>4193</v>
      </c>
      <c r="F1259" s="2">
        <v>11</v>
      </c>
      <c r="G1259" s="2" t="str">
        <f t="shared" si="77"/>
        <v>k</v>
      </c>
      <c r="H1259" s="2">
        <v>2018</v>
      </c>
      <c r="I1259" s="2" t="s">
        <v>968</v>
      </c>
      <c r="J1259" s="2" t="s">
        <v>664</v>
      </c>
      <c r="K1259" s="2" t="s">
        <v>642</v>
      </c>
      <c r="M1259" s="2" t="s">
        <v>972</v>
      </c>
      <c r="P1259" s="2" t="s">
        <v>4181</v>
      </c>
      <c r="Q1259" t="s">
        <v>4181</v>
      </c>
    </row>
    <row r="1260" spans="1:17" ht="18" customHeight="1" x14ac:dyDescent="0.2">
      <c r="A1260" s="67" t="s">
        <v>777</v>
      </c>
      <c r="B1260" s="67" t="str">
        <f t="shared" si="76"/>
        <v>avars_2008</v>
      </c>
      <c r="C1260" s="67" t="s">
        <v>4182</v>
      </c>
      <c r="D1260" s="70" t="s">
        <v>638</v>
      </c>
      <c r="E1260" s="70" t="s">
        <v>4193</v>
      </c>
      <c r="F1260" s="2">
        <v>1</v>
      </c>
      <c r="G1260" s="2" t="str">
        <f t="shared" si="77"/>
        <v>a</v>
      </c>
      <c r="H1260" s="2">
        <v>2008</v>
      </c>
      <c r="I1260" s="2" t="s">
        <v>968</v>
      </c>
      <c r="J1260" s="2" t="s">
        <v>664</v>
      </c>
      <c r="K1260" s="2" t="s">
        <v>642</v>
      </c>
      <c r="M1260" s="2" t="s">
        <v>972</v>
      </c>
      <c r="P1260" s="2" t="s">
        <v>4181</v>
      </c>
      <c r="Q1260" t="s">
        <v>4181</v>
      </c>
    </row>
    <row r="1261" spans="1:17" ht="18" customHeight="1" x14ac:dyDescent="0.2">
      <c r="A1261" s="67" t="s">
        <v>777</v>
      </c>
      <c r="B1261" s="67" t="str">
        <f t="shared" si="76"/>
        <v>avars_2009</v>
      </c>
      <c r="C1261" s="67" t="s">
        <v>4182</v>
      </c>
      <c r="D1261" s="70" t="s">
        <v>638</v>
      </c>
      <c r="E1261" s="70" t="s">
        <v>4193</v>
      </c>
      <c r="F1261" s="2">
        <v>2</v>
      </c>
      <c r="G1261" s="2" t="str">
        <f t="shared" si="77"/>
        <v>b</v>
      </c>
      <c r="H1261" s="2">
        <v>2009</v>
      </c>
      <c r="I1261" s="2" t="s">
        <v>968</v>
      </c>
      <c r="J1261" s="2" t="s">
        <v>664</v>
      </c>
      <c r="K1261" s="2" t="s">
        <v>642</v>
      </c>
      <c r="M1261" s="2" t="s">
        <v>972</v>
      </c>
      <c r="P1261" s="2" t="s">
        <v>4181</v>
      </c>
      <c r="Q1261" t="s">
        <v>4181</v>
      </c>
    </row>
    <row r="1262" spans="1:17" ht="18" customHeight="1" x14ac:dyDescent="0.2">
      <c r="A1262" s="67" t="s">
        <v>777</v>
      </c>
      <c r="B1262" s="67" t="str">
        <f t="shared" si="76"/>
        <v>avars_2010</v>
      </c>
      <c r="C1262" s="67" t="s">
        <v>4182</v>
      </c>
      <c r="D1262" s="70" t="s">
        <v>638</v>
      </c>
      <c r="E1262" s="70" t="s">
        <v>4193</v>
      </c>
      <c r="F1262" s="2">
        <v>3</v>
      </c>
      <c r="G1262" s="2" t="str">
        <f t="shared" si="77"/>
        <v>c</v>
      </c>
      <c r="H1262" s="2">
        <v>2010</v>
      </c>
      <c r="I1262" s="2" t="s">
        <v>968</v>
      </c>
      <c r="J1262" s="2" t="s">
        <v>664</v>
      </c>
      <c r="K1262" s="2" t="s">
        <v>642</v>
      </c>
      <c r="M1262" s="2" t="s">
        <v>972</v>
      </c>
      <c r="P1262" s="2" t="s">
        <v>4181</v>
      </c>
      <c r="Q1262" t="s">
        <v>4181</v>
      </c>
    </row>
    <row r="1263" spans="1:17" ht="18" customHeight="1" x14ac:dyDescent="0.2">
      <c r="A1263" s="67" t="s">
        <v>777</v>
      </c>
      <c r="B1263" s="67" t="str">
        <f t="shared" si="76"/>
        <v>avars_2011</v>
      </c>
      <c r="C1263" s="67" t="s">
        <v>4182</v>
      </c>
      <c r="D1263" s="70" t="s">
        <v>638</v>
      </c>
      <c r="E1263" s="70" t="s">
        <v>4193</v>
      </c>
      <c r="F1263" s="2">
        <v>4</v>
      </c>
      <c r="G1263" s="2" t="str">
        <f t="shared" si="77"/>
        <v>d</v>
      </c>
      <c r="H1263" s="2">
        <v>2011</v>
      </c>
      <c r="I1263" s="2" t="s">
        <v>968</v>
      </c>
      <c r="J1263" s="2" t="s">
        <v>664</v>
      </c>
      <c r="K1263" s="2" t="s">
        <v>642</v>
      </c>
      <c r="M1263" s="2" t="s">
        <v>972</v>
      </c>
      <c r="P1263" s="2" t="s">
        <v>4181</v>
      </c>
      <c r="Q1263" t="s">
        <v>4181</v>
      </c>
    </row>
    <row r="1264" spans="1:17" ht="18" customHeight="1" x14ac:dyDescent="0.2">
      <c r="A1264" s="67" t="s">
        <v>777</v>
      </c>
      <c r="B1264" s="67" t="str">
        <f t="shared" si="76"/>
        <v>avars_2012</v>
      </c>
      <c r="C1264" s="67" t="s">
        <v>4182</v>
      </c>
      <c r="D1264" s="70" t="s">
        <v>638</v>
      </c>
      <c r="E1264" s="70" t="s">
        <v>4193</v>
      </c>
      <c r="F1264" s="2">
        <v>5</v>
      </c>
      <c r="G1264" s="2" t="str">
        <f t="shared" si="77"/>
        <v>e</v>
      </c>
      <c r="H1264" s="2">
        <v>2012</v>
      </c>
      <c r="I1264" s="2" t="s">
        <v>968</v>
      </c>
      <c r="J1264" s="2" t="s">
        <v>664</v>
      </c>
      <c r="K1264" s="2" t="s">
        <v>642</v>
      </c>
      <c r="M1264" s="2" t="s">
        <v>972</v>
      </c>
      <c r="P1264" s="2" t="s">
        <v>4181</v>
      </c>
      <c r="Q1264" t="s">
        <v>4181</v>
      </c>
    </row>
    <row r="1265" spans="1:17" ht="18" customHeight="1" x14ac:dyDescent="0.2">
      <c r="A1265" s="67" t="s">
        <v>777</v>
      </c>
      <c r="B1265" s="67" t="str">
        <f t="shared" ref="B1265:B1328" si="78">"avars_" &amp;  H1265</f>
        <v>avars_2013</v>
      </c>
      <c r="C1265" s="67" t="s">
        <v>4182</v>
      </c>
      <c r="D1265" s="70" t="s">
        <v>638</v>
      </c>
      <c r="E1265" s="70" t="s">
        <v>4193</v>
      </c>
      <c r="F1265" s="2">
        <v>6</v>
      </c>
      <c r="G1265" s="2" t="str">
        <f t="shared" ref="G1265:G1328" si="79">MID("abcdefghijklmnopqrstuvwxyz",F1265,1)</f>
        <v>f</v>
      </c>
      <c r="H1265" s="2">
        <v>2013</v>
      </c>
      <c r="I1265" s="2" t="s">
        <v>968</v>
      </c>
      <c r="J1265" s="2" t="s">
        <v>664</v>
      </c>
      <c r="K1265" s="2" t="s">
        <v>642</v>
      </c>
      <c r="M1265" s="2" t="s">
        <v>972</v>
      </c>
      <c r="P1265" s="2" t="s">
        <v>4181</v>
      </c>
      <c r="Q1265" t="s">
        <v>4181</v>
      </c>
    </row>
    <row r="1266" spans="1:17" ht="18" customHeight="1" x14ac:dyDescent="0.2">
      <c r="A1266" s="67" t="s">
        <v>777</v>
      </c>
      <c r="B1266" s="67" t="str">
        <f t="shared" si="78"/>
        <v>avars_2014</v>
      </c>
      <c r="C1266" s="67" t="s">
        <v>4182</v>
      </c>
      <c r="D1266" s="70" t="s">
        <v>638</v>
      </c>
      <c r="E1266" s="70" t="s">
        <v>4193</v>
      </c>
      <c r="F1266" s="2">
        <v>7</v>
      </c>
      <c r="G1266" s="2" t="str">
        <f t="shared" si="79"/>
        <v>g</v>
      </c>
      <c r="H1266" s="2">
        <v>2014</v>
      </c>
      <c r="I1266" s="2" t="s">
        <v>968</v>
      </c>
      <c r="J1266" s="2" t="s">
        <v>664</v>
      </c>
      <c r="K1266" s="2" t="s">
        <v>642</v>
      </c>
      <c r="M1266" s="2" t="s">
        <v>972</v>
      </c>
      <c r="P1266" s="2" t="s">
        <v>4181</v>
      </c>
      <c r="Q1266" t="s">
        <v>4181</v>
      </c>
    </row>
    <row r="1267" spans="1:17" ht="18" customHeight="1" x14ac:dyDescent="0.2">
      <c r="A1267" s="67" t="s">
        <v>777</v>
      </c>
      <c r="B1267" s="67" t="str">
        <f t="shared" si="78"/>
        <v>avars_2015</v>
      </c>
      <c r="C1267" s="67" t="s">
        <v>4182</v>
      </c>
      <c r="D1267" s="70" t="s">
        <v>638</v>
      </c>
      <c r="E1267" s="70" t="s">
        <v>4193</v>
      </c>
      <c r="F1267" s="2">
        <v>8</v>
      </c>
      <c r="G1267" s="2" t="str">
        <f t="shared" si="79"/>
        <v>h</v>
      </c>
      <c r="H1267" s="2">
        <v>2015</v>
      </c>
      <c r="I1267" s="2" t="s">
        <v>968</v>
      </c>
      <c r="J1267" s="2" t="s">
        <v>664</v>
      </c>
      <c r="K1267" s="2" t="s">
        <v>642</v>
      </c>
      <c r="M1267" s="2" t="s">
        <v>972</v>
      </c>
      <c r="P1267" s="2" t="s">
        <v>4181</v>
      </c>
      <c r="Q1267" t="s">
        <v>4181</v>
      </c>
    </row>
    <row r="1268" spans="1:17" ht="18" customHeight="1" x14ac:dyDescent="0.2">
      <c r="A1268" s="67" t="s">
        <v>777</v>
      </c>
      <c r="B1268" s="67" t="str">
        <f t="shared" si="78"/>
        <v>avars_2016</v>
      </c>
      <c r="C1268" s="67" t="s">
        <v>4182</v>
      </c>
      <c r="D1268" s="70" t="s">
        <v>638</v>
      </c>
      <c r="E1268" s="70" t="s">
        <v>4193</v>
      </c>
      <c r="F1268" s="2">
        <v>9</v>
      </c>
      <c r="G1268" s="2" t="str">
        <f t="shared" si="79"/>
        <v>i</v>
      </c>
      <c r="H1268" s="2">
        <v>2016</v>
      </c>
      <c r="I1268" s="2" t="s">
        <v>968</v>
      </c>
      <c r="J1268" s="2" t="s">
        <v>664</v>
      </c>
      <c r="K1268" s="2" t="s">
        <v>642</v>
      </c>
      <c r="M1268" s="2" t="s">
        <v>972</v>
      </c>
      <c r="P1268" s="2" t="s">
        <v>4181</v>
      </c>
      <c r="Q1268" t="s">
        <v>4181</v>
      </c>
    </row>
    <row r="1269" spans="1:17" ht="18" customHeight="1" x14ac:dyDescent="0.2">
      <c r="A1269" s="67" t="s">
        <v>777</v>
      </c>
      <c r="B1269" s="67" t="str">
        <f t="shared" si="78"/>
        <v>avars_2017</v>
      </c>
      <c r="C1269" s="67" t="s">
        <v>4182</v>
      </c>
      <c r="D1269" s="70" t="s">
        <v>638</v>
      </c>
      <c r="E1269" s="70" t="s">
        <v>4193</v>
      </c>
      <c r="F1269" s="2">
        <v>10</v>
      </c>
      <c r="G1269" s="2" t="str">
        <f t="shared" si="79"/>
        <v>j</v>
      </c>
      <c r="H1269" s="2">
        <v>2017</v>
      </c>
      <c r="I1269" s="2" t="s">
        <v>968</v>
      </c>
      <c r="J1269" s="2" t="s">
        <v>664</v>
      </c>
      <c r="K1269" s="2" t="s">
        <v>642</v>
      </c>
      <c r="M1269" s="2" t="s">
        <v>972</v>
      </c>
      <c r="P1269" s="2" t="s">
        <v>4181</v>
      </c>
      <c r="Q1269" t="s">
        <v>4181</v>
      </c>
    </row>
    <row r="1270" spans="1:17" ht="18" customHeight="1" x14ac:dyDescent="0.2">
      <c r="A1270" s="67" t="s">
        <v>777</v>
      </c>
      <c r="B1270" s="67" t="str">
        <f t="shared" si="78"/>
        <v>avars_2018</v>
      </c>
      <c r="C1270" s="67" t="s">
        <v>4182</v>
      </c>
      <c r="D1270" s="70" t="s">
        <v>638</v>
      </c>
      <c r="E1270" s="70" t="s">
        <v>4193</v>
      </c>
      <c r="F1270" s="2">
        <v>11</v>
      </c>
      <c r="G1270" s="2" t="str">
        <f t="shared" si="79"/>
        <v>k</v>
      </c>
      <c r="H1270" s="2">
        <v>2018</v>
      </c>
      <c r="I1270" s="2" t="s">
        <v>968</v>
      </c>
      <c r="J1270" s="2" t="s">
        <v>664</v>
      </c>
      <c r="K1270" s="2" t="s">
        <v>642</v>
      </c>
      <c r="M1270" s="2" t="s">
        <v>972</v>
      </c>
      <c r="P1270" s="2" t="s">
        <v>4181</v>
      </c>
      <c r="Q1270" t="s">
        <v>4181</v>
      </c>
    </row>
    <row r="1271" spans="1:17" ht="18" customHeight="1" x14ac:dyDescent="0.2">
      <c r="A1271" s="67" t="s">
        <v>777</v>
      </c>
      <c r="B1271" s="67" t="str">
        <f t="shared" si="78"/>
        <v>avars_2008</v>
      </c>
      <c r="C1271" s="67" t="s">
        <v>4182</v>
      </c>
      <c r="D1271" s="70" t="s">
        <v>638</v>
      </c>
      <c r="E1271" s="70" t="s">
        <v>4193</v>
      </c>
      <c r="F1271" s="2">
        <v>1</v>
      </c>
      <c r="G1271" s="2" t="str">
        <f t="shared" si="79"/>
        <v>a</v>
      </c>
      <c r="H1271" s="2">
        <v>2008</v>
      </c>
      <c r="I1271" s="2" t="s">
        <v>968</v>
      </c>
      <c r="J1271" s="2" t="s">
        <v>664</v>
      </c>
      <c r="K1271" s="2" t="s">
        <v>642</v>
      </c>
      <c r="M1271" s="2" t="s">
        <v>972</v>
      </c>
      <c r="P1271" s="2" t="s">
        <v>4181</v>
      </c>
      <c r="Q1271" t="s">
        <v>4181</v>
      </c>
    </row>
    <row r="1272" spans="1:17" ht="18" customHeight="1" x14ac:dyDescent="0.2">
      <c r="A1272" s="67" t="s">
        <v>777</v>
      </c>
      <c r="B1272" s="67" t="str">
        <f t="shared" si="78"/>
        <v>avars_2009</v>
      </c>
      <c r="C1272" s="67" t="s">
        <v>4182</v>
      </c>
      <c r="D1272" s="70" t="s">
        <v>638</v>
      </c>
      <c r="E1272" s="70" t="s">
        <v>4193</v>
      </c>
      <c r="F1272" s="2">
        <v>2</v>
      </c>
      <c r="G1272" s="2" t="str">
        <f t="shared" si="79"/>
        <v>b</v>
      </c>
      <c r="H1272" s="2">
        <v>2009</v>
      </c>
      <c r="I1272" s="2" t="s">
        <v>968</v>
      </c>
      <c r="J1272" s="2" t="s">
        <v>664</v>
      </c>
      <c r="K1272" s="2" t="s">
        <v>642</v>
      </c>
      <c r="M1272" s="2" t="s">
        <v>972</v>
      </c>
      <c r="P1272" s="2" t="s">
        <v>4181</v>
      </c>
      <c r="Q1272" t="s">
        <v>4181</v>
      </c>
    </row>
    <row r="1273" spans="1:17" ht="18" customHeight="1" x14ac:dyDescent="0.2">
      <c r="A1273" s="67" t="s">
        <v>777</v>
      </c>
      <c r="B1273" s="67" t="str">
        <f t="shared" si="78"/>
        <v>avars_2010</v>
      </c>
      <c r="C1273" s="67" t="s">
        <v>4182</v>
      </c>
      <c r="D1273" s="70" t="s">
        <v>638</v>
      </c>
      <c r="E1273" s="70" t="s">
        <v>4193</v>
      </c>
      <c r="F1273" s="2">
        <v>3</v>
      </c>
      <c r="G1273" s="2" t="str">
        <f t="shared" si="79"/>
        <v>c</v>
      </c>
      <c r="H1273" s="2">
        <v>2010</v>
      </c>
      <c r="I1273" s="2" t="s">
        <v>968</v>
      </c>
      <c r="J1273" s="2" t="s">
        <v>664</v>
      </c>
      <c r="K1273" s="2" t="s">
        <v>642</v>
      </c>
      <c r="M1273" s="2" t="s">
        <v>972</v>
      </c>
      <c r="P1273" s="2" t="s">
        <v>4181</v>
      </c>
      <c r="Q1273" t="s">
        <v>4181</v>
      </c>
    </row>
    <row r="1274" spans="1:17" ht="18" customHeight="1" x14ac:dyDescent="0.2">
      <c r="A1274" s="67" t="s">
        <v>777</v>
      </c>
      <c r="B1274" s="67" t="str">
        <f t="shared" si="78"/>
        <v>avars_2011</v>
      </c>
      <c r="C1274" s="67" t="s">
        <v>4182</v>
      </c>
      <c r="D1274" s="70" t="s">
        <v>638</v>
      </c>
      <c r="E1274" s="70" t="s">
        <v>4193</v>
      </c>
      <c r="F1274" s="2">
        <v>4</v>
      </c>
      <c r="G1274" s="2" t="str">
        <f t="shared" si="79"/>
        <v>d</v>
      </c>
      <c r="H1274" s="2">
        <v>2011</v>
      </c>
      <c r="I1274" s="2" t="s">
        <v>968</v>
      </c>
      <c r="J1274" s="2" t="s">
        <v>664</v>
      </c>
      <c r="K1274" s="2" t="s">
        <v>642</v>
      </c>
      <c r="M1274" s="2" t="s">
        <v>972</v>
      </c>
      <c r="P1274" s="2" t="s">
        <v>4181</v>
      </c>
      <c r="Q1274" t="s">
        <v>4181</v>
      </c>
    </row>
    <row r="1275" spans="1:17" ht="18" customHeight="1" x14ac:dyDescent="0.2">
      <c r="A1275" s="67" t="s">
        <v>777</v>
      </c>
      <c r="B1275" s="67" t="str">
        <f t="shared" si="78"/>
        <v>avars_2012</v>
      </c>
      <c r="C1275" s="67" t="s">
        <v>4182</v>
      </c>
      <c r="D1275" s="70" t="s">
        <v>638</v>
      </c>
      <c r="E1275" s="70" t="s">
        <v>4193</v>
      </c>
      <c r="F1275" s="2">
        <v>5</v>
      </c>
      <c r="G1275" s="2" t="str">
        <f t="shared" si="79"/>
        <v>e</v>
      </c>
      <c r="H1275" s="2">
        <v>2012</v>
      </c>
      <c r="I1275" s="2" t="s">
        <v>968</v>
      </c>
      <c r="J1275" s="2" t="s">
        <v>664</v>
      </c>
      <c r="K1275" s="2" t="s">
        <v>642</v>
      </c>
      <c r="M1275" s="2" t="s">
        <v>972</v>
      </c>
      <c r="P1275" s="2" t="s">
        <v>4181</v>
      </c>
      <c r="Q1275" t="s">
        <v>4181</v>
      </c>
    </row>
    <row r="1276" spans="1:17" ht="18" customHeight="1" x14ac:dyDescent="0.2">
      <c r="A1276" s="67" t="s">
        <v>777</v>
      </c>
      <c r="B1276" s="67" t="str">
        <f t="shared" si="78"/>
        <v>avars_2013</v>
      </c>
      <c r="C1276" s="67" t="s">
        <v>4182</v>
      </c>
      <c r="D1276" s="70" t="s">
        <v>638</v>
      </c>
      <c r="E1276" s="70" t="s">
        <v>4193</v>
      </c>
      <c r="F1276" s="2">
        <v>6</v>
      </c>
      <c r="G1276" s="2" t="str">
        <f t="shared" si="79"/>
        <v>f</v>
      </c>
      <c r="H1276" s="2">
        <v>2013</v>
      </c>
      <c r="I1276" s="2" t="s">
        <v>968</v>
      </c>
      <c r="J1276" s="2" t="s">
        <v>664</v>
      </c>
      <c r="K1276" s="2" t="s">
        <v>642</v>
      </c>
      <c r="M1276" s="2" t="s">
        <v>972</v>
      </c>
      <c r="P1276" s="2" t="s">
        <v>4181</v>
      </c>
      <c r="Q1276" t="s">
        <v>4181</v>
      </c>
    </row>
    <row r="1277" spans="1:17" ht="18" customHeight="1" x14ac:dyDescent="0.2">
      <c r="A1277" s="67" t="s">
        <v>777</v>
      </c>
      <c r="B1277" s="67" t="str">
        <f t="shared" si="78"/>
        <v>avars_2014</v>
      </c>
      <c r="C1277" s="67" t="s">
        <v>4182</v>
      </c>
      <c r="D1277" s="70" t="s">
        <v>638</v>
      </c>
      <c r="E1277" s="70" t="s">
        <v>4193</v>
      </c>
      <c r="F1277" s="2">
        <v>7</v>
      </c>
      <c r="G1277" s="2" t="str">
        <f t="shared" si="79"/>
        <v>g</v>
      </c>
      <c r="H1277" s="2">
        <v>2014</v>
      </c>
      <c r="I1277" s="2" t="s">
        <v>968</v>
      </c>
      <c r="J1277" s="2" t="s">
        <v>664</v>
      </c>
      <c r="K1277" s="2" t="s">
        <v>642</v>
      </c>
      <c r="M1277" s="2" t="s">
        <v>972</v>
      </c>
      <c r="P1277" s="2" t="s">
        <v>4181</v>
      </c>
      <c r="Q1277" t="s">
        <v>4181</v>
      </c>
    </row>
    <row r="1278" spans="1:17" ht="18" customHeight="1" x14ac:dyDescent="0.2">
      <c r="A1278" s="67" t="s">
        <v>777</v>
      </c>
      <c r="B1278" s="67" t="str">
        <f t="shared" si="78"/>
        <v>avars_2015</v>
      </c>
      <c r="C1278" s="67" t="s">
        <v>4182</v>
      </c>
      <c r="D1278" s="70" t="s">
        <v>638</v>
      </c>
      <c r="E1278" s="70" t="s">
        <v>4193</v>
      </c>
      <c r="F1278" s="2">
        <v>8</v>
      </c>
      <c r="G1278" s="2" t="str">
        <f t="shared" si="79"/>
        <v>h</v>
      </c>
      <c r="H1278" s="2">
        <v>2015</v>
      </c>
      <c r="I1278" s="2" t="s">
        <v>968</v>
      </c>
      <c r="J1278" s="2" t="s">
        <v>664</v>
      </c>
      <c r="K1278" s="2" t="s">
        <v>642</v>
      </c>
      <c r="M1278" s="2" t="s">
        <v>972</v>
      </c>
      <c r="P1278" s="2" t="s">
        <v>4181</v>
      </c>
      <c r="Q1278" t="s">
        <v>4181</v>
      </c>
    </row>
    <row r="1279" spans="1:17" ht="18" customHeight="1" x14ac:dyDescent="0.2">
      <c r="A1279" s="67" t="s">
        <v>777</v>
      </c>
      <c r="B1279" s="67" t="str">
        <f t="shared" si="78"/>
        <v>avars_2016</v>
      </c>
      <c r="C1279" s="67" t="s">
        <v>4182</v>
      </c>
      <c r="D1279" s="70" t="s">
        <v>638</v>
      </c>
      <c r="E1279" s="70" t="s">
        <v>4193</v>
      </c>
      <c r="F1279" s="2">
        <v>9</v>
      </c>
      <c r="G1279" s="2" t="str">
        <f t="shared" si="79"/>
        <v>i</v>
      </c>
      <c r="H1279" s="2">
        <v>2016</v>
      </c>
      <c r="I1279" s="2" t="s">
        <v>968</v>
      </c>
      <c r="J1279" s="2" t="s">
        <v>664</v>
      </c>
      <c r="K1279" s="2" t="s">
        <v>642</v>
      </c>
      <c r="M1279" s="2" t="s">
        <v>972</v>
      </c>
      <c r="P1279" s="2" t="s">
        <v>4181</v>
      </c>
      <c r="Q1279" t="s">
        <v>4181</v>
      </c>
    </row>
    <row r="1280" spans="1:17" ht="18" customHeight="1" x14ac:dyDescent="0.2">
      <c r="A1280" s="67" t="s">
        <v>777</v>
      </c>
      <c r="B1280" s="67" t="str">
        <f t="shared" si="78"/>
        <v>avars_2017</v>
      </c>
      <c r="C1280" s="67" t="s">
        <v>4182</v>
      </c>
      <c r="D1280" s="70" t="s">
        <v>638</v>
      </c>
      <c r="E1280" s="70" t="s">
        <v>4193</v>
      </c>
      <c r="F1280" s="2">
        <v>10</v>
      </c>
      <c r="G1280" s="2" t="str">
        <f t="shared" si="79"/>
        <v>j</v>
      </c>
      <c r="H1280" s="2">
        <v>2017</v>
      </c>
      <c r="I1280" s="2" t="s">
        <v>968</v>
      </c>
      <c r="J1280" s="2" t="s">
        <v>664</v>
      </c>
      <c r="K1280" s="2" t="s">
        <v>642</v>
      </c>
      <c r="M1280" s="2" t="s">
        <v>972</v>
      </c>
      <c r="P1280" s="2" t="s">
        <v>4181</v>
      </c>
      <c r="Q1280" t="s">
        <v>4181</v>
      </c>
    </row>
    <row r="1281" spans="1:17" ht="18" customHeight="1" x14ac:dyDescent="0.2">
      <c r="A1281" s="67" t="s">
        <v>777</v>
      </c>
      <c r="B1281" s="67" t="str">
        <f t="shared" si="78"/>
        <v>avars_2018</v>
      </c>
      <c r="C1281" s="67" t="s">
        <v>4182</v>
      </c>
      <c r="D1281" s="70" t="s">
        <v>638</v>
      </c>
      <c r="E1281" s="70" t="s">
        <v>4193</v>
      </c>
      <c r="F1281" s="2">
        <v>11</v>
      </c>
      <c r="G1281" s="2" t="str">
        <f t="shared" si="79"/>
        <v>k</v>
      </c>
      <c r="H1281" s="2">
        <v>2018</v>
      </c>
      <c r="I1281" s="2" t="s">
        <v>968</v>
      </c>
      <c r="J1281" s="2" t="s">
        <v>664</v>
      </c>
      <c r="K1281" s="2" t="s">
        <v>642</v>
      </c>
      <c r="M1281" s="2" t="s">
        <v>972</v>
      </c>
      <c r="P1281" s="2" t="s">
        <v>4181</v>
      </c>
      <c r="Q1281" t="s">
        <v>4181</v>
      </c>
    </row>
    <row r="1282" spans="1:17" ht="18" customHeight="1" x14ac:dyDescent="0.2">
      <c r="A1282" s="67" t="s">
        <v>777</v>
      </c>
      <c r="B1282" s="67" t="str">
        <f t="shared" si="78"/>
        <v>avars_2008</v>
      </c>
      <c r="C1282" s="67" t="s">
        <v>4182</v>
      </c>
      <c r="D1282" s="70" t="s">
        <v>638</v>
      </c>
      <c r="E1282" s="70" t="s">
        <v>4193</v>
      </c>
      <c r="F1282" s="2">
        <v>1</v>
      </c>
      <c r="G1282" s="2" t="str">
        <f t="shared" si="79"/>
        <v>a</v>
      </c>
      <c r="H1282" s="2">
        <v>2008</v>
      </c>
      <c r="I1282" s="2" t="s">
        <v>968</v>
      </c>
      <c r="J1282" s="2" t="s">
        <v>664</v>
      </c>
      <c r="K1282" s="2" t="s">
        <v>642</v>
      </c>
      <c r="M1282" s="2" t="s">
        <v>972</v>
      </c>
      <c r="P1282" s="2" t="s">
        <v>4181</v>
      </c>
      <c r="Q1282" t="s">
        <v>4181</v>
      </c>
    </row>
    <row r="1283" spans="1:17" ht="18" customHeight="1" x14ac:dyDescent="0.2">
      <c r="A1283" s="67" t="s">
        <v>777</v>
      </c>
      <c r="B1283" s="67" t="str">
        <f t="shared" si="78"/>
        <v>avars_2009</v>
      </c>
      <c r="C1283" s="67" t="s">
        <v>4182</v>
      </c>
      <c r="D1283" s="70" t="s">
        <v>638</v>
      </c>
      <c r="E1283" s="70" t="s">
        <v>4193</v>
      </c>
      <c r="F1283" s="2">
        <v>2</v>
      </c>
      <c r="G1283" s="2" t="str">
        <f t="shared" si="79"/>
        <v>b</v>
      </c>
      <c r="H1283" s="2">
        <v>2009</v>
      </c>
      <c r="I1283" s="2" t="s">
        <v>968</v>
      </c>
      <c r="J1283" s="2" t="s">
        <v>664</v>
      </c>
      <c r="K1283" s="2" t="s">
        <v>642</v>
      </c>
      <c r="M1283" s="2" t="s">
        <v>972</v>
      </c>
      <c r="P1283" s="2" t="s">
        <v>4181</v>
      </c>
      <c r="Q1283" t="s">
        <v>4181</v>
      </c>
    </row>
    <row r="1284" spans="1:17" ht="18" customHeight="1" x14ac:dyDescent="0.2">
      <c r="A1284" s="67" t="s">
        <v>777</v>
      </c>
      <c r="B1284" s="67" t="str">
        <f t="shared" si="78"/>
        <v>avars_2010</v>
      </c>
      <c r="C1284" s="67" t="s">
        <v>4182</v>
      </c>
      <c r="D1284" s="70" t="s">
        <v>638</v>
      </c>
      <c r="E1284" s="70" t="s">
        <v>4193</v>
      </c>
      <c r="F1284" s="2">
        <v>3</v>
      </c>
      <c r="G1284" s="2" t="str">
        <f t="shared" si="79"/>
        <v>c</v>
      </c>
      <c r="H1284" s="2">
        <v>2010</v>
      </c>
      <c r="I1284" s="2" t="s">
        <v>968</v>
      </c>
      <c r="J1284" s="2" t="s">
        <v>664</v>
      </c>
      <c r="K1284" s="2" t="s">
        <v>642</v>
      </c>
      <c r="M1284" s="2" t="s">
        <v>972</v>
      </c>
      <c r="P1284" s="2" t="s">
        <v>4181</v>
      </c>
      <c r="Q1284" t="s">
        <v>4181</v>
      </c>
    </row>
    <row r="1285" spans="1:17" ht="18" customHeight="1" x14ac:dyDescent="0.2">
      <c r="A1285" s="67" t="s">
        <v>777</v>
      </c>
      <c r="B1285" s="67" t="str">
        <f t="shared" si="78"/>
        <v>avars_2011</v>
      </c>
      <c r="C1285" s="67" t="s">
        <v>4182</v>
      </c>
      <c r="D1285" s="70" t="s">
        <v>638</v>
      </c>
      <c r="E1285" s="70" t="s">
        <v>4193</v>
      </c>
      <c r="F1285" s="2">
        <v>4</v>
      </c>
      <c r="G1285" s="2" t="str">
        <f t="shared" si="79"/>
        <v>d</v>
      </c>
      <c r="H1285" s="2">
        <v>2011</v>
      </c>
      <c r="I1285" s="2" t="s">
        <v>968</v>
      </c>
      <c r="J1285" s="2" t="s">
        <v>664</v>
      </c>
      <c r="K1285" s="2" t="s">
        <v>642</v>
      </c>
      <c r="M1285" s="2" t="s">
        <v>972</v>
      </c>
      <c r="P1285" s="2" t="s">
        <v>4181</v>
      </c>
      <c r="Q1285" t="s">
        <v>4181</v>
      </c>
    </row>
    <row r="1286" spans="1:17" ht="18" customHeight="1" x14ac:dyDescent="0.2">
      <c r="A1286" s="67" t="s">
        <v>777</v>
      </c>
      <c r="B1286" s="67" t="str">
        <f t="shared" si="78"/>
        <v>avars_2012</v>
      </c>
      <c r="C1286" s="67" t="s">
        <v>4182</v>
      </c>
      <c r="D1286" s="70" t="s">
        <v>638</v>
      </c>
      <c r="E1286" s="70" t="s">
        <v>4193</v>
      </c>
      <c r="F1286" s="2">
        <v>5</v>
      </c>
      <c r="G1286" s="2" t="str">
        <f t="shared" si="79"/>
        <v>e</v>
      </c>
      <c r="H1286" s="2">
        <v>2012</v>
      </c>
      <c r="I1286" s="2" t="s">
        <v>968</v>
      </c>
      <c r="J1286" s="2" t="s">
        <v>664</v>
      </c>
      <c r="K1286" s="2" t="s">
        <v>642</v>
      </c>
      <c r="M1286" s="2" t="s">
        <v>972</v>
      </c>
      <c r="P1286" s="2" t="s">
        <v>4181</v>
      </c>
      <c r="Q1286" t="s">
        <v>4181</v>
      </c>
    </row>
    <row r="1287" spans="1:17" ht="18" customHeight="1" x14ac:dyDescent="0.2">
      <c r="A1287" s="67" t="s">
        <v>777</v>
      </c>
      <c r="B1287" s="67" t="str">
        <f t="shared" si="78"/>
        <v>avars_2013</v>
      </c>
      <c r="C1287" s="67" t="s">
        <v>4182</v>
      </c>
      <c r="D1287" s="70" t="s">
        <v>638</v>
      </c>
      <c r="E1287" s="70" t="s">
        <v>4193</v>
      </c>
      <c r="F1287" s="2">
        <v>6</v>
      </c>
      <c r="G1287" s="2" t="str">
        <f t="shared" si="79"/>
        <v>f</v>
      </c>
      <c r="H1287" s="2">
        <v>2013</v>
      </c>
      <c r="I1287" s="2" t="s">
        <v>968</v>
      </c>
      <c r="J1287" s="2" t="s">
        <v>664</v>
      </c>
      <c r="K1287" s="2" t="s">
        <v>642</v>
      </c>
      <c r="M1287" s="2" t="s">
        <v>972</v>
      </c>
      <c r="P1287" s="2" t="s">
        <v>4181</v>
      </c>
      <c r="Q1287" t="s">
        <v>4181</v>
      </c>
    </row>
    <row r="1288" spans="1:17" ht="18" customHeight="1" x14ac:dyDescent="0.2">
      <c r="A1288" s="67" t="s">
        <v>777</v>
      </c>
      <c r="B1288" s="67" t="str">
        <f t="shared" si="78"/>
        <v>avars_2014</v>
      </c>
      <c r="C1288" s="67" t="s">
        <v>4182</v>
      </c>
      <c r="D1288" s="70" t="s">
        <v>638</v>
      </c>
      <c r="E1288" s="70" t="s">
        <v>4193</v>
      </c>
      <c r="F1288" s="2">
        <v>7</v>
      </c>
      <c r="G1288" s="2" t="str">
        <f t="shared" si="79"/>
        <v>g</v>
      </c>
      <c r="H1288" s="2">
        <v>2014</v>
      </c>
      <c r="I1288" s="2" t="s">
        <v>968</v>
      </c>
      <c r="J1288" s="2" t="s">
        <v>664</v>
      </c>
      <c r="K1288" s="2" t="s">
        <v>642</v>
      </c>
      <c r="M1288" s="2" t="s">
        <v>972</v>
      </c>
      <c r="P1288" s="2" t="s">
        <v>4181</v>
      </c>
      <c r="Q1288" t="s">
        <v>4181</v>
      </c>
    </row>
    <row r="1289" spans="1:17" ht="18" customHeight="1" x14ac:dyDescent="0.2">
      <c r="A1289" s="67" t="s">
        <v>777</v>
      </c>
      <c r="B1289" s="67" t="str">
        <f t="shared" si="78"/>
        <v>avars_2015</v>
      </c>
      <c r="C1289" s="67" t="s">
        <v>4182</v>
      </c>
      <c r="D1289" s="70" t="s">
        <v>638</v>
      </c>
      <c r="E1289" s="70" t="s">
        <v>4193</v>
      </c>
      <c r="F1289" s="2">
        <v>8</v>
      </c>
      <c r="G1289" s="2" t="str">
        <f t="shared" si="79"/>
        <v>h</v>
      </c>
      <c r="H1289" s="2">
        <v>2015</v>
      </c>
      <c r="I1289" s="2" t="s">
        <v>968</v>
      </c>
      <c r="J1289" s="2" t="s">
        <v>664</v>
      </c>
      <c r="K1289" s="2" t="s">
        <v>642</v>
      </c>
      <c r="M1289" s="2" t="s">
        <v>972</v>
      </c>
      <c r="P1289" s="2" t="s">
        <v>4181</v>
      </c>
      <c r="Q1289" t="s">
        <v>4181</v>
      </c>
    </row>
    <row r="1290" spans="1:17" ht="18" customHeight="1" x14ac:dyDescent="0.2">
      <c r="A1290" s="67" t="s">
        <v>777</v>
      </c>
      <c r="B1290" s="67" t="str">
        <f t="shared" si="78"/>
        <v>avars_2016</v>
      </c>
      <c r="C1290" s="67" t="s">
        <v>4182</v>
      </c>
      <c r="D1290" s="70" t="s">
        <v>638</v>
      </c>
      <c r="E1290" s="70" t="s">
        <v>4193</v>
      </c>
      <c r="F1290" s="2">
        <v>9</v>
      </c>
      <c r="G1290" s="2" t="str">
        <f t="shared" si="79"/>
        <v>i</v>
      </c>
      <c r="H1290" s="2">
        <v>2016</v>
      </c>
      <c r="I1290" s="2" t="s">
        <v>968</v>
      </c>
      <c r="J1290" s="2" t="s">
        <v>664</v>
      </c>
      <c r="K1290" s="2" t="s">
        <v>642</v>
      </c>
      <c r="M1290" s="2" t="s">
        <v>972</v>
      </c>
      <c r="P1290" s="2" t="s">
        <v>4181</v>
      </c>
      <c r="Q1290" t="s">
        <v>4181</v>
      </c>
    </row>
    <row r="1291" spans="1:17" ht="18" customHeight="1" x14ac:dyDescent="0.2">
      <c r="A1291" s="67" t="s">
        <v>777</v>
      </c>
      <c r="B1291" s="67" t="str">
        <f t="shared" si="78"/>
        <v>avars_2017</v>
      </c>
      <c r="C1291" s="67" t="s">
        <v>4182</v>
      </c>
      <c r="D1291" s="70" t="s">
        <v>638</v>
      </c>
      <c r="E1291" s="70" t="s">
        <v>4193</v>
      </c>
      <c r="F1291" s="2">
        <v>10</v>
      </c>
      <c r="G1291" s="2" t="str">
        <f t="shared" si="79"/>
        <v>j</v>
      </c>
      <c r="H1291" s="2">
        <v>2017</v>
      </c>
      <c r="I1291" s="2" t="s">
        <v>968</v>
      </c>
      <c r="J1291" s="2" t="s">
        <v>664</v>
      </c>
      <c r="K1291" s="2" t="s">
        <v>642</v>
      </c>
      <c r="M1291" s="2" t="s">
        <v>972</v>
      </c>
      <c r="P1291" s="2" t="s">
        <v>4181</v>
      </c>
      <c r="Q1291" t="s">
        <v>4181</v>
      </c>
    </row>
    <row r="1292" spans="1:17" ht="18" customHeight="1" x14ac:dyDescent="0.2">
      <c r="A1292" s="67" t="s">
        <v>777</v>
      </c>
      <c r="B1292" s="67" t="str">
        <f t="shared" si="78"/>
        <v>avars_2018</v>
      </c>
      <c r="C1292" s="67" t="s">
        <v>4182</v>
      </c>
      <c r="D1292" s="70" t="s">
        <v>638</v>
      </c>
      <c r="E1292" s="70" t="s">
        <v>4193</v>
      </c>
      <c r="F1292" s="2">
        <v>11</v>
      </c>
      <c r="G1292" s="2" t="str">
        <f t="shared" si="79"/>
        <v>k</v>
      </c>
      <c r="H1292" s="2">
        <v>2018</v>
      </c>
      <c r="I1292" s="2" t="s">
        <v>968</v>
      </c>
      <c r="J1292" s="2" t="s">
        <v>664</v>
      </c>
      <c r="K1292" s="2" t="s">
        <v>642</v>
      </c>
      <c r="M1292" s="2" t="s">
        <v>972</v>
      </c>
      <c r="P1292" s="2" t="s">
        <v>4181</v>
      </c>
      <c r="Q1292" t="s">
        <v>4181</v>
      </c>
    </row>
    <row r="1293" spans="1:17" ht="18" customHeight="1" x14ac:dyDescent="0.2">
      <c r="A1293" s="67" t="s">
        <v>777</v>
      </c>
      <c r="B1293" s="67" t="str">
        <f t="shared" si="78"/>
        <v>avars_2008</v>
      </c>
      <c r="C1293" s="67" t="s">
        <v>4182</v>
      </c>
      <c r="D1293" s="70" t="s">
        <v>638</v>
      </c>
      <c r="E1293" s="70" t="s">
        <v>4193</v>
      </c>
      <c r="F1293" s="2">
        <v>1</v>
      </c>
      <c r="G1293" s="2" t="str">
        <f t="shared" si="79"/>
        <v>a</v>
      </c>
      <c r="H1293" s="2">
        <v>2008</v>
      </c>
      <c r="I1293" s="2" t="s">
        <v>968</v>
      </c>
      <c r="J1293" s="2" t="s">
        <v>664</v>
      </c>
      <c r="K1293" s="2" t="s">
        <v>642</v>
      </c>
      <c r="M1293" s="2" t="s">
        <v>972</v>
      </c>
      <c r="P1293" s="2" t="s">
        <v>4181</v>
      </c>
      <c r="Q1293" t="s">
        <v>4181</v>
      </c>
    </row>
    <row r="1294" spans="1:17" ht="18" customHeight="1" x14ac:dyDescent="0.2">
      <c r="A1294" s="67" t="s">
        <v>777</v>
      </c>
      <c r="B1294" s="67" t="str">
        <f t="shared" si="78"/>
        <v>avars_2009</v>
      </c>
      <c r="C1294" s="67" t="s">
        <v>4182</v>
      </c>
      <c r="D1294" s="70" t="s">
        <v>638</v>
      </c>
      <c r="E1294" s="70" t="s">
        <v>4193</v>
      </c>
      <c r="F1294" s="2">
        <v>2</v>
      </c>
      <c r="G1294" s="2" t="str">
        <f t="shared" si="79"/>
        <v>b</v>
      </c>
      <c r="H1294" s="2">
        <v>2009</v>
      </c>
      <c r="I1294" s="2" t="s">
        <v>968</v>
      </c>
      <c r="J1294" s="2" t="s">
        <v>664</v>
      </c>
      <c r="K1294" s="2" t="s">
        <v>642</v>
      </c>
      <c r="M1294" s="2" t="s">
        <v>972</v>
      </c>
      <c r="P1294" s="2" t="s">
        <v>4181</v>
      </c>
      <c r="Q1294" t="s">
        <v>4181</v>
      </c>
    </row>
    <row r="1295" spans="1:17" ht="18" customHeight="1" x14ac:dyDescent="0.2">
      <c r="A1295" s="67" t="s">
        <v>777</v>
      </c>
      <c r="B1295" s="67" t="str">
        <f t="shared" si="78"/>
        <v>avars_2010</v>
      </c>
      <c r="C1295" s="67" t="s">
        <v>4182</v>
      </c>
      <c r="D1295" s="70" t="s">
        <v>638</v>
      </c>
      <c r="E1295" s="70" t="s">
        <v>4193</v>
      </c>
      <c r="F1295" s="2">
        <v>3</v>
      </c>
      <c r="G1295" s="2" t="str">
        <f t="shared" si="79"/>
        <v>c</v>
      </c>
      <c r="H1295" s="2">
        <v>2010</v>
      </c>
      <c r="I1295" s="2" t="s">
        <v>968</v>
      </c>
      <c r="J1295" s="2" t="s">
        <v>664</v>
      </c>
      <c r="K1295" s="2" t="s">
        <v>642</v>
      </c>
      <c r="M1295" s="2" t="s">
        <v>972</v>
      </c>
      <c r="P1295" s="2" t="s">
        <v>4181</v>
      </c>
      <c r="Q1295" t="s">
        <v>4181</v>
      </c>
    </row>
    <row r="1296" spans="1:17" ht="18" customHeight="1" x14ac:dyDescent="0.2">
      <c r="A1296" s="67" t="s">
        <v>777</v>
      </c>
      <c r="B1296" s="67" t="str">
        <f t="shared" si="78"/>
        <v>avars_2011</v>
      </c>
      <c r="C1296" s="67" t="s">
        <v>4182</v>
      </c>
      <c r="D1296" s="70" t="s">
        <v>638</v>
      </c>
      <c r="E1296" s="70" t="s">
        <v>4193</v>
      </c>
      <c r="F1296" s="2">
        <v>4</v>
      </c>
      <c r="G1296" s="2" t="str">
        <f t="shared" si="79"/>
        <v>d</v>
      </c>
      <c r="H1296" s="2">
        <v>2011</v>
      </c>
      <c r="I1296" s="2" t="s">
        <v>968</v>
      </c>
      <c r="J1296" s="2" t="s">
        <v>664</v>
      </c>
      <c r="K1296" s="2" t="s">
        <v>642</v>
      </c>
      <c r="M1296" s="2" t="s">
        <v>972</v>
      </c>
      <c r="P1296" s="2" t="s">
        <v>4181</v>
      </c>
      <c r="Q1296" t="s">
        <v>4181</v>
      </c>
    </row>
    <row r="1297" spans="1:17" ht="18" customHeight="1" x14ac:dyDescent="0.2">
      <c r="A1297" s="67" t="s">
        <v>777</v>
      </c>
      <c r="B1297" s="67" t="str">
        <f t="shared" si="78"/>
        <v>avars_2012</v>
      </c>
      <c r="C1297" s="67" t="s">
        <v>4182</v>
      </c>
      <c r="D1297" s="70" t="s">
        <v>638</v>
      </c>
      <c r="E1297" s="70" t="s">
        <v>4193</v>
      </c>
      <c r="F1297" s="2">
        <v>5</v>
      </c>
      <c r="G1297" s="2" t="str">
        <f t="shared" si="79"/>
        <v>e</v>
      </c>
      <c r="H1297" s="2">
        <v>2012</v>
      </c>
      <c r="I1297" s="2" t="s">
        <v>968</v>
      </c>
      <c r="J1297" s="2" t="s">
        <v>664</v>
      </c>
      <c r="K1297" s="2" t="s">
        <v>642</v>
      </c>
      <c r="M1297" s="2" t="s">
        <v>972</v>
      </c>
      <c r="P1297" s="2" t="s">
        <v>4181</v>
      </c>
      <c r="Q1297" t="s">
        <v>4181</v>
      </c>
    </row>
    <row r="1298" spans="1:17" ht="18" customHeight="1" x14ac:dyDescent="0.2">
      <c r="A1298" s="67" t="s">
        <v>777</v>
      </c>
      <c r="B1298" s="67" t="str">
        <f t="shared" si="78"/>
        <v>avars_2013</v>
      </c>
      <c r="C1298" s="67" t="s">
        <v>4182</v>
      </c>
      <c r="D1298" s="70" t="s">
        <v>638</v>
      </c>
      <c r="E1298" s="70" t="s">
        <v>4193</v>
      </c>
      <c r="F1298" s="2">
        <v>6</v>
      </c>
      <c r="G1298" s="2" t="str">
        <f t="shared" si="79"/>
        <v>f</v>
      </c>
      <c r="H1298" s="2">
        <v>2013</v>
      </c>
      <c r="I1298" s="2" t="s">
        <v>968</v>
      </c>
      <c r="J1298" s="2" t="s">
        <v>664</v>
      </c>
      <c r="K1298" s="2" t="s">
        <v>642</v>
      </c>
      <c r="M1298" s="2" t="s">
        <v>972</v>
      </c>
      <c r="P1298" s="2" t="s">
        <v>4181</v>
      </c>
      <c r="Q1298" t="s">
        <v>4181</v>
      </c>
    </row>
    <row r="1299" spans="1:17" ht="18" customHeight="1" x14ac:dyDescent="0.2">
      <c r="A1299" s="67" t="s">
        <v>777</v>
      </c>
      <c r="B1299" s="67" t="str">
        <f t="shared" si="78"/>
        <v>avars_2014</v>
      </c>
      <c r="C1299" s="67" t="s">
        <v>4182</v>
      </c>
      <c r="D1299" s="70" t="s">
        <v>638</v>
      </c>
      <c r="E1299" s="70" t="s">
        <v>4193</v>
      </c>
      <c r="F1299" s="2">
        <v>7</v>
      </c>
      <c r="G1299" s="2" t="str">
        <f t="shared" si="79"/>
        <v>g</v>
      </c>
      <c r="H1299" s="2">
        <v>2014</v>
      </c>
      <c r="I1299" s="2" t="s">
        <v>968</v>
      </c>
      <c r="J1299" s="2" t="s">
        <v>664</v>
      </c>
      <c r="K1299" s="2" t="s">
        <v>642</v>
      </c>
      <c r="M1299" s="2" t="s">
        <v>972</v>
      </c>
      <c r="P1299" s="2" t="s">
        <v>4181</v>
      </c>
      <c r="Q1299" t="s">
        <v>4181</v>
      </c>
    </row>
    <row r="1300" spans="1:17" ht="18" customHeight="1" x14ac:dyDescent="0.2">
      <c r="A1300" s="67" t="s">
        <v>777</v>
      </c>
      <c r="B1300" s="67" t="str">
        <f t="shared" si="78"/>
        <v>avars_2015</v>
      </c>
      <c r="C1300" s="67" t="s">
        <v>4182</v>
      </c>
      <c r="D1300" s="70" t="s">
        <v>638</v>
      </c>
      <c r="E1300" s="70" t="s">
        <v>4193</v>
      </c>
      <c r="F1300" s="2">
        <v>8</v>
      </c>
      <c r="G1300" s="2" t="str">
        <f t="shared" si="79"/>
        <v>h</v>
      </c>
      <c r="H1300" s="2">
        <v>2015</v>
      </c>
      <c r="I1300" s="2" t="s">
        <v>968</v>
      </c>
      <c r="J1300" s="2" t="s">
        <v>664</v>
      </c>
      <c r="K1300" s="2" t="s">
        <v>642</v>
      </c>
      <c r="M1300" s="2" t="s">
        <v>972</v>
      </c>
      <c r="P1300" s="2" t="s">
        <v>4181</v>
      </c>
      <c r="Q1300" t="s">
        <v>4181</v>
      </c>
    </row>
    <row r="1301" spans="1:17" ht="18" customHeight="1" x14ac:dyDescent="0.2">
      <c r="A1301" s="67" t="s">
        <v>777</v>
      </c>
      <c r="B1301" s="67" t="str">
        <f t="shared" si="78"/>
        <v>avars_2016</v>
      </c>
      <c r="C1301" s="67" t="s">
        <v>4182</v>
      </c>
      <c r="D1301" s="70" t="s">
        <v>638</v>
      </c>
      <c r="E1301" s="70" t="s">
        <v>4193</v>
      </c>
      <c r="F1301" s="2">
        <v>9</v>
      </c>
      <c r="G1301" s="2" t="str">
        <f t="shared" si="79"/>
        <v>i</v>
      </c>
      <c r="H1301" s="2">
        <v>2016</v>
      </c>
      <c r="I1301" s="2" t="s">
        <v>968</v>
      </c>
      <c r="J1301" s="2" t="s">
        <v>664</v>
      </c>
      <c r="K1301" s="2" t="s">
        <v>642</v>
      </c>
      <c r="M1301" s="2" t="s">
        <v>972</v>
      </c>
      <c r="P1301" s="2" t="s">
        <v>4181</v>
      </c>
      <c r="Q1301" t="s">
        <v>4181</v>
      </c>
    </row>
    <row r="1302" spans="1:17" ht="18" customHeight="1" x14ac:dyDescent="0.2">
      <c r="A1302" s="67" t="s">
        <v>777</v>
      </c>
      <c r="B1302" s="67" t="str">
        <f t="shared" si="78"/>
        <v>avars_2017</v>
      </c>
      <c r="C1302" s="67" t="s">
        <v>4182</v>
      </c>
      <c r="D1302" s="70" t="s">
        <v>638</v>
      </c>
      <c r="E1302" s="70" t="s">
        <v>4193</v>
      </c>
      <c r="F1302" s="2">
        <v>10</v>
      </c>
      <c r="G1302" s="2" t="str">
        <f t="shared" si="79"/>
        <v>j</v>
      </c>
      <c r="H1302" s="2">
        <v>2017</v>
      </c>
      <c r="I1302" s="2" t="s">
        <v>968</v>
      </c>
      <c r="J1302" s="2" t="s">
        <v>664</v>
      </c>
      <c r="K1302" s="2" t="s">
        <v>642</v>
      </c>
      <c r="M1302" s="2" t="s">
        <v>972</v>
      </c>
      <c r="P1302" s="2" t="s">
        <v>4181</v>
      </c>
      <c r="Q1302" t="s">
        <v>4181</v>
      </c>
    </row>
    <row r="1303" spans="1:17" ht="18" customHeight="1" x14ac:dyDescent="0.2">
      <c r="A1303" s="67" t="s">
        <v>777</v>
      </c>
      <c r="B1303" s="67" t="str">
        <f t="shared" si="78"/>
        <v>avars_2018</v>
      </c>
      <c r="C1303" s="67" t="s">
        <v>4182</v>
      </c>
      <c r="D1303" s="70" t="s">
        <v>638</v>
      </c>
      <c r="E1303" s="70" t="s">
        <v>4193</v>
      </c>
      <c r="F1303" s="2">
        <v>11</v>
      </c>
      <c r="G1303" s="2" t="str">
        <f t="shared" si="79"/>
        <v>k</v>
      </c>
      <c r="H1303" s="2">
        <v>2018</v>
      </c>
      <c r="I1303" s="2" t="s">
        <v>968</v>
      </c>
      <c r="J1303" s="2" t="s">
        <v>664</v>
      </c>
      <c r="K1303" s="2" t="s">
        <v>642</v>
      </c>
      <c r="M1303" s="2" t="s">
        <v>972</v>
      </c>
      <c r="P1303" s="2" t="s">
        <v>4181</v>
      </c>
      <c r="Q1303" t="s">
        <v>4181</v>
      </c>
    </row>
    <row r="1304" spans="1:17" ht="18" customHeight="1" x14ac:dyDescent="0.2">
      <c r="A1304" s="67" t="s">
        <v>777</v>
      </c>
      <c r="B1304" s="67" t="str">
        <f t="shared" si="78"/>
        <v>avars_2008</v>
      </c>
      <c r="C1304" s="67" t="s">
        <v>4182</v>
      </c>
      <c r="D1304" s="70" t="s">
        <v>638</v>
      </c>
      <c r="E1304" s="70" t="s">
        <v>4193</v>
      </c>
      <c r="F1304" s="2">
        <v>1</v>
      </c>
      <c r="G1304" s="2" t="str">
        <f t="shared" si="79"/>
        <v>a</v>
      </c>
      <c r="H1304" s="2">
        <v>2008</v>
      </c>
      <c r="I1304" s="2" t="s">
        <v>968</v>
      </c>
      <c r="J1304" s="2" t="s">
        <v>664</v>
      </c>
      <c r="K1304" s="2" t="s">
        <v>642</v>
      </c>
      <c r="M1304" s="2" t="s">
        <v>972</v>
      </c>
      <c r="P1304" s="2" t="s">
        <v>4181</v>
      </c>
      <c r="Q1304" t="s">
        <v>4181</v>
      </c>
    </row>
    <row r="1305" spans="1:17" ht="18" customHeight="1" x14ac:dyDescent="0.2">
      <c r="A1305" s="67" t="s">
        <v>777</v>
      </c>
      <c r="B1305" s="67" t="str">
        <f t="shared" si="78"/>
        <v>avars_2009</v>
      </c>
      <c r="C1305" s="67" t="s">
        <v>4182</v>
      </c>
      <c r="D1305" s="70" t="s">
        <v>638</v>
      </c>
      <c r="E1305" s="70" t="s">
        <v>4193</v>
      </c>
      <c r="F1305" s="2">
        <v>2</v>
      </c>
      <c r="G1305" s="2" t="str">
        <f t="shared" si="79"/>
        <v>b</v>
      </c>
      <c r="H1305" s="2">
        <v>2009</v>
      </c>
      <c r="I1305" s="2" t="s">
        <v>968</v>
      </c>
      <c r="J1305" s="2" t="s">
        <v>664</v>
      </c>
      <c r="K1305" s="2" t="s">
        <v>642</v>
      </c>
      <c r="M1305" s="2" t="s">
        <v>972</v>
      </c>
      <c r="P1305" s="2" t="s">
        <v>4181</v>
      </c>
      <c r="Q1305" t="s">
        <v>4181</v>
      </c>
    </row>
    <row r="1306" spans="1:17" ht="18" customHeight="1" x14ac:dyDescent="0.2">
      <c r="A1306" s="67" t="s">
        <v>777</v>
      </c>
      <c r="B1306" s="67" t="str">
        <f t="shared" si="78"/>
        <v>avars_2010</v>
      </c>
      <c r="C1306" s="67" t="s">
        <v>4182</v>
      </c>
      <c r="D1306" s="70" t="s">
        <v>638</v>
      </c>
      <c r="E1306" s="70" t="s">
        <v>4193</v>
      </c>
      <c r="F1306" s="2">
        <v>3</v>
      </c>
      <c r="G1306" s="2" t="str">
        <f t="shared" si="79"/>
        <v>c</v>
      </c>
      <c r="H1306" s="2">
        <v>2010</v>
      </c>
      <c r="I1306" s="2" t="s">
        <v>968</v>
      </c>
      <c r="J1306" s="2" t="s">
        <v>664</v>
      </c>
      <c r="K1306" s="2" t="s">
        <v>642</v>
      </c>
      <c r="M1306" s="2" t="s">
        <v>972</v>
      </c>
      <c r="P1306" s="2" t="s">
        <v>4181</v>
      </c>
      <c r="Q1306" t="s">
        <v>4181</v>
      </c>
    </row>
    <row r="1307" spans="1:17" ht="18" customHeight="1" x14ac:dyDescent="0.2">
      <c r="A1307" s="67" t="s">
        <v>777</v>
      </c>
      <c r="B1307" s="67" t="str">
        <f t="shared" si="78"/>
        <v>avars_2011</v>
      </c>
      <c r="C1307" s="67" t="s">
        <v>4182</v>
      </c>
      <c r="D1307" s="70" t="s">
        <v>638</v>
      </c>
      <c r="E1307" s="70" t="s">
        <v>4193</v>
      </c>
      <c r="F1307" s="2">
        <v>4</v>
      </c>
      <c r="G1307" s="2" t="str">
        <f t="shared" si="79"/>
        <v>d</v>
      </c>
      <c r="H1307" s="2">
        <v>2011</v>
      </c>
      <c r="I1307" s="2" t="s">
        <v>968</v>
      </c>
      <c r="J1307" s="2" t="s">
        <v>664</v>
      </c>
      <c r="K1307" s="2" t="s">
        <v>642</v>
      </c>
      <c r="M1307" s="2" t="s">
        <v>972</v>
      </c>
      <c r="P1307" s="2" t="s">
        <v>4181</v>
      </c>
      <c r="Q1307" t="s">
        <v>4181</v>
      </c>
    </row>
    <row r="1308" spans="1:17" ht="18" customHeight="1" x14ac:dyDescent="0.2">
      <c r="A1308" s="67" t="s">
        <v>777</v>
      </c>
      <c r="B1308" s="67" t="str">
        <f t="shared" si="78"/>
        <v>avars_2012</v>
      </c>
      <c r="C1308" s="67" t="s">
        <v>4182</v>
      </c>
      <c r="D1308" s="70" t="s">
        <v>638</v>
      </c>
      <c r="E1308" s="70" t="s">
        <v>4193</v>
      </c>
      <c r="F1308" s="2">
        <v>5</v>
      </c>
      <c r="G1308" s="2" t="str">
        <f t="shared" si="79"/>
        <v>e</v>
      </c>
      <c r="H1308" s="2">
        <v>2012</v>
      </c>
      <c r="I1308" s="2" t="s">
        <v>968</v>
      </c>
      <c r="J1308" s="2" t="s">
        <v>664</v>
      </c>
      <c r="K1308" s="2" t="s">
        <v>642</v>
      </c>
      <c r="M1308" s="2" t="s">
        <v>972</v>
      </c>
      <c r="P1308" s="2" t="s">
        <v>4181</v>
      </c>
      <c r="Q1308" t="s">
        <v>4181</v>
      </c>
    </row>
    <row r="1309" spans="1:17" ht="18" customHeight="1" x14ac:dyDescent="0.2">
      <c r="A1309" s="67" t="s">
        <v>777</v>
      </c>
      <c r="B1309" s="67" t="str">
        <f t="shared" si="78"/>
        <v>avars_2013</v>
      </c>
      <c r="C1309" s="67" t="s">
        <v>4182</v>
      </c>
      <c r="D1309" s="70" t="s">
        <v>638</v>
      </c>
      <c r="E1309" s="70" t="s">
        <v>4193</v>
      </c>
      <c r="F1309" s="2">
        <v>6</v>
      </c>
      <c r="G1309" s="2" t="str">
        <f t="shared" si="79"/>
        <v>f</v>
      </c>
      <c r="H1309" s="2">
        <v>2013</v>
      </c>
      <c r="I1309" s="2" t="s">
        <v>968</v>
      </c>
      <c r="J1309" s="2" t="s">
        <v>664</v>
      </c>
      <c r="K1309" s="2" t="s">
        <v>642</v>
      </c>
      <c r="M1309" s="2" t="s">
        <v>972</v>
      </c>
      <c r="P1309" s="2" t="s">
        <v>4181</v>
      </c>
      <c r="Q1309" t="s">
        <v>4181</v>
      </c>
    </row>
    <row r="1310" spans="1:17" ht="18" customHeight="1" x14ac:dyDescent="0.2">
      <c r="A1310" s="67" t="s">
        <v>777</v>
      </c>
      <c r="B1310" s="67" t="str">
        <f t="shared" si="78"/>
        <v>avars_2014</v>
      </c>
      <c r="C1310" s="67" t="s">
        <v>4182</v>
      </c>
      <c r="D1310" s="70" t="s">
        <v>638</v>
      </c>
      <c r="E1310" s="70" t="s">
        <v>4193</v>
      </c>
      <c r="F1310" s="2">
        <v>7</v>
      </c>
      <c r="G1310" s="2" t="str">
        <f t="shared" si="79"/>
        <v>g</v>
      </c>
      <c r="H1310" s="2">
        <v>2014</v>
      </c>
      <c r="I1310" s="2" t="s">
        <v>968</v>
      </c>
      <c r="J1310" s="2" t="s">
        <v>664</v>
      </c>
      <c r="K1310" s="2" t="s">
        <v>642</v>
      </c>
      <c r="M1310" s="2" t="s">
        <v>972</v>
      </c>
      <c r="P1310" s="2" t="s">
        <v>4181</v>
      </c>
      <c r="Q1310" t="s">
        <v>4181</v>
      </c>
    </row>
    <row r="1311" spans="1:17" ht="18" customHeight="1" x14ac:dyDescent="0.2">
      <c r="A1311" s="67" t="s">
        <v>777</v>
      </c>
      <c r="B1311" s="67" t="str">
        <f t="shared" si="78"/>
        <v>avars_2015</v>
      </c>
      <c r="C1311" s="67" t="s">
        <v>4182</v>
      </c>
      <c r="D1311" s="70" t="s">
        <v>638</v>
      </c>
      <c r="E1311" s="70" t="s">
        <v>4193</v>
      </c>
      <c r="F1311" s="2">
        <v>8</v>
      </c>
      <c r="G1311" s="2" t="str">
        <f t="shared" si="79"/>
        <v>h</v>
      </c>
      <c r="H1311" s="2">
        <v>2015</v>
      </c>
      <c r="I1311" s="2" t="s">
        <v>968</v>
      </c>
      <c r="J1311" s="2" t="s">
        <v>664</v>
      </c>
      <c r="K1311" s="2" t="s">
        <v>642</v>
      </c>
      <c r="M1311" s="2" t="s">
        <v>972</v>
      </c>
      <c r="P1311" s="2" t="s">
        <v>4181</v>
      </c>
      <c r="Q1311" t="s">
        <v>4181</v>
      </c>
    </row>
    <row r="1312" spans="1:17" ht="18" customHeight="1" x14ac:dyDescent="0.2">
      <c r="A1312" s="67" t="s">
        <v>777</v>
      </c>
      <c r="B1312" s="67" t="str">
        <f t="shared" si="78"/>
        <v>avars_2016</v>
      </c>
      <c r="C1312" s="67" t="s">
        <v>4182</v>
      </c>
      <c r="D1312" s="70" t="s">
        <v>638</v>
      </c>
      <c r="E1312" s="70" t="s">
        <v>4193</v>
      </c>
      <c r="F1312" s="2">
        <v>9</v>
      </c>
      <c r="G1312" s="2" t="str">
        <f t="shared" si="79"/>
        <v>i</v>
      </c>
      <c r="H1312" s="2">
        <v>2016</v>
      </c>
      <c r="I1312" s="2" t="s">
        <v>968</v>
      </c>
      <c r="J1312" s="2" t="s">
        <v>664</v>
      </c>
      <c r="K1312" s="2" t="s">
        <v>642</v>
      </c>
      <c r="M1312" s="2" t="s">
        <v>972</v>
      </c>
      <c r="P1312" s="2" t="s">
        <v>4181</v>
      </c>
      <c r="Q1312" t="s">
        <v>4181</v>
      </c>
    </row>
    <row r="1313" spans="1:17" ht="18" customHeight="1" x14ac:dyDescent="0.2">
      <c r="A1313" s="67" t="s">
        <v>777</v>
      </c>
      <c r="B1313" s="67" t="str">
        <f t="shared" si="78"/>
        <v>avars_2017</v>
      </c>
      <c r="C1313" s="67" t="s">
        <v>4182</v>
      </c>
      <c r="D1313" s="70" t="s">
        <v>638</v>
      </c>
      <c r="E1313" s="70" t="s">
        <v>4193</v>
      </c>
      <c r="F1313" s="2">
        <v>10</v>
      </c>
      <c r="G1313" s="2" t="str">
        <f t="shared" si="79"/>
        <v>j</v>
      </c>
      <c r="H1313" s="2">
        <v>2017</v>
      </c>
      <c r="I1313" s="2" t="s">
        <v>968</v>
      </c>
      <c r="J1313" s="2" t="s">
        <v>664</v>
      </c>
      <c r="K1313" s="2" t="s">
        <v>642</v>
      </c>
      <c r="M1313" s="2" t="s">
        <v>972</v>
      </c>
      <c r="P1313" s="2" t="s">
        <v>4181</v>
      </c>
      <c r="Q1313" t="s">
        <v>4181</v>
      </c>
    </row>
    <row r="1314" spans="1:17" ht="18" customHeight="1" x14ac:dyDescent="0.2">
      <c r="A1314" s="67" t="s">
        <v>777</v>
      </c>
      <c r="B1314" s="67" t="str">
        <f t="shared" si="78"/>
        <v>avars_2018</v>
      </c>
      <c r="C1314" s="67" t="s">
        <v>4182</v>
      </c>
      <c r="D1314" s="70" t="s">
        <v>638</v>
      </c>
      <c r="E1314" s="70" t="s">
        <v>4193</v>
      </c>
      <c r="F1314" s="2">
        <v>11</v>
      </c>
      <c r="G1314" s="2" t="str">
        <f t="shared" si="79"/>
        <v>k</v>
      </c>
      <c r="H1314" s="2">
        <v>2018</v>
      </c>
      <c r="I1314" s="2" t="s">
        <v>968</v>
      </c>
      <c r="J1314" s="2" t="s">
        <v>664</v>
      </c>
      <c r="K1314" s="2" t="s">
        <v>642</v>
      </c>
      <c r="M1314" s="2" t="s">
        <v>972</v>
      </c>
      <c r="P1314" s="2" t="s">
        <v>4181</v>
      </c>
      <c r="Q1314" t="s">
        <v>4181</v>
      </c>
    </row>
    <row r="1315" spans="1:17" ht="18" customHeight="1" x14ac:dyDescent="0.2">
      <c r="A1315" s="67" t="s">
        <v>777</v>
      </c>
      <c r="B1315" s="67" t="str">
        <f t="shared" si="78"/>
        <v>avars_2008</v>
      </c>
      <c r="C1315" s="67" t="s">
        <v>4182</v>
      </c>
      <c r="D1315" s="70" t="s">
        <v>638</v>
      </c>
      <c r="E1315" s="70" t="s">
        <v>4193</v>
      </c>
      <c r="F1315" s="2">
        <v>1</v>
      </c>
      <c r="G1315" s="2" t="str">
        <f t="shared" si="79"/>
        <v>a</v>
      </c>
      <c r="H1315" s="2">
        <v>2008</v>
      </c>
      <c r="I1315" s="2" t="s">
        <v>968</v>
      </c>
      <c r="J1315" s="2" t="s">
        <v>664</v>
      </c>
      <c r="K1315" s="2" t="s">
        <v>642</v>
      </c>
      <c r="M1315" s="2" t="s">
        <v>972</v>
      </c>
      <c r="P1315" s="2" t="s">
        <v>4181</v>
      </c>
      <c r="Q1315" t="s">
        <v>4181</v>
      </c>
    </row>
    <row r="1316" spans="1:17" ht="18" customHeight="1" x14ac:dyDescent="0.2">
      <c r="A1316" s="67" t="s">
        <v>777</v>
      </c>
      <c r="B1316" s="67" t="str">
        <f t="shared" si="78"/>
        <v>avars_2009</v>
      </c>
      <c r="C1316" s="67" t="s">
        <v>4182</v>
      </c>
      <c r="D1316" s="70" t="s">
        <v>638</v>
      </c>
      <c r="E1316" s="70" t="s">
        <v>4193</v>
      </c>
      <c r="F1316" s="2">
        <v>2</v>
      </c>
      <c r="G1316" s="2" t="str">
        <f t="shared" si="79"/>
        <v>b</v>
      </c>
      <c r="H1316" s="2">
        <v>2009</v>
      </c>
      <c r="I1316" s="2" t="s">
        <v>968</v>
      </c>
      <c r="J1316" s="2" t="s">
        <v>664</v>
      </c>
      <c r="K1316" s="2" t="s">
        <v>642</v>
      </c>
      <c r="M1316" s="2" t="s">
        <v>972</v>
      </c>
      <c r="P1316" s="2" t="s">
        <v>4181</v>
      </c>
      <c r="Q1316" t="s">
        <v>4181</v>
      </c>
    </row>
    <row r="1317" spans="1:17" ht="18" customHeight="1" x14ac:dyDescent="0.2">
      <c r="A1317" s="67" t="s">
        <v>777</v>
      </c>
      <c r="B1317" s="67" t="str">
        <f t="shared" si="78"/>
        <v>avars_2010</v>
      </c>
      <c r="C1317" s="67" t="s">
        <v>4182</v>
      </c>
      <c r="D1317" s="70" t="s">
        <v>638</v>
      </c>
      <c r="E1317" s="70" t="s">
        <v>4193</v>
      </c>
      <c r="F1317" s="2">
        <v>3</v>
      </c>
      <c r="G1317" s="2" t="str">
        <f t="shared" si="79"/>
        <v>c</v>
      </c>
      <c r="H1317" s="2">
        <v>2010</v>
      </c>
      <c r="I1317" s="2" t="s">
        <v>968</v>
      </c>
      <c r="J1317" s="2" t="s">
        <v>664</v>
      </c>
      <c r="K1317" s="2" t="s">
        <v>642</v>
      </c>
      <c r="M1317" s="2" t="s">
        <v>972</v>
      </c>
      <c r="P1317" s="2" t="s">
        <v>4181</v>
      </c>
      <c r="Q1317" t="s">
        <v>4181</v>
      </c>
    </row>
    <row r="1318" spans="1:17" ht="18" customHeight="1" x14ac:dyDescent="0.2">
      <c r="A1318" s="67" t="s">
        <v>777</v>
      </c>
      <c r="B1318" s="67" t="str">
        <f t="shared" si="78"/>
        <v>avars_2011</v>
      </c>
      <c r="C1318" s="67" t="s">
        <v>4182</v>
      </c>
      <c r="D1318" s="70" t="s">
        <v>638</v>
      </c>
      <c r="E1318" s="70" t="s">
        <v>4193</v>
      </c>
      <c r="F1318" s="2">
        <v>4</v>
      </c>
      <c r="G1318" s="2" t="str">
        <f t="shared" si="79"/>
        <v>d</v>
      </c>
      <c r="H1318" s="2">
        <v>2011</v>
      </c>
      <c r="I1318" s="2" t="s">
        <v>968</v>
      </c>
      <c r="J1318" s="2" t="s">
        <v>664</v>
      </c>
      <c r="K1318" s="2" t="s">
        <v>642</v>
      </c>
      <c r="M1318" s="2" t="s">
        <v>972</v>
      </c>
      <c r="P1318" s="2" t="s">
        <v>4181</v>
      </c>
      <c r="Q1318" t="s">
        <v>4181</v>
      </c>
    </row>
    <row r="1319" spans="1:17" ht="18" customHeight="1" x14ac:dyDescent="0.2">
      <c r="A1319" s="67" t="s">
        <v>777</v>
      </c>
      <c r="B1319" s="67" t="str">
        <f t="shared" si="78"/>
        <v>avars_2012</v>
      </c>
      <c r="C1319" s="67" t="s">
        <v>4182</v>
      </c>
      <c r="D1319" s="70" t="s">
        <v>638</v>
      </c>
      <c r="E1319" s="70" t="s">
        <v>4193</v>
      </c>
      <c r="F1319" s="2">
        <v>5</v>
      </c>
      <c r="G1319" s="2" t="str">
        <f t="shared" si="79"/>
        <v>e</v>
      </c>
      <c r="H1319" s="2">
        <v>2012</v>
      </c>
      <c r="I1319" s="2" t="s">
        <v>968</v>
      </c>
      <c r="J1319" s="2" t="s">
        <v>664</v>
      </c>
      <c r="K1319" s="2" t="s">
        <v>642</v>
      </c>
      <c r="M1319" s="2" t="s">
        <v>972</v>
      </c>
      <c r="P1319" s="2" t="s">
        <v>4181</v>
      </c>
      <c r="Q1319" t="s">
        <v>4181</v>
      </c>
    </row>
    <row r="1320" spans="1:17" ht="18" customHeight="1" x14ac:dyDescent="0.2">
      <c r="A1320" s="67" t="s">
        <v>777</v>
      </c>
      <c r="B1320" s="67" t="str">
        <f t="shared" si="78"/>
        <v>avars_2013</v>
      </c>
      <c r="C1320" s="67" t="s">
        <v>4182</v>
      </c>
      <c r="D1320" s="70" t="s">
        <v>638</v>
      </c>
      <c r="E1320" s="70" t="s">
        <v>4193</v>
      </c>
      <c r="F1320" s="2">
        <v>6</v>
      </c>
      <c r="G1320" s="2" t="str">
        <f t="shared" si="79"/>
        <v>f</v>
      </c>
      <c r="H1320" s="2">
        <v>2013</v>
      </c>
      <c r="I1320" s="2" t="s">
        <v>968</v>
      </c>
      <c r="J1320" s="2" t="s">
        <v>664</v>
      </c>
      <c r="K1320" s="2" t="s">
        <v>642</v>
      </c>
      <c r="M1320" s="2" t="s">
        <v>972</v>
      </c>
      <c r="P1320" s="2" t="s">
        <v>4181</v>
      </c>
      <c r="Q1320" t="s">
        <v>4181</v>
      </c>
    </row>
    <row r="1321" spans="1:17" ht="18" customHeight="1" x14ac:dyDescent="0.2">
      <c r="A1321" s="67" t="s">
        <v>777</v>
      </c>
      <c r="B1321" s="67" t="str">
        <f t="shared" si="78"/>
        <v>avars_2014</v>
      </c>
      <c r="C1321" s="67" t="s">
        <v>4182</v>
      </c>
      <c r="D1321" s="70" t="s">
        <v>638</v>
      </c>
      <c r="E1321" s="70" t="s">
        <v>4193</v>
      </c>
      <c r="F1321" s="2">
        <v>7</v>
      </c>
      <c r="G1321" s="2" t="str">
        <f t="shared" si="79"/>
        <v>g</v>
      </c>
      <c r="H1321" s="2">
        <v>2014</v>
      </c>
      <c r="I1321" s="2" t="s">
        <v>968</v>
      </c>
      <c r="J1321" s="2" t="s">
        <v>664</v>
      </c>
      <c r="K1321" s="2" t="s">
        <v>642</v>
      </c>
      <c r="M1321" s="2" t="s">
        <v>972</v>
      </c>
      <c r="P1321" s="2" t="s">
        <v>4181</v>
      </c>
      <c r="Q1321" t="s">
        <v>4181</v>
      </c>
    </row>
    <row r="1322" spans="1:17" ht="18" customHeight="1" x14ac:dyDescent="0.2">
      <c r="A1322" s="67" t="s">
        <v>777</v>
      </c>
      <c r="B1322" s="67" t="str">
        <f t="shared" si="78"/>
        <v>avars_2015</v>
      </c>
      <c r="C1322" s="67" t="s">
        <v>4182</v>
      </c>
      <c r="D1322" s="70" t="s">
        <v>638</v>
      </c>
      <c r="E1322" s="70" t="s">
        <v>4193</v>
      </c>
      <c r="F1322" s="2">
        <v>8</v>
      </c>
      <c r="G1322" s="2" t="str">
        <f t="shared" si="79"/>
        <v>h</v>
      </c>
      <c r="H1322" s="2">
        <v>2015</v>
      </c>
      <c r="I1322" s="2" t="s">
        <v>968</v>
      </c>
      <c r="J1322" s="2" t="s">
        <v>664</v>
      </c>
      <c r="K1322" s="2" t="s">
        <v>642</v>
      </c>
      <c r="M1322" s="2" t="s">
        <v>972</v>
      </c>
      <c r="P1322" s="2" t="s">
        <v>4181</v>
      </c>
      <c r="Q1322" t="s">
        <v>4181</v>
      </c>
    </row>
    <row r="1323" spans="1:17" ht="18" customHeight="1" x14ac:dyDescent="0.2">
      <c r="A1323" s="67" t="s">
        <v>777</v>
      </c>
      <c r="B1323" s="67" t="str">
        <f t="shared" si="78"/>
        <v>avars_2016</v>
      </c>
      <c r="C1323" s="67" t="s">
        <v>4182</v>
      </c>
      <c r="D1323" s="70" t="s">
        <v>638</v>
      </c>
      <c r="E1323" s="70" t="s">
        <v>4193</v>
      </c>
      <c r="F1323" s="2">
        <v>9</v>
      </c>
      <c r="G1323" s="2" t="str">
        <f t="shared" si="79"/>
        <v>i</v>
      </c>
      <c r="H1323" s="2">
        <v>2016</v>
      </c>
      <c r="I1323" s="2" t="s">
        <v>968</v>
      </c>
      <c r="J1323" s="2" t="s">
        <v>664</v>
      </c>
      <c r="K1323" s="2" t="s">
        <v>642</v>
      </c>
      <c r="M1323" s="2" t="s">
        <v>972</v>
      </c>
      <c r="P1323" s="2" t="s">
        <v>4181</v>
      </c>
      <c r="Q1323" t="s">
        <v>4181</v>
      </c>
    </row>
    <row r="1324" spans="1:17" ht="18" customHeight="1" x14ac:dyDescent="0.2">
      <c r="A1324" s="67" t="s">
        <v>777</v>
      </c>
      <c r="B1324" s="67" t="str">
        <f t="shared" si="78"/>
        <v>avars_2017</v>
      </c>
      <c r="C1324" s="67" t="s">
        <v>4182</v>
      </c>
      <c r="D1324" s="70" t="s">
        <v>638</v>
      </c>
      <c r="E1324" s="70" t="s">
        <v>4193</v>
      </c>
      <c r="F1324" s="2">
        <v>10</v>
      </c>
      <c r="G1324" s="2" t="str">
        <f t="shared" si="79"/>
        <v>j</v>
      </c>
      <c r="H1324" s="2">
        <v>2017</v>
      </c>
      <c r="I1324" s="2" t="s">
        <v>968</v>
      </c>
      <c r="J1324" s="2" t="s">
        <v>664</v>
      </c>
      <c r="K1324" s="2" t="s">
        <v>642</v>
      </c>
      <c r="M1324" s="2" t="s">
        <v>972</v>
      </c>
      <c r="P1324" s="2" t="s">
        <v>4181</v>
      </c>
      <c r="Q1324" t="s">
        <v>4181</v>
      </c>
    </row>
    <row r="1325" spans="1:17" ht="18" customHeight="1" x14ac:dyDescent="0.2">
      <c r="A1325" s="67" t="s">
        <v>777</v>
      </c>
      <c r="B1325" s="67" t="str">
        <f t="shared" si="78"/>
        <v>avars_2018</v>
      </c>
      <c r="C1325" s="67" t="s">
        <v>4182</v>
      </c>
      <c r="D1325" s="70" t="s">
        <v>638</v>
      </c>
      <c r="E1325" s="70" t="s">
        <v>4193</v>
      </c>
      <c r="F1325" s="2">
        <v>11</v>
      </c>
      <c r="G1325" s="2" t="str">
        <f t="shared" si="79"/>
        <v>k</v>
      </c>
      <c r="H1325" s="2">
        <v>2018</v>
      </c>
      <c r="I1325" s="2" t="s">
        <v>968</v>
      </c>
      <c r="J1325" s="2" t="s">
        <v>664</v>
      </c>
      <c r="K1325" s="2" t="s">
        <v>642</v>
      </c>
      <c r="M1325" s="2" t="s">
        <v>972</v>
      </c>
      <c r="P1325" s="2" t="s">
        <v>4181</v>
      </c>
      <c r="Q1325" t="s">
        <v>4181</v>
      </c>
    </row>
    <row r="1326" spans="1:17" ht="18" customHeight="1" x14ac:dyDescent="0.2">
      <c r="A1326" s="67" t="s">
        <v>777</v>
      </c>
      <c r="B1326" s="67" t="str">
        <f t="shared" si="78"/>
        <v>avars_2008</v>
      </c>
      <c r="C1326" s="67" t="s">
        <v>4182</v>
      </c>
      <c r="D1326" s="70" t="s">
        <v>638</v>
      </c>
      <c r="E1326" s="70" t="s">
        <v>4193</v>
      </c>
      <c r="F1326" s="2">
        <v>1</v>
      </c>
      <c r="G1326" s="2" t="str">
        <f t="shared" si="79"/>
        <v>a</v>
      </c>
      <c r="H1326" s="2">
        <v>2008</v>
      </c>
      <c r="I1326" s="2" t="s">
        <v>968</v>
      </c>
      <c r="J1326" s="2" t="s">
        <v>664</v>
      </c>
      <c r="K1326" s="2" t="s">
        <v>642</v>
      </c>
      <c r="M1326" s="2" t="s">
        <v>972</v>
      </c>
      <c r="P1326" s="2" t="s">
        <v>4181</v>
      </c>
      <c r="Q1326" t="s">
        <v>4181</v>
      </c>
    </row>
    <row r="1327" spans="1:17" ht="18" customHeight="1" x14ac:dyDescent="0.2">
      <c r="A1327" s="67" t="s">
        <v>777</v>
      </c>
      <c r="B1327" s="67" t="str">
        <f t="shared" si="78"/>
        <v>avars_2009</v>
      </c>
      <c r="C1327" s="67" t="s">
        <v>4182</v>
      </c>
      <c r="D1327" s="70" t="s">
        <v>638</v>
      </c>
      <c r="E1327" s="70" t="s">
        <v>4193</v>
      </c>
      <c r="F1327" s="2">
        <v>2</v>
      </c>
      <c r="G1327" s="2" t="str">
        <f t="shared" si="79"/>
        <v>b</v>
      </c>
      <c r="H1327" s="2">
        <v>2009</v>
      </c>
      <c r="I1327" s="2" t="s">
        <v>968</v>
      </c>
      <c r="J1327" s="2" t="s">
        <v>664</v>
      </c>
      <c r="K1327" s="2" t="s">
        <v>642</v>
      </c>
      <c r="M1327" s="2" t="s">
        <v>972</v>
      </c>
      <c r="P1327" s="2" t="s">
        <v>4181</v>
      </c>
      <c r="Q1327" t="s">
        <v>4181</v>
      </c>
    </row>
    <row r="1328" spans="1:17" ht="18" customHeight="1" x14ac:dyDescent="0.2">
      <c r="A1328" s="67" t="s">
        <v>777</v>
      </c>
      <c r="B1328" s="67" t="str">
        <f t="shared" si="78"/>
        <v>avars_2010</v>
      </c>
      <c r="C1328" s="67" t="s">
        <v>4182</v>
      </c>
      <c r="D1328" s="70" t="s">
        <v>638</v>
      </c>
      <c r="E1328" s="70" t="s">
        <v>4193</v>
      </c>
      <c r="F1328" s="2">
        <v>3</v>
      </c>
      <c r="G1328" s="2" t="str">
        <f t="shared" si="79"/>
        <v>c</v>
      </c>
      <c r="H1328" s="2">
        <v>2010</v>
      </c>
      <c r="I1328" s="2" t="s">
        <v>968</v>
      </c>
      <c r="J1328" s="2" t="s">
        <v>664</v>
      </c>
      <c r="K1328" s="2" t="s">
        <v>642</v>
      </c>
      <c r="M1328" s="2" t="s">
        <v>972</v>
      </c>
      <c r="P1328" s="2" t="s">
        <v>4181</v>
      </c>
      <c r="Q1328" t="s">
        <v>4181</v>
      </c>
    </row>
    <row r="1329" spans="1:17" ht="18" customHeight="1" x14ac:dyDescent="0.2">
      <c r="A1329" s="67" t="s">
        <v>777</v>
      </c>
      <c r="B1329" s="67" t="str">
        <f t="shared" ref="B1329:B1336" si="80">"avars_" &amp;  H1329</f>
        <v>avars_2011</v>
      </c>
      <c r="C1329" s="67" t="s">
        <v>4182</v>
      </c>
      <c r="D1329" s="70" t="s">
        <v>638</v>
      </c>
      <c r="E1329" s="70" t="s">
        <v>4193</v>
      </c>
      <c r="F1329" s="2">
        <v>4</v>
      </c>
      <c r="G1329" s="2" t="str">
        <f t="shared" ref="G1329:G1392" si="81">MID("abcdefghijklmnopqrstuvwxyz",F1329,1)</f>
        <v>d</v>
      </c>
      <c r="H1329" s="2">
        <v>2011</v>
      </c>
      <c r="I1329" s="2" t="s">
        <v>968</v>
      </c>
      <c r="J1329" s="2" t="s">
        <v>664</v>
      </c>
      <c r="K1329" s="2" t="s">
        <v>642</v>
      </c>
      <c r="M1329" s="2" t="s">
        <v>972</v>
      </c>
      <c r="P1329" s="2" t="s">
        <v>4181</v>
      </c>
      <c r="Q1329" t="s">
        <v>4181</v>
      </c>
    </row>
    <row r="1330" spans="1:17" ht="18" customHeight="1" x14ac:dyDescent="0.2">
      <c r="A1330" s="67" t="s">
        <v>777</v>
      </c>
      <c r="B1330" s="67" t="str">
        <f t="shared" si="80"/>
        <v>avars_2012</v>
      </c>
      <c r="C1330" s="67" t="s">
        <v>4182</v>
      </c>
      <c r="D1330" s="70" t="s">
        <v>638</v>
      </c>
      <c r="E1330" s="70" t="s">
        <v>4193</v>
      </c>
      <c r="F1330" s="2">
        <v>5</v>
      </c>
      <c r="G1330" s="2" t="str">
        <f t="shared" si="81"/>
        <v>e</v>
      </c>
      <c r="H1330" s="2">
        <v>2012</v>
      </c>
      <c r="I1330" s="2" t="s">
        <v>968</v>
      </c>
      <c r="J1330" s="2" t="s">
        <v>664</v>
      </c>
      <c r="K1330" s="2" t="s">
        <v>642</v>
      </c>
      <c r="M1330" s="2" t="s">
        <v>972</v>
      </c>
      <c r="P1330" s="2" t="s">
        <v>4181</v>
      </c>
      <c r="Q1330" t="s">
        <v>4181</v>
      </c>
    </row>
    <row r="1331" spans="1:17" ht="18" customHeight="1" x14ac:dyDescent="0.2">
      <c r="A1331" s="67" t="s">
        <v>777</v>
      </c>
      <c r="B1331" s="67" t="str">
        <f t="shared" si="80"/>
        <v>avars_2013</v>
      </c>
      <c r="C1331" s="67" t="s">
        <v>4182</v>
      </c>
      <c r="D1331" s="70" t="s">
        <v>638</v>
      </c>
      <c r="E1331" s="70" t="s">
        <v>4193</v>
      </c>
      <c r="F1331" s="2">
        <v>6</v>
      </c>
      <c r="G1331" s="2" t="str">
        <f t="shared" si="81"/>
        <v>f</v>
      </c>
      <c r="H1331" s="2">
        <v>2013</v>
      </c>
      <c r="I1331" s="2" t="s">
        <v>968</v>
      </c>
      <c r="J1331" s="2" t="s">
        <v>664</v>
      </c>
      <c r="K1331" s="2" t="s">
        <v>642</v>
      </c>
      <c r="M1331" s="2" t="s">
        <v>972</v>
      </c>
      <c r="P1331" s="2" t="s">
        <v>4181</v>
      </c>
      <c r="Q1331" t="s">
        <v>4181</v>
      </c>
    </row>
    <row r="1332" spans="1:17" ht="18" customHeight="1" x14ac:dyDescent="0.2">
      <c r="A1332" s="67" t="s">
        <v>777</v>
      </c>
      <c r="B1332" s="67" t="str">
        <f t="shared" si="80"/>
        <v>avars_2014</v>
      </c>
      <c r="C1332" s="67" t="s">
        <v>4182</v>
      </c>
      <c r="D1332" s="70" t="s">
        <v>638</v>
      </c>
      <c r="E1332" s="70" t="s">
        <v>4193</v>
      </c>
      <c r="F1332" s="2">
        <v>7</v>
      </c>
      <c r="G1332" s="2" t="str">
        <f t="shared" si="81"/>
        <v>g</v>
      </c>
      <c r="H1332" s="2">
        <v>2014</v>
      </c>
      <c r="I1332" s="2" t="s">
        <v>968</v>
      </c>
      <c r="J1332" s="2" t="s">
        <v>664</v>
      </c>
      <c r="K1332" s="2" t="s">
        <v>642</v>
      </c>
      <c r="M1332" s="2" t="s">
        <v>972</v>
      </c>
      <c r="P1332" s="2" t="s">
        <v>4181</v>
      </c>
      <c r="Q1332" t="s">
        <v>4181</v>
      </c>
    </row>
    <row r="1333" spans="1:17" ht="18" customHeight="1" x14ac:dyDescent="0.2">
      <c r="A1333" s="67" t="s">
        <v>777</v>
      </c>
      <c r="B1333" s="67" t="str">
        <f t="shared" si="80"/>
        <v>avars_2015</v>
      </c>
      <c r="C1333" s="67" t="s">
        <v>4182</v>
      </c>
      <c r="D1333" s="70" t="s">
        <v>638</v>
      </c>
      <c r="E1333" s="70" t="s">
        <v>4193</v>
      </c>
      <c r="F1333" s="2">
        <v>8</v>
      </c>
      <c r="G1333" s="2" t="str">
        <f t="shared" si="81"/>
        <v>h</v>
      </c>
      <c r="H1333" s="2">
        <v>2015</v>
      </c>
      <c r="I1333" s="2" t="s">
        <v>968</v>
      </c>
      <c r="J1333" s="2" t="s">
        <v>664</v>
      </c>
      <c r="K1333" s="2" t="s">
        <v>642</v>
      </c>
      <c r="M1333" s="2" t="s">
        <v>972</v>
      </c>
      <c r="P1333" s="2" t="s">
        <v>4181</v>
      </c>
      <c r="Q1333" t="s">
        <v>4181</v>
      </c>
    </row>
    <row r="1334" spans="1:17" ht="18" customHeight="1" x14ac:dyDescent="0.2">
      <c r="A1334" s="67" t="s">
        <v>777</v>
      </c>
      <c r="B1334" s="67" t="str">
        <f t="shared" si="80"/>
        <v>avars_2016</v>
      </c>
      <c r="C1334" s="67" t="s">
        <v>4182</v>
      </c>
      <c r="D1334" s="70" t="s">
        <v>638</v>
      </c>
      <c r="E1334" s="70" t="s">
        <v>4193</v>
      </c>
      <c r="F1334" s="2">
        <v>9</v>
      </c>
      <c r="G1334" s="2" t="str">
        <f t="shared" si="81"/>
        <v>i</v>
      </c>
      <c r="H1334" s="2">
        <v>2016</v>
      </c>
      <c r="I1334" s="2" t="s">
        <v>968</v>
      </c>
      <c r="J1334" s="2" t="s">
        <v>664</v>
      </c>
      <c r="K1334" s="2" t="s">
        <v>642</v>
      </c>
      <c r="M1334" s="2" t="s">
        <v>972</v>
      </c>
      <c r="P1334" s="2" t="s">
        <v>4181</v>
      </c>
      <c r="Q1334" t="s">
        <v>4181</v>
      </c>
    </row>
    <row r="1335" spans="1:17" ht="18" customHeight="1" x14ac:dyDescent="0.2">
      <c r="A1335" s="67" t="s">
        <v>777</v>
      </c>
      <c r="B1335" s="67" t="str">
        <f t="shared" si="80"/>
        <v>avars_2017</v>
      </c>
      <c r="C1335" s="67" t="s">
        <v>4182</v>
      </c>
      <c r="D1335" s="70" t="s">
        <v>638</v>
      </c>
      <c r="E1335" s="70" t="s">
        <v>4193</v>
      </c>
      <c r="F1335" s="2">
        <v>10</v>
      </c>
      <c r="G1335" s="2" t="str">
        <f t="shared" si="81"/>
        <v>j</v>
      </c>
      <c r="H1335" s="2">
        <v>2017</v>
      </c>
      <c r="I1335" s="2" t="s">
        <v>968</v>
      </c>
      <c r="J1335" s="2" t="s">
        <v>664</v>
      </c>
      <c r="K1335" s="2" t="s">
        <v>642</v>
      </c>
      <c r="M1335" s="2" t="s">
        <v>972</v>
      </c>
      <c r="P1335" s="2" t="s">
        <v>4181</v>
      </c>
      <c r="Q1335" t="s">
        <v>4181</v>
      </c>
    </row>
    <row r="1336" spans="1:17" ht="18" customHeight="1" x14ac:dyDescent="0.2">
      <c r="A1336" s="67" t="s">
        <v>777</v>
      </c>
      <c r="B1336" s="67" t="str">
        <f t="shared" si="80"/>
        <v>avars_2018</v>
      </c>
      <c r="C1336" s="67" t="s">
        <v>4182</v>
      </c>
      <c r="D1336" s="70" t="s">
        <v>638</v>
      </c>
      <c r="E1336" s="70" t="s">
        <v>4193</v>
      </c>
      <c r="F1336" s="2">
        <v>11</v>
      </c>
      <c r="G1336" s="2" t="str">
        <f t="shared" si="81"/>
        <v>k</v>
      </c>
      <c r="H1336" s="2">
        <v>2018</v>
      </c>
      <c r="I1336" s="2" t="s">
        <v>968</v>
      </c>
      <c r="J1336" s="2" t="s">
        <v>664</v>
      </c>
      <c r="K1336" s="2" t="s">
        <v>642</v>
      </c>
      <c r="M1336" s="2" t="s">
        <v>972</v>
      </c>
      <c r="P1336" s="2" t="s">
        <v>4181</v>
      </c>
      <c r="Q1336" t="s">
        <v>4181</v>
      </c>
    </row>
    <row r="1337" spans="1:17" ht="18" customHeight="1" x14ac:dyDescent="0.2">
      <c r="A1337" s="71" t="s">
        <v>777</v>
      </c>
      <c r="B1337" s="71" t="s">
        <v>843</v>
      </c>
      <c r="C1337" s="72" t="s">
        <v>274</v>
      </c>
      <c r="D1337" s="71" t="s">
        <v>447</v>
      </c>
      <c r="E1337" s="71" t="s">
        <v>844</v>
      </c>
      <c r="F1337" s="2">
        <v>1</v>
      </c>
      <c r="G1337" s="2" t="str">
        <f t="shared" si="81"/>
        <v>a</v>
      </c>
      <c r="H1337" s="2">
        <f t="shared" ref="H1337:H1348" si="82">2007+F1337</f>
        <v>2008</v>
      </c>
      <c r="I1337" s="2" t="s">
        <v>845</v>
      </c>
      <c r="J1337" s="2" t="s">
        <v>846</v>
      </c>
      <c r="K1337" s="2" t="s">
        <v>847</v>
      </c>
      <c r="L1337" s="48" t="s">
        <v>398</v>
      </c>
      <c r="M1337" s="2" t="s">
        <v>822</v>
      </c>
      <c r="N1337" s="25">
        <v>0</v>
      </c>
      <c r="O1337" s="25">
        <v>10</v>
      </c>
    </row>
    <row r="1338" spans="1:17" ht="18" customHeight="1" x14ac:dyDescent="0.2">
      <c r="A1338" s="71" t="s">
        <v>777</v>
      </c>
      <c r="B1338" s="71" t="s">
        <v>848</v>
      </c>
      <c r="C1338" s="72" t="s">
        <v>274</v>
      </c>
      <c r="D1338" s="71" t="s">
        <v>447</v>
      </c>
      <c r="E1338" s="71" t="s">
        <v>844</v>
      </c>
      <c r="F1338" s="2">
        <v>2</v>
      </c>
      <c r="G1338" s="2" t="str">
        <f t="shared" si="81"/>
        <v>b</v>
      </c>
      <c r="H1338" s="2">
        <f t="shared" si="82"/>
        <v>2009</v>
      </c>
      <c r="I1338" s="2" t="s">
        <v>849</v>
      </c>
      <c r="J1338" s="2" t="s">
        <v>846</v>
      </c>
      <c r="K1338" s="2" t="s">
        <v>847</v>
      </c>
      <c r="L1338" s="48" t="s">
        <v>398</v>
      </c>
      <c r="M1338" s="2" t="s">
        <v>822</v>
      </c>
      <c r="N1338" s="25">
        <v>0</v>
      </c>
      <c r="O1338" s="25">
        <v>10</v>
      </c>
    </row>
    <row r="1339" spans="1:17" ht="18" customHeight="1" x14ac:dyDescent="0.2">
      <c r="A1339" s="71" t="s">
        <v>777</v>
      </c>
      <c r="B1339" s="71" t="s">
        <v>850</v>
      </c>
      <c r="C1339" s="72" t="s">
        <v>274</v>
      </c>
      <c r="D1339" s="71" t="s">
        <v>447</v>
      </c>
      <c r="E1339" s="71" t="s">
        <v>844</v>
      </c>
      <c r="F1339" s="2">
        <v>3</v>
      </c>
      <c r="G1339" s="2" t="str">
        <f t="shared" si="81"/>
        <v>c</v>
      </c>
      <c r="H1339" s="2">
        <f t="shared" si="82"/>
        <v>2010</v>
      </c>
      <c r="I1339" s="2" t="s">
        <v>851</v>
      </c>
      <c r="J1339" s="2" t="s">
        <v>846</v>
      </c>
      <c r="K1339" s="2" t="s">
        <v>847</v>
      </c>
      <c r="L1339" s="48" t="s">
        <v>398</v>
      </c>
      <c r="M1339" s="2" t="s">
        <v>822</v>
      </c>
      <c r="N1339" s="25">
        <v>0</v>
      </c>
      <c r="O1339" s="25">
        <v>10</v>
      </c>
    </row>
    <row r="1340" spans="1:17" ht="18" customHeight="1" x14ac:dyDescent="0.2">
      <c r="A1340" s="71" t="s">
        <v>777</v>
      </c>
      <c r="B1340" s="71" t="s">
        <v>852</v>
      </c>
      <c r="C1340" s="72" t="s">
        <v>274</v>
      </c>
      <c r="D1340" s="71" t="s">
        <v>447</v>
      </c>
      <c r="E1340" s="71" t="s">
        <v>844</v>
      </c>
      <c r="F1340" s="2">
        <v>4</v>
      </c>
      <c r="G1340" s="2" t="str">
        <f t="shared" si="81"/>
        <v>d</v>
      </c>
      <c r="H1340" s="2">
        <f t="shared" si="82"/>
        <v>2011</v>
      </c>
      <c r="I1340" s="2" t="s">
        <v>853</v>
      </c>
      <c r="J1340" s="2" t="s">
        <v>846</v>
      </c>
      <c r="K1340" s="2" t="s">
        <v>847</v>
      </c>
      <c r="L1340" s="48" t="s">
        <v>398</v>
      </c>
      <c r="M1340" s="2" t="s">
        <v>822</v>
      </c>
      <c r="N1340" s="25">
        <v>0</v>
      </c>
      <c r="O1340" s="25">
        <v>10</v>
      </c>
    </row>
    <row r="1341" spans="1:17" ht="18" customHeight="1" x14ac:dyDescent="0.2">
      <c r="A1341" s="71" t="s">
        <v>777</v>
      </c>
      <c r="B1341" s="71" t="s">
        <v>854</v>
      </c>
      <c r="C1341" s="72" t="s">
        <v>274</v>
      </c>
      <c r="D1341" s="71" t="s">
        <v>447</v>
      </c>
      <c r="E1341" s="71" t="s">
        <v>844</v>
      </c>
      <c r="F1341" s="2">
        <v>5</v>
      </c>
      <c r="G1341" s="2" t="str">
        <f t="shared" si="81"/>
        <v>e</v>
      </c>
      <c r="H1341" s="2">
        <f t="shared" si="82"/>
        <v>2012</v>
      </c>
      <c r="I1341" s="2" t="s">
        <v>855</v>
      </c>
      <c r="J1341" s="2" t="s">
        <v>846</v>
      </c>
      <c r="K1341" s="2" t="s">
        <v>847</v>
      </c>
      <c r="L1341" s="48" t="s">
        <v>398</v>
      </c>
      <c r="M1341" s="2" t="s">
        <v>822</v>
      </c>
      <c r="N1341" s="25">
        <v>0</v>
      </c>
      <c r="O1341" s="25">
        <v>10</v>
      </c>
    </row>
    <row r="1342" spans="1:17" ht="18" customHeight="1" x14ac:dyDescent="0.2">
      <c r="A1342" s="71" t="s">
        <v>777</v>
      </c>
      <c r="B1342" s="71" t="s">
        <v>856</v>
      </c>
      <c r="C1342" s="72" t="s">
        <v>274</v>
      </c>
      <c r="D1342" s="71" t="s">
        <v>447</v>
      </c>
      <c r="E1342" s="71" t="s">
        <v>844</v>
      </c>
      <c r="F1342" s="2">
        <v>6</v>
      </c>
      <c r="G1342" s="2" t="str">
        <f t="shared" si="81"/>
        <v>f</v>
      </c>
      <c r="H1342" s="2">
        <f t="shared" si="82"/>
        <v>2013</v>
      </c>
      <c r="I1342" s="2" t="s">
        <v>857</v>
      </c>
      <c r="J1342" s="2" t="s">
        <v>858</v>
      </c>
      <c r="K1342" s="2" t="s">
        <v>847</v>
      </c>
      <c r="L1342" s="48" t="s">
        <v>398</v>
      </c>
      <c r="M1342" s="2" t="s">
        <v>822</v>
      </c>
      <c r="N1342" s="25">
        <v>0</v>
      </c>
      <c r="O1342" s="25">
        <v>10</v>
      </c>
    </row>
    <row r="1343" spans="1:17" ht="18" customHeight="1" x14ac:dyDescent="0.2">
      <c r="A1343" s="71" t="s">
        <v>777</v>
      </c>
      <c r="B1343" s="71" t="s">
        <v>859</v>
      </c>
      <c r="C1343" s="72" t="s">
        <v>274</v>
      </c>
      <c r="D1343" s="71" t="s">
        <v>447</v>
      </c>
      <c r="E1343" s="71" t="s">
        <v>844</v>
      </c>
      <c r="F1343" s="2">
        <v>7</v>
      </c>
      <c r="G1343" s="2" t="str">
        <f t="shared" si="81"/>
        <v>g</v>
      </c>
      <c r="H1343" s="2">
        <f t="shared" si="82"/>
        <v>2014</v>
      </c>
      <c r="I1343" s="2" t="s">
        <v>860</v>
      </c>
      <c r="J1343" s="2" t="s">
        <v>858</v>
      </c>
      <c r="K1343" s="2" t="s">
        <v>847</v>
      </c>
      <c r="L1343" s="48" t="s">
        <v>398</v>
      </c>
      <c r="M1343" s="2" t="s">
        <v>822</v>
      </c>
      <c r="N1343" s="25">
        <v>0</v>
      </c>
      <c r="O1343" s="25">
        <v>10</v>
      </c>
    </row>
    <row r="1344" spans="1:17" ht="18" customHeight="1" x14ac:dyDescent="0.2">
      <c r="A1344" s="71" t="s">
        <v>777</v>
      </c>
      <c r="B1344" s="71" t="s">
        <v>861</v>
      </c>
      <c r="C1344" s="72" t="s">
        <v>274</v>
      </c>
      <c r="D1344" s="71" t="s">
        <v>447</v>
      </c>
      <c r="E1344" s="71" t="s">
        <v>844</v>
      </c>
      <c r="F1344" s="2">
        <v>8</v>
      </c>
      <c r="G1344" s="2" t="str">
        <f t="shared" si="81"/>
        <v>h</v>
      </c>
      <c r="H1344" s="2">
        <f t="shared" si="82"/>
        <v>2015</v>
      </c>
      <c r="I1344" s="2" t="s">
        <v>862</v>
      </c>
      <c r="J1344" s="2" t="s">
        <v>858</v>
      </c>
      <c r="K1344" s="2" t="s">
        <v>847</v>
      </c>
      <c r="L1344" s="48" t="s">
        <v>398</v>
      </c>
      <c r="M1344" s="2" t="s">
        <v>822</v>
      </c>
      <c r="N1344" s="25">
        <v>0</v>
      </c>
      <c r="O1344" s="25">
        <v>10</v>
      </c>
    </row>
    <row r="1345" spans="1:15" ht="18" customHeight="1" x14ac:dyDescent="0.2">
      <c r="A1345" s="71" t="s">
        <v>777</v>
      </c>
      <c r="B1345" s="71" t="s">
        <v>863</v>
      </c>
      <c r="C1345" s="72" t="s">
        <v>274</v>
      </c>
      <c r="D1345" s="71" t="s">
        <v>447</v>
      </c>
      <c r="E1345" s="71" t="s">
        <v>844</v>
      </c>
      <c r="F1345" s="2">
        <v>9</v>
      </c>
      <c r="G1345" s="2" t="str">
        <f t="shared" si="81"/>
        <v>i</v>
      </c>
      <c r="H1345" s="2">
        <f t="shared" si="82"/>
        <v>2016</v>
      </c>
      <c r="I1345" s="2" t="s">
        <v>864</v>
      </c>
      <c r="J1345" s="2" t="s">
        <v>858</v>
      </c>
      <c r="K1345" s="2" t="s">
        <v>847</v>
      </c>
      <c r="L1345" s="48" t="s">
        <v>398</v>
      </c>
      <c r="M1345" s="2" t="s">
        <v>822</v>
      </c>
      <c r="N1345" s="25">
        <v>0</v>
      </c>
      <c r="O1345" s="25">
        <v>10</v>
      </c>
    </row>
    <row r="1346" spans="1:15" ht="18" customHeight="1" x14ac:dyDescent="0.2">
      <c r="A1346" s="71" t="s">
        <v>777</v>
      </c>
      <c r="B1346" s="71" t="s">
        <v>865</v>
      </c>
      <c r="C1346" s="72" t="s">
        <v>274</v>
      </c>
      <c r="D1346" s="71" t="s">
        <v>447</v>
      </c>
      <c r="E1346" s="71" t="s">
        <v>844</v>
      </c>
      <c r="F1346" s="2">
        <v>10</v>
      </c>
      <c r="G1346" s="2" t="str">
        <f t="shared" si="81"/>
        <v>j</v>
      </c>
      <c r="H1346" s="2">
        <f t="shared" si="82"/>
        <v>2017</v>
      </c>
      <c r="I1346" s="2" t="s">
        <v>866</v>
      </c>
      <c r="J1346" s="2" t="s">
        <v>858</v>
      </c>
      <c r="K1346" s="2" t="s">
        <v>847</v>
      </c>
      <c r="L1346" s="48" t="s">
        <v>398</v>
      </c>
      <c r="M1346" s="2" t="s">
        <v>822</v>
      </c>
      <c r="N1346" s="25">
        <v>0</v>
      </c>
      <c r="O1346" s="25">
        <v>10</v>
      </c>
    </row>
    <row r="1347" spans="1:15" ht="18" customHeight="1" x14ac:dyDescent="0.2">
      <c r="A1347" s="71" t="s">
        <v>777</v>
      </c>
      <c r="B1347" s="71" t="s">
        <v>957</v>
      </c>
      <c r="C1347" s="72" t="s">
        <v>274</v>
      </c>
      <c r="D1347" s="71" t="s">
        <v>447</v>
      </c>
      <c r="E1347" s="71" t="s">
        <v>844</v>
      </c>
      <c r="F1347" s="2">
        <v>11</v>
      </c>
      <c r="G1347" s="2" t="str">
        <f t="shared" si="81"/>
        <v>k</v>
      </c>
      <c r="H1347" s="2">
        <f t="shared" si="82"/>
        <v>2018</v>
      </c>
      <c r="I1347" s="2" t="s">
        <v>955</v>
      </c>
      <c r="J1347" s="2" t="s">
        <v>858</v>
      </c>
      <c r="K1347" s="2" t="s">
        <v>847</v>
      </c>
      <c r="L1347" s="48" t="s">
        <v>398</v>
      </c>
      <c r="M1347" s="2" t="s">
        <v>822</v>
      </c>
      <c r="N1347" s="25">
        <v>0</v>
      </c>
      <c r="O1347" s="25">
        <v>10</v>
      </c>
    </row>
    <row r="1348" spans="1:15" ht="18" customHeight="1" x14ac:dyDescent="0.2">
      <c r="A1348" s="71" t="s">
        <v>777</v>
      </c>
      <c r="B1348" s="71" t="s">
        <v>958</v>
      </c>
      <c r="C1348" s="72" t="s">
        <v>274</v>
      </c>
      <c r="D1348" s="71" t="s">
        <v>447</v>
      </c>
      <c r="E1348" s="71" t="s">
        <v>844</v>
      </c>
      <c r="F1348" s="2">
        <v>12</v>
      </c>
      <c r="G1348" s="2" t="str">
        <f t="shared" si="81"/>
        <v>l</v>
      </c>
      <c r="H1348" s="2">
        <f t="shared" si="82"/>
        <v>2019</v>
      </c>
      <c r="I1348" s="2" t="s">
        <v>956</v>
      </c>
      <c r="J1348" s="2" t="s">
        <v>858</v>
      </c>
      <c r="K1348" s="2" t="s">
        <v>847</v>
      </c>
      <c r="L1348" s="48" t="s">
        <v>398</v>
      </c>
      <c r="M1348" s="2" t="s">
        <v>822</v>
      </c>
      <c r="N1348" s="25">
        <v>0</v>
      </c>
      <c r="O1348" s="25">
        <v>10</v>
      </c>
    </row>
    <row r="1349" spans="1:15" ht="18" customHeight="1" x14ac:dyDescent="0.2">
      <c r="A1349" s="74" t="s">
        <v>777</v>
      </c>
      <c r="B1349" s="75" t="str">
        <f t="shared" ref="B1349:B1360" si="83">"cf"&amp;RIGHT(H1349,2)&amp;G1349</f>
        <v>cf08a</v>
      </c>
      <c r="C1349" s="76" t="s">
        <v>274</v>
      </c>
      <c r="D1349" s="74" t="s">
        <v>239</v>
      </c>
      <c r="E1349" s="74" t="s">
        <v>191</v>
      </c>
      <c r="F1349" s="2">
        <v>1</v>
      </c>
      <c r="G1349" s="2" t="str">
        <f t="shared" si="81"/>
        <v>a</v>
      </c>
      <c r="H1349" s="2">
        <v>2008</v>
      </c>
      <c r="I1349" s="2" t="s">
        <v>880</v>
      </c>
      <c r="J1349" s="2" t="s">
        <v>881</v>
      </c>
      <c r="K1349" s="2" t="s">
        <v>882</v>
      </c>
      <c r="L1349" s="48" t="s">
        <v>398</v>
      </c>
      <c r="M1349" s="2" t="s">
        <v>783</v>
      </c>
      <c r="N1349" s="25">
        <v>0</v>
      </c>
      <c r="O1349" s="25">
        <v>10</v>
      </c>
    </row>
    <row r="1350" spans="1:15" ht="18" customHeight="1" x14ac:dyDescent="0.2">
      <c r="A1350" s="74" t="s">
        <v>777</v>
      </c>
      <c r="B1350" s="74" t="str">
        <f t="shared" si="83"/>
        <v>cf09b</v>
      </c>
      <c r="C1350" s="76" t="s">
        <v>274</v>
      </c>
      <c r="D1350" s="74" t="s">
        <v>239</v>
      </c>
      <c r="E1350" s="74" t="s">
        <v>191</v>
      </c>
      <c r="F1350" s="2">
        <v>2</v>
      </c>
      <c r="G1350" s="2" t="str">
        <f t="shared" si="81"/>
        <v>b</v>
      </c>
      <c r="H1350" s="2">
        <v>2009</v>
      </c>
      <c r="I1350" s="2" t="s">
        <v>883</v>
      </c>
      <c r="J1350" s="2" t="s">
        <v>881</v>
      </c>
      <c r="K1350" s="2" t="s">
        <v>882</v>
      </c>
      <c r="L1350" s="48" t="s">
        <v>398</v>
      </c>
      <c r="M1350" s="2" t="s">
        <v>783</v>
      </c>
      <c r="N1350" s="25">
        <v>0</v>
      </c>
      <c r="O1350" s="25">
        <v>10</v>
      </c>
    </row>
    <row r="1351" spans="1:15" ht="18" customHeight="1" x14ac:dyDescent="0.2">
      <c r="A1351" s="74" t="s">
        <v>777</v>
      </c>
      <c r="B1351" s="74" t="str">
        <f t="shared" si="83"/>
        <v>cf10c</v>
      </c>
      <c r="C1351" s="76" t="s">
        <v>274</v>
      </c>
      <c r="D1351" s="74" t="s">
        <v>239</v>
      </c>
      <c r="E1351" s="74" t="s">
        <v>191</v>
      </c>
      <c r="F1351" s="2">
        <v>3</v>
      </c>
      <c r="G1351" s="2" t="str">
        <f t="shared" si="81"/>
        <v>c</v>
      </c>
      <c r="H1351" s="2">
        <v>2010</v>
      </c>
      <c r="I1351" s="2" t="s">
        <v>884</v>
      </c>
      <c r="J1351" s="2" t="s">
        <v>881</v>
      </c>
      <c r="K1351" s="2" t="s">
        <v>882</v>
      </c>
      <c r="L1351" s="48" t="s">
        <v>398</v>
      </c>
      <c r="M1351" s="2" t="s">
        <v>783</v>
      </c>
      <c r="N1351" s="25">
        <v>0</v>
      </c>
      <c r="O1351" s="25">
        <v>10</v>
      </c>
    </row>
    <row r="1352" spans="1:15" ht="18" customHeight="1" x14ac:dyDescent="0.2">
      <c r="A1352" s="74" t="s">
        <v>777</v>
      </c>
      <c r="B1352" s="74" t="str">
        <f t="shared" si="83"/>
        <v>cf11d</v>
      </c>
      <c r="C1352" s="76" t="s">
        <v>274</v>
      </c>
      <c r="D1352" s="74" t="s">
        <v>239</v>
      </c>
      <c r="E1352" s="74" t="s">
        <v>191</v>
      </c>
      <c r="F1352" s="2">
        <v>4</v>
      </c>
      <c r="G1352" s="2" t="str">
        <f t="shared" si="81"/>
        <v>d</v>
      </c>
      <c r="H1352" s="2">
        <v>2011</v>
      </c>
      <c r="I1352" s="2" t="s">
        <v>885</v>
      </c>
      <c r="J1352" s="2" t="s">
        <v>881</v>
      </c>
      <c r="K1352" s="2" t="s">
        <v>882</v>
      </c>
      <c r="L1352" s="48" t="s">
        <v>398</v>
      </c>
      <c r="M1352" s="2" t="s">
        <v>783</v>
      </c>
      <c r="N1352" s="25">
        <v>0</v>
      </c>
      <c r="O1352" s="25">
        <v>10</v>
      </c>
    </row>
    <row r="1353" spans="1:15" ht="18" customHeight="1" x14ac:dyDescent="0.2">
      <c r="A1353" s="74" t="s">
        <v>777</v>
      </c>
      <c r="B1353" s="74" t="str">
        <f t="shared" si="83"/>
        <v>cf12e</v>
      </c>
      <c r="C1353" s="76" t="s">
        <v>274</v>
      </c>
      <c r="D1353" s="74" t="s">
        <v>239</v>
      </c>
      <c r="E1353" s="74" t="s">
        <v>191</v>
      </c>
      <c r="F1353" s="2">
        <v>5</v>
      </c>
      <c r="G1353" s="2" t="str">
        <f t="shared" si="81"/>
        <v>e</v>
      </c>
      <c r="H1353" s="2">
        <v>2012</v>
      </c>
      <c r="I1353" s="2" t="s">
        <v>886</v>
      </c>
      <c r="J1353" s="2" t="s">
        <v>881</v>
      </c>
      <c r="K1353" s="2" t="s">
        <v>882</v>
      </c>
      <c r="L1353" s="48" t="s">
        <v>398</v>
      </c>
      <c r="M1353" s="2" t="s">
        <v>783</v>
      </c>
      <c r="N1353" s="25">
        <v>0</v>
      </c>
      <c r="O1353" s="25">
        <v>10</v>
      </c>
    </row>
    <row r="1354" spans="1:15" ht="18" customHeight="1" x14ac:dyDescent="0.2">
      <c r="A1354" s="74" t="s">
        <v>777</v>
      </c>
      <c r="B1354" s="74" t="str">
        <f t="shared" si="83"/>
        <v>cf13f</v>
      </c>
      <c r="C1354" s="76" t="s">
        <v>274</v>
      </c>
      <c r="D1354" s="74" t="s">
        <v>239</v>
      </c>
      <c r="E1354" s="74" t="s">
        <v>191</v>
      </c>
      <c r="F1354" s="2">
        <v>6</v>
      </c>
      <c r="G1354" s="2" t="str">
        <f t="shared" si="81"/>
        <v>f</v>
      </c>
      <c r="H1354" s="2">
        <v>2013</v>
      </c>
      <c r="I1354" s="2" t="s">
        <v>887</v>
      </c>
      <c r="J1354" s="2" t="s">
        <v>881</v>
      </c>
      <c r="K1354" s="2" t="s">
        <v>882</v>
      </c>
      <c r="L1354" s="48" t="s">
        <v>398</v>
      </c>
      <c r="M1354" s="2" t="s">
        <v>783</v>
      </c>
      <c r="N1354" s="25">
        <v>0</v>
      </c>
      <c r="O1354" s="25">
        <v>10</v>
      </c>
    </row>
    <row r="1355" spans="1:15" ht="18" customHeight="1" x14ac:dyDescent="0.2">
      <c r="A1355" s="74" t="s">
        <v>777</v>
      </c>
      <c r="B1355" s="74" t="str">
        <f t="shared" si="83"/>
        <v>cf14g</v>
      </c>
      <c r="C1355" s="76" t="s">
        <v>274</v>
      </c>
      <c r="D1355" s="74" t="s">
        <v>239</v>
      </c>
      <c r="E1355" s="74" t="s">
        <v>191</v>
      </c>
      <c r="F1355" s="2">
        <v>7</v>
      </c>
      <c r="G1355" s="2" t="str">
        <f t="shared" si="81"/>
        <v>g</v>
      </c>
      <c r="H1355" s="2">
        <v>2014</v>
      </c>
      <c r="I1355" s="2" t="s">
        <v>888</v>
      </c>
      <c r="J1355" s="2" t="s">
        <v>881</v>
      </c>
      <c r="K1355" s="2" t="s">
        <v>882</v>
      </c>
      <c r="L1355" s="48" t="s">
        <v>398</v>
      </c>
      <c r="M1355" s="2" t="s">
        <v>783</v>
      </c>
      <c r="N1355" s="25">
        <v>0</v>
      </c>
      <c r="O1355" s="25">
        <v>10</v>
      </c>
    </row>
    <row r="1356" spans="1:15" ht="18" customHeight="1" x14ac:dyDescent="0.2">
      <c r="A1356" s="74" t="s">
        <v>777</v>
      </c>
      <c r="B1356" s="74" t="str">
        <f t="shared" si="83"/>
        <v>cf15h</v>
      </c>
      <c r="C1356" s="76" t="s">
        <v>274</v>
      </c>
      <c r="D1356" s="74" t="s">
        <v>239</v>
      </c>
      <c r="E1356" s="74" t="s">
        <v>191</v>
      </c>
      <c r="F1356" s="2">
        <v>8</v>
      </c>
      <c r="G1356" s="2" t="str">
        <f t="shared" si="81"/>
        <v>h</v>
      </c>
      <c r="H1356" s="2">
        <v>2015</v>
      </c>
      <c r="I1356" s="2" t="s">
        <v>889</v>
      </c>
      <c r="J1356" s="2" t="s">
        <v>881</v>
      </c>
      <c r="K1356" s="2" t="s">
        <v>882</v>
      </c>
      <c r="L1356" s="48" t="s">
        <v>398</v>
      </c>
      <c r="M1356" s="2" t="s">
        <v>783</v>
      </c>
      <c r="N1356" s="25">
        <v>0</v>
      </c>
      <c r="O1356" s="25">
        <v>10</v>
      </c>
    </row>
    <row r="1357" spans="1:15" ht="18" customHeight="1" x14ac:dyDescent="0.2">
      <c r="A1357" s="74" t="s">
        <v>777</v>
      </c>
      <c r="B1357" s="74" t="str">
        <f t="shared" si="83"/>
        <v>cf16i</v>
      </c>
      <c r="C1357" s="76" t="s">
        <v>274</v>
      </c>
      <c r="D1357" s="74" t="s">
        <v>239</v>
      </c>
      <c r="E1357" s="74" t="s">
        <v>191</v>
      </c>
      <c r="F1357" s="2">
        <v>9</v>
      </c>
      <c r="G1357" s="2" t="str">
        <f t="shared" si="81"/>
        <v>i</v>
      </c>
      <c r="H1357" s="2">
        <v>2016</v>
      </c>
      <c r="I1357" s="2" t="s">
        <v>890</v>
      </c>
      <c r="J1357" s="2" t="s">
        <v>881</v>
      </c>
      <c r="K1357" s="2" t="s">
        <v>882</v>
      </c>
      <c r="L1357" s="48" t="s">
        <v>398</v>
      </c>
      <c r="M1357" s="2" t="s">
        <v>783</v>
      </c>
      <c r="N1357" s="25">
        <v>0</v>
      </c>
      <c r="O1357" s="25">
        <v>10</v>
      </c>
    </row>
    <row r="1358" spans="1:15" ht="18" customHeight="1" x14ac:dyDescent="0.2">
      <c r="A1358" s="74" t="s">
        <v>777</v>
      </c>
      <c r="B1358" s="74" t="str">
        <f t="shared" si="83"/>
        <v>cf17j</v>
      </c>
      <c r="C1358" s="76" t="s">
        <v>274</v>
      </c>
      <c r="D1358" s="74" t="s">
        <v>239</v>
      </c>
      <c r="E1358" s="74" t="s">
        <v>191</v>
      </c>
      <c r="F1358" s="2">
        <v>10</v>
      </c>
      <c r="G1358" s="2" t="str">
        <f t="shared" si="81"/>
        <v>j</v>
      </c>
      <c r="H1358" s="2">
        <v>2017</v>
      </c>
      <c r="I1358" s="2" t="s">
        <v>891</v>
      </c>
      <c r="J1358" s="2" t="s">
        <v>881</v>
      </c>
      <c r="K1358" s="2" t="s">
        <v>882</v>
      </c>
      <c r="L1358" s="48" t="s">
        <v>398</v>
      </c>
      <c r="M1358" s="2" t="s">
        <v>783</v>
      </c>
      <c r="N1358" s="25">
        <v>0</v>
      </c>
      <c r="O1358" s="25">
        <v>10</v>
      </c>
    </row>
    <row r="1359" spans="1:15" ht="18" customHeight="1" x14ac:dyDescent="0.2">
      <c r="A1359" s="74" t="s">
        <v>777</v>
      </c>
      <c r="B1359" s="74" t="str">
        <f t="shared" si="83"/>
        <v>cf18k</v>
      </c>
      <c r="C1359" s="76" t="s">
        <v>274</v>
      </c>
      <c r="D1359" s="74" t="s">
        <v>239</v>
      </c>
      <c r="E1359" s="74" t="s">
        <v>191</v>
      </c>
      <c r="F1359" s="2">
        <v>11</v>
      </c>
      <c r="G1359" s="2" t="str">
        <f t="shared" si="81"/>
        <v>k</v>
      </c>
      <c r="H1359" s="2">
        <v>2018</v>
      </c>
      <c r="I1359" s="2" t="s">
        <v>951</v>
      </c>
      <c r="J1359" s="2" t="s">
        <v>881</v>
      </c>
      <c r="K1359" s="2" t="s">
        <v>882</v>
      </c>
      <c r="L1359" s="48" t="s">
        <v>398</v>
      </c>
      <c r="M1359" s="2" t="s">
        <v>783</v>
      </c>
      <c r="N1359" s="25">
        <v>0</v>
      </c>
      <c r="O1359" s="25">
        <v>10</v>
      </c>
    </row>
    <row r="1360" spans="1:15" ht="18" customHeight="1" x14ac:dyDescent="0.2">
      <c r="A1360" s="74" t="s">
        <v>777</v>
      </c>
      <c r="B1360" s="74" t="str">
        <f t="shared" si="83"/>
        <v>cf19l</v>
      </c>
      <c r="C1360" s="76" t="s">
        <v>274</v>
      </c>
      <c r="D1360" s="74" t="s">
        <v>239</v>
      </c>
      <c r="E1360" s="74" t="s">
        <v>191</v>
      </c>
      <c r="F1360" s="2">
        <v>12</v>
      </c>
      <c r="G1360" s="2" t="str">
        <f t="shared" si="81"/>
        <v>l</v>
      </c>
      <c r="H1360" s="2">
        <v>2019</v>
      </c>
      <c r="I1360" s="2" t="s">
        <v>952</v>
      </c>
      <c r="J1360" s="2" t="s">
        <v>881</v>
      </c>
      <c r="K1360" s="2" t="s">
        <v>882</v>
      </c>
      <c r="L1360" s="48" t="s">
        <v>398</v>
      </c>
      <c r="M1360" s="2" t="s">
        <v>783</v>
      </c>
      <c r="N1360" s="25">
        <v>0</v>
      </c>
      <c r="O1360" s="25">
        <v>10</v>
      </c>
    </row>
    <row r="1361" spans="1:15" ht="18" customHeight="1" x14ac:dyDescent="0.2">
      <c r="A1361" s="71" t="s">
        <v>777</v>
      </c>
      <c r="B1361" s="71" t="s">
        <v>892</v>
      </c>
      <c r="C1361" s="72" t="s">
        <v>274</v>
      </c>
      <c r="D1361" s="71" t="s">
        <v>553</v>
      </c>
      <c r="E1361" s="71" t="s">
        <v>893</v>
      </c>
      <c r="F1361" s="2">
        <v>1</v>
      </c>
      <c r="G1361" s="2" t="str">
        <f t="shared" si="81"/>
        <v>a</v>
      </c>
      <c r="H1361" s="2">
        <v>2008</v>
      </c>
      <c r="I1361" s="2" t="s">
        <v>894</v>
      </c>
      <c r="J1361" s="2" t="s">
        <v>895</v>
      </c>
      <c r="K1361" s="2" t="s">
        <v>896</v>
      </c>
      <c r="L1361" s="48" t="s">
        <v>398</v>
      </c>
      <c r="M1361" s="2" t="s">
        <v>783</v>
      </c>
      <c r="N1361" s="25">
        <v>0</v>
      </c>
      <c r="O1361" s="25">
        <v>10</v>
      </c>
    </row>
    <row r="1362" spans="1:15" ht="18" customHeight="1" x14ac:dyDescent="0.2">
      <c r="A1362" s="71" t="s">
        <v>777</v>
      </c>
      <c r="B1362" s="71" t="s">
        <v>897</v>
      </c>
      <c r="C1362" s="72" t="s">
        <v>274</v>
      </c>
      <c r="D1362" s="71" t="s">
        <v>553</v>
      </c>
      <c r="E1362" s="71" t="s">
        <v>893</v>
      </c>
      <c r="F1362" s="2">
        <v>2</v>
      </c>
      <c r="G1362" s="2" t="str">
        <f t="shared" si="81"/>
        <v>b</v>
      </c>
      <c r="H1362" s="2">
        <v>2009</v>
      </c>
      <c r="I1362" s="2" t="s">
        <v>898</v>
      </c>
      <c r="J1362" s="2" t="s">
        <v>895</v>
      </c>
      <c r="K1362" s="2" t="s">
        <v>896</v>
      </c>
      <c r="L1362" s="48" t="s">
        <v>398</v>
      </c>
      <c r="M1362" s="2" t="s">
        <v>783</v>
      </c>
      <c r="N1362" s="25">
        <v>0</v>
      </c>
      <c r="O1362" s="25">
        <v>10</v>
      </c>
    </row>
    <row r="1363" spans="1:15" ht="18" customHeight="1" x14ac:dyDescent="0.2">
      <c r="A1363" s="71" t="s">
        <v>777</v>
      </c>
      <c r="B1363" s="71" t="s">
        <v>899</v>
      </c>
      <c r="C1363" s="72" t="s">
        <v>274</v>
      </c>
      <c r="D1363" s="71" t="s">
        <v>553</v>
      </c>
      <c r="E1363" s="71" t="s">
        <v>893</v>
      </c>
      <c r="F1363" s="2">
        <v>3</v>
      </c>
      <c r="G1363" s="2" t="str">
        <f t="shared" si="81"/>
        <v>c</v>
      </c>
      <c r="H1363" s="2">
        <v>2010</v>
      </c>
      <c r="I1363" s="2" t="s">
        <v>900</v>
      </c>
      <c r="J1363" s="2" t="s">
        <v>895</v>
      </c>
      <c r="K1363" s="2" t="s">
        <v>896</v>
      </c>
      <c r="L1363" s="48" t="s">
        <v>398</v>
      </c>
      <c r="M1363" s="2" t="s">
        <v>783</v>
      </c>
      <c r="N1363" s="25">
        <v>0</v>
      </c>
      <c r="O1363" s="25">
        <v>10</v>
      </c>
    </row>
    <row r="1364" spans="1:15" ht="18" customHeight="1" x14ac:dyDescent="0.2">
      <c r="A1364" s="71" t="s">
        <v>777</v>
      </c>
      <c r="B1364" s="71" t="s">
        <v>901</v>
      </c>
      <c r="C1364" s="72" t="s">
        <v>274</v>
      </c>
      <c r="D1364" s="71" t="s">
        <v>553</v>
      </c>
      <c r="E1364" s="71" t="s">
        <v>893</v>
      </c>
      <c r="F1364" s="2">
        <v>4</v>
      </c>
      <c r="G1364" s="2" t="str">
        <f t="shared" si="81"/>
        <v>d</v>
      </c>
      <c r="H1364" s="2">
        <v>2011</v>
      </c>
      <c r="I1364" s="2" t="s">
        <v>902</v>
      </c>
      <c r="J1364" s="2" t="s">
        <v>895</v>
      </c>
      <c r="K1364" s="2" t="s">
        <v>896</v>
      </c>
      <c r="L1364" s="48" t="s">
        <v>398</v>
      </c>
      <c r="M1364" s="2" t="s">
        <v>783</v>
      </c>
      <c r="N1364" s="25">
        <v>0</v>
      </c>
      <c r="O1364" s="25">
        <v>10</v>
      </c>
    </row>
    <row r="1365" spans="1:15" ht="18" customHeight="1" x14ac:dyDescent="0.2">
      <c r="A1365" s="71" t="s">
        <v>777</v>
      </c>
      <c r="B1365" s="71" t="s">
        <v>903</v>
      </c>
      <c r="C1365" s="72" t="s">
        <v>274</v>
      </c>
      <c r="D1365" s="71" t="s">
        <v>553</v>
      </c>
      <c r="E1365" s="71" t="s">
        <v>893</v>
      </c>
      <c r="F1365" s="2">
        <v>5</v>
      </c>
      <c r="G1365" s="2" t="str">
        <f t="shared" si="81"/>
        <v>e</v>
      </c>
      <c r="H1365" s="2">
        <v>2012</v>
      </c>
      <c r="I1365" s="2" t="s">
        <v>904</v>
      </c>
      <c r="J1365" s="2" t="s">
        <v>895</v>
      </c>
      <c r="K1365" s="2" t="s">
        <v>896</v>
      </c>
      <c r="L1365" s="48" t="s">
        <v>398</v>
      </c>
      <c r="M1365" s="2" t="s">
        <v>783</v>
      </c>
      <c r="N1365" s="25">
        <v>0</v>
      </c>
      <c r="O1365" s="25">
        <v>10</v>
      </c>
    </row>
    <row r="1366" spans="1:15" ht="18" customHeight="1" x14ac:dyDescent="0.2">
      <c r="A1366" s="71" t="s">
        <v>777</v>
      </c>
      <c r="B1366" s="71" t="s">
        <v>905</v>
      </c>
      <c r="C1366" s="72" t="s">
        <v>274</v>
      </c>
      <c r="D1366" s="71" t="s">
        <v>553</v>
      </c>
      <c r="E1366" s="71" t="s">
        <v>893</v>
      </c>
      <c r="F1366" s="2">
        <v>6</v>
      </c>
      <c r="G1366" s="2" t="str">
        <f t="shared" si="81"/>
        <v>f</v>
      </c>
      <c r="H1366" s="2">
        <v>2013</v>
      </c>
      <c r="I1366" s="2" t="s">
        <v>906</v>
      </c>
      <c r="J1366" s="2" t="s">
        <v>895</v>
      </c>
      <c r="K1366" s="2" t="s">
        <v>896</v>
      </c>
      <c r="L1366" s="48" t="s">
        <v>398</v>
      </c>
      <c r="M1366" s="2" t="s">
        <v>783</v>
      </c>
      <c r="N1366" s="25">
        <v>0</v>
      </c>
      <c r="O1366" s="25">
        <v>10</v>
      </c>
    </row>
    <row r="1367" spans="1:15" ht="18" customHeight="1" x14ac:dyDescent="0.2">
      <c r="A1367" s="71" t="s">
        <v>777</v>
      </c>
      <c r="B1367" s="71" t="s">
        <v>907</v>
      </c>
      <c r="C1367" s="72" t="s">
        <v>274</v>
      </c>
      <c r="D1367" s="71" t="s">
        <v>553</v>
      </c>
      <c r="E1367" s="71" t="s">
        <v>893</v>
      </c>
      <c r="F1367" s="2">
        <v>7</v>
      </c>
      <c r="G1367" s="2" t="str">
        <f t="shared" si="81"/>
        <v>g</v>
      </c>
      <c r="H1367" s="2">
        <v>2014</v>
      </c>
      <c r="I1367" s="2" t="s">
        <v>908</v>
      </c>
      <c r="J1367" s="2" t="s">
        <v>895</v>
      </c>
      <c r="K1367" s="2" t="s">
        <v>896</v>
      </c>
      <c r="L1367" s="48" t="s">
        <v>398</v>
      </c>
      <c r="M1367" s="2" t="s">
        <v>783</v>
      </c>
      <c r="N1367" s="25">
        <v>0</v>
      </c>
      <c r="O1367" s="25">
        <v>10</v>
      </c>
    </row>
    <row r="1368" spans="1:15" ht="18" customHeight="1" x14ac:dyDescent="0.2">
      <c r="A1368" s="71" t="s">
        <v>777</v>
      </c>
      <c r="B1368" s="71" t="s">
        <v>909</v>
      </c>
      <c r="C1368" s="72" t="s">
        <v>274</v>
      </c>
      <c r="D1368" s="71" t="s">
        <v>553</v>
      </c>
      <c r="E1368" s="71" t="s">
        <v>893</v>
      </c>
      <c r="F1368" s="2">
        <v>8</v>
      </c>
      <c r="G1368" s="2" t="str">
        <f t="shared" si="81"/>
        <v>h</v>
      </c>
      <c r="H1368" s="2">
        <v>2015</v>
      </c>
      <c r="I1368" s="2" t="s">
        <v>910</v>
      </c>
      <c r="J1368" s="2" t="s">
        <v>895</v>
      </c>
      <c r="K1368" s="2" t="s">
        <v>896</v>
      </c>
      <c r="L1368" s="48" t="s">
        <v>398</v>
      </c>
      <c r="M1368" s="2" t="s">
        <v>783</v>
      </c>
      <c r="N1368" s="25">
        <v>0</v>
      </c>
      <c r="O1368" s="25">
        <v>10</v>
      </c>
    </row>
    <row r="1369" spans="1:15" ht="18" customHeight="1" x14ac:dyDescent="0.2">
      <c r="A1369" s="71" t="s">
        <v>777</v>
      </c>
      <c r="B1369" s="71" t="s">
        <v>911</v>
      </c>
      <c r="C1369" s="72" t="s">
        <v>274</v>
      </c>
      <c r="D1369" s="71" t="s">
        <v>553</v>
      </c>
      <c r="E1369" s="71" t="s">
        <v>893</v>
      </c>
      <c r="F1369" s="2">
        <v>9</v>
      </c>
      <c r="G1369" s="2" t="str">
        <f t="shared" si="81"/>
        <v>i</v>
      </c>
      <c r="H1369" s="2">
        <v>2016</v>
      </c>
      <c r="I1369" s="2" t="s">
        <v>912</v>
      </c>
      <c r="J1369" s="2" t="s">
        <v>895</v>
      </c>
      <c r="K1369" s="2" t="s">
        <v>896</v>
      </c>
      <c r="L1369" s="48" t="s">
        <v>398</v>
      </c>
      <c r="M1369" s="2" t="s">
        <v>783</v>
      </c>
      <c r="N1369" s="25">
        <v>0</v>
      </c>
      <c r="O1369" s="25">
        <v>10</v>
      </c>
    </row>
    <row r="1370" spans="1:15" ht="18" customHeight="1" x14ac:dyDescent="0.2">
      <c r="A1370" s="71" t="s">
        <v>777</v>
      </c>
      <c r="B1370" s="71" t="s">
        <v>913</v>
      </c>
      <c r="C1370" s="72" t="s">
        <v>274</v>
      </c>
      <c r="D1370" s="71" t="s">
        <v>553</v>
      </c>
      <c r="E1370" s="71" t="s">
        <v>893</v>
      </c>
      <c r="F1370" s="2">
        <v>10</v>
      </c>
      <c r="G1370" s="2" t="str">
        <f t="shared" si="81"/>
        <v>j</v>
      </c>
      <c r="H1370" s="2">
        <v>2017</v>
      </c>
      <c r="I1370" s="2" t="s">
        <v>914</v>
      </c>
      <c r="J1370" s="2" t="s">
        <v>895</v>
      </c>
      <c r="K1370" s="2" t="s">
        <v>896</v>
      </c>
      <c r="L1370" s="48" t="s">
        <v>398</v>
      </c>
      <c r="M1370" s="2" t="s">
        <v>783</v>
      </c>
      <c r="N1370" s="25">
        <v>0</v>
      </c>
      <c r="O1370" s="25">
        <v>10</v>
      </c>
    </row>
    <row r="1371" spans="1:15" ht="18" customHeight="1" x14ac:dyDescent="0.2">
      <c r="A1371" s="71" t="s">
        <v>777</v>
      </c>
      <c r="B1371" s="71" t="s">
        <v>915</v>
      </c>
      <c r="C1371" s="72" t="s">
        <v>274</v>
      </c>
      <c r="D1371" s="71" t="s">
        <v>553</v>
      </c>
      <c r="E1371" s="71" t="s">
        <v>893</v>
      </c>
      <c r="F1371" s="2">
        <v>11</v>
      </c>
      <c r="G1371" s="2" t="str">
        <f t="shared" si="81"/>
        <v>k</v>
      </c>
      <c r="H1371" s="2">
        <v>2018</v>
      </c>
      <c r="I1371" s="2" t="s">
        <v>916</v>
      </c>
      <c r="J1371" s="2" t="s">
        <v>895</v>
      </c>
      <c r="K1371" s="2" t="s">
        <v>896</v>
      </c>
      <c r="L1371" s="48" t="s">
        <v>398</v>
      </c>
      <c r="M1371" s="2" t="s">
        <v>783</v>
      </c>
      <c r="N1371" s="25">
        <v>0</v>
      </c>
      <c r="O1371" s="25">
        <v>10</v>
      </c>
    </row>
    <row r="1372" spans="1:15" ht="18" customHeight="1" x14ac:dyDescent="0.2">
      <c r="A1372" s="71" t="s">
        <v>777</v>
      </c>
      <c r="B1372" s="71" t="s">
        <v>949</v>
      </c>
      <c r="C1372" s="72" t="s">
        <v>274</v>
      </c>
      <c r="D1372" s="71" t="s">
        <v>553</v>
      </c>
      <c r="E1372" s="71" t="s">
        <v>893</v>
      </c>
      <c r="F1372" s="2">
        <v>11</v>
      </c>
      <c r="G1372" s="2" t="str">
        <f t="shared" si="81"/>
        <v>k</v>
      </c>
      <c r="H1372" s="2">
        <v>2019</v>
      </c>
      <c r="I1372" s="2" t="s">
        <v>950</v>
      </c>
      <c r="J1372" s="2" t="s">
        <v>895</v>
      </c>
      <c r="K1372" s="2" t="s">
        <v>896</v>
      </c>
      <c r="L1372" s="48" t="s">
        <v>398</v>
      </c>
      <c r="M1372" s="2" t="s">
        <v>783</v>
      </c>
      <c r="N1372" s="25">
        <v>0</v>
      </c>
      <c r="O1372" s="25">
        <v>10</v>
      </c>
    </row>
    <row r="1373" spans="1:15" ht="18" customHeight="1" x14ac:dyDescent="0.2">
      <c r="A1373" s="74" t="s">
        <v>777</v>
      </c>
      <c r="B1373" s="74" t="s">
        <v>817</v>
      </c>
      <c r="C1373" s="76" t="s">
        <v>274</v>
      </c>
      <c r="D1373" s="74" t="s">
        <v>454</v>
      </c>
      <c r="E1373" s="74" t="s">
        <v>818</v>
      </c>
      <c r="F1373" s="2">
        <v>1</v>
      </c>
      <c r="G1373" s="2" t="str">
        <f t="shared" si="81"/>
        <v>a</v>
      </c>
      <c r="H1373" s="2">
        <v>2008</v>
      </c>
      <c r="I1373" s="2" t="s">
        <v>819</v>
      </c>
      <c r="J1373" s="2" t="s">
        <v>820</v>
      </c>
      <c r="K1373" s="2" t="s">
        <v>821</v>
      </c>
      <c r="L1373" s="48" t="s">
        <v>398</v>
      </c>
      <c r="M1373" s="2" t="s">
        <v>822</v>
      </c>
      <c r="N1373" s="25">
        <v>0</v>
      </c>
      <c r="O1373" s="25">
        <v>10</v>
      </c>
    </row>
    <row r="1374" spans="1:15" ht="18" customHeight="1" x14ac:dyDescent="0.2">
      <c r="A1374" s="74" t="s">
        <v>777</v>
      </c>
      <c r="B1374" s="74" t="s">
        <v>823</v>
      </c>
      <c r="C1374" s="76" t="s">
        <v>274</v>
      </c>
      <c r="D1374" s="74" t="s">
        <v>454</v>
      </c>
      <c r="E1374" s="74" t="s">
        <v>818</v>
      </c>
      <c r="F1374" s="2">
        <v>2</v>
      </c>
      <c r="G1374" s="2" t="str">
        <f t="shared" si="81"/>
        <v>b</v>
      </c>
      <c r="H1374" s="2">
        <v>2009</v>
      </c>
      <c r="I1374" s="2" t="s">
        <v>824</v>
      </c>
      <c r="J1374" s="2" t="s">
        <v>820</v>
      </c>
      <c r="K1374" s="2" t="s">
        <v>821</v>
      </c>
      <c r="L1374" s="48" t="s">
        <v>398</v>
      </c>
      <c r="M1374" s="2" t="s">
        <v>822</v>
      </c>
      <c r="N1374" s="25">
        <v>0</v>
      </c>
      <c r="O1374" s="25">
        <v>10</v>
      </c>
    </row>
    <row r="1375" spans="1:15" ht="18" customHeight="1" x14ac:dyDescent="0.2">
      <c r="A1375" s="74" t="s">
        <v>777</v>
      </c>
      <c r="B1375" s="74" t="s">
        <v>825</v>
      </c>
      <c r="C1375" s="76" t="s">
        <v>274</v>
      </c>
      <c r="D1375" s="74" t="s">
        <v>454</v>
      </c>
      <c r="E1375" s="74" t="s">
        <v>818</v>
      </c>
      <c r="F1375" s="2">
        <v>3</v>
      </c>
      <c r="G1375" s="2" t="str">
        <f t="shared" si="81"/>
        <v>c</v>
      </c>
      <c r="H1375" s="2">
        <v>2010</v>
      </c>
      <c r="I1375" s="2" t="s">
        <v>826</v>
      </c>
      <c r="J1375" s="2" t="s">
        <v>820</v>
      </c>
      <c r="K1375" s="2" t="s">
        <v>821</v>
      </c>
      <c r="L1375" s="48" t="s">
        <v>398</v>
      </c>
      <c r="M1375" s="2" t="s">
        <v>822</v>
      </c>
      <c r="N1375" s="25">
        <v>0</v>
      </c>
      <c r="O1375" s="25">
        <v>10</v>
      </c>
    </row>
    <row r="1376" spans="1:15" ht="18" customHeight="1" x14ac:dyDescent="0.2">
      <c r="A1376" s="74" t="s">
        <v>777</v>
      </c>
      <c r="B1376" s="74" t="s">
        <v>827</v>
      </c>
      <c r="C1376" s="76" t="s">
        <v>274</v>
      </c>
      <c r="D1376" s="74" t="s">
        <v>454</v>
      </c>
      <c r="E1376" s="74" t="s">
        <v>818</v>
      </c>
      <c r="F1376" s="2">
        <v>4</v>
      </c>
      <c r="G1376" s="2" t="str">
        <f t="shared" si="81"/>
        <v>d</v>
      </c>
      <c r="H1376" s="2">
        <v>2011</v>
      </c>
      <c r="I1376" s="2" t="s">
        <v>828</v>
      </c>
      <c r="J1376" s="2" t="s">
        <v>820</v>
      </c>
      <c r="K1376" s="2" t="s">
        <v>821</v>
      </c>
      <c r="L1376" s="48" t="s">
        <v>398</v>
      </c>
      <c r="M1376" s="2" t="s">
        <v>822</v>
      </c>
      <c r="N1376" s="25">
        <v>0</v>
      </c>
      <c r="O1376" s="25">
        <v>10</v>
      </c>
    </row>
    <row r="1377" spans="1:15" ht="18" customHeight="1" x14ac:dyDescent="0.2">
      <c r="A1377" s="74" t="s">
        <v>777</v>
      </c>
      <c r="B1377" s="74" t="s">
        <v>829</v>
      </c>
      <c r="C1377" s="76" t="s">
        <v>274</v>
      </c>
      <c r="D1377" s="74" t="s">
        <v>454</v>
      </c>
      <c r="E1377" s="74" t="s">
        <v>818</v>
      </c>
      <c r="F1377" s="2">
        <v>5</v>
      </c>
      <c r="G1377" s="2" t="str">
        <f t="shared" si="81"/>
        <v>e</v>
      </c>
      <c r="H1377" s="2">
        <v>2012</v>
      </c>
      <c r="I1377" s="2" t="s">
        <v>830</v>
      </c>
      <c r="J1377" s="2" t="s">
        <v>820</v>
      </c>
      <c r="K1377" s="2" t="s">
        <v>821</v>
      </c>
      <c r="L1377" s="48" t="s">
        <v>398</v>
      </c>
      <c r="M1377" s="2" t="s">
        <v>822</v>
      </c>
      <c r="N1377" s="25">
        <v>0</v>
      </c>
      <c r="O1377" s="25">
        <v>10</v>
      </c>
    </row>
    <row r="1378" spans="1:15" ht="18" customHeight="1" x14ac:dyDescent="0.2">
      <c r="A1378" s="74" t="s">
        <v>777</v>
      </c>
      <c r="B1378" s="74" t="s">
        <v>831</v>
      </c>
      <c r="C1378" s="76" t="s">
        <v>274</v>
      </c>
      <c r="D1378" s="74" t="s">
        <v>454</v>
      </c>
      <c r="E1378" s="74" t="s">
        <v>818</v>
      </c>
      <c r="F1378" s="2">
        <v>6</v>
      </c>
      <c r="G1378" s="2" t="str">
        <f t="shared" si="81"/>
        <v>f</v>
      </c>
      <c r="H1378" s="2">
        <v>2013</v>
      </c>
      <c r="I1378" s="2" t="s">
        <v>832</v>
      </c>
      <c r="J1378" s="2" t="s">
        <v>820</v>
      </c>
      <c r="K1378" s="2" t="s">
        <v>821</v>
      </c>
      <c r="L1378" s="48" t="s">
        <v>398</v>
      </c>
      <c r="M1378" s="2" t="s">
        <v>822</v>
      </c>
      <c r="N1378" s="25">
        <v>0</v>
      </c>
      <c r="O1378" s="25">
        <v>10</v>
      </c>
    </row>
    <row r="1379" spans="1:15" ht="18" customHeight="1" x14ac:dyDescent="0.2">
      <c r="A1379" s="74" t="s">
        <v>777</v>
      </c>
      <c r="B1379" s="74" t="s">
        <v>833</v>
      </c>
      <c r="C1379" s="76" t="s">
        <v>274</v>
      </c>
      <c r="D1379" s="74" t="s">
        <v>454</v>
      </c>
      <c r="E1379" s="74" t="s">
        <v>818</v>
      </c>
      <c r="F1379" s="2">
        <v>7</v>
      </c>
      <c r="G1379" s="2" t="str">
        <f t="shared" si="81"/>
        <v>g</v>
      </c>
      <c r="H1379" s="2">
        <v>2014</v>
      </c>
      <c r="I1379" s="2" t="s">
        <v>834</v>
      </c>
      <c r="J1379" s="2" t="s">
        <v>820</v>
      </c>
      <c r="K1379" s="2" t="s">
        <v>821</v>
      </c>
      <c r="L1379" s="48" t="s">
        <v>398</v>
      </c>
      <c r="M1379" s="2" t="s">
        <v>822</v>
      </c>
      <c r="N1379" s="25">
        <v>0</v>
      </c>
      <c r="O1379" s="25">
        <v>10</v>
      </c>
    </row>
    <row r="1380" spans="1:15" ht="18" customHeight="1" x14ac:dyDescent="0.2">
      <c r="A1380" s="74" t="s">
        <v>777</v>
      </c>
      <c r="B1380" s="74" t="s">
        <v>835</v>
      </c>
      <c r="C1380" s="76" t="s">
        <v>274</v>
      </c>
      <c r="D1380" s="74" t="s">
        <v>454</v>
      </c>
      <c r="E1380" s="74" t="s">
        <v>818</v>
      </c>
      <c r="F1380" s="2">
        <v>8</v>
      </c>
      <c r="G1380" s="2" t="str">
        <f t="shared" si="81"/>
        <v>h</v>
      </c>
      <c r="H1380" s="2">
        <v>2015</v>
      </c>
      <c r="I1380" s="2" t="s">
        <v>836</v>
      </c>
      <c r="J1380" s="2" t="s">
        <v>820</v>
      </c>
      <c r="K1380" s="2" t="s">
        <v>821</v>
      </c>
      <c r="L1380" s="48" t="s">
        <v>398</v>
      </c>
      <c r="M1380" s="2" t="s">
        <v>822</v>
      </c>
      <c r="N1380" s="25">
        <v>0</v>
      </c>
      <c r="O1380" s="25">
        <v>10</v>
      </c>
    </row>
    <row r="1381" spans="1:15" ht="18" customHeight="1" x14ac:dyDescent="0.2">
      <c r="A1381" s="74" t="s">
        <v>777</v>
      </c>
      <c r="B1381" s="74" t="s">
        <v>837</v>
      </c>
      <c r="C1381" s="76" t="s">
        <v>274</v>
      </c>
      <c r="D1381" s="74" t="s">
        <v>454</v>
      </c>
      <c r="E1381" s="74" t="s">
        <v>818</v>
      </c>
      <c r="F1381" s="2">
        <v>9</v>
      </c>
      <c r="G1381" s="2" t="str">
        <f t="shared" si="81"/>
        <v>i</v>
      </c>
      <c r="H1381" s="2">
        <v>2016</v>
      </c>
      <c r="I1381" s="2" t="s">
        <v>838</v>
      </c>
      <c r="J1381" s="2" t="s">
        <v>820</v>
      </c>
      <c r="K1381" s="2" t="s">
        <v>821</v>
      </c>
      <c r="L1381" s="48" t="s">
        <v>398</v>
      </c>
      <c r="M1381" s="2" t="s">
        <v>822</v>
      </c>
      <c r="N1381" s="25">
        <v>0</v>
      </c>
      <c r="O1381" s="25">
        <v>10</v>
      </c>
    </row>
    <row r="1382" spans="1:15" ht="18" customHeight="1" x14ac:dyDescent="0.2">
      <c r="A1382" s="74" t="s">
        <v>777</v>
      </c>
      <c r="B1382" s="74" t="s">
        <v>839</v>
      </c>
      <c r="C1382" s="76" t="s">
        <v>274</v>
      </c>
      <c r="D1382" s="74" t="s">
        <v>454</v>
      </c>
      <c r="E1382" s="74" t="s">
        <v>818</v>
      </c>
      <c r="F1382" s="2">
        <v>10</v>
      </c>
      <c r="G1382" s="2" t="str">
        <f t="shared" si="81"/>
        <v>j</v>
      </c>
      <c r="H1382" s="2">
        <v>2017</v>
      </c>
      <c r="I1382" s="2" t="s">
        <v>840</v>
      </c>
      <c r="J1382" s="2" t="s">
        <v>820</v>
      </c>
      <c r="K1382" s="2" t="s">
        <v>821</v>
      </c>
      <c r="L1382" s="48" t="s">
        <v>398</v>
      </c>
      <c r="M1382" s="2" t="s">
        <v>822</v>
      </c>
      <c r="N1382" s="25">
        <v>0</v>
      </c>
      <c r="O1382" s="25">
        <v>10</v>
      </c>
    </row>
    <row r="1383" spans="1:15" ht="18" customHeight="1" x14ac:dyDescent="0.2">
      <c r="A1383" s="74" t="s">
        <v>777</v>
      </c>
      <c r="B1383" s="74" t="s">
        <v>841</v>
      </c>
      <c r="C1383" s="76" t="s">
        <v>274</v>
      </c>
      <c r="D1383" s="74" t="s">
        <v>454</v>
      </c>
      <c r="E1383" s="74" t="s">
        <v>818</v>
      </c>
      <c r="F1383" s="2">
        <v>11</v>
      </c>
      <c r="G1383" s="2" t="str">
        <f t="shared" si="81"/>
        <v>k</v>
      </c>
      <c r="H1383" s="2">
        <v>2018</v>
      </c>
      <c r="I1383" s="2" t="s">
        <v>842</v>
      </c>
      <c r="J1383" s="2" t="s">
        <v>820</v>
      </c>
      <c r="K1383" s="2" t="s">
        <v>821</v>
      </c>
      <c r="L1383" s="48" t="s">
        <v>398</v>
      </c>
      <c r="M1383" s="2" t="s">
        <v>822</v>
      </c>
      <c r="N1383" s="25">
        <v>0</v>
      </c>
      <c r="O1383" s="25">
        <v>10</v>
      </c>
    </row>
    <row r="1384" spans="1:15" ht="18" customHeight="1" x14ac:dyDescent="0.2">
      <c r="A1384" s="74" t="s">
        <v>777</v>
      </c>
      <c r="B1384" s="74" t="s">
        <v>959</v>
      </c>
      <c r="C1384" s="76" t="s">
        <v>274</v>
      </c>
      <c r="D1384" s="74" t="s">
        <v>454</v>
      </c>
      <c r="E1384" s="74" t="s">
        <v>818</v>
      </c>
      <c r="F1384" s="2">
        <v>12</v>
      </c>
      <c r="G1384" s="2" t="str">
        <f t="shared" si="81"/>
        <v>l</v>
      </c>
      <c r="H1384" s="2">
        <v>2019</v>
      </c>
      <c r="I1384" s="2" t="s">
        <v>960</v>
      </c>
      <c r="J1384" s="2" t="s">
        <v>820</v>
      </c>
      <c r="K1384" s="2" t="s">
        <v>821</v>
      </c>
      <c r="L1384" s="48" t="s">
        <v>398</v>
      </c>
      <c r="M1384" s="2" t="s">
        <v>822</v>
      </c>
      <c r="N1384" s="25">
        <v>0</v>
      </c>
      <c r="O1384" s="25">
        <v>10</v>
      </c>
    </row>
    <row r="1385" spans="1:15" ht="18" customHeight="1" x14ac:dyDescent="0.2">
      <c r="A1385" s="72" t="s">
        <v>777</v>
      </c>
      <c r="B1385" s="72" t="s">
        <v>778</v>
      </c>
      <c r="C1385" s="72" t="s">
        <v>274</v>
      </c>
      <c r="D1385" s="72" t="s">
        <v>238</v>
      </c>
      <c r="E1385" s="72" t="s">
        <v>804</v>
      </c>
      <c r="F1385" s="2">
        <v>1</v>
      </c>
      <c r="G1385" s="2" t="str">
        <f t="shared" si="81"/>
        <v>a</v>
      </c>
      <c r="H1385" s="25">
        <v>2008</v>
      </c>
      <c r="I1385" s="25" t="s">
        <v>805</v>
      </c>
      <c r="J1385" s="25" t="s">
        <v>806</v>
      </c>
      <c r="K1385" s="25" t="s">
        <v>782</v>
      </c>
      <c r="L1385" s="48" t="s">
        <v>398</v>
      </c>
      <c r="M1385" s="25" t="s">
        <v>783</v>
      </c>
      <c r="N1385" s="25">
        <v>0</v>
      </c>
      <c r="O1385" s="25">
        <v>10</v>
      </c>
    </row>
    <row r="1386" spans="1:15" ht="18" customHeight="1" x14ac:dyDescent="0.2">
      <c r="A1386" s="72" t="s">
        <v>777</v>
      </c>
      <c r="B1386" s="72" t="s">
        <v>784</v>
      </c>
      <c r="C1386" s="72" t="s">
        <v>274</v>
      </c>
      <c r="D1386" s="72" t="s">
        <v>238</v>
      </c>
      <c r="E1386" s="72" t="s">
        <v>804</v>
      </c>
      <c r="F1386" s="2">
        <v>2</v>
      </c>
      <c r="G1386" s="2" t="str">
        <f t="shared" si="81"/>
        <v>b</v>
      </c>
      <c r="H1386" s="25">
        <v>2009</v>
      </c>
      <c r="I1386" s="25" t="s">
        <v>807</v>
      </c>
      <c r="J1386" s="25" t="s">
        <v>806</v>
      </c>
      <c r="K1386" s="25" t="s">
        <v>782</v>
      </c>
      <c r="L1386" s="48" t="s">
        <v>398</v>
      </c>
      <c r="M1386" s="25" t="s">
        <v>783</v>
      </c>
      <c r="N1386" s="25">
        <v>0</v>
      </c>
      <c r="O1386" s="25">
        <v>10</v>
      </c>
    </row>
    <row r="1387" spans="1:15" ht="18" customHeight="1" x14ac:dyDescent="0.2">
      <c r="A1387" s="72" t="s">
        <v>777</v>
      </c>
      <c r="B1387" s="72" t="s">
        <v>786</v>
      </c>
      <c r="C1387" s="72" t="s">
        <v>274</v>
      </c>
      <c r="D1387" s="72" t="s">
        <v>238</v>
      </c>
      <c r="E1387" s="72" t="s">
        <v>804</v>
      </c>
      <c r="F1387" s="2">
        <v>3</v>
      </c>
      <c r="G1387" s="2" t="str">
        <f t="shared" si="81"/>
        <v>c</v>
      </c>
      <c r="H1387" s="25">
        <v>2010</v>
      </c>
      <c r="I1387" s="25" t="s">
        <v>808</v>
      </c>
      <c r="J1387" s="25" t="s">
        <v>806</v>
      </c>
      <c r="K1387" s="25" t="s">
        <v>782</v>
      </c>
      <c r="L1387" s="48" t="s">
        <v>398</v>
      </c>
      <c r="M1387" s="25" t="s">
        <v>783</v>
      </c>
      <c r="N1387" s="25">
        <v>0</v>
      </c>
      <c r="O1387" s="25">
        <v>10</v>
      </c>
    </row>
    <row r="1388" spans="1:15" ht="18" customHeight="1" x14ac:dyDescent="0.2">
      <c r="A1388" s="72" t="s">
        <v>777</v>
      </c>
      <c r="B1388" s="72" t="s">
        <v>788</v>
      </c>
      <c r="C1388" s="72" t="s">
        <v>274</v>
      </c>
      <c r="D1388" s="72" t="s">
        <v>238</v>
      </c>
      <c r="E1388" s="72" t="s">
        <v>804</v>
      </c>
      <c r="F1388" s="2">
        <v>4</v>
      </c>
      <c r="G1388" s="2" t="str">
        <f t="shared" si="81"/>
        <v>d</v>
      </c>
      <c r="H1388" s="25">
        <v>2011</v>
      </c>
      <c r="I1388" s="25" t="s">
        <v>809</v>
      </c>
      <c r="J1388" s="25" t="s">
        <v>806</v>
      </c>
      <c r="K1388" s="25" t="s">
        <v>782</v>
      </c>
      <c r="L1388" s="48" t="s">
        <v>398</v>
      </c>
      <c r="M1388" s="25" t="s">
        <v>783</v>
      </c>
      <c r="N1388" s="25">
        <v>0</v>
      </c>
      <c r="O1388" s="25">
        <v>10</v>
      </c>
    </row>
    <row r="1389" spans="1:15" ht="18" customHeight="1" x14ac:dyDescent="0.2">
      <c r="A1389" s="72" t="s">
        <v>777</v>
      </c>
      <c r="B1389" s="72" t="s">
        <v>790</v>
      </c>
      <c r="C1389" s="72" t="s">
        <v>274</v>
      </c>
      <c r="D1389" s="72" t="s">
        <v>238</v>
      </c>
      <c r="E1389" s="72" t="s">
        <v>804</v>
      </c>
      <c r="F1389" s="2">
        <v>5</v>
      </c>
      <c r="G1389" s="2" t="str">
        <f t="shared" si="81"/>
        <v>e</v>
      </c>
      <c r="H1389" s="25">
        <v>2012</v>
      </c>
      <c r="I1389" s="25" t="s">
        <v>810</v>
      </c>
      <c r="J1389" s="25" t="s">
        <v>806</v>
      </c>
      <c r="K1389" s="25" t="s">
        <v>782</v>
      </c>
      <c r="L1389" s="48" t="s">
        <v>398</v>
      </c>
      <c r="M1389" s="25" t="s">
        <v>783</v>
      </c>
      <c r="N1389" s="25">
        <v>0</v>
      </c>
      <c r="O1389" s="25">
        <v>10</v>
      </c>
    </row>
    <row r="1390" spans="1:15" ht="18" customHeight="1" x14ac:dyDescent="0.2">
      <c r="A1390" s="72" t="s">
        <v>777</v>
      </c>
      <c r="B1390" s="72" t="s">
        <v>792</v>
      </c>
      <c r="C1390" s="72" t="s">
        <v>274</v>
      </c>
      <c r="D1390" s="72" t="s">
        <v>238</v>
      </c>
      <c r="E1390" s="72" t="s">
        <v>804</v>
      </c>
      <c r="F1390" s="2">
        <v>6</v>
      </c>
      <c r="G1390" s="2" t="str">
        <f t="shared" si="81"/>
        <v>f</v>
      </c>
      <c r="H1390" s="25">
        <v>2013</v>
      </c>
      <c r="I1390" s="25" t="s">
        <v>811</v>
      </c>
      <c r="J1390" s="25" t="s">
        <v>806</v>
      </c>
      <c r="K1390" s="25" t="s">
        <v>782</v>
      </c>
      <c r="L1390" s="48" t="s">
        <v>398</v>
      </c>
      <c r="M1390" s="25" t="s">
        <v>783</v>
      </c>
      <c r="N1390" s="25">
        <v>0</v>
      </c>
      <c r="O1390" s="25">
        <v>10</v>
      </c>
    </row>
    <row r="1391" spans="1:15" ht="18" customHeight="1" x14ac:dyDescent="0.2">
      <c r="A1391" s="72" t="s">
        <v>777</v>
      </c>
      <c r="B1391" s="72" t="s">
        <v>794</v>
      </c>
      <c r="C1391" s="72" t="s">
        <v>274</v>
      </c>
      <c r="D1391" s="72" t="s">
        <v>238</v>
      </c>
      <c r="E1391" s="72" t="s">
        <v>804</v>
      </c>
      <c r="F1391" s="2">
        <v>7</v>
      </c>
      <c r="G1391" s="2" t="str">
        <f t="shared" si="81"/>
        <v>g</v>
      </c>
      <c r="H1391" s="25">
        <v>2014</v>
      </c>
      <c r="I1391" s="25" t="s">
        <v>812</v>
      </c>
      <c r="J1391" s="25" t="s">
        <v>806</v>
      </c>
      <c r="K1391" s="25" t="s">
        <v>782</v>
      </c>
      <c r="L1391" s="48" t="s">
        <v>398</v>
      </c>
      <c r="M1391" s="25" t="s">
        <v>783</v>
      </c>
      <c r="N1391" s="25">
        <v>0</v>
      </c>
      <c r="O1391" s="25">
        <v>10</v>
      </c>
    </row>
    <row r="1392" spans="1:15" ht="18" customHeight="1" x14ac:dyDescent="0.2">
      <c r="A1392" s="72" t="s">
        <v>777</v>
      </c>
      <c r="B1392" s="72" t="s">
        <v>796</v>
      </c>
      <c r="C1392" s="72" t="s">
        <v>274</v>
      </c>
      <c r="D1392" s="72" t="s">
        <v>238</v>
      </c>
      <c r="E1392" s="72" t="s">
        <v>804</v>
      </c>
      <c r="F1392" s="2">
        <v>8</v>
      </c>
      <c r="G1392" s="2" t="str">
        <f t="shared" si="81"/>
        <v>h</v>
      </c>
      <c r="H1392" s="25">
        <v>2015</v>
      </c>
      <c r="I1392" s="25" t="s">
        <v>813</v>
      </c>
      <c r="J1392" s="25" t="s">
        <v>806</v>
      </c>
      <c r="K1392" s="25" t="s">
        <v>782</v>
      </c>
      <c r="L1392" s="48" t="s">
        <v>398</v>
      </c>
      <c r="M1392" s="25" t="s">
        <v>783</v>
      </c>
      <c r="N1392" s="25">
        <v>0</v>
      </c>
      <c r="O1392" s="25">
        <v>10</v>
      </c>
    </row>
    <row r="1393" spans="1:15" ht="18" customHeight="1" x14ac:dyDescent="0.2">
      <c r="A1393" s="72" t="s">
        <v>777</v>
      </c>
      <c r="B1393" s="72" t="s">
        <v>798</v>
      </c>
      <c r="C1393" s="72" t="s">
        <v>274</v>
      </c>
      <c r="D1393" s="72" t="s">
        <v>238</v>
      </c>
      <c r="E1393" s="72" t="s">
        <v>804</v>
      </c>
      <c r="F1393" s="2">
        <v>9</v>
      </c>
      <c r="G1393" s="2" t="str">
        <f t="shared" ref="G1393:G1455" si="84">MID("abcdefghijklmnopqrstuvwxyz",F1393,1)</f>
        <v>i</v>
      </c>
      <c r="H1393" s="25">
        <v>2016</v>
      </c>
      <c r="I1393" s="25" t="s">
        <v>814</v>
      </c>
      <c r="J1393" s="25" t="s">
        <v>806</v>
      </c>
      <c r="K1393" s="25" t="s">
        <v>782</v>
      </c>
      <c r="L1393" s="48" t="s">
        <v>398</v>
      </c>
      <c r="M1393" s="25" t="s">
        <v>783</v>
      </c>
      <c r="N1393" s="25">
        <v>0</v>
      </c>
      <c r="O1393" s="25">
        <v>10</v>
      </c>
    </row>
    <row r="1394" spans="1:15" ht="18" customHeight="1" x14ac:dyDescent="0.2">
      <c r="A1394" s="72" t="s">
        <v>777</v>
      </c>
      <c r="B1394" s="72" t="s">
        <v>800</v>
      </c>
      <c r="C1394" s="72" t="s">
        <v>274</v>
      </c>
      <c r="D1394" s="72" t="s">
        <v>238</v>
      </c>
      <c r="E1394" s="72" t="s">
        <v>804</v>
      </c>
      <c r="F1394" s="2">
        <v>10</v>
      </c>
      <c r="G1394" s="2" t="str">
        <f t="shared" si="84"/>
        <v>j</v>
      </c>
      <c r="H1394" s="25">
        <v>2017</v>
      </c>
      <c r="I1394" s="25" t="s">
        <v>815</v>
      </c>
      <c r="J1394" s="25" t="s">
        <v>806</v>
      </c>
      <c r="K1394" s="25" t="s">
        <v>782</v>
      </c>
      <c r="L1394" s="48" t="s">
        <v>398</v>
      </c>
      <c r="M1394" s="25" t="s">
        <v>783</v>
      </c>
      <c r="N1394" s="25">
        <v>0</v>
      </c>
      <c r="O1394" s="25">
        <v>10</v>
      </c>
    </row>
    <row r="1395" spans="1:15" ht="18" customHeight="1" x14ac:dyDescent="0.2">
      <c r="A1395" s="72" t="s">
        <v>777</v>
      </c>
      <c r="B1395" s="72" t="s">
        <v>802</v>
      </c>
      <c r="C1395" s="72" t="s">
        <v>274</v>
      </c>
      <c r="D1395" s="72" t="s">
        <v>238</v>
      </c>
      <c r="E1395" s="72" t="s">
        <v>804</v>
      </c>
      <c r="F1395" s="2">
        <v>11</v>
      </c>
      <c r="G1395" s="2" t="str">
        <f t="shared" si="84"/>
        <v>k</v>
      </c>
      <c r="H1395" s="25">
        <v>2018</v>
      </c>
      <c r="I1395" s="25" t="s">
        <v>816</v>
      </c>
      <c r="J1395" s="25" t="s">
        <v>806</v>
      </c>
      <c r="K1395" s="25" t="s">
        <v>782</v>
      </c>
      <c r="L1395" s="48" t="s">
        <v>398</v>
      </c>
      <c r="M1395" s="25" t="s">
        <v>783</v>
      </c>
      <c r="N1395" s="25">
        <v>0</v>
      </c>
      <c r="O1395" s="25">
        <v>10</v>
      </c>
    </row>
    <row r="1396" spans="1:15" ht="18" customHeight="1" x14ac:dyDescent="0.2">
      <c r="A1396" s="72" t="s">
        <v>777</v>
      </c>
      <c r="B1396" s="72" t="s">
        <v>961</v>
      </c>
      <c r="C1396" s="72" t="s">
        <v>274</v>
      </c>
      <c r="D1396" s="72" t="s">
        <v>238</v>
      </c>
      <c r="E1396" s="72" t="s">
        <v>804</v>
      </c>
      <c r="F1396" s="2">
        <v>12</v>
      </c>
      <c r="G1396" s="2" t="str">
        <f t="shared" si="84"/>
        <v>l</v>
      </c>
      <c r="H1396" s="25">
        <v>2019</v>
      </c>
      <c r="I1396" s="25" t="s">
        <v>963</v>
      </c>
      <c r="J1396" s="25" t="s">
        <v>806</v>
      </c>
      <c r="K1396" s="25" t="s">
        <v>782</v>
      </c>
      <c r="L1396" s="48" t="s">
        <v>398</v>
      </c>
      <c r="M1396" s="25" t="s">
        <v>783</v>
      </c>
      <c r="N1396" s="25">
        <v>0</v>
      </c>
      <c r="O1396" s="25">
        <v>10</v>
      </c>
    </row>
    <row r="1397" spans="1:15" ht="18" customHeight="1" x14ac:dyDescent="0.2">
      <c r="A1397" s="76" t="s">
        <v>777</v>
      </c>
      <c r="B1397" s="76" t="s">
        <v>778</v>
      </c>
      <c r="C1397" s="76" t="s">
        <v>274</v>
      </c>
      <c r="D1397" s="76" t="s">
        <v>771</v>
      </c>
      <c r="E1397" s="76" t="s">
        <v>779</v>
      </c>
      <c r="F1397" s="2">
        <v>1</v>
      </c>
      <c r="G1397" s="2" t="str">
        <f t="shared" si="84"/>
        <v>a</v>
      </c>
      <c r="H1397" s="25">
        <v>2008</v>
      </c>
      <c r="I1397" s="25" t="s">
        <v>780</v>
      </c>
      <c r="J1397" s="25" t="s">
        <v>781</v>
      </c>
      <c r="K1397" s="25" t="s">
        <v>782</v>
      </c>
      <c r="L1397" s="48" t="s">
        <v>398</v>
      </c>
      <c r="M1397" s="25" t="s">
        <v>783</v>
      </c>
      <c r="N1397" s="25">
        <v>0</v>
      </c>
      <c r="O1397" s="25">
        <v>10</v>
      </c>
    </row>
    <row r="1398" spans="1:15" ht="18" customHeight="1" x14ac:dyDescent="0.2">
      <c r="A1398" s="76" t="s">
        <v>777</v>
      </c>
      <c r="B1398" s="76" t="s">
        <v>784</v>
      </c>
      <c r="C1398" s="76" t="s">
        <v>274</v>
      </c>
      <c r="D1398" s="76" t="s">
        <v>771</v>
      </c>
      <c r="E1398" s="76" t="s">
        <v>779</v>
      </c>
      <c r="F1398" s="2">
        <v>2</v>
      </c>
      <c r="G1398" s="2" t="str">
        <f t="shared" si="84"/>
        <v>b</v>
      </c>
      <c r="H1398" s="25">
        <v>2009</v>
      </c>
      <c r="I1398" s="25" t="s">
        <v>785</v>
      </c>
      <c r="J1398" s="25" t="s">
        <v>781</v>
      </c>
      <c r="K1398" s="25" t="s">
        <v>782</v>
      </c>
      <c r="L1398" s="48" t="s">
        <v>398</v>
      </c>
      <c r="M1398" s="25" t="s">
        <v>783</v>
      </c>
      <c r="N1398" s="25">
        <v>0</v>
      </c>
      <c r="O1398" s="25">
        <v>10</v>
      </c>
    </row>
    <row r="1399" spans="1:15" ht="18" customHeight="1" x14ac:dyDescent="0.2">
      <c r="A1399" s="76" t="s">
        <v>777</v>
      </c>
      <c r="B1399" s="76" t="s">
        <v>786</v>
      </c>
      <c r="C1399" s="76" t="s">
        <v>274</v>
      </c>
      <c r="D1399" s="76" t="s">
        <v>771</v>
      </c>
      <c r="E1399" s="76" t="s">
        <v>779</v>
      </c>
      <c r="F1399" s="2">
        <v>3</v>
      </c>
      <c r="G1399" s="2" t="str">
        <f t="shared" si="84"/>
        <v>c</v>
      </c>
      <c r="H1399" s="25">
        <v>2010</v>
      </c>
      <c r="I1399" s="25" t="s">
        <v>787</v>
      </c>
      <c r="J1399" s="25" t="s">
        <v>781</v>
      </c>
      <c r="K1399" s="25" t="s">
        <v>782</v>
      </c>
      <c r="L1399" s="48" t="s">
        <v>398</v>
      </c>
      <c r="M1399" s="25" t="s">
        <v>783</v>
      </c>
      <c r="N1399" s="25">
        <v>0</v>
      </c>
      <c r="O1399" s="25">
        <v>10</v>
      </c>
    </row>
    <row r="1400" spans="1:15" ht="18" customHeight="1" x14ac:dyDescent="0.2">
      <c r="A1400" s="76" t="s">
        <v>777</v>
      </c>
      <c r="B1400" s="76" t="s">
        <v>788</v>
      </c>
      <c r="C1400" s="76" t="s">
        <v>274</v>
      </c>
      <c r="D1400" s="76" t="s">
        <v>771</v>
      </c>
      <c r="E1400" s="76" t="s">
        <v>779</v>
      </c>
      <c r="F1400" s="2">
        <v>4</v>
      </c>
      <c r="G1400" s="2" t="str">
        <f t="shared" si="84"/>
        <v>d</v>
      </c>
      <c r="H1400" s="25">
        <v>2011</v>
      </c>
      <c r="I1400" s="25" t="s">
        <v>789</v>
      </c>
      <c r="J1400" s="25" t="s">
        <v>781</v>
      </c>
      <c r="K1400" s="25" t="s">
        <v>782</v>
      </c>
      <c r="L1400" s="48" t="s">
        <v>398</v>
      </c>
      <c r="M1400" s="25" t="s">
        <v>783</v>
      </c>
      <c r="N1400" s="25">
        <v>0</v>
      </c>
      <c r="O1400" s="25">
        <v>10</v>
      </c>
    </row>
    <row r="1401" spans="1:15" ht="18" customHeight="1" x14ac:dyDescent="0.2">
      <c r="A1401" s="76" t="s">
        <v>777</v>
      </c>
      <c r="B1401" s="76" t="s">
        <v>790</v>
      </c>
      <c r="C1401" s="76" t="s">
        <v>274</v>
      </c>
      <c r="D1401" s="76" t="s">
        <v>771</v>
      </c>
      <c r="E1401" s="76" t="s">
        <v>779</v>
      </c>
      <c r="F1401" s="2">
        <v>5</v>
      </c>
      <c r="G1401" s="2" t="str">
        <f t="shared" si="84"/>
        <v>e</v>
      </c>
      <c r="H1401" s="25">
        <v>2012</v>
      </c>
      <c r="I1401" s="25" t="s">
        <v>791</v>
      </c>
      <c r="J1401" s="25" t="s">
        <v>781</v>
      </c>
      <c r="K1401" s="25" t="s">
        <v>782</v>
      </c>
      <c r="L1401" s="48" t="s">
        <v>398</v>
      </c>
      <c r="M1401" s="25" t="s">
        <v>783</v>
      </c>
      <c r="N1401" s="25">
        <v>0</v>
      </c>
      <c r="O1401" s="25">
        <v>10</v>
      </c>
    </row>
    <row r="1402" spans="1:15" ht="18" customHeight="1" x14ac:dyDescent="0.2">
      <c r="A1402" s="76" t="s">
        <v>777</v>
      </c>
      <c r="B1402" s="76" t="s">
        <v>792</v>
      </c>
      <c r="C1402" s="76" t="s">
        <v>274</v>
      </c>
      <c r="D1402" s="76" t="s">
        <v>771</v>
      </c>
      <c r="E1402" s="76" t="s">
        <v>779</v>
      </c>
      <c r="F1402" s="2">
        <v>6</v>
      </c>
      <c r="G1402" s="2" t="str">
        <f t="shared" si="84"/>
        <v>f</v>
      </c>
      <c r="H1402" s="25">
        <v>2013</v>
      </c>
      <c r="I1402" s="25" t="s">
        <v>793</v>
      </c>
      <c r="J1402" s="25" t="s">
        <v>781</v>
      </c>
      <c r="K1402" s="25" t="s">
        <v>782</v>
      </c>
      <c r="L1402" s="48" t="s">
        <v>398</v>
      </c>
      <c r="M1402" s="25" t="s">
        <v>783</v>
      </c>
      <c r="N1402" s="25">
        <v>0</v>
      </c>
      <c r="O1402" s="25">
        <v>10</v>
      </c>
    </row>
    <row r="1403" spans="1:15" ht="18" customHeight="1" x14ac:dyDescent="0.2">
      <c r="A1403" s="76" t="s">
        <v>777</v>
      </c>
      <c r="B1403" s="76" t="s">
        <v>794</v>
      </c>
      <c r="C1403" s="76" t="s">
        <v>274</v>
      </c>
      <c r="D1403" s="76" t="s">
        <v>771</v>
      </c>
      <c r="E1403" s="76" t="s">
        <v>779</v>
      </c>
      <c r="F1403" s="2">
        <v>7</v>
      </c>
      <c r="G1403" s="2" t="str">
        <f t="shared" si="84"/>
        <v>g</v>
      </c>
      <c r="H1403" s="25">
        <v>2014</v>
      </c>
      <c r="I1403" s="25" t="s">
        <v>795</v>
      </c>
      <c r="J1403" s="25" t="s">
        <v>781</v>
      </c>
      <c r="K1403" s="25" t="s">
        <v>782</v>
      </c>
      <c r="L1403" s="48" t="s">
        <v>398</v>
      </c>
      <c r="M1403" s="25" t="s">
        <v>783</v>
      </c>
      <c r="N1403" s="25">
        <v>0</v>
      </c>
      <c r="O1403" s="25">
        <v>10</v>
      </c>
    </row>
    <row r="1404" spans="1:15" ht="18" customHeight="1" x14ac:dyDescent="0.2">
      <c r="A1404" s="76" t="s">
        <v>777</v>
      </c>
      <c r="B1404" s="76" t="s">
        <v>796</v>
      </c>
      <c r="C1404" s="76" t="s">
        <v>274</v>
      </c>
      <c r="D1404" s="76" t="s">
        <v>771</v>
      </c>
      <c r="E1404" s="76" t="s">
        <v>779</v>
      </c>
      <c r="F1404" s="2">
        <v>8</v>
      </c>
      <c r="G1404" s="2" t="str">
        <f t="shared" si="84"/>
        <v>h</v>
      </c>
      <c r="H1404" s="25">
        <v>2015</v>
      </c>
      <c r="I1404" s="25" t="s">
        <v>797</v>
      </c>
      <c r="J1404" s="25" t="s">
        <v>781</v>
      </c>
      <c r="K1404" s="25" t="s">
        <v>782</v>
      </c>
      <c r="L1404" s="48" t="s">
        <v>398</v>
      </c>
      <c r="M1404" s="25" t="s">
        <v>783</v>
      </c>
      <c r="N1404" s="25">
        <v>0</v>
      </c>
      <c r="O1404" s="25">
        <v>10</v>
      </c>
    </row>
    <row r="1405" spans="1:15" ht="18" customHeight="1" x14ac:dyDescent="0.2">
      <c r="A1405" s="76" t="s">
        <v>777</v>
      </c>
      <c r="B1405" s="76" t="s">
        <v>798</v>
      </c>
      <c r="C1405" s="76" t="s">
        <v>274</v>
      </c>
      <c r="D1405" s="76" t="s">
        <v>771</v>
      </c>
      <c r="E1405" s="76" t="s">
        <v>779</v>
      </c>
      <c r="F1405" s="2">
        <v>9</v>
      </c>
      <c r="G1405" s="2" t="str">
        <f t="shared" si="84"/>
        <v>i</v>
      </c>
      <c r="H1405" s="25">
        <v>2016</v>
      </c>
      <c r="I1405" s="25" t="s">
        <v>799</v>
      </c>
      <c r="J1405" s="25" t="s">
        <v>781</v>
      </c>
      <c r="K1405" s="25" t="s">
        <v>782</v>
      </c>
      <c r="L1405" s="48" t="s">
        <v>398</v>
      </c>
      <c r="M1405" s="25" t="s">
        <v>783</v>
      </c>
      <c r="N1405" s="25">
        <v>0</v>
      </c>
      <c r="O1405" s="25">
        <v>10</v>
      </c>
    </row>
    <row r="1406" spans="1:15" ht="18" customHeight="1" x14ac:dyDescent="0.2">
      <c r="A1406" s="76" t="s">
        <v>777</v>
      </c>
      <c r="B1406" s="76" t="s">
        <v>800</v>
      </c>
      <c r="C1406" s="76" t="s">
        <v>274</v>
      </c>
      <c r="D1406" s="76" t="s">
        <v>771</v>
      </c>
      <c r="E1406" s="76" t="s">
        <v>779</v>
      </c>
      <c r="F1406" s="2">
        <v>10</v>
      </c>
      <c r="G1406" s="2" t="str">
        <f t="shared" si="84"/>
        <v>j</v>
      </c>
      <c r="H1406" s="25">
        <v>2017</v>
      </c>
      <c r="I1406" s="25" t="s">
        <v>801</v>
      </c>
      <c r="J1406" s="25" t="s">
        <v>781</v>
      </c>
      <c r="K1406" s="25" t="s">
        <v>782</v>
      </c>
      <c r="L1406" s="48" t="s">
        <v>398</v>
      </c>
      <c r="M1406" s="25" t="s">
        <v>783</v>
      </c>
      <c r="N1406" s="25">
        <v>0</v>
      </c>
      <c r="O1406" s="25">
        <v>10</v>
      </c>
    </row>
    <row r="1407" spans="1:15" ht="18" customHeight="1" x14ac:dyDescent="0.2">
      <c r="A1407" s="76" t="s">
        <v>777</v>
      </c>
      <c r="B1407" s="76" t="s">
        <v>802</v>
      </c>
      <c r="C1407" s="76" t="s">
        <v>274</v>
      </c>
      <c r="D1407" s="76" t="s">
        <v>771</v>
      </c>
      <c r="E1407" s="76" t="s">
        <v>779</v>
      </c>
      <c r="F1407" s="2">
        <v>11</v>
      </c>
      <c r="G1407" s="2" t="str">
        <f t="shared" si="84"/>
        <v>k</v>
      </c>
      <c r="H1407" s="25">
        <v>2018</v>
      </c>
      <c r="I1407" s="25" t="s">
        <v>803</v>
      </c>
      <c r="J1407" s="25" t="s">
        <v>781</v>
      </c>
      <c r="K1407" s="25" t="s">
        <v>782</v>
      </c>
      <c r="L1407" s="48" t="s">
        <v>398</v>
      </c>
      <c r="M1407" s="25" t="s">
        <v>783</v>
      </c>
      <c r="N1407" s="25">
        <v>0</v>
      </c>
      <c r="O1407" s="25">
        <v>10</v>
      </c>
    </row>
    <row r="1408" spans="1:15" ht="18" customHeight="1" x14ac:dyDescent="0.2">
      <c r="A1408" s="76" t="s">
        <v>777</v>
      </c>
      <c r="B1408" s="76" t="s">
        <v>961</v>
      </c>
      <c r="C1408" s="76" t="s">
        <v>274</v>
      </c>
      <c r="D1408" s="76" t="s">
        <v>771</v>
      </c>
      <c r="E1408" s="76" t="s">
        <v>779</v>
      </c>
      <c r="F1408" s="2">
        <v>12</v>
      </c>
      <c r="G1408" s="2" t="str">
        <f t="shared" si="84"/>
        <v>l</v>
      </c>
      <c r="H1408" s="25">
        <v>2019</v>
      </c>
      <c r="I1408" s="25" t="s">
        <v>962</v>
      </c>
      <c r="J1408" s="25" t="s">
        <v>781</v>
      </c>
      <c r="K1408" s="25" t="s">
        <v>782</v>
      </c>
      <c r="L1408" s="48" t="s">
        <v>398</v>
      </c>
      <c r="M1408" s="25" t="s">
        <v>783</v>
      </c>
      <c r="N1408" s="25">
        <v>0</v>
      </c>
      <c r="O1408" s="25">
        <v>10</v>
      </c>
    </row>
    <row r="1409" spans="1:15" ht="18" customHeight="1" x14ac:dyDescent="0.2">
      <c r="A1409" s="73" t="s">
        <v>777</v>
      </c>
      <c r="B1409" s="73" t="str">
        <f t="shared" ref="B1409:B1432" si="85">"cs"&amp;RIGHT(H1409,2)&amp;G1409</f>
        <v>cs08a</v>
      </c>
      <c r="C1409" s="73" t="s">
        <v>274</v>
      </c>
      <c r="D1409" s="73" t="s">
        <v>457</v>
      </c>
      <c r="E1409" s="73" t="s">
        <v>945</v>
      </c>
      <c r="F1409" s="2">
        <v>1</v>
      </c>
      <c r="G1409" s="2" t="str">
        <f t="shared" si="84"/>
        <v>a</v>
      </c>
      <c r="H1409" s="2">
        <v>2008</v>
      </c>
      <c r="I1409" t="str">
        <f t="shared" ref="I1409:I1420" si="86">"cs"&amp;RIGHT(H1409,2)&amp;G1409&amp;"283"</f>
        <v>cs08a283</v>
      </c>
      <c r="J1409" s="2" t="s">
        <v>946</v>
      </c>
      <c r="K1409" s="2" t="s">
        <v>896</v>
      </c>
      <c r="L1409" s="48" t="s">
        <v>398</v>
      </c>
      <c r="M1409" s="2" t="s">
        <v>783</v>
      </c>
      <c r="N1409" s="25">
        <v>0</v>
      </c>
      <c r="O1409" s="25">
        <v>10</v>
      </c>
    </row>
    <row r="1410" spans="1:15" ht="18" customHeight="1" x14ac:dyDescent="0.2">
      <c r="A1410" s="73" t="s">
        <v>777</v>
      </c>
      <c r="B1410" s="73" t="str">
        <f t="shared" si="85"/>
        <v>cs09b</v>
      </c>
      <c r="C1410" s="73" t="s">
        <v>274</v>
      </c>
      <c r="D1410" s="73" t="s">
        <v>457</v>
      </c>
      <c r="E1410" s="73" t="s">
        <v>945</v>
      </c>
      <c r="F1410" s="2">
        <v>2</v>
      </c>
      <c r="G1410" s="2" t="str">
        <f t="shared" si="84"/>
        <v>b</v>
      </c>
      <c r="H1410" s="2">
        <v>2009</v>
      </c>
      <c r="I1410" t="str">
        <f t="shared" si="86"/>
        <v>cs09b283</v>
      </c>
      <c r="J1410" s="2" t="s">
        <v>946</v>
      </c>
      <c r="K1410" s="2" t="s">
        <v>896</v>
      </c>
      <c r="L1410" s="48" t="s">
        <v>398</v>
      </c>
      <c r="M1410" s="2" t="s">
        <v>783</v>
      </c>
      <c r="N1410" s="25">
        <v>0</v>
      </c>
      <c r="O1410" s="25">
        <v>10</v>
      </c>
    </row>
    <row r="1411" spans="1:15" ht="18" customHeight="1" x14ac:dyDescent="0.2">
      <c r="A1411" s="73" t="s">
        <v>777</v>
      </c>
      <c r="B1411" s="73" t="str">
        <f t="shared" si="85"/>
        <v>cs10c</v>
      </c>
      <c r="C1411" s="73" t="s">
        <v>274</v>
      </c>
      <c r="D1411" s="73" t="s">
        <v>457</v>
      </c>
      <c r="E1411" s="73" t="s">
        <v>945</v>
      </c>
      <c r="F1411" s="2">
        <v>3</v>
      </c>
      <c r="G1411" s="2" t="str">
        <f t="shared" si="84"/>
        <v>c</v>
      </c>
      <c r="H1411" s="2">
        <v>2010</v>
      </c>
      <c r="I1411" t="str">
        <f t="shared" si="86"/>
        <v>cs10c283</v>
      </c>
      <c r="J1411" s="2" t="s">
        <v>946</v>
      </c>
      <c r="K1411" s="2" t="s">
        <v>896</v>
      </c>
      <c r="L1411" s="48" t="s">
        <v>398</v>
      </c>
      <c r="M1411" s="2" t="s">
        <v>783</v>
      </c>
      <c r="N1411" s="25">
        <v>0</v>
      </c>
      <c r="O1411" s="25">
        <v>10</v>
      </c>
    </row>
    <row r="1412" spans="1:15" ht="18" customHeight="1" x14ac:dyDescent="0.2">
      <c r="A1412" s="73" t="s">
        <v>777</v>
      </c>
      <c r="B1412" s="73" t="str">
        <f t="shared" si="85"/>
        <v>cs11d</v>
      </c>
      <c r="C1412" s="73" t="s">
        <v>274</v>
      </c>
      <c r="D1412" s="73" t="s">
        <v>457</v>
      </c>
      <c r="E1412" s="73" t="s">
        <v>945</v>
      </c>
      <c r="F1412" s="2">
        <v>4</v>
      </c>
      <c r="G1412" s="2" t="str">
        <f t="shared" si="84"/>
        <v>d</v>
      </c>
      <c r="H1412" s="2">
        <v>2011</v>
      </c>
      <c r="I1412" t="str">
        <f t="shared" si="86"/>
        <v>cs11d283</v>
      </c>
      <c r="J1412" s="2" t="s">
        <v>946</v>
      </c>
      <c r="K1412" s="2" t="s">
        <v>896</v>
      </c>
      <c r="L1412" s="48" t="s">
        <v>398</v>
      </c>
      <c r="M1412" s="2" t="s">
        <v>783</v>
      </c>
      <c r="N1412" s="25">
        <v>0</v>
      </c>
      <c r="O1412" s="25">
        <v>10</v>
      </c>
    </row>
    <row r="1413" spans="1:15" ht="18" customHeight="1" x14ac:dyDescent="0.2">
      <c r="A1413" s="73" t="s">
        <v>777</v>
      </c>
      <c r="B1413" s="73" t="str">
        <f t="shared" si="85"/>
        <v>cs12e</v>
      </c>
      <c r="C1413" s="73" t="s">
        <v>274</v>
      </c>
      <c r="D1413" s="73" t="s">
        <v>457</v>
      </c>
      <c r="E1413" s="73" t="s">
        <v>945</v>
      </c>
      <c r="F1413" s="2">
        <v>5</v>
      </c>
      <c r="G1413" s="2" t="str">
        <f t="shared" si="84"/>
        <v>e</v>
      </c>
      <c r="H1413" s="2">
        <v>2012</v>
      </c>
      <c r="I1413" t="str">
        <f t="shared" si="86"/>
        <v>cs12e283</v>
      </c>
      <c r="J1413" s="2" t="s">
        <v>946</v>
      </c>
      <c r="K1413" s="2" t="s">
        <v>896</v>
      </c>
      <c r="L1413" s="48" t="s">
        <v>398</v>
      </c>
      <c r="M1413" s="2" t="s">
        <v>783</v>
      </c>
      <c r="N1413" s="25">
        <v>0</v>
      </c>
      <c r="O1413" s="25">
        <v>10</v>
      </c>
    </row>
    <row r="1414" spans="1:15" ht="18" customHeight="1" x14ac:dyDescent="0.2">
      <c r="A1414" s="73" t="s">
        <v>777</v>
      </c>
      <c r="B1414" s="73" t="str">
        <f t="shared" si="85"/>
        <v>cs13f</v>
      </c>
      <c r="C1414" s="73" t="s">
        <v>274</v>
      </c>
      <c r="D1414" s="73" t="s">
        <v>457</v>
      </c>
      <c r="E1414" s="73" t="s">
        <v>945</v>
      </c>
      <c r="F1414" s="2">
        <v>6</v>
      </c>
      <c r="G1414" s="2" t="str">
        <f t="shared" si="84"/>
        <v>f</v>
      </c>
      <c r="H1414" s="2">
        <v>2013</v>
      </c>
      <c r="I1414" t="str">
        <f t="shared" si="86"/>
        <v>cs13f283</v>
      </c>
      <c r="J1414" s="2" t="s">
        <v>946</v>
      </c>
      <c r="K1414" s="2" t="s">
        <v>896</v>
      </c>
      <c r="L1414" s="48" t="s">
        <v>398</v>
      </c>
      <c r="M1414" s="2" t="s">
        <v>783</v>
      </c>
      <c r="N1414" s="25">
        <v>0</v>
      </c>
      <c r="O1414" s="25">
        <v>10</v>
      </c>
    </row>
    <row r="1415" spans="1:15" ht="18" customHeight="1" x14ac:dyDescent="0.2">
      <c r="A1415" s="73" t="s">
        <v>777</v>
      </c>
      <c r="B1415" s="73" t="str">
        <f t="shared" si="85"/>
        <v>cs14g</v>
      </c>
      <c r="C1415" s="73" t="s">
        <v>274</v>
      </c>
      <c r="D1415" s="73" t="s">
        <v>457</v>
      </c>
      <c r="E1415" s="73" t="s">
        <v>945</v>
      </c>
      <c r="F1415" s="2">
        <v>7</v>
      </c>
      <c r="G1415" s="2" t="str">
        <f t="shared" si="84"/>
        <v>g</v>
      </c>
      <c r="H1415" s="2">
        <v>2014</v>
      </c>
      <c r="I1415" t="str">
        <f t="shared" si="86"/>
        <v>cs14g283</v>
      </c>
      <c r="J1415" s="2" t="s">
        <v>946</v>
      </c>
      <c r="K1415" s="2" t="s">
        <v>896</v>
      </c>
      <c r="L1415" s="48" t="s">
        <v>398</v>
      </c>
      <c r="M1415" s="2" t="s">
        <v>783</v>
      </c>
      <c r="N1415" s="25">
        <v>0</v>
      </c>
      <c r="O1415" s="25">
        <v>10</v>
      </c>
    </row>
    <row r="1416" spans="1:15" ht="18" customHeight="1" x14ac:dyDescent="0.2">
      <c r="A1416" s="73" t="s">
        <v>777</v>
      </c>
      <c r="B1416" s="73" t="str">
        <f t="shared" si="85"/>
        <v>cs15h</v>
      </c>
      <c r="C1416" s="73" t="s">
        <v>274</v>
      </c>
      <c r="D1416" s="73" t="s">
        <v>457</v>
      </c>
      <c r="E1416" s="73" t="s">
        <v>945</v>
      </c>
      <c r="F1416" s="2">
        <v>8</v>
      </c>
      <c r="G1416" s="2" t="str">
        <f t="shared" si="84"/>
        <v>h</v>
      </c>
      <c r="H1416" s="2">
        <v>2015</v>
      </c>
      <c r="I1416" t="str">
        <f t="shared" si="86"/>
        <v>cs15h283</v>
      </c>
      <c r="J1416" s="2" t="s">
        <v>946</v>
      </c>
      <c r="K1416" s="2" t="s">
        <v>896</v>
      </c>
      <c r="L1416" s="48" t="s">
        <v>398</v>
      </c>
      <c r="M1416" s="2" t="s">
        <v>783</v>
      </c>
      <c r="N1416" s="25">
        <v>0</v>
      </c>
      <c r="O1416" s="25">
        <v>10</v>
      </c>
    </row>
    <row r="1417" spans="1:15" ht="18" customHeight="1" x14ac:dyDescent="0.2">
      <c r="A1417" s="73" t="s">
        <v>777</v>
      </c>
      <c r="B1417" s="73" t="str">
        <f t="shared" si="85"/>
        <v>cs16i</v>
      </c>
      <c r="C1417" s="73" t="s">
        <v>274</v>
      </c>
      <c r="D1417" s="73" t="s">
        <v>457</v>
      </c>
      <c r="E1417" s="73" t="s">
        <v>945</v>
      </c>
      <c r="F1417" s="2">
        <v>9</v>
      </c>
      <c r="G1417" s="2" t="str">
        <f t="shared" si="84"/>
        <v>i</v>
      </c>
      <c r="H1417" s="2">
        <v>2016</v>
      </c>
      <c r="I1417" t="str">
        <f t="shared" si="86"/>
        <v>cs16i283</v>
      </c>
      <c r="J1417" s="2" t="s">
        <v>946</v>
      </c>
      <c r="K1417" s="2" t="s">
        <v>896</v>
      </c>
      <c r="L1417" s="48" t="s">
        <v>398</v>
      </c>
      <c r="M1417" s="2" t="s">
        <v>783</v>
      </c>
      <c r="N1417" s="25">
        <v>0</v>
      </c>
      <c r="O1417" s="25">
        <v>10</v>
      </c>
    </row>
    <row r="1418" spans="1:15" ht="18" customHeight="1" x14ac:dyDescent="0.2">
      <c r="A1418" s="73" t="s">
        <v>777</v>
      </c>
      <c r="B1418" s="73" t="str">
        <f t="shared" si="85"/>
        <v>cs17j</v>
      </c>
      <c r="C1418" s="73" t="s">
        <v>274</v>
      </c>
      <c r="D1418" s="73" t="s">
        <v>457</v>
      </c>
      <c r="E1418" s="73" t="s">
        <v>945</v>
      </c>
      <c r="F1418" s="2">
        <v>10</v>
      </c>
      <c r="G1418" s="2" t="str">
        <f t="shared" si="84"/>
        <v>j</v>
      </c>
      <c r="H1418" s="2">
        <v>2017</v>
      </c>
      <c r="I1418" t="str">
        <f t="shared" si="86"/>
        <v>cs17j283</v>
      </c>
      <c r="J1418" s="2" t="s">
        <v>946</v>
      </c>
      <c r="K1418" s="2" t="s">
        <v>896</v>
      </c>
      <c r="L1418" s="48" t="s">
        <v>398</v>
      </c>
      <c r="M1418" s="2" t="s">
        <v>783</v>
      </c>
      <c r="N1418" s="25">
        <v>0</v>
      </c>
      <c r="O1418" s="25">
        <v>10</v>
      </c>
    </row>
    <row r="1419" spans="1:15" ht="18" customHeight="1" x14ac:dyDescent="0.2">
      <c r="A1419" s="73" t="s">
        <v>777</v>
      </c>
      <c r="B1419" s="73" t="str">
        <f t="shared" si="85"/>
        <v>cs18k</v>
      </c>
      <c r="C1419" s="73" t="s">
        <v>274</v>
      </c>
      <c r="D1419" s="73" t="s">
        <v>457</v>
      </c>
      <c r="E1419" s="73" t="s">
        <v>945</v>
      </c>
      <c r="F1419" s="2">
        <v>11</v>
      </c>
      <c r="G1419" s="2" t="str">
        <f t="shared" si="84"/>
        <v>k</v>
      </c>
      <c r="H1419" s="2">
        <v>2018</v>
      </c>
      <c r="I1419" t="str">
        <f t="shared" si="86"/>
        <v>cs18k283</v>
      </c>
      <c r="J1419" s="2" t="s">
        <v>946</v>
      </c>
      <c r="K1419" s="2" t="s">
        <v>896</v>
      </c>
      <c r="L1419" s="48" t="s">
        <v>398</v>
      </c>
      <c r="M1419" s="2" t="s">
        <v>783</v>
      </c>
      <c r="N1419" s="25">
        <v>0</v>
      </c>
      <c r="O1419" s="25">
        <v>10</v>
      </c>
    </row>
    <row r="1420" spans="1:15" ht="18" customHeight="1" x14ac:dyDescent="0.2">
      <c r="A1420" s="73" t="s">
        <v>777</v>
      </c>
      <c r="B1420" s="73" t="str">
        <f t="shared" si="85"/>
        <v>cs19l</v>
      </c>
      <c r="C1420" s="73" t="s">
        <v>274</v>
      </c>
      <c r="D1420" s="73" t="s">
        <v>457</v>
      </c>
      <c r="E1420" s="73" t="s">
        <v>945</v>
      </c>
      <c r="F1420" s="2">
        <v>12</v>
      </c>
      <c r="G1420" s="2" t="str">
        <f t="shared" si="84"/>
        <v>l</v>
      </c>
      <c r="H1420" s="2">
        <v>2019</v>
      </c>
      <c r="I1420" t="str">
        <f t="shared" si="86"/>
        <v>cs19l283</v>
      </c>
      <c r="J1420" s="2" t="s">
        <v>946</v>
      </c>
      <c r="K1420" s="2" t="s">
        <v>896</v>
      </c>
      <c r="L1420" s="48" t="s">
        <v>398</v>
      </c>
      <c r="M1420" s="2" t="s">
        <v>783</v>
      </c>
      <c r="N1420" s="25">
        <v>0</v>
      </c>
      <c r="O1420" s="25">
        <v>10</v>
      </c>
    </row>
    <row r="1421" spans="1:15" ht="18" customHeight="1" x14ac:dyDescent="0.2">
      <c r="A1421" s="74" t="s">
        <v>777</v>
      </c>
      <c r="B1421" s="74" t="str">
        <f t="shared" si="85"/>
        <v>cs08a</v>
      </c>
      <c r="C1421" s="76" t="s">
        <v>274</v>
      </c>
      <c r="D1421" s="74" t="s">
        <v>450</v>
      </c>
      <c r="E1421" s="74" t="s">
        <v>867</v>
      </c>
      <c r="F1421" s="2">
        <v>1</v>
      </c>
      <c r="G1421" s="2" t="str">
        <f t="shared" si="84"/>
        <v>a</v>
      </c>
      <c r="H1421" s="2">
        <v>2008</v>
      </c>
      <c r="I1421" s="2" t="s">
        <v>868</v>
      </c>
      <c r="J1421" s="2" t="s">
        <v>869</v>
      </c>
      <c r="K1421" s="2" t="s">
        <v>847</v>
      </c>
      <c r="L1421" s="48" t="s">
        <v>398</v>
      </c>
      <c r="M1421" s="2" t="s">
        <v>822</v>
      </c>
      <c r="N1421" s="25">
        <v>0</v>
      </c>
      <c r="O1421" s="25">
        <v>10</v>
      </c>
    </row>
    <row r="1422" spans="1:15" ht="18" customHeight="1" x14ac:dyDescent="0.2">
      <c r="A1422" s="74" t="s">
        <v>777</v>
      </c>
      <c r="B1422" s="74" t="str">
        <f t="shared" si="85"/>
        <v>cs09b</v>
      </c>
      <c r="C1422" s="76" t="s">
        <v>274</v>
      </c>
      <c r="D1422" s="74" t="s">
        <v>450</v>
      </c>
      <c r="E1422" s="74" t="s">
        <v>867</v>
      </c>
      <c r="F1422" s="2">
        <v>2</v>
      </c>
      <c r="G1422" s="2" t="str">
        <f t="shared" si="84"/>
        <v>b</v>
      </c>
      <c r="H1422" s="2">
        <v>2009</v>
      </c>
      <c r="I1422" s="2" t="s">
        <v>870</v>
      </c>
      <c r="J1422" s="2" t="s">
        <v>869</v>
      </c>
      <c r="K1422" s="2" t="s">
        <v>847</v>
      </c>
      <c r="L1422" s="48" t="s">
        <v>398</v>
      </c>
      <c r="M1422" s="2" t="s">
        <v>822</v>
      </c>
      <c r="N1422" s="25">
        <v>0</v>
      </c>
      <c r="O1422" s="25">
        <v>10</v>
      </c>
    </row>
    <row r="1423" spans="1:15" ht="18" customHeight="1" x14ac:dyDescent="0.2">
      <c r="A1423" s="74" t="s">
        <v>777</v>
      </c>
      <c r="B1423" s="74" t="str">
        <f t="shared" si="85"/>
        <v>cs10c</v>
      </c>
      <c r="C1423" s="76" t="s">
        <v>274</v>
      </c>
      <c r="D1423" s="74" t="s">
        <v>450</v>
      </c>
      <c r="E1423" s="74" t="s">
        <v>867</v>
      </c>
      <c r="F1423" s="2">
        <v>3</v>
      </c>
      <c r="G1423" s="2" t="str">
        <f t="shared" si="84"/>
        <v>c</v>
      </c>
      <c r="H1423" s="2">
        <v>2010</v>
      </c>
      <c r="I1423" s="2" t="s">
        <v>871</v>
      </c>
      <c r="J1423" s="2" t="s">
        <v>869</v>
      </c>
      <c r="K1423" s="2" t="s">
        <v>847</v>
      </c>
      <c r="L1423" s="48" t="s">
        <v>398</v>
      </c>
      <c r="M1423" s="2" t="s">
        <v>822</v>
      </c>
      <c r="N1423" s="25">
        <v>0</v>
      </c>
      <c r="O1423" s="25">
        <v>10</v>
      </c>
    </row>
    <row r="1424" spans="1:15" ht="18" customHeight="1" x14ac:dyDescent="0.2">
      <c r="A1424" s="74" t="s">
        <v>777</v>
      </c>
      <c r="B1424" s="74" t="str">
        <f t="shared" si="85"/>
        <v>cs11d</v>
      </c>
      <c r="C1424" s="76" t="s">
        <v>274</v>
      </c>
      <c r="D1424" s="74" t="s">
        <v>450</v>
      </c>
      <c r="E1424" s="74" t="s">
        <v>867</v>
      </c>
      <c r="F1424" s="2">
        <v>4</v>
      </c>
      <c r="G1424" s="2" t="str">
        <f t="shared" si="84"/>
        <v>d</v>
      </c>
      <c r="H1424" s="2">
        <v>2011</v>
      </c>
      <c r="I1424" s="2" t="s">
        <v>872</v>
      </c>
      <c r="J1424" s="2" t="s">
        <v>869</v>
      </c>
      <c r="K1424" s="2" t="s">
        <v>847</v>
      </c>
      <c r="L1424" s="48" t="s">
        <v>398</v>
      </c>
      <c r="M1424" s="2" t="s">
        <v>822</v>
      </c>
      <c r="N1424" s="25">
        <v>0</v>
      </c>
      <c r="O1424" s="25">
        <v>10</v>
      </c>
    </row>
    <row r="1425" spans="1:15" ht="18" customHeight="1" x14ac:dyDescent="0.2">
      <c r="A1425" s="74" t="s">
        <v>777</v>
      </c>
      <c r="B1425" s="74" t="str">
        <f t="shared" si="85"/>
        <v>cs12e</v>
      </c>
      <c r="C1425" s="76" t="s">
        <v>274</v>
      </c>
      <c r="D1425" s="74" t="s">
        <v>450</v>
      </c>
      <c r="E1425" s="74" t="s">
        <v>867</v>
      </c>
      <c r="F1425" s="2">
        <v>5</v>
      </c>
      <c r="G1425" s="2" t="str">
        <f t="shared" si="84"/>
        <v>e</v>
      </c>
      <c r="H1425" s="2">
        <v>2012</v>
      </c>
      <c r="I1425" s="2" t="s">
        <v>873</v>
      </c>
      <c r="J1425" s="2" t="s">
        <v>869</v>
      </c>
      <c r="K1425" s="2" t="s">
        <v>847</v>
      </c>
      <c r="L1425" s="48" t="s">
        <v>398</v>
      </c>
      <c r="M1425" s="2" t="s">
        <v>822</v>
      </c>
      <c r="N1425" s="25">
        <v>0</v>
      </c>
      <c r="O1425" s="25">
        <v>10</v>
      </c>
    </row>
    <row r="1426" spans="1:15" ht="18" customHeight="1" x14ac:dyDescent="0.2">
      <c r="A1426" s="74" t="s">
        <v>777</v>
      </c>
      <c r="B1426" s="74" t="str">
        <f t="shared" si="85"/>
        <v>cs13f</v>
      </c>
      <c r="C1426" s="76" t="s">
        <v>274</v>
      </c>
      <c r="D1426" s="74" t="s">
        <v>450</v>
      </c>
      <c r="E1426" s="74" t="s">
        <v>867</v>
      </c>
      <c r="F1426" s="2">
        <v>6</v>
      </c>
      <c r="G1426" s="2" t="str">
        <f t="shared" si="84"/>
        <v>f</v>
      </c>
      <c r="H1426" s="2">
        <v>2013</v>
      </c>
      <c r="I1426" s="2" t="s">
        <v>874</v>
      </c>
      <c r="J1426" s="2" t="s">
        <v>875</v>
      </c>
      <c r="K1426" s="2" t="s">
        <v>847</v>
      </c>
      <c r="L1426" s="48" t="s">
        <v>398</v>
      </c>
      <c r="M1426" s="2" t="s">
        <v>822</v>
      </c>
      <c r="N1426" s="25">
        <v>0</v>
      </c>
      <c r="O1426" s="25">
        <v>10</v>
      </c>
    </row>
    <row r="1427" spans="1:15" ht="18" customHeight="1" x14ac:dyDescent="0.2">
      <c r="A1427" s="74" t="s">
        <v>777</v>
      </c>
      <c r="B1427" s="74" t="str">
        <f t="shared" si="85"/>
        <v>cs14g</v>
      </c>
      <c r="C1427" s="76" t="s">
        <v>274</v>
      </c>
      <c r="D1427" s="74" t="s">
        <v>450</v>
      </c>
      <c r="E1427" s="74" t="s">
        <v>867</v>
      </c>
      <c r="F1427" s="2">
        <v>7</v>
      </c>
      <c r="G1427" s="2" t="str">
        <f t="shared" si="84"/>
        <v>g</v>
      </c>
      <c r="H1427" s="2">
        <v>2014</v>
      </c>
      <c r="I1427" s="2" t="s">
        <v>876</v>
      </c>
      <c r="J1427" s="2" t="s">
        <v>875</v>
      </c>
      <c r="K1427" s="2" t="s">
        <v>847</v>
      </c>
      <c r="L1427" s="48" t="s">
        <v>398</v>
      </c>
      <c r="M1427" s="2" t="s">
        <v>822</v>
      </c>
      <c r="N1427" s="25">
        <v>0</v>
      </c>
      <c r="O1427" s="25">
        <v>10</v>
      </c>
    </row>
    <row r="1428" spans="1:15" ht="18" customHeight="1" x14ac:dyDescent="0.2">
      <c r="A1428" s="74" t="s">
        <v>777</v>
      </c>
      <c r="B1428" s="74" t="str">
        <f t="shared" si="85"/>
        <v>cs15h</v>
      </c>
      <c r="C1428" s="76" t="s">
        <v>274</v>
      </c>
      <c r="D1428" s="74" t="s">
        <v>450</v>
      </c>
      <c r="E1428" s="74" t="s">
        <v>867</v>
      </c>
      <c r="F1428" s="2">
        <v>8</v>
      </c>
      <c r="G1428" s="2" t="str">
        <f t="shared" si="84"/>
        <v>h</v>
      </c>
      <c r="H1428" s="2">
        <v>2015</v>
      </c>
      <c r="I1428" s="2" t="s">
        <v>877</v>
      </c>
      <c r="J1428" s="2" t="s">
        <v>875</v>
      </c>
      <c r="K1428" s="2" t="s">
        <v>847</v>
      </c>
      <c r="L1428" s="48" t="s">
        <v>398</v>
      </c>
      <c r="M1428" s="2" t="s">
        <v>822</v>
      </c>
      <c r="N1428" s="25">
        <v>0</v>
      </c>
      <c r="O1428" s="25">
        <v>10</v>
      </c>
    </row>
    <row r="1429" spans="1:15" ht="18" customHeight="1" x14ac:dyDescent="0.2">
      <c r="A1429" s="74" t="s">
        <v>777</v>
      </c>
      <c r="B1429" s="74" t="str">
        <f t="shared" si="85"/>
        <v>cs16i</v>
      </c>
      <c r="C1429" s="76" t="s">
        <v>274</v>
      </c>
      <c r="D1429" s="74" t="s">
        <v>450</v>
      </c>
      <c r="E1429" s="74" t="s">
        <v>867</v>
      </c>
      <c r="F1429" s="2">
        <v>9</v>
      </c>
      <c r="G1429" s="2" t="str">
        <f t="shared" si="84"/>
        <v>i</v>
      </c>
      <c r="H1429" s="2">
        <v>2016</v>
      </c>
      <c r="I1429" s="2" t="s">
        <v>878</v>
      </c>
      <c r="J1429" s="2" t="s">
        <v>875</v>
      </c>
      <c r="K1429" s="2" t="s">
        <v>847</v>
      </c>
      <c r="L1429" s="48" t="s">
        <v>398</v>
      </c>
      <c r="M1429" s="2" t="s">
        <v>822</v>
      </c>
      <c r="N1429" s="25">
        <v>0</v>
      </c>
      <c r="O1429" s="25">
        <v>10</v>
      </c>
    </row>
    <row r="1430" spans="1:15" ht="18" customHeight="1" x14ac:dyDescent="0.2">
      <c r="A1430" s="74" t="s">
        <v>777</v>
      </c>
      <c r="B1430" s="74" t="str">
        <f t="shared" si="85"/>
        <v>cs17j</v>
      </c>
      <c r="C1430" s="76" t="s">
        <v>274</v>
      </c>
      <c r="D1430" s="74" t="s">
        <v>450</v>
      </c>
      <c r="E1430" s="74" t="s">
        <v>867</v>
      </c>
      <c r="F1430" s="2">
        <v>10</v>
      </c>
      <c r="G1430" s="2" t="str">
        <f t="shared" si="84"/>
        <v>j</v>
      </c>
      <c r="H1430" s="2">
        <v>2017</v>
      </c>
      <c r="I1430" s="2" t="s">
        <v>879</v>
      </c>
      <c r="J1430" s="2" t="s">
        <v>875</v>
      </c>
      <c r="K1430" s="2" t="s">
        <v>847</v>
      </c>
      <c r="L1430" s="48" t="s">
        <v>398</v>
      </c>
      <c r="M1430" s="2" t="s">
        <v>822</v>
      </c>
      <c r="N1430" s="25">
        <v>0</v>
      </c>
      <c r="O1430" s="25">
        <v>10</v>
      </c>
    </row>
    <row r="1431" spans="1:15" x14ac:dyDescent="0.2">
      <c r="A1431" s="74" t="s">
        <v>777</v>
      </c>
      <c r="B1431" s="74" t="str">
        <f t="shared" si="85"/>
        <v>cs18k</v>
      </c>
      <c r="C1431" s="76" t="s">
        <v>274</v>
      </c>
      <c r="D1431" s="74" t="s">
        <v>450</v>
      </c>
      <c r="E1431" s="74" t="s">
        <v>867</v>
      </c>
      <c r="F1431" s="2">
        <v>11</v>
      </c>
      <c r="G1431" s="2" t="str">
        <f t="shared" si="84"/>
        <v>k</v>
      </c>
      <c r="H1431" s="2">
        <v>2018</v>
      </c>
      <c r="I1431" s="2" t="s">
        <v>953</v>
      </c>
      <c r="J1431" s="2" t="s">
        <v>875</v>
      </c>
      <c r="K1431" s="2" t="s">
        <v>847</v>
      </c>
      <c r="L1431" s="48" t="s">
        <v>398</v>
      </c>
      <c r="M1431" s="2" t="s">
        <v>822</v>
      </c>
      <c r="N1431" s="25">
        <v>0</v>
      </c>
      <c r="O1431" s="25">
        <v>10</v>
      </c>
    </row>
    <row r="1432" spans="1:15" x14ac:dyDescent="0.2">
      <c r="A1432" s="74" t="s">
        <v>777</v>
      </c>
      <c r="B1432" s="74" t="str">
        <f t="shared" si="85"/>
        <v>cs19l</v>
      </c>
      <c r="C1432" s="76" t="s">
        <v>274</v>
      </c>
      <c r="D1432" s="74" t="s">
        <v>450</v>
      </c>
      <c r="E1432" s="74" t="s">
        <v>867</v>
      </c>
      <c r="F1432" s="2">
        <v>12</v>
      </c>
      <c r="G1432" s="2" t="str">
        <f t="shared" si="84"/>
        <v>l</v>
      </c>
      <c r="H1432" s="2">
        <v>2019</v>
      </c>
      <c r="I1432" s="2" t="s">
        <v>954</v>
      </c>
      <c r="J1432" s="2" t="s">
        <v>875</v>
      </c>
      <c r="K1432" s="2" t="s">
        <v>847</v>
      </c>
      <c r="L1432" s="48" t="s">
        <v>398</v>
      </c>
      <c r="M1432" s="2" t="s">
        <v>822</v>
      </c>
      <c r="N1432" s="25">
        <v>0</v>
      </c>
      <c r="O1432" s="25">
        <v>10</v>
      </c>
    </row>
    <row r="1433" spans="1:15" x14ac:dyDescent="0.2">
      <c r="A1433" s="73" t="s">
        <v>777</v>
      </c>
      <c r="B1433" s="73" t="str">
        <f t="shared" ref="B1433:B1444" si="87">"cw"&amp;RIGHT(H1433,2)&amp;G1433</f>
        <v>cw08a</v>
      </c>
      <c r="C1433" s="73" t="s">
        <v>274</v>
      </c>
      <c r="D1433" s="73" t="s">
        <v>362</v>
      </c>
      <c r="E1433" s="73" t="s">
        <v>394</v>
      </c>
      <c r="F1433" s="2">
        <v>1</v>
      </c>
      <c r="G1433" s="2" t="str">
        <f t="shared" si="84"/>
        <v>a</v>
      </c>
      <c r="H1433" s="2">
        <v>2008</v>
      </c>
      <c r="I1433" t="str">
        <f t="shared" ref="I1433:I1444" si="88">"cw"&amp;RIGHT(H1433,2)&amp;G1433&amp;"426"</f>
        <v>cw08a426</v>
      </c>
      <c r="J1433" s="2" t="s">
        <v>942</v>
      </c>
      <c r="K1433" s="7" t="s">
        <v>943</v>
      </c>
      <c r="L1433" s="48" t="s">
        <v>398</v>
      </c>
      <c r="M1433" s="2" t="s">
        <v>944</v>
      </c>
      <c r="N1433" s="25">
        <v>1</v>
      </c>
      <c r="O1433" s="25">
        <v>4</v>
      </c>
    </row>
    <row r="1434" spans="1:15" x14ac:dyDescent="0.2">
      <c r="A1434" s="73" t="s">
        <v>777</v>
      </c>
      <c r="B1434" s="73" t="str">
        <f t="shared" si="87"/>
        <v>cw09b</v>
      </c>
      <c r="C1434" s="73" t="s">
        <v>274</v>
      </c>
      <c r="D1434" s="73" t="s">
        <v>362</v>
      </c>
      <c r="E1434" s="73" t="s">
        <v>394</v>
      </c>
      <c r="F1434" s="2">
        <v>2</v>
      </c>
      <c r="G1434" s="2" t="str">
        <f t="shared" si="84"/>
        <v>b</v>
      </c>
      <c r="H1434" s="2">
        <v>2009</v>
      </c>
      <c r="I1434" t="str">
        <f t="shared" si="88"/>
        <v>cw09b426</v>
      </c>
      <c r="J1434" s="2" t="s">
        <v>942</v>
      </c>
      <c r="K1434" s="7" t="s">
        <v>943</v>
      </c>
      <c r="L1434" s="48" t="s">
        <v>398</v>
      </c>
      <c r="M1434" s="2" t="s">
        <v>944</v>
      </c>
      <c r="N1434" s="25">
        <v>1</v>
      </c>
      <c r="O1434" s="25">
        <v>4</v>
      </c>
    </row>
    <row r="1435" spans="1:15" x14ac:dyDescent="0.2">
      <c r="A1435" s="73" t="s">
        <v>777</v>
      </c>
      <c r="B1435" s="73" t="str">
        <f t="shared" si="87"/>
        <v>cw10c</v>
      </c>
      <c r="C1435" s="73" t="s">
        <v>274</v>
      </c>
      <c r="D1435" s="73" t="s">
        <v>362</v>
      </c>
      <c r="E1435" s="73" t="s">
        <v>394</v>
      </c>
      <c r="F1435" s="2">
        <v>3</v>
      </c>
      <c r="G1435" s="2" t="str">
        <f t="shared" si="84"/>
        <v>c</v>
      </c>
      <c r="H1435" s="2">
        <v>2010</v>
      </c>
      <c r="I1435" t="str">
        <f t="shared" si="88"/>
        <v>cw10c426</v>
      </c>
      <c r="J1435" s="2" t="s">
        <v>942</v>
      </c>
      <c r="K1435" s="7" t="s">
        <v>943</v>
      </c>
      <c r="L1435" s="48" t="s">
        <v>398</v>
      </c>
      <c r="M1435" s="2" t="s">
        <v>944</v>
      </c>
      <c r="N1435" s="25">
        <v>1</v>
      </c>
      <c r="O1435" s="25">
        <v>4</v>
      </c>
    </row>
    <row r="1436" spans="1:15" x14ac:dyDescent="0.2">
      <c r="A1436" s="73" t="s">
        <v>777</v>
      </c>
      <c r="B1436" s="73" t="str">
        <f t="shared" si="87"/>
        <v>cw11d</v>
      </c>
      <c r="C1436" s="73" t="s">
        <v>274</v>
      </c>
      <c r="D1436" s="73" t="s">
        <v>362</v>
      </c>
      <c r="E1436" s="73" t="s">
        <v>394</v>
      </c>
      <c r="F1436" s="2">
        <v>4</v>
      </c>
      <c r="G1436" s="2" t="str">
        <f t="shared" si="84"/>
        <v>d</v>
      </c>
      <c r="H1436" s="2">
        <v>2011</v>
      </c>
      <c r="I1436" t="str">
        <f t="shared" si="88"/>
        <v>cw11d426</v>
      </c>
      <c r="J1436" s="2" t="s">
        <v>942</v>
      </c>
      <c r="K1436" s="7" t="s">
        <v>943</v>
      </c>
      <c r="L1436" s="48" t="s">
        <v>398</v>
      </c>
      <c r="M1436" s="2" t="s">
        <v>944</v>
      </c>
      <c r="N1436" s="25">
        <v>1</v>
      </c>
      <c r="O1436" s="25">
        <v>4</v>
      </c>
    </row>
    <row r="1437" spans="1:15" x14ac:dyDescent="0.2">
      <c r="A1437" s="73" t="s">
        <v>777</v>
      </c>
      <c r="B1437" s="73" t="str">
        <f t="shared" si="87"/>
        <v>cw12e</v>
      </c>
      <c r="C1437" s="73" t="s">
        <v>274</v>
      </c>
      <c r="D1437" s="73" t="s">
        <v>362</v>
      </c>
      <c r="E1437" s="73" t="s">
        <v>394</v>
      </c>
      <c r="F1437" s="2">
        <v>5</v>
      </c>
      <c r="G1437" s="2" t="str">
        <f t="shared" si="84"/>
        <v>e</v>
      </c>
      <c r="H1437" s="2">
        <v>2012</v>
      </c>
      <c r="I1437" t="str">
        <f t="shared" si="88"/>
        <v>cw12e426</v>
      </c>
      <c r="J1437" s="2" t="s">
        <v>942</v>
      </c>
      <c r="K1437" s="7" t="s">
        <v>943</v>
      </c>
      <c r="L1437" s="48" t="s">
        <v>398</v>
      </c>
      <c r="M1437" s="2" t="s">
        <v>944</v>
      </c>
      <c r="N1437" s="25">
        <v>1</v>
      </c>
      <c r="O1437" s="25">
        <v>4</v>
      </c>
    </row>
    <row r="1438" spans="1:15" x14ac:dyDescent="0.2">
      <c r="A1438" s="73" t="s">
        <v>777</v>
      </c>
      <c r="B1438" s="73" t="str">
        <f t="shared" si="87"/>
        <v>cw13f</v>
      </c>
      <c r="C1438" s="73" t="s">
        <v>274</v>
      </c>
      <c r="D1438" s="73" t="s">
        <v>362</v>
      </c>
      <c r="E1438" s="73" t="s">
        <v>394</v>
      </c>
      <c r="F1438" s="2">
        <v>6</v>
      </c>
      <c r="G1438" s="2" t="str">
        <f t="shared" si="84"/>
        <v>f</v>
      </c>
      <c r="H1438" s="2">
        <v>2013</v>
      </c>
      <c r="I1438" t="str">
        <f t="shared" si="88"/>
        <v>cw13f426</v>
      </c>
      <c r="J1438" s="2" t="s">
        <v>942</v>
      </c>
      <c r="K1438" s="7" t="s">
        <v>943</v>
      </c>
      <c r="L1438" s="48" t="s">
        <v>398</v>
      </c>
      <c r="M1438" s="2" t="s">
        <v>944</v>
      </c>
      <c r="N1438" s="25">
        <v>1</v>
      </c>
      <c r="O1438" s="25">
        <v>4</v>
      </c>
    </row>
    <row r="1439" spans="1:15" x14ac:dyDescent="0.2">
      <c r="A1439" s="73" t="s">
        <v>777</v>
      </c>
      <c r="B1439" s="73" t="str">
        <f t="shared" si="87"/>
        <v>cw14g</v>
      </c>
      <c r="C1439" s="73" t="s">
        <v>274</v>
      </c>
      <c r="D1439" s="73" t="s">
        <v>362</v>
      </c>
      <c r="E1439" s="73" t="s">
        <v>394</v>
      </c>
      <c r="F1439" s="2">
        <v>7</v>
      </c>
      <c r="G1439" s="2" t="str">
        <f t="shared" si="84"/>
        <v>g</v>
      </c>
      <c r="H1439" s="2">
        <v>2014</v>
      </c>
      <c r="I1439" t="str">
        <f t="shared" si="88"/>
        <v>cw14g426</v>
      </c>
      <c r="J1439" s="2" t="s">
        <v>942</v>
      </c>
      <c r="K1439" s="7" t="s">
        <v>943</v>
      </c>
      <c r="L1439" s="48" t="s">
        <v>398</v>
      </c>
      <c r="M1439" s="2" t="s">
        <v>944</v>
      </c>
      <c r="N1439" s="25">
        <v>1</v>
      </c>
      <c r="O1439" s="25">
        <v>4</v>
      </c>
    </row>
    <row r="1440" spans="1:15" x14ac:dyDescent="0.2">
      <c r="A1440" s="73" t="s">
        <v>777</v>
      </c>
      <c r="B1440" s="73" t="str">
        <f t="shared" si="87"/>
        <v>cw15h</v>
      </c>
      <c r="C1440" s="73" t="s">
        <v>274</v>
      </c>
      <c r="D1440" s="73" t="s">
        <v>362</v>
      </c>
      <c r="E1440" s="73" t="s">
        <v>394</v>
      </c>
      <c r="F1440" s="2">
        <v>8</v>
      </c>
      <c r="G1440" s="2" t="str">
        <f t="shared" si="84"/>
        <v>h</v>
      </c>
      <c r="H1440" s="2">
        <v>2015</v>
      </c>
      <c r="I1440" t="str">
        <f t="shared" si="88"/>
        <v>cw15h426</v>
      </c>
      <c r="J1440" s="2" t="s">
        <v>942</v>
      </c>
      <c r="K1440" s="7" t="s">
        <v>943</v>
      </c>
      <c r="L1440" s="48" t="s">
        <v>398</v>
      </c>
      <c r="M1440" s="2" t="s">
        <v>944</v>
      </c>
      <c r="N1440" s="25">
        <v>1</v>
      </c>
      <c r="O1440" s="25">
        <v>4</v>
      </c>
    </row>
    <row r="1441" spans="1:16" x14ac:dyDescent="0.2">
      <c r="A1441" s="73" t="s">
        <v>777</v>
      </c>
      <c r="B1441" s="73" t="str">
        <f t="shared" si="87"/>
        <v>cw16i</v>
      </c>
      <c r="C1441" s="73" t="s">
        <v>274</v>
      </c>
      <c r="D1441" s="73" t="s">
        <v>362</v>
      </c>
      <c r="E1441" s="73" t="s">
        <v>394</v>
      </c>
      <c r="F1441" s="2">
        <v>9</v>
      </c>
      <c r="G1441" s="2" t="str">
        <f t="shared" si="84"/>
        <v>i</v>
      </c>
      <c r="H1441" s="2">
        <v>2016</v>
      </c>
      <c r="I1441" t="str">
        <f t="shared" si="88"/>
        <v>cw16i426</v>
      </c>
      <c r="J1441" s="2" t="s">
        <v>942</v>
      </c>
      <c r="K1441" s="7" t="s">
        <v>943</v>
      </c>
      <c r="L1441" s="48" t="s">
        <v>398</v>
      </c>
      <c r="M1441" s="2" t="s">
        <v>944</v>
      </c>
      <c r="N1441" s="25">
        <v>1</v>
      </c>
      <c r="O1441" s="25">
        <v>4</v>
      </c>
    </row>
    <row r="1442" spans="1:16" x14ac:dyDescent="0.2">
      <c r="A1442" s="73" t="s">
        <v>777</v>
      </c>
      <c r="B1442" s="73" t="str">
        <f t="shared" si="87"/>
        <v>cw17j</v>
      </c>
      <c r="C1442" s="73" t="s">
        <v>274</v>
      </c>
      <c r="D1442" s="73" t="s">
        <v>362</v>
      </c>
      <c r="E1442" s="73" t="s">
        <v>394</v>
      </c>
      <c r="F1442" s="2">
        <v>10</v>
      </c>
      <c r="G1442" s="2" t="str">
        <f t="shared" si="84"/>
        <v>j</v>
      </c>
      <c r="H1442" s="2">
        <v>2017</v>
      </c>
      <c r="I1442" t="str">
        <f t="shared" si="88"/>
        <v>cw17j426</v>
      </c>
      <c r="J1442" s="2" t="s">
        <v>942</v>
      </c>
      <c r="K1442" s="7" t="s">
        <v>943</v>
      </c>
      <c r="L1442" s="48" t="s">
        <v>398</v>
      </c>
      <c r="M1442" s="2" t="s">
        <v>944</v>
      </c>
      <c r="N1442" s="25">
        <v>1</v>
      </c>
      <c r="O1442" s="25">
        <v>4</v>
      </c>
    </row>
    <row r="1443" spans="1:16" x14ac:dyDescent="0.2">
      <c r="A1443" s="73" t="s">
        <v>777</v>
      </c>
      <c r="B1443" s="73" t="str">
        <f t="shared" si="87"/>
        <v>cw18k</v>
      </c>
      <c r="C1443" s="73" t="s">
        <v>274</v>
      </c>
      <c r="D1443" s="73" t="s">
        <v>362</v>
      </c>
      <c r="E1443" s="73" t="s">
        <v>394</v>
      </c>
      <c r="F1443" s="2">
        <v>11</v>
      </c>
      <c r="G1443" s="2" t="str">
        <f t="shared" si="84"/>
        <v>k</v>
      </c>
      <c r="H1443" s="2">
        <v>2018</v>
      </c>
      <c r="I1443" t="str">
        <f t="shared" si="88"/>
        <v>cw18k426</v>
      </c>
      <c r="J1443" s="2" t="s">
        <v>942</v>
      </c>
      <c r="K1443" s="7" t="s">
        <v>943</v>
      </c>
      <c r="L1443" s="48" t="s">
        <v>398</v>
      </c>
      <c r="M1443" s="2" t="s">
        <v>944</v>
      </c>
      <c r="N1443" s="25">
        <v>1</v>
      </c>
      <c r="O1443" s="25">
        <v>4</v>
      </c>
    </row>
    <row r="1444" spans="1:16" x14ac:dyDescent="0.2">
      <c r="A1444" s="73" t="s">
        <v>777</v>
      </c>
      <c r="B1444" s="73" t="str">
        <f t="shared" si="87"/>
        <v>cw19l</v>
      </c>
      <c r="C1444" s="73" t="s">
        <v>274</v>
      </c>
      <c r="D1444" s="73" t="s">
        <v>362</v>
      </c>
      <c r="E1444" s="73" t="s">
        <v>394</v>
      </c>
      <c r="F1444" s="2">
        <v>12</v>
      </c>
      <c r="G1444" s="2" t="str">
        <f t="shared" si="84"/>
        <v>l</v>
      </c>
      <c r="H1444" s="2">
        <v>2019</v>
      </c>
      <c r="I1444" t="str">
        <f t="shared" si="88"/>
        <v>cw19l426</v>
      </c>
      <c r="J1444" s="2" t="s">
        <v>942</v>
      </c>
      <c r="K1444" s="7" t="s">
        <v>943</v>
      </c>
      <c r="L1444" s="48" t="s">
        <v>398</v>
      </c>
      <c r="M1444" s="2" t="s">
        <v>944</v>
      </c>
      <c r="N1444" s="25">
        <v>1</v>
      </c>
      <c r="O1444" s="25">
        <v>4</v>
      </c>
    </row>
    <row r="1445" spans="1:16" x14ac:dyDescent="0.2">
      <c r="A1445" s="75" t="s">
        <v>777</v>
      </c>
      <c r="B1445" s="75" t="s">
        <v>917</v>
      </c>
      <c r="C1445" s="75" t="s">
        <v>3</v>
      </c>
      <c r="D1445" s="75" t="s">
        <v>675</v>
      </c>
      <c r="E1445" s="75" t="s">
        <v>918</v>
      </c>
      <c r="F1445" s="2">
        <v>1</v>
      </c>
      <c r="G1445" s="2" t="str">
        <f t="shared" si="84"/>
        <v>a</v>
      </c>
      <c r="H1445" s="2">
        <v>2008</v>
      </c>
      <c r="I1445" s="2" t="s">
        <v>919</v>
      </c>
      <c r="J1445" s="2" t="s">
        <v>920</v>
      </c>
      <c r="K1445" s="2" t="s">
        <v>921</v>
      </c>
      <c r="L1445" s="48" t="s">
        <v>398</v>
      </c>
      <c r="M1445" s="2" t="s">
        <v>922</v>
      </c>
      <c r="N1445" s="25">
        <v>1</v>
      </c>
      <c r="O1445" s="25">
        <v>7</v>
      </c>
    </row>
    <row r="1446" spans="1:16" x14ac:dyDescent="0.2">
      <c r="A1446" s="75" t="s">
        <v>777</v>
      </c>
      <c r="B1446" s="75" t="s">
        <v>923</v>
      </c>
      <c r="C1446" s="75" t="s">
        <v>3</v>
      </c>
      <c r="D1446" s="75" t="s">
        <v>675</v>
      </c>
      <c r="E1446" s="75" t="s">
        <v>918</v>
      </c>
      <c r="F1446" s="2">
        <v>2</v>
      </c>
      <c r="G1446" s="2" t="str">
        <f t="shared" si="84"/>
        <v>b</v>
      </c>
      <c r="H1446" s="2">
        <v>2009</v>
      </c>
      <c r="I1446" s="2" t="s">
        <v>924</v>
      </c>
      <c r="J1446" s="2" t="s">
        <v>920</v>
      </c>
      <c r="K1446" s="2" t="s">
        <v>921</v>
      </c>
      <c r="L1446" s="48" t="s">
        <v>398</v>
      </c>
      <c r="M1446" s="2" t="s">
        <v>922</v>
      </c>
      <c r="N1446" s="25">
        <v>1</v>
      </c>
      <c r="O1446" s="25">
        <v>7</v>
      </c>
    </row>
    <row r="1447" spans="1:16" x14ac:dyDescent="0.2">
      <c r="A1447" s="75" t="s">
        <v>777</v>
      </c>
      <c r="B1447" s="75" t="s">
        <v>925</v>
      </c>
      <c r="C1447" s="75" t="s">
        <v>3</v>
      </c>
      <c r="D1447" s="75" t="s">
        <v>675</v>
      </c>
      <c r="E1447" s="75" t="s">
        <v>918</v>
      </c>
      <c r="F1447" s="2">
        <v>3</v>
      </c>
      <c r="G1447" s="2" t="str">
        <f t="shared" si="84"/>
        <v>c</v>
      </c>
      <c r="H1447" s="2">
        <v>2010</v>
      </c>
      <c r="I1447" s="2" t="s">
        <v>926</v>
      </c>
      <c r="J1447" s="2" t="s">
        <v>920</v>
      </c>
      <c r="K1447" s="2" t="s">
        <v>921</v>
      </c>
      <c r="L1447" s="48" t="s">
        <v>398</v>
      </c>
      <c r="M1447" s="2" t="s">
        <v>922</v>
      </c>
      <c r="N1447" s="25">
        <v>1</v>
      </c>
      <c r="O1447" s="25">
        <v>7</v>
      </c>
    </row>
    <row r="1448" spans="1:16" x14ac:dyDescent="0.2">
      <c r="A1448" s="75" t="s">
        <v>777</v>
      </c>
      <c r="B1448" s="75" t="s">
        <v>927</v>
      </c>
      <c r="C1448" s="75" t="s">
        <v>3</v>
      </c>
      <c r="D1448" s="75" t="s">
        <v>675</v>
      </c>
      <c r="E1448" s="75" t="s">
        <v>918</v>
      </c>
      <c r="F1448" s="2">
        <v>4</v>
      </c>
      <c r="G1448" s="2" t="str">
        <f t="shared" si="84"/>
        <v>d</v>
      </c>
      <c r="H1448" s="2">
        <v>2011</v>
      </c>
      <c r="I1448" s="2" t="s">
        <v>928</v>
      </c>
      <c r="J1448" s="2" t="s">
        <v>920</v>
      </c>
      <c r="K1448" s="2" t="s">
        <v>921</v>
      </c>
      <c r="L1448" s="48" t="s">
        <v>398</v>
      </c>
      <c r="M1448" s="2" t="s">
        <v>922</v>
      </c>
      <c r="N1448" s="25">
        <v>1</v>
      </c>
      <c r="O1448" s="25">
        <v>7</v>
      </c>
    </row>
    <row r="1449" spans="1:16" x14ac:dyDescent="0.2">
      <c r="A1449" s="75" t="s">
        <v>777</v>
      </c>
      <c r="B1449" s="75" t="s">
        <v>929</v>
      </c>
      <c r="C1449" s="75" t="s">
        <v>3</v>
      </c>
      <c r="D1449" s="75" t="s">
        <v>675</v>
      </c>
      <c r="E1449" s="75" t="s">
        <v>918</v>
      </c>
      <c r="F1449" s="2">
        <v>5</v>
      </c>
      <c r="G1449" s="2" t="str">
        <f t="shared" si="84"/>
        <v>e</v>
      </c>
      <c r="H1449" s="2">
        <v>2012</v>
      </c>
      <c r="I1449" s="2" t="s">
        <v>930</v>
      </c>
      <c r="J1449" s="2" t="s">
        <v>920</v>
      </c>
      <c r="K1449" s="2" t="s">
        <v>921</v>
      </c>
      <c r="L1449" s="48" t="s">
        <v>398</v>
      </c>
      <c r="M1449" s="2" t="s">
        <v>922</v>
      </c>
      <c r="N1449" s="25">
        <v>1</v>
      </c>
      <c r="O1449" s="25">
        <v>7</v>
      </c>
    </row>
    <row r="1450" spans="1:16" x14ac:dyDescent="0.2">
      <c r="A1450" s="75" t="s">
        <v>777</v>
      </c>
      <c r="B1450" s="75" t="s">
        <v>931</v>
      </c>
      <c r="C1450" s="75" t="s">
        <v>3</v>
      </c>
      <c r="D1450" s="75" t="s">
        <v>675</v>
      </c>
      <c r="E1450" s="75" t="s">
        <v>918</v>
      </c>
      <c r="F1450" s="2">
        <v>6</v>
      </c>
      <c r="G1450" s="2" t="str">
        <f t="shared" si="84"/>
        <v>f</v>
      </c>
      <c r="H1450" s="2">
        <v>2013</v>
      </c>
      <c r="I1450" s="2" t="s">
        <v>932</v>
      </c>
      <c r="J1450" s="2" t="s">
        <v>920</v>
      </c>
      <c r="K1450" s="2" t="s">
        <v>921</v>
      </c>
      <c r="L1450" s="48" t="s">
        <v>398</v>
      </c>
      <c r="M1450" s="2" t="s">
        <v>922</v>
      </c>
      <c r="N1450" s="25">
        <v>1</v>
      </c>
      <c r="O1450" s="25">
        <v>7</v>
      </c>
    </row>
    <row r="1451" spans="1:16" x14ac:dyDescent="0.2">
      <c r="A1451" s="75" t="s">
        <v>777</v>
      </c>
      <c r="B1451" s="75" t="s">
        <v>933</v>
      </c>
      <c r="C1451" s="75" t="s">
        <v>3</v>
      </c>
      <c r="D1451" s="75" t="s">
        <v>675</v>
      </c>
      <c r="E1451" s="75" t="s">
        <v>918</v>
      </c>
      <c r="F1451" s="2">
        <v>7</v>
      </c>
      <c r="G1451" s="2" t="str">
        <f t="shared" si="84"/>
        <v>g</v>
      </c>
      <c r="H1451" s="2">
        <v>2014</v>
      </c>
      <c r="I1451" s="2" t="s">
        <v>934</v>
      </c>
      <c r="J1451" s="2" t="s">
        <v>920</v>
      </c>
      <c r="K1451" s="2" t="s">
        <v>921</v>
      </c>
      <c r="L1451" s="48" t="s">
        <v>398</v>
      </c>
      <c r="M1451" s="2" t="s">
        <v>922</v>
      </c>
      <c r="N1451" s="25">
        <v>1</v>
      </c>
      <c r="O1451" s="25">
        <v>7</v>
      </c>
    </row>
    <row r="1452" spans="1:16" x14ac:dyDescent="0.2">
      <c r="A1452" s="75" t="s">
        <v>777</v>
      </c>
      <c r="B1452" s="75" t="s">
        <v>935</v>
      </c>
      <c r="C1452" s="75" t="s">
        <v>3</v>
      </c>
      <c r="D1452" s="75" t="s">
        <v>675</v>
      </c>
      <c r="E1452" s="75" t="s">
        <v>918</v>
      </c>
      <c r="F1452" s="2">
        <v>8</v>
      </c>
      <c r="G1452" s="2" t="str">
        <f t="shared" si="84"/>
        <v>h</v>
      </c>
      <c r="H1452" s="2">
        <v>2015</v>
      </c>
      <c r="I1452" s="2" t="s">
        <v>936</v>
      </c>
      <c r="J1452" s="2" t="s">
        <v>920</v>
      </c>
      <c r="K1452" s="2" t="s">
        <v>921</v>
      </c>
      <c r="L1452" s="48" t="s">
        <v>398</v>
      </c>
      <c r="M1452" s="2" t="s">
        <v>922</v>
      </c>
      <c r="N1452" s="25">
        <v>1</v>
      </c>
      <c r="O1452" s="25">
        <v>7</v>
      </c>
    </row>
    <row r="1453" spans="1:16" x14ac:dyDescent="0.2">
      <c r="A1453" s="75" t="s">
        <v>777</v>
      </c>
      <c r="B1453" s="75" t="s">
        <v>937</v>
      </c>
      <c r="C1453" s="75" t="s">
        <v>3</v>
      </c>
      <c r="D1453" s="75" t="s">
        <v>675</v>
      </c>
      <c r="E1453" s="75" t="s">
        <v>918</v>
      </c>
      <c r="F1453" s="2">
        <v>9</v>
      </c>
      <c r="G1453" s="2" t="str">
        <f t="shared" si="84"/>
        <v>i</v>
      </c>
      <c r="H1453" s="2">
        <v>2017</v>
      </c>
      <c r="I1453" s="2" t="s">
        <v>938</v>
      </c>
      <c r="J1453" s="2" t="s">
        <v>920</v>
      </c>
      <c r="K1453" s="2" t="s">
        <v>921</v>
      </c>
      <c r="L1453" s="48" t="s">
        <v>398</v>
      </c>
      <c r="M1453" s="2" t="s">
        <v>922</v>
      </c>
      <c r="N1453" s="25">
        <v>1</v>
      </c>
      <c r="O1453" s="25">
        <v>7</v>
      </c>
    </row>
    <row r="1454" spans="1:16" x14ac:dyDescent="0.2">
      <c r="A1454" s="75" t="s">
        <v>777</v>
      </c>
      <c r="B1454" s="75" t="s">
        <v>939</v>
      </c>
      <c r="C1454" s="75" t="s">
        <v>3</v>
      </c>
      <c r="D1454" s="75" t="s">
        <v>675</v>
      </c>
      <c r="E1454" s="75" t="s">
        <v>918</v>
      </c>
      <c r="F1454" s="2">
        <v>10</v>
      </c>
      <c r="G1454" s="2" t="str">
        <f t="shared" si="84"/>
        <v>j</v>
      </c>
      <c r="H1454" s="2">
        <v>2018</v>
      </c>
      <c r="I1454" s="2" t="s">
        <v>940</v>
      </c>
      <c r="J1454" s="2" t="s">
        <v>920</v>
      </c>
      <c r="K1454" s="2" t="s">
        <v>921</v>
      </c>
      <c r="L1454" s="48" t="s">
        <v>398</v>
      </c>
      <c r="M1454" s="2" t="s">
        <v>922</v>
      </c>
      <c r="N1454" s="25">
        <v>1</v>
      </c>
      <c r="O1454" s="25">
        <v>7</v>
      </c>
    </row>
    <row r="1455" spans="1:16" x14ac:dyDescent="0.2">
      <c r="A1455" s="75" t="s">
        <v>777</v>
      </c>
      <c r="B1455" s="75" t="s">
        <v>947</v>
      </c>
      <c r="C1455" s="75" t="s">
        <v>3</v>
      </c>
      <c r="D1455" s="75" t="s">
        <v>675</v>
      </c>
      <c r="E1455" s="75" t="s">
        <v>918</v>
      </c>
      <c r="F1455" s="2">
        <v>11</v>
      </c>
      <c r="G1455" s="2" t="str">
        <f t="shared" si="84"/>
        <v>k</v>
      </c>
      <c r="H1455" s="2">
        <v>2019</v>
      </c>
      <c r="I1455" s="2" t="s">
        <v>948</v>
      </c>
      <c r="J1455" s="2" t="s">
        <v>920</v>
      </c>
      <c r="K1455" s="2" t="s">
        <v>921</v>
      </c>
      <c r="L1455" s="48" t="s">
        <v>398</v>
      </c>
      <c r="M1455" s="2" t="s">
        <v>922</v>
      </c>
      <c r="N1455" s="25">
        <v>1</v>
      </c>
      <c r="O1455" s="25">
        <v>7</v>
      </c>
    </row>
    <row r="1456" spans="1:16" x14ac:dyDescent="0.2">
      <c r="A1456" s="18" t="s">
        <v>777</v>
      </c>
      <c r="B1456" s="18"/>
      <c r="C1456" s="18" t="s">
        <v>598</v>
      </c>
      <c r="D1456" s="18" t="s">
        <v>716</v>
      </c>
      <c r="E1456" s="18" t="s">
        <v>716</v>
      </c>
      <c r="F1456" s="2"/>
      <c r="G1456" s="2"/>
      <c r="H1456" s="2">
        <v>0</v>
      </c>
      <c r="I1456" s="2" t="s">
        <v>969</v>
      </c>
      <c r="J1456" s="2" t="s">
        <v>970</v>
      </c>
      <c r="K1456" s="2" t="s">
        <v>971</v>
      </c>
      <c r="M1456" s="2"/>
      <c r="P1456" s="2"/>
    </row>
    <row r="1457" spans="3:3" x14ac:dyDescent="0.2">
      <c r="C1457" t="s">
        <v>4175</v>
      </c>
    </row>
  </sheetData>
  <sortState xmlns:xlrd2="http://schemas.microsoft.com/office/spreadsheetml/2017/richdata2" ref="A2:R1517">
    <sortCondition ref="C2:C1517"/>
    <sortCondition ref="D2:D1517"/>
    <sortCondition ref="E2:E1517"/>
    <sortCondition ref="H2:H1517"/>
  </sortState>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BF08-D713-6443-B1DC-C94113A843D9}">
  <dimension ref="A1:R1007"/>
  <sheetViews>
    <sheetView workbookViewId="0">
      <pane ySplit="1" topLeftCell="A856" activePane="bottomLeft" state="frozen"/>
      <selection pane="bottomLeft" activeCell="L275" sqref="L275:L291"/>
    </sheetView>
  </sheetViews>
  <sheetFormatPr baseColWidth="10" defaultRowHeight="16" x14ac:dyDescent="0.2"/>
  <sheetData>
    <row r="1" spans="1:16" ht="17.25" customHeight="1" x14ac:dyDescent="0.2">
      <c r="A1" s="2" t="s">
        <v>109</v>
      </c>
      <c r="B1" s="2" t="s">
        <v>111</v>
      </c>
      <c r="C1" s="2" t="s">
        <v>112</v>
      </c>
      <c r="D1" s="2" t="s">
        <v>113</v>
      </c>
      <c r="E1" s="2" t="s">
        <v>941</v>
      </c>
      <c r="F1" s="2"/>
      <c r="G1" s="2" t="s">
        <v>116</v>
      </c>
      <c r="H1" s="2" t="s">
        <v>117</v>
      </c>
      <c r="I1" s="2" t="s">
        <v>118</v>
      </c>
      <c r="J1" s="2" t="s">
        <v>119</v>
      </c>
      <c r="K1" s="2" t="s">
        <v>120</v>
      </c>
      <c r="L1" s="2" t="s">
        <v>121</v>
      </c>
      <c r="M1" s="2" t="s">
        <v>122</v>
      </c>
      <c r="N1" s="2" t="s">
        <v>123</v>
      </c>
      <c r="O1" s="2" t="s">
        <v>4179</v>
      </c>
      <c r="P1" s="2" t="s">
        <v>4180</v>
      </c>
    </row>
    <row r="2" spans="1:16" ht="17.25" customHeight="1" x14ac:dyDescent="0.2">
      <c r="A2" s="2" t="s">
        <v>973</v>
      </c>
      <c r="B2" s="2" t="s">
        <v>598</v>
      </c>
      <c r="C2" s="2" t="s">
        <v>716</v>
      </c>
      <c r="D2" s="2" t="s">
        <v>716</v>
      </c>
      <c r="E2" s="2"/>
      <c r="F2" s="2">
        <v>0</v>
      </c>
      <c r="G2" s="2">
        <v>0</v>
      </c>
      <c r="H2" s="2" t="s">
        <v>1124</v>
      </c>
      <c r="I2" s="2" t="s">
        <v>1125</v>
      </c>
      <c r="L2" s="2" t="s">
        <v>8</v>
      </c>
    </row>
    <row r="3" spans="1:16" ht="17.25" customHeight="1" x14ac:dyDescent="0.2">
      <c r="A3" s="18" t="s">
        <v>973</v>
      </c>
      <c r="B3" s="18" t="s">
        <v>4182</v>
      </c>
      <c r="C3" s="18" t="s">
        <v>638</v>
      </c>
      <c r="D3" s="18" t="s">
        <v>638</v>
      </c>
      <c r="E3" s="2" t="str">
        <f t="shared" ref="E3:E66" si="0">MID("abcdefghijklmnopqrstuvwxyz",F3,1)</f>
        <v>a</v>
      </c>
      <c r="F3" s="2">
        <f t="shared" ref="F3:F66" si="1">G3-2000</f>
        <v>1</v>
      </c>
      <c r="G3" s="2">
        <v>2001</v>
      </c>
      <c r="H3" s="2" t="s">
        <v>1104</v>
      </c>
      <c r="I3" s="2" t="s">
        <v>664</v>
      </c>
      <c r="J3" s="2" t="s">
        <v>1105</v>
      </c>
      <c r="K3" s="2" t="s">
        <v>398</v>
      </c>
      <c r="L3" s="2" t="s">
        <v>8</v>
      </c>
      <c r="O3" s="2" t="s">
        <v>2175</v>
      </c>
      <c r="P3" s="2" t="s">
        <v>4181</v>
      </c>
    </row>
    <row r="4" spans="1:16" ht="17.25" customHeight="1" x14ac:dyDescent="0.2">
      <c r="A4" s="18" t="s">
        <v>973</v>
      </c>
      <c r="B4" s="18" t="s">
        <v>4182</v>
      </c>
      <c r="C4" s="18" t="s">
        <v>638</v>
      </c>
      <c r="D4" s="18" t="s">
        <v>638</v>
      </c>
      <c r="E4" s="2" t="str">
        <f t="shared" si="0"/>
        <v>b</v>
      </c>
      <c r="F4" s="2">
        <f t="shared" si="1"/>
        <v>2</v>
      </c>
      <c r="G4" s="2">
        <v>2002</v>
      </c>
      <c r="H4" s="2" t="s">
        <v>1106</v>
      </c>
      <c r="I4" s="2" t="s">
        <v>664</v>
      </c>
      <c r="J4" s="2" t="s">
        <v>1105</v>
      </c>
      <c r="K4" s="2" t="s">
        <v>398</v>
      </c>
      <c r="L4" s="2" t="s">
        <v>8</v>
      </c>
      <c r="O4" s="2" t="s">
        <v>2175</v>
      </c>
      <c r="P4" s="2" t="s">
        <v>4181</v>
      </c>
    </row>
    <row r="5" spans="1:16" ht="17.25" customHeight="1" x14ac:dyDescent="0.2">
      <c r="A5" s="18" t="s">
        <v>973</v>
      </c>
      <c r="B5" s="18" t="s">
        <v>4182</v>
      </c>
      <c r="C5" s="18" t="s">
        <v>638</v>
      </c>
      <c r="D5" s="18" t="s">
        <v>638</v>
      </c>
      <c r="E5" s="2" t="str">
        <f t="shared" si="0"/>
        <v>c</v>
      </c>
      <c r="F5" s="2">
        <f t="shared" si="1"/>
        <v>3</v>
      </c>
      <c r="G5" s="2">
        <v>2003</v>
      </c>
      <c r="H5" s="2" t="s">
        <v>1107</v>
      </c>
      <c r="I5" s="2" t="s">
        <v>664</v>
      </c>
      <c r="J5" s="2" t="s">
        <v>1105</v>
      </c>
      <c r="K5" s="2" t="s">
        <v>398</v>
      </c>
      <c r="L5" s="2" t="s">
        <v>8</v>
      </c>
      <c r="O5" s="2" t="s">
        <v>2175</v>
      </c>
      <c r="P5" s="2" t="s">
        <v>4181</v>
      </c>
    </row>
    <row r="6" spans="1:16" ht="17.25" customHeight="1" x14ac:dyDescent="0.2">
      <c r="A6" s="18" t="s">
        <v>973</v>
      </c>
      <c r="B6" s="18" t="s">
        <v>4182</v>
      </c>
      <c r="C6" s="18" t="s">
        <v>638</v>
      </c>
      <c r="D6" s="18" t="s">
        <v>638</v>
      </c>
      <c r="E6" s="2" t="str">
        <f t="shared" si="0"/>
        <v>d</v>
      </c>
      <c r="F6" s="2">
        <f t="shared" si="1"/>
        <v>4</v>
      </c>
      <c r="G6" s="2">
        <v>2004</v>
      </c>
      <c r="H6" s="2" t="s">
        <v>1108</v>
      </c>
      <c r="I6" s="2" t="s">
        <v>664</v>
      </c>
      <c r="J6" s="2" t="s">
        <v>1105</v>
      </c>
      <c r="K6" s="2" t="s">
        <v>398</v>
      </c>
      <c r="L6" s="2" t="s">
        <v>8</v>
      </c>
      <c r="O6" s="2" t="s">
        <v>2175</v>
      </c>
      <c r="P6" s="2" t="s">
        <v>4181</v>
      </c>
    </row>
    <row r="7" spans="1:16" ht="17.25" customHeight="1" x14ac:dyDescent="0.2">
      <c r="A7" s="18" t="s">
        <v>973</v>
      </c>
      <c r="B7" s="18" t="s">
        <v>4182</v>
      </c>
      <c r="C7" s="18" t="s">
        <v>638</v>
      </c>
      <c r="D7" s="18" t="s">
        <v>638</v>
      </c>
      <c r="E7" s="2" t="str">
        <f t="shared" si="0"/>
        <v>e</v>
      </c>
      <c r="F7" s="2">
        <f t="shared" si="1"/>
        <v>5</v>
      </c>
      <c r="G7" s="2">
        <v>2005</v>
      </c>
      <c r="H7" s="2" t="s">
        <v>1109</v>
      </c>
      <c r="I7" s="2" t="s">
        <v>664</v>
      </c>
      <c r="J7" s="2" t="s">
        <v>1105</v>
      </c>
      <c r="K7" s="2" t="s">
        <v>398</v>
      </c>
      <c r="L7" s="2" t="s">
        <v>8</v>
      </c>
      <c r="O7" s="2" t="s">
        <v>2175</v>
      </c>
      <c r="P7" s="2" t="s">
        <v>4181</v>
      </c>
    </row>
    <row r="8" spans="1:16" ht="17.25" customHeight="1" x14ac:dyDescent="0.2">
      <c r="A8" s="18" t="s">
        <v>973</v>
      </c>
      <c r="B8" s="18" t="s">
        <v>4182</v>
      </c>
      <c r="C8" s="18" t="s">
        <v>638</v>
      </c>
      <c r="D8" s="18" t="s">
        <v>638</v>
      </c>
      <c r="E8" s="2" t="str">
        <f t="shared" si="0"/>
        <v>f</v>
      </c>
      <c r="F8" s="2">
        <f t="shared" si="1"/>
        <v>6</v>
      </c>
      <c r="G8" s="2">
        <v>2006</v>
      </c>
      <c r="H8" s="2" t="s">
        <v>1110</v>
      </c>
      <c r="I8" s="2" t="s">
        <v>664</v>
      </c>
      <c r="J8" s="2" t="s">
        <v>1105</v>
      </c>
      <c r="K8" s="2" t="s">
        <v>398</v>
      </c>
      <c r="L8" s="2" t="s">
        <v>8</v>
      </c>
      <c r="O8" s="2" t="s">
        <v>2175</v>
      </c>
      <c r="P8" s="2" t="s">
        <v>4181</v>
      </c>
    </row>
    <row r="9" spans="1:16" ht="17.25" customHeight="1" x14ac:dyDescent="0.2">
      <c r="A9" s="18" t="s">
        <v>973</v>
      </c>
      <c r="B9" s="18" t="s">
        <v>4182</v>
      </c>
      <c r="C9" s="18" t="s">
        <v>638</v>
      </c>
      <c r="D9" s="18" t="s">
        <v>638</v>
      </c>
      <c r="E9" s="2" t="str">
        <f t="shared" si="0"/>
        <v>g</v>
      </c>
      <c r="F9" s="2">
        <f t="shared" si="1"/>
        <v>7</v>
      </c>
      <c r="G9" s="2">
        <v>2007</v>
      </c>
      <c r="H9" s="2" t="s">
        <v>1111</v>
      </c>
      <c r="I9" s="2" t="s">
        <v>664</v>
      </c>
      <c r="J9" s="2" t="s">
        <v>1105</v>
      </c>
      <c r="K9" s="2" t="s">
        <v>398</v>
      </c>
      <c r="L9" s="2" t="s">
        <v>8</v>
      </c>
      <c r="O9" s="2" t="s">
        <v>2175</v>
      </c>
      <c r="P9" s="2" t="s">
        <v>4181</v>
      </c>
    </row>
    <row r="10" spans="1:16" ht="17.25" customHeight="1" x14ac:dyDescent="0.2">
      <c r="A10" s="18" t="s">
        <v>973</v>
      </c>
      <c r="B10" s="18" t="s">
        <v>4182</v>
      </c>
      <c r="C10" s="18" t="s">
        <v>638</v>
      </c>
      <c r="D10" s="18" t="s">
        <v>638</v>
      </c>
      <c r="E10" s="2" t="str">
        <f t="shared" si="0"/>
        <v>h</v>
      </c>
      <c r="F10" s="2">
        <f t="shared" si="1"/>
        <v>8</v>
      </c>
      <c r="G10" s="2">
        <v>2008</v>
      </c>
      <c r="H10" s="2" t="s">
        <v>1112</v>
      </c>
      <c r="I10" s="2" t="s">
        <v>664</v>
      </c>
      <c r="J10" s="2" t="s">
        <v>1105</v>
      </c>
      <c r="K10" s="2" t="s">
        <v>398</v>
      </c>
      <c r="L10" s="2" t="s">
        <v>8</v>
      </c>
      <c r="O10" s="2" t="s">
        <v>2175</v>
      </c>
      <c r="P10" s="2" t="s">
        <v>4181</v>
      </c>
    </row>
    <row r="11" spans="1:16" ht="17.25" customHeight="1" x14ac:dyDescent="0.2">
      <c r="A11" s="18" t="s">
        <v>973</v>
      </c>
      <c r="B11" s="18" t="s">
        <v>4182</v>
      </c>
      <c r="C11" s="18" t="s">
        <v>638</v>
      </c>
      <c r="D11" s="18" t="s">
        <v>638</v>
      </c>
      <c r="E11" s="2" t="str">
        <f t="shared" si="0"/>
        <v>i</v>
      </c>
      <c r="F11" s="2">
        <f t="shared" si="1"/>
        <v>9</v>
      </c>
      <c r="G11" s="2">
        <v>2009</v>
      </c>
      <c r="H11" s="2" t="s">
        <v>1113</v>
      </c>
      <c r="I11" s="2" t="s">
        <v>664</v>
      </c>
      <c r="J11" s="2" t="s">
        <v>1105</v>
      </c>
      <c r="K11" s="2" t="s">
        <v>398</v>
      </c>
      <c r="L11" s="2" t="s">
        <v>8</v>
      </c>
      <c r="O11" s="2" t="s">
        <v>2175</v>
      </c>
      <c r="P11" s="2" t="s">
        <v>4181</v>
      </c>
    </row>
    <row r="12" spans="1:16" ht="17.25" customHeight="1" x14ac:dyDescent="0.2">
      <c r="A12" s="18" t="s">
        <v>973</v>
      </c>
      <c r="B12" s="18" t="s">
        <v>4182</v>
      </c>
      <c r="C12" s="18" t="s">
        <v>638</v>
      </c>
      <c r="D12" s="18" t="s">
        <v>638</v>
      </c>
      <c r="E12" s="2" t="str">
        <f t="shared" si="0"/>
        <v>j</v>
      </c>
      <c r="F12" s="2">
        <f t="shared" si="1"/>
        <v>10</v>
      </c>
      <c r="G12" s="2">
        <v>2010</v>
      </c>
      <c r="H12" s="2" t="s">
        <v>1114</v>
      </c>
      <c r="I12" s="2" t="s">
        <v>664</v>
      </c>
      <c r="J12" s="2" t="s">
        <v>1105</v>
      </c>
      <c r="K12" s="2" t="s">
        <v>398</v>
      </c>
      <c r="L12" s="2" t="s">
        <v>8</v>
      </c>
      <c r="O12" s="2" t="s">
        <v>2175</v>
      </c>
      <c r="P12" s="2" t="s">
        <v>4181</v>
      </c>
    </row>
    <row r="13" spans="1:16" ht="17.25" customHeight="1" x14ac:dyDescent="0.2">
      <c r="A13" s="18" t="s">
        <v>973</v>
      </c>
      <c r="B13" s="18" t="s">
        <v>4182</v>
      </c>
      <c r="C13" s="18" t="s">
        <v>638</v>
      </c>
      <c r="D13" s="18" t="s">
        <v>638</v>
      </c>
      <c r="E13" s="2" t="str">
        <f t="shared" si="0"/>
        <v>k</v>
      </c>
      <c r="F13" s="2">
        <f t="shared" si="1"/>
        <v>11</v>
      </c>
      <c r="G13" s="2">
        <v>2011</v>
      </c>
      <c r="H13" s="2" t="s">
        <v>1115</v>
      </c>
      <c r="I13" s="2" t="s">
        <v>664</v>
      </c>
      <c r="J13" s="2" t="s">
        <v>1105</v>
      </c>
      <c r="K13" s="2" t="s">
        <v>398</v>
      </c>
      <c r="L13" s="2" t="s">
        <v>8</v>
      </c>
      <c r="O13" s="2" t="s">
        <v>2175</v>
      </c>
      <c r="P13" s="2" t="s">
        <v>4181</v>
      </c>
    </row>
    <row r="14" spans="1:16" ht="17.25" customHeight="1" x14ac:dyDescent="0.2">
      <c r="A14" s="18" t="s">
        <v>973</v>
      </c>
      <c r="B14" s="18" t="s">
        <v>4182</v>
      </c>
      <c r="C14" s="18" t="s">
        <v>638</v>
      </c>
      <c r="D14" s="18" t="s">
        <v>638</v>
      </c>
      <c r="E14" s="2" t="str">
        <f t="shared" si="0"/>
        <v>l</v>
      </c>
      <c r="F14" s="2">
        <f t="shared" si="1"/>
        <v>12</v>
      </c>
      <c r="G14" s="2">
        <v>2012</v>
      </c>
      <c r="H14" s="2" t="s">
        <v>1116</v>
      </c>
      <c r="I14" s="2" t="s">
        <v>664</v>
      </c>
      <c r="J14" s="2" t="s">
        <v>1105</v>
      </c>
      <c r="K14" s="2" t="s">
        <v>398</v>
      </c>
      <c r="L14" s="2" t="s">
        <v>8</v>
      </c>
      <c r="O14" s="2" t="s">
        <v>2175</v>
      </c>
      <c r="P14" s="2" t="s">
        <v>4181</v>
      </c>
    </row>
    <row r="15" spans="1:16" ht="17.25" customHeight="1" x14ac:dyDescent="0.2">
      <c r="A15" s="18" t="s">
        <v>973</v>
      </c>
      <c r="B15" s="18" t="s">
        <v>4182</v>
      </c>
      <c r="C15" s="18" t="s">
        <v>638</v>
      </c>
      <c r="D15" s="18" t="s">
        <v>638</v>
      </c>
      <c r="E15" s="2" t="str">
        <f t="shared" si="0"/>
        <v>m</v>
      </c>
      <c r="F15" s="2">
        <f t="shared" si="1"/>
        <v>13</v>
      </c>
      <c r="G15" s="2">
        <v>2013</v>
      </c>
      <c r="H15" s="2" t="s">
        <v>1117</v>
      </c>
      <c r="I15" s="2" t="s">
        <v>664</v>
      </c>
      <c r="J15" s="2" t="s">
        <v>1105</v>
      </c>
      <c r="K15" s="2" t="s">
        <v>398</v>
      </c>
      <c r="L15" s="2" t="s">
        <v>8</v>
      </c>
      <c r="O15" s="2" t="s">
        <v>2175</v>
      </c>
      <c r="P15" s="2" t="s">
        <v>4181</v>
      </c>
    </row>
    <row r="16" spans="1:16" ht="17.25" customHeight="1" x14ac:dyDescent="0.2">
      <c r="A16" s="18" t="s">
        <v>973</v>
      </c>
      <c r="B16" s="18" t="s">
        <v>4182</v>
      </c>
      <c r="C16" s="18" t="s">
        <v>638</v>
      </c>
      <c r="D16" s="18" t="s">
        <v>638</v>
      </c>
      <c r="E16" s="2" t="str">
        <f t="shared" si="0"/>
        <v>n</v>
      </c>
      <c r="F16" s="2">
        <f t="shared" si="1"/>
        <v>14</v>
      </c>
      <c r="G16" s="2">
        <v>2014</v>
      </c>
      <c r="H16" s="2" t="s">
        <v>1118</v>
      </c>
      <c r="I16" s="2" t="s">
        <v>664</v>
      </c>
      <c r="J16" s="2" t="s">
        <v>1105</v>
      </c>
      <c r="K16" s="2" t="s">
        <v>398</v>
      </c>
      <c r="L16" s="2" t="s">
        <v>8</v>
      </c>
      <c r="O16" s="2" t="s">
        <v>2175</v>
      </c>
      <c r="P16" s="2" t="s">
        <v>4181</v>
      </c>
    </row>
    <row r="17" spans="1:16" ht="17.25" customHeight="1" x14ac:dyDescent="0.2">
      <c r="A17" s="18" t="s">
        <v>973</v>
      </c>
      <c r="B17" s="18" t="s">
        <v>4182</v>
      </c>
      <c r="C17" s="18" t="s">
        <v>638</v>
      </c>
      <c r="D17" s="18" t="s">
        <v>638</v>
      </c>
      <c r="E17" s="2" t="str">
        <f t="shared" si="0"/>
        <v>o</v>
      </c>
      <c r="F17" s="2">
        <f t="shared" si="1"/>
        <v>15</v>
      </c>
      <c r="G17" s="2">
        <v>2015</v>
      </c>
      <c r="H17" s="2" t="s">
        <v>1119</v>
      </c>
      <c r="I17" s="2" t="s">
        <v>664</v>
      </c>
      <c r="J17" s="2" t="s">
        <v>1105</v>
      </c>
      <c r="K17" s="2" t="s">
        <v>398</v>
      </c>
      <c r="L17" s="2" t="s">
        <v>8</v>
      </c>
      <c r="O17" s="2" t="s">
        <v>2175</v>
      </c>
      <c r="P17" s="2" t="s">
        <v>4181</v>
      </c>
    </row>
    <row r="18" spans="1:16" ht="17.25" customHeight="1" x14ac:dyDescent="0.2">
      <c r="A18" s="18" t="s">
        <v>973</v>
      </c>
      <c r="B18" s="18" t="s">
        <v>4182</v>
      </c>
      <c r="C18" s="18" t="s">
        <v>638</v>
      </c>
      <c r="D18" s="18" t="s">
        <v>638</v>
      </c>
      <c r="E18" s="2" t="str">
        <f t="shared" si="0"/>
        <v>p</v>
      </c>
      <c r="F18" s="2">
        <f t="shared" si="1"/>
        <v>16</v>
      </c>
      <c r="G18" s="2">
        <v>2016</v>
      </c>
      <c r="H18" s="2" t="s">
        <v>1120</v>
      </c>
      <c r="I18" s="2" t="s">
        <v>664</v>
      </c>
      <c r="J18" s="2" t="s">
        <v>1105</v>
      </c>
      <c r="K18" s="2" t="s">
        <v>398</v>
      </c>
      <c r="L18" s="2" t="s">
        <v>8</v>
      </c>
      <c r="O18" s="2" t="s">
        <v>2175</v>
      </c>
      <c r="P18" s="2" t="s">
        <v>4181</v>
      </c>
    </row>
    <row r="19" spans="1:16" ht="17.25" customHeight="1" x14ac:dyDescent="0.2">
      <c r="A19" s="18" t="s">
        <v>973</v>
      </c>
      <c r="B19" s="18" t="s">
        <v>4182</v>
      </c>
      <c r="C19" s="18" t="s">
        <v>638</v>
      </c>
      <c r="D19" s="18" t="s">
        <v>638</v>
      </c>
      <c r="E19" s="2" t="str">
        <f t="shared" si="0"/>
        <v>q</v>
      </c>
      <c r="F19" s="2">
        <f t="shared" si="1"/>
        <v>17</v>
      </c>
      <c r="G19" s="2">
        <v>2017</v>
      </c>
      <c r="H19" s="2" t="s">
        <v>1121</v>
      </c>
      <c r="I19" s="2" t="s">
        <v>664</v>
      </c>
      <c r="J19" s="2" t="s">
        <v>1105</v>
      </c>
      <c r="K19" s="2" t="s">
        <v>398</v>
      </c>
      <c r="L19" s="2" t="s">
        <v>8</v>
      </c>
      <c r="O19" s="2" t="s">
        <v>2175</v>
      </c>
      <c r="P19" s="2" t="s">
        <v>4181</v>
      </c>
    </row>
    <row r="20" spans="1:16" ht="17.25" customHeight="1" x14ac:dyDescent="0.2">
      <c r="A20" s="18" t="s">
        <v>973</v>
      </c>
      <c r="B20" s="18" t="s">
        <v>4182</v>
      </c>
      <c r="C20" s="18" t="s">
        <v>638</v>
      </c>
      <c r="D20" s="18" t="s">
        <v>638</v>
      </c>
      <c r="E20" s="2" t="str">
        <f t="shared" si="0"/>
        <v>r</v>
      </c>
      <c r="F20" s="2">
        <f t="shared" si="1"/>
        <v>18</v>
      </c>
      <c r="G20" s="2">
        <v>2018</v>
      </c>
      <c r="H20" s="2" t="s">
        <v>1122</v>
      </c>
      <c r="I20" s="2" t="s">
        <v>664</v>
      </c>
      <c r="J20" s="2" t="s">
        <v>1105</v>
      </c>
      <c r="K20" s="2" t="s">
        <v>398</v>
      </c>
      <c r="L20" s="2" t="s">
        <v>8</v>
      </c>
      <c r="O20" s="2" t="s">
        <v>2175</v>
      </c>
      <c r="P20" s="2" t="s">
        <v>4181</v>
      </c>
    </row>
    <row r="21" spans="1:16" ht="17.25" customHeight="1" x14ac:dyDescent="0.2">
      <c r="A21" s="18" t="s">
        <v>973</v>
      </c>
      <c r="B21" s="18" t="s">
        <v>4182</v>
      </c>
      <c r="C21" s="18" t="s">
        <v>602</v>
      </c>
      <c r="D21" s="18" t="s">
        <v>602</v>
      </c>
      <c r="E21" s="2" t="str">
        <f t="shared" si="0"/>
        <v>a</v>
      </c>
      <c r="F21" s="2">
        <f t="shared" si="1"/>
        <v>1</v>
      </c>
      <c r="G21" s="2">
        <v>2001</v>
      </c>
      <c r="H21" s="2" t="s">
        <v>1085</v>
      </c>
      <c r="I21" s="2" t="s">
        <v>1086</v>
      </c>
      <c r="J21" s="2" t="s">
        <v>676</v>
      </c>
      <c r="K21" s="2" t="s">
        <v>398</v>
      </c>
      <c r="L21" s="2" t="s">
        <v>1087</v>
      </c>
      <c r="O21" s="2" t="s">
        <v>2175</v>
      </c>
      <c r="P21" s="2" t="s">
        <v>4181</v>
      </c>
    </row>
    <row r="22" spans="1:16" ht="17.25" customHeight="1" x14ac:dyDescent="0.2">
      <c r="A22" s="18" t="s">
        <v>973</v>
      </c>
      <c r="B22" s="18" t="s">
        <v>4182</v>
      </c>
      <c r="C22" s="18" t="s">
        <v>602</v>
      </c>
      <c r="D22" s="18" t="s">
        <v>602</v>
      </c>
      <c r="E22" s="2" t="str">
        <f t="shared" si="0"/>
        <v>b</v>
      </c>
      <c r="F22" s="2">
        <f t="shared" si="1"/>
        <v>2</v>
      </c>
      <c r="G22" s="2">
        <v>2002</v>
      </c>
      <c r="H22" s="2" t="s">
        <v>1088</v>
      </c>
      <c r="I22" s="2" t="s">
        <v>1086</v>
      </c>
      <c r="J22" s="2" t="s">
        <v>676</v>
      </c>
      <c r="K22" s="2" t="s">
        <v>398</v>
      </c>
      <c r="L22" s="2" t="s">
        <v>1087</v>
      </c>
      <c r="O22" s="2" t="s">
        <v>2175</v>
      </c>
      <c r="P22" s="2" t="s">
        <v>4181</v>
      </c>
    </row>
    <row r="23" spans="1:16" ht="17.25" customHeight="1" x14ac:dyDescent="0.2">
      <c r="A23" s="18" t="s">
        <v>973</v>
      </c>
      <c r="B23" s="18" t="s">
        <v>4182</v>
      </c>
      <c r="C23" s="18" t="s">
        <v>602</v>
      </c>
      <c r="D23" s="18" t="s">
        <v>602</v>
      </c>
      <c r="E23" s="2" t="str">
        <f t="shared" si="0"/>
        <v>c</v>
      </c>
      <c r="F23" s="2">
        <f t="shared" si="1"/>
        <v>3</v>
      </c>
      <c r="G23" s="2">
        <v>2003</v>
      </c>
      <c r="H23" s="2" t="s">
        <v>1089</v>
      </c>
      <c r="I23" s="2" t="s">
        <v>1086</v>
      </c>
      <c r="J23" s="2" t="s">
        <v>676</v>
      </c>
      <c r="K23" s="2" t="s">
        <v>398</v>
      </c>
      <c r="L23" s="2" t="s">
        <v>1087</v>
      </c>
      <c r="O23" s="2" t="s">
        <v>2175</v>
      </c>
      <c r="P23" s="2" t="s">
        <v>4181</v>
      </c>
    </row>
    <row r="24" spans="1:16" ht="17.25" customHeight="1" x14ac:dyDescent="0.2">
      <c r="A24" s="18" t="s">
        <v>973</v>
      </c>
      <c r="B24" s="18" t="s">
        <v>4182</v>
      </c>
      <c r="C24" s="18" t="s">
        <v>602</v>
      </c>
      <c r="D24" s="18" t="s">
        <v>602</v>
      </c>
      <c r="E24" s="2" t="str">
        <f t="shared" si="0"/>
        <v>d</v>
      </c>
      <c r="F24" s="2">
        <f t="shared" si="1"/>
        <v>4</v>
      </c>
      <c r="G24" s="2">
        <v>2004</v>
      </c>
      <c r="H24" s="2" t="s">
        <v>1090</v>
      </c>
      <c r="I24" s="2" t="s">
        <v>1086</v>
      </c>
      <c r="J24" s="2" t="s">
        <v>676</v>
      </c>
      <c r="K24" s="2" t="s">
        <v>398</v>
      </c>
      <c r="L24" s="2" t="s">
        <v>1087</v>
      </c>
      <c r="O24" s="2" t="s">
        <v>2175</v>
      </c>
      <c r="P24" s="2" t="s">
        <v>4181</v>
      </c>
    </row>
    <row r="25" spans="1:16" ht="17.25" customHeight="1" x14ac:dyDescent="0.2">
      <c r="A25" s="18" t="s">
        <v>973</v>
      </c>
      <c r="B25" s="18" t="s">
        <v>4182</v>
      </c>
      <c r="C25" s="18" t="s">
        <v>602</v>
      </c>
      <c r="D25" s="18" t="s">
        <v>602</v>
      </c>
      <c r="E25" s="2" t="str">
        <f t="shared" si="0"/>
        <v>e</v>
      </c>
      <c r="F25" s="2">
        <f t="shared" si="1"/>
        <v>5</v>
      </c>
      <c r="G25" s="2">
        <v>2005</v>
      </c>
      <c r="H25" s="2" t="s">
        <v>1091</v>
      </c>
      <c r="I25" s="2" t="s">
        <v>1086</v>
      </c>
      <c r="J25" s="2" t="s">
        <v>676</v>
      </c>
      <c r="K25" s="2" t="s">
        <v>398</v>
      </c>
      <c r="L25" s="2" t="s">
        <v>1087</v>
      </c>
      <c r="O25" s="2" t="s">
        <v>2175</v>
      </c>
      <c r="P25" s="2" t="s">
        <v>4181</v>
      </c>
    </row>
    <row r="26" spans="1:16" ht="17.25" customHeight="1" x14ac:dyDescent="0.2">
      <c r="A26" s="18" t="s">
        <v>973</v>
      </c>
      <c r="B26" s="18" t="s">
        <v>4182</v>
      </c>
      <c r="C26" s="18" t="s">
        <v>602</v>
      </c>
      <c r="D26" s="18" t="s">
        <v>602</v>
      </c>
      <c r="E26" s="2" t="str">
        <f t="shared" si="0"/>
        <v>f</v>
      </c>
      <c r="F26" s="2">
        <f t="shared" si="1"/>
        <v>6</v>
      </c>
      <c r="G26" s="2">
        <v>2006</v>
      </c>
      <c r="H26" s="2" t="s">
        <v>1092</v>
      </c>
      <c r="I26" s="2" t="s">
        <v>1086</v>
      </c>
      <c r="J26" s="2" t="s">
        <v>676</v>
      </c>
      <c r="K26" s="2" t="s">
        <v>398</v>
      </c>
      <c r="L26" s="2" t="s">
        <v>1087</v>
      </c>
      <c r="O26" s="2" t="s">
        <v>2175</v>
      </c>
      <c r="P26" s="2" t="s">
        <v>4181</v>
      </c>
    </row>
    <row r="27" spans="1:16" ht="17.25" customHeight="1" x14ac:dyDescent="0.2">
      <c r="A27" s="18" t="s">
        <v>973</v>
      </c>
      <c r="B27" s="18" t="s">
        <v>4182</v>
      </c>
      <c r="C27" s="18" t="s">
        <v>602</v>
      </c>
      <c r="D27" s="18" t="s">
        <v>602</v>
      </c>
      <c r="E27" s="2" t="str">
        <f t="shared" si="0"/>
        <v>g</v>
      </c>
      <c r="F27" s="2">
        <f t="shared" si="1"/>
        <v>7</v>
      </c>
      <c r="G27" s="2">
        <v>2007</v>
      </c>
      <c r="H27" s="2" t="s">
        <v>1093</v>
      </c>
      <c r="I27" s="2" t="s">
        <v>1086</v>
      </c>
      <c r="J27" s="2" t="s">
        <v>676</v>
      </c>
      <c r="K27" s="2" t="s">
        <v>398</v>
      </c>
      <c r="L27" s="2" t="s">
        <v>1087</v>
      </c>
      <c r="O27" s="2" t="s">
        <v>2175</v>
      </c>
      <c r="P27" s="2" t="s">
        <v>4181</v>
      </c>
    </row>
    <row r="28" spans="1:16" ht="17.25" customHeight="1" x14ac:dyDescent="0.2">
      <c r="A28" s="18" t="s">
        <v>973</v>
      </c>
      <c r="B28" s="18" t="s">
        <v>4182</v>
      </c>
      <c r="C28" s="18" t="s">
        <v>602</v>
      </c>
      <c r="D28" s="18" t="s">
        <v>602</v>
      </c>
      <c r="E28" s="2" t="str">
        <f t="shared" si="0"/>
        <v>h</v>
      </c>
      <c r="F28" s="2">
        <f t="shared" si="1"/>
        <v>8</v>
      </c>
      <c r="G28" s="2">
        <v>2008</v>
      </c>
      <c r="H28" s="2" t="s">
        <v>1094</v>
      </c>
      <c r="I28" s="2" t="s">
        <v>1086</v>
      </c>
      <c r="J28" s="2" t="s">
        <v>676</v>
      </c>
      <c r="K28" s="2" t="s">
        <v>398</v>
      </c>
      <c r="L28" s="2" t="s">
        <v>1087</v>
      </c>
      <c r="O28" s="2" t="s">
        <v>2175</v>
      </c>
      <c r="P28" s="2" t="s">
        <v>4181</v>
      </c>
    </row>
    <row r="29" spans="1:16" ht="17.25" customHeight="1" x14ac:dyDescent="0.2">
      <c r="A29" s="18" t="s">
        <v>973</v>
      </c>
      <c r="B29" s="18" t="s">
        <v>4182</v>
      </c>
      <c r="C29" s="18" t="s">
        <v>602</v>
      </c>
      <c r="D29" s="18" t="s">
        <v>602</v>
      </c>
      <c r="E29" s="2" t="str">
        <f t="shared" si="0"/>
        <v>i</v>
      </c>
      <c r="F29" s="2">
        <f t="shared" si="1"/>
        <v>9</v>
      </c>
      <c r="G29" s="2">
        <v>2009</v>
      </c>
      <c r="H29" s="2" t="s">
        <v>1095</v>
      </c>
      <c r="I29" s="2" t="s">
        <v>1086</v>
      </c>
      <c r="J29" s="2" t="s">
        <v>676</v>
      </c>
      <c r="K29" s="2" t="s">
        <v>398</v>
      </c>
      <c r="L29" s="2" t="s">
        <v>1087</v>
      </c>
      <c r="O29" s="2" t="s">
        <v>2175</v>
      </c>
      <c r="P29" s="2" t="s">
        <v>4181</v>
      </c>
    </row>
    <row r="30" spans="1:16" ht="17.25" customHeight="1" x14ac:dyDescent="0.2">
      <c r="A30" s="18" t="s">
        <v>973</v>
      </c>
      <c r="B30" s="18" t="s">
        <v>4182</v>
      </c>
      <c r="C30" s="18" t="s">
        <v>602</v>
      </c>
      <c r="D30" s="18" t="s">
        <v>602</v>
      </c>
      <c r="E30" s="2" t="str">
        <f t="shared" si="0"/>
        <v>j</v>
      </c>
      <c r="F30" s="2">
        <f t="shared" si="1"/>
        <v>10</v>
      </c>
      <c r="G30" s="2">
        <v>2010</v>
      </c>
      <c r="H30" s="2" t="s">
        <v>1096</v>
      </c>
      <c r="I30" s="2" t="s">
        <v>1086</v>
      </c>
      <c r="J30" s="2" t="s">
        <v>676</v>
      </c>
      <c r="K30" s="2" t="s">
        <v>398</v>
      </c>
      <c r="L30" s="2" t="s">
        <v>1087</v>
      </c>
      <c r="O30" s="2" t="s">
        <v>2175</v>
      </c>
      <c r="P30" s="2" t="s">
        <v>4181</v>
      </c>
    </row>
    <row r="31" spans="1:16" ht="17.25" customHeight="1" x14ac:dyDescent="0.2">
      <c r="A31" s="18" t="s">
        <v>973</v>
      </c>
      <c r="B31" s="18" t="s">
        <v>4182</v>
      </c>
      <c r="C31" s="18" t="s">
        <v>602</v>
      </c>
      <c r="D31" s="18" t="s">
        <v>602</v>
      </c>
      <c r="E31" s="2" t="str">
        <f t="shared" si="0"/>
        <v>k</v>
      </c>
      <c r="F31" s="2">
        <f t="shared" si="1"/>
        <v>11</v>
      </c>
      <c r="G31" s="2">
        <v>2011</v>
      </c>
      <c r="H31" s="2" t="s">
        <v>1097</v>
      </c>
      <c r="I31" s="2" t="s">
        <v>1086</v>
      </c>
      <c r="J31" s="2" t="s">
        <v>676</v>
      </c>
      <c r="K31" s="2" t="s">
        <v>398</v>
      </c>
      <c r="L31" s="2" t="s">
        <v>1087</v>
      </c>
      <c r="O31" s="2" t="s">
        <v>2175</v>
      </c>
      <c r="P31" s="2" t="s">
        <v>4181</v>
      </c>
    </row>
    <row r="32" spans="1:16" ht="17.25" customHeight="1" x14ac:dyDescent="0.2">
      <c r="A32" s="18" t="s">
        <v>973</v>
      </c>
      <c r="B32" s="18" t="s">
        <v>4182</v>
      </c>
      <c r="C32" s="18" t="s">
        <v>602</v>
      </c>
      <c r="D32" s="18" t="s">
        <v>602</v>
      </c>
      <c r="E32" s="2" t="str">
        <f t="shared" si="0"/>
        <v>l</v>
      </c>
      <c r="F32" s="2">
        <f t="shared" si="1"/>
        <v>12</v>
      </c>
      <c r="G32" s="2">
        <v>2012</v>
      </c>
      <c r="H32" s="2" t="s">
        <v>1098</v>
      </c>
      <c r="I32" s="2" t="s">
        <v>1086</v>
      </c>
      <c r="J32" s="2" t="s">
        <v>676</v>
      </c>
      <c r="K32" s="2" t="s">
        <v>398</v>
      </c>
      <c r="L32" s="2" t="s">
        <v>1087</v>
      </c>
      <c r="O32" s="2" t="s">
        <v>2175</v>
      </c>
      <c r="P32" s="2" t="s">
        <v>4181</v>
      </c>
    </row>
    <row r="33" spans="1:16" ht="17.25" customHeight="1" x14ac:dyDescent="0.2">
      <c r="A33" s="18" t="s">
        <v>973</v>
      </c>
      <c r="B33" s="18" t="s">
        <v>4182</v>
      </c>
      <c r="C33" s="18" t="s">
        <v>602</v>
      </c>
      <c r="D33" s="18" t="s">
        <v>602</v>
      </c>
      <c r="E33" s="2" t="str">
        <f t="shared" si="0"/>
        <v>m</v>
      </c>
      <c r="F33" s="2">
        <f t="shared" si="1"/>
        <v>13</v>
      </c>
      <c r="G33" s="2">
        <v>2013</v>
      </c>
      <c r="H33" s="2" t="s">
        <v>1099</v>
      </c>
      <c r="I33" s="2" t="s">
        <v>1086</v>
      </c>
      <c r="J33" s="2" t="s">
        <v>676</v>
      </c>
      <c r="K33" s="2" t="s">
        <v>398</v>
      </c>
      <c r="L33" s="2" t="s">
        <v>1087</v>
      </c>
      <c r="O33" s="2" t="s">
        <v>2175</v>
      </c>
      <c r="P33" s="2" t="s">
        <v>4181</v>
      </c>
    </row>
    <row r="34" spans="1:16" ht="17.25" customHeight="1" x14ac:dyDescent="0.2">
      <c r="A34" s="18" t="s">
        <v>973</v>
      </c>
      <c r="B34" s="18" t="s">
        <v>4182</v>
      </c>
      <c r="C34" s="18" t="s">
        <v>602</v>
      </c>
      <c r="D34" s="18" t="s">
        <v>602</v>
      </c>
      <c r="E34" s="2" t="str">
        <f t="shared" si="0"/>
        <v>n</v>
      </c>
      <c r="F34" s="2">
        <f t="shared" si="1"/>
        <v>14</v>
      </c>
      <c r="G34" s="2">
        <v>2014</v>
      </c>
      <c r="H34" s="2" t="s">
        <v>1100</v>
      </c>
      <c r="I34" s="2" t="s">
        <v>1086</v>
      </c>
      <c r="J34" s="2" t="s">
        <v>676</v>
      </c>
      <c r="K34" s="2" t="s">
        <v>398</v>
      </c>
      <c r="L34" s="2" t="s">
        <v>1087</v>
      </c>
      <c r="O34" s="2" t="s">
        <v>2175</v>
      </c>
      <c r="P34" s="2" t="s">
        <v>4181</v>
      </c>
    </row>
    <row r="35" spans="1:16" ht="17.25" customHeight="1" x14ac:dyDescent="0.2">
      <c r="A35" s="18" t="s">
        <v>973</v>
      </c>
      <c r="B35" s="18" t="s">
        <v>4182</v>
      </c>
      <c r="C35" s="18" t="s">
        <v>602</v>
      </c>
      <c r="D35" s="18" t="s">
        <v>602</v>
      </c>
      <c r="E35" s="2" t="str">
        <f t="shared" si="0"/>
        <v>o</v>
      </c>
      <c r="F35" s="2">
        <f t="shared" si="1"/>
        <v>15</v>
      </c>
      <c r="G35" s="2">
        <v>2015</v>
      </c>
      <c r="H35" s="2" t="s">
        <v>1101</v>
      </c>
      <c r="I35" s="2" t="s">
        <v>1086</v>
      </c>
      <c r="J35" s="2" t="s">
        <v>676</v>
      </c>
      <c r="K35" s="2" t="s">
        <v>398</v>
      </c>
      <c r="L35" s="2" t="s">
        <v>1087</v>
      </c>
      <c r="O35" s="2" t="s">
        <v>2175</v>
      </c>
      <c r="P35" s="2" t="s">
        <v>4181</v>
      </c>
    </row>
    <row r="36" spans="1:16" ht="17.25" customHeight="1" x14ac:dyDescent="0.2">
      <c r="A36" s="18" t="s">
        <v>973</v>
      </c>
      <c r="B36" s="18" t="s">
        <v>4182</v>
      </c>
      <c r="C36" s="18" t="s">
        <v>602</v>
      </c>
      <c r="D36" s="18" t="s">
        <v>602</v>
      </c>
      <c r="E36" s="2" t="str">
        <f t="shared" si="0"/>
        <v>p</v>
      </c>
      <c r="F36" s="2">
        <f t="shared" si="1"/>
        <v>16</v>
      </c>
      <c r="G36" s="2">
        <v>2016</v>
      </c>
      <c r="H36" s="2" t="s">
        <v>1102</v>
      </c>
      <c r="I36" s="2" t="s">
        <v>1086</v>
      </c>
      <c r="J36" s="2" t="s">
        <v>676</v>
      </c>
      <c r="K36" s="2" t="s">
        <v>398</v>
      </c>
      <c r="L36" s="2" t="s">
        <v>1087</v>
      </c>
      <c r="O36" s="2" t="s">
        <v>2175</v>
      </c>
      <c r="P36" s="2" t="s">
        <v>4181</v>
      </c>
    </row>
    <row r="37" spans="1:16" ht="17.25" customHeight="1" x14ac:dyDescent="0.2">
      <c r="A37" s="18" t="s">
        <v>973</v>
      </c>
      <c r="B37" s="18" t="s">
        <v>4182</v>
      </c>
      <c r="C37" s="18" t="s">
        <v>602</v>
      </c>
      <c r="D37" s="18" t="s">
        <v>602</v>
      </c>
      <c r="E37" s="2" t="str">
        <f t="shared" si="0"/>
        <v>q</v>
      </c>
      <c r="F37" s="2">
        <f t="shared" si="1"/>
        <v>17</v>
      </c>
      <c r="G37" s="2">
        <v>2017</v>
      </c>
      <c r="H37" s="2" t="s">
        <v>1103</v>
      </c>
      <c r="I37" s="2" t="s">
        <v>1086</v>
      </c>
      <c r="J37" s="2" t="s">
        <v>676</v>
      </c>
      <c r="K37" s="2" t="s">
        <v>398</v>
      </c>
      <c r="L37" s="2" t="s">
        <v>1087</v>
      </c>
      <c r="O37" s="2" t="s">
        <v>2175</v>
      </c>
      <c r="P37" s="2" t="s">
        <v>4181</v>
      </c>
    </row>
    <row r="38" spans="1:16" ht="17.25" customHeight="1" x14ac:dyDescent="0.2">
      <c r="A38" s="18" t="s">
        <v>973</v>
      </c>
      <c r="B38" s="18" t="s">
        <v>4182</v>
      </c>
      <c r="C38" s="18" t="s">
        <v>602</v>
      </c>
      <c r="D38" s="18" t="s">
        <v>602</v>
      </c>
      <c r="E38" s="2" t="str">
        <f t="shared" si="0"/>
        <v>r</v>
      </c>
      <c r="F38" s="2">
        <f t="shared" si="1"/>
        <v>18</v>
      </c>
      <c r="G38" s="2">
        <v>2018</v>
      </c>
      <c r="H38" s="2" t="s">
        <v>1123</v>
      </c>
      <c r="I38" s="2" t="s">
        <v>1086</v>
      </c>
      <c r="J38" s="2" t="s">
        <v>676</v>
      </c>
      <c r="K38" s="2" t="s">
        <v>398</v>
      </c>
      <c r="L38" s="2" t="s">
        <v>1087</v>
      </c>
      <c r="O38" s="2" t="s">
        <v>2175</v>
      </c>
      <c r="P38" s="2" t="s">
        <v>4181</v>
      </c>
    </row>
    <row r="39" spans="1:16" ht="17.25" customHeight="1" x14ac:dyDescent="0.2">
      <c r="A39" s="20" t="s">
        <v>973</v>
      </c>
      <c r="B39" s="20" t="s">
        <v>3</v>
      </c>
      <c r="C39" s="20" t="s">
        <v>675</v>
      </c>
      <c r="D39" s="20" t="s">
        <v>918</v>
      </c>
      <c r="E39" s="2" t="str">
        <f t="shared" si="0"/>
        <v>a</v>
      </c>
      <c r="F39" s="2">
        <f t="shared" si="1"/>
        <v>1</v>
      </c>
      <c r="G39" s="2">
        <v>2001</v>
      </c>
      <c r="H39" s="2" t="s">
        <v>974</v>
      </c>
      <c r="I39" s="2" t="s">
        <v>975</v>
      </c>
      <c r="J39" s="2" t="s">
        <v>976</v>
      </c>
      <c r="K39" s="2" t="s">
        <v>398</v>
      </c>
      <c r="L39" s="2" t="s">
        <v>8</v>
      </c>
      <c r="M39">
        <v>0</v>
      </c>
      <c r="N39">
        <v>10</v>
      </c>
    </row>
    <row r="40" spans="1:16" ht="17.25" customHeight="1" x14ac:dyDescent="0.2">
      <c r="A40" s="20" t="s">
        <v>973</v>
      </c>
      <c r="B40" s="20" t="s">
        <v>3</v>
      </c>
      <c r="C40" s="20" t="s">
        <v>675</v>
      </c>
      <c r="D40" s="20" t="s">
        <v>918</v>
      </c>
      <c r="E40" s="2" t="str">
        <f t="shared" si="0"/>
        <v>b</v>
      </c>
      <c r="F40" s="2">
        <f t="shared" si="1"/>
        <v>2</v>
      </c>
      <c r="G40" s="2">
        <v>2002</v>
      </c>
      <c r="H40" s="2" t="s">
        <v>977</v>
      </c>
      <c r="I40" s="2" t="s">
        <v>975</v>
      </c>
      <c r="J40" s="2" t="s">
        <v>976</v>
      </c>
      <c r="K40" s="2" t="s">
        <v>398</v>
      </c>
      <c r="L40" s="2" t="s">
        <v>8</v>
      </c>
      <c r="M40">
        <v>0</v>
      </c>
      <c r="N40">
        <v>10</v>
      </c>
    </row>
    <row r="41" spans="1:16" ht="17.25" customHeight="1" x14ac:dyDescent="0.2">
      <c r="A41" s="20" t="s">
        <v>973</v>
      </c>
      <c r="B41" s="20" t="s">
        <v>3</v>
      </c>
      <c r="C41" s="20" t="s">
        <v>675</v>
      </c>
      <c r="D41" s="20" t="s">
        <v>918</v>
      </c>
      <c r="E41" s="2" t="str">
        <f t="shared" si="0"/>
        <v>c</v>
      </c>
      <c r="F41" s="2">
        <f t="shared" si="1"/>
        <v>3</v>
      </c>
      <c r="G41" s="2">
        <v>2003</v>
      </c>
      <c r="H41" s="2" t="s">
        <v>978</v>
      </c>
      <c r="I41" s="2" t="s">
        <v>975</v>
      </c>
      <c r="J41" s="2" t="s">
        <v>976</v>
      </c>
      <c r="K41" s="2" t="s">
        <v>398</v>
      </c>
      <c r="L41" s="2" t="s">
        <v>8</v>
      </c>
      <c r="M41">
        <v>0</v>
      </c>
      <c r="N41">
        <v>10</v>
      </c>
    </row>
    <row r="42" spans="1:16" ht="17.25" customHeight="1" x14ac:dyDescent="0.2">
      <c r="A42" s="20" t="s">
        <v>973</v>
      </c>
      <c r="B42" s="20" t="s">
        <v>3</v>
      </c>
      <c r="C42" s="20" t="s">
        <v>675</v>
      </c>
      <c r="D42" s="20" t="s">
        <v>918</v>
      </c>
      <c r="E42" s="2" t="str">
        <f t="shared" si="0"/>
        <v>d</v>
      </c>
      <c r="F42" s="2">
        <f t="shared" si="1"/>
        <v>4</v>
      </c>
      <c r="G42" s="2">
        <v>2004</v>
      </c>
      <c r="H42" s="2" t="s">
        <v>979</v>
      </c>
      <c r="I42" s="2" t="s">
        <v>975</v>
      </c>
      <c r="J42" s="2" t="s">
        <v>976</v>
      </c>
      <c r="K42" s="2" t="s">
        <v>398</v>
      </c>
      <c r="L42" s="2" t="s">
        <v>8</v>
      </c>
      <c r="M42">
        <v>0</v>
      </c>
      <c r="N42">
        <v>10</v>
      </c>
    </row>
    <row r="43" spans="1:16" ht="17.25" customHeight="1" x14ac:dyDescent="0.2">
      <c r="A43" s="20" t="s">
        <v>973</v>
      </c>
      <c r="B43" s="20" t="s">
        <v>3</v>
      </c>
      <c r="C43" s="20" t="s">
        <v>675</v>
      </c>
      <c r="D43" s="20" t="s">
        <v>918</v>
      </c>
      <c r="E43" s="2" t="str">
        <f t="shared" si="0"/>
        <v>e</v>
      </c>
      <c r="F43" s="2">
        <f t="shared" si="1"/>
        <v>5</v>
      </c>
      <c r="G43" s="2">
        <v>2005</v>
      </c>
      <c r="H43" s="2" t="s">
        <v>980</v>
      </c>
      <c r="I43" s="2" t="s">
        <v>975</v>
      </c>
      <c r="J43" s="2" t="s">
        <v>976</v>
      </c>
      <c r="K43" s="2" t="s">
        <v>398</v>
      </c>
      <c r="L43" s="2" t="s">
        <v>8</v>
      </c>
      <c r="M43">
        <v>0</v>
      </c>
      <c r="N43">
        <v>10</v>
      </c>
    </row>
    <row r="44" spans="1:16" ht="17.25" customHeight="1" x14ac:dyDescent="0.2">
      <c r="A44" s="20" t="s">
        <v>973</v>
      </c>
      <c r="B44" s="20" t="s">
        <v>3</v>
      </c>
      <c r="C44" s="20" t="s">
        <v>675</v>
      </c>
      <c r="D44" s="20" t="s">
        <v>918</v>
      </c>
      <c r="E44" s="2" t="str">
        <f t="shared" si="0"/>
        <v>f</v>
      </c>
      <c r="F44" s="2">
        <f t="shared" si="1"/>
        <v>6</v>
      </c>
      <c r="G44" s="2">
        <v>2006</v>
      </c>
      <c r="H44" s="2" t="s">
        <v>981</v>
      </c>
      <c r="I44" s="2" t="s">
        <v>975</v>
      </c>
      <c r="J44" s="2" t="s">
        <v>976</v>
      </c>
      <c r="K44" s="2" t="s">
        <v>398</v>
      </c>
      <c r="L44" s="2" t="s">
        <v>8</v>
      </c>
      <c r="M44">
        <v>0</v>
      </c>
      <c r="N44">
        <v>10</v>
      </c>
    </row>
    <row r="45" spans="1:16" ht="17.25" customHeight="1" x14ac:dyDescent="0.2">
      <c r="A45" s="20" t="s">
        <v>973</v>
      </c>
      <c r="B45" s="20" t="s">
        <v>3</v>
      </c>
      <c r="C45" s="20" t="s">
        <v>675</v>
      </c>
      <c r="D45" s="20" t="s">
        <v>918</v>
      </c>
      <c r="E45" s="2" t="str">
        <f t="shared" si="0"/>
        <v>g</v>
      </c>
      <c r="F45" s="2">
        <f t="shared" si="1"/>
        <v>7</v>
      </c>
      <c r="G45" s="2">
        <v>2007</v>
      </c>
      <c r="H45" s="2" t="s">
        <v>982</v>
      </c>
      <c r="I45" s="2" t="s">
        <v>975</v>
      </c>
      <c r="J45" s="2" t="s">
        <v>976</v>
      </c>
      <c r="K45" s="2" t="s">
        <v>398</v>
      </c>
      <c r="L45" s="2" t="s">
        <v>8</v>
      </c>
      <c r="M45">
        <v>0</v>
      </c>
      <c r="N45">
        <v>10</v>
      </c>
    </row>
    <row r="46" spans="1:16" ht="17.25" customHeight="1" x14ac:dyDescent="0.2">
      <c r="A46" s="20" t="s">
        <v>973</v>
      </c>
      <c r="B46" s="20" t="s">
        <v>3</v>
      </c>
      <c r="C46" s="20" t="s">
        <v>675</v>
      </c>
      <c r="D46" s="20" t="s">
        <v>918</v>
      </c>
      <c r="E46" s="2" t="str">
        <f t="shared" si="0"/>
        <v>h</v>
      </c>
      <c r="F46" s="2">
        <f t="shared" si="1"/>
        <v>8</v>
      </c>
      <c r="G46" s="2">
        <v>2008</v>
      </c>
      <c r="H46" s="2" t="s">
        <v>983</v>
      </c>
      <c r="I46" s="2" t="s">
        <v>975</v>
      </c>
      <c r="J46" s="2" t="s">
        <v>976</v>
      </c>
      <c r="K46" s="2" t="s">
        <v>398</v>
      </c>
      <c r="L46" s="2" t="s">
        <v>8</v>
      </c>
      <c r="M46">
        <v>0</v>
      </c>
      <c r="N46">
        <v>10</v>
      </c>
    </row>
    <row r="47" spans="1:16" ht="17.25" customHeight="1" x14ac:dyDescent="0.2">
      <c r="A47" s="20" t="s">
        <v>973</v>
      </c>
      <c r="B47" s="20" t="s">
        <v>3</v>
      </c>
      <c r="C47" s="20" t="s">
        <v>675</v>
      </c>
      <c r="D47" s="20" t="s">
        <v>918</v>
      </c>
      <c r="E47" s="2" t="str">
        <f t="shared" si="0"/>
        <v>i</v>
      </c>
      <c r="F47" s="2">
        <f t="shared" si="1"/>
        <v>9</v>
      </c>
      <c r="G47" s="2">
        <v>2009</v>
      </c>
      <c r="H47" s="2" t="s">
        <v>984</v>
      </c>
      <c r="I47" s="2" t="s">
        <v>975</v>
      </c>
      <c r="J47" s="2" t="s">
        <v>976</v>
      </c>
      <c r="K47" s="2" t="s">
        <v>398</v>
      </c>
      <c r="L47" s="2" t="s">
        <v>8</v>
      </c>
      <c r="M47">
        <v>0</v>
      </c>
      <c r="N47">
        <v>10</v>
      </c>
    </row>
    <row r="48" spans="1:16" ht="17.25" customHeight="1" x14ac:dyDescent="0.2">
      <c r="A48" s="20" t="s">
        <v>973</v>
      </c>
      <c r="B48" s="20" t="s">
        <v>3</v>
      </c>
      <c r="C48" s="20" t="s">
        <v>675</v>
      </c>
      <c r="D48" s="20" t="s">
        <v>918</v>
      </c>
      <c r="E48" s="2" t="str">
        <f t="shared" si="0"/>
        <v>j</v>
      </c>
      <c r="F48" s="2">
        <f t="shared" si="1"/>
        <v>10</v>
      </c>
      <c r="G48" s="2">
        <v>2010</v>
      </c>
      <c r="H48" s="2" t="s">
        <v>985</v>
      </c>
      <c r="I48" s="2" t="s">
        <v>975</v>
      </c>
      <c r="J48" s="2" t="s">
        <v>976</v>
      </c>
      <c r="K48" s="2" t="s">
        <v>398</v>
      </c>
      <c r="L48" s="2" t="s">
        <v>8</v>
      </c>
      <c r="M48">
        <v>0</v>
      </c>
      <c r="N48">
        <v>10</v>
      </c>
    </row>
    <row r="49" spans="1:15" ht="17.25" customHeight="1" x14ac:dyDescent="0.2">
      <c r="A49" s="20" t="s">
        <v>973</v>
      </c>
      <c r="B49" s="20" t="s">
        <v>3</v>
      </c>
      <c r="C49" s="20" t="s">
        <v>675</v>
      </c>
      <c r="D49" s="20" t="s">
        <v>918</v>
      </c>
      <c r="E49" s="2" t="str">
        <f t="shared" si="0"/>
        <v>k</v>
      </c>
      <c r="F49" s="2">
        <f t="shared" si="1"/>
        <v>11</v>
      </c>
      <c r="G49" s="2">
        <v>2011</v>
      </c>
      <c r="H49" s="2" t="s">
        <v>986</v>
      </c>
      <c r="I49" s="2" t="s">
        <v>975</v>
      </c>
      <c r="J49" s="2" t="s">
        <v>976</v>
      </c>
      <c r="K49" s="2" t="s">
        <v>398</v>
      </c>
      <c r="L49" s="2" t="s">
        <v>8</v>
      </c>
      <c r="M49">
        <v>0</v>
      </c>
      <c r="N49">
        <v>10</v>
      </c>
    </row>
    <row r="50" spans="1:15" ht="17.25" customHeight="1" x14ac:dyDescent="0.2">
      <c r="A50" s="20" t="s">
        <v>973</v>
      </c>
      <c r="B50" s="20" t="s">
        <v>3</v>
      </c>
      <c r="C50" s="20" t="s">
        <v>675</v>
      </c>
      <c r="D50" s="20" t="s">
        <v>918</v>
      </c>
      <c r="E50" s="2" t="str">
        <f t="shared" si="0"/>
        <v>l</v>
      </c>
      <c r="F50" s="2">
        <f t="shared" si="1"/>
        <v>12</v>
      </c>
      <c r="G50" s="2">
        <v>2012</v>
      </c>
      <c r="H50" s="2" t="s">
        <v>987</v>
      </c>
      <c r="I50" s="2" t="s">
        <v>975</v>
      </c>
      <c r="J50" s="2" t="s">
        <v>976</v>
      </c>
      <c r="K50" s="2" t="s">
        <v>398</v>
      </c>
      <c r="L50" s="2" t="s">
        <v>8</v>
      </c>
      <c r="M50">
        <v>0</v>
      </c>
      <c r="N50">
        <v>10</v>
      </c>
    </row>
    <row r="51" spans="1:15" ht="17.25" customHeight="1" x14ac:dyDescent="0.2">
      <c r="A51" s="20" t="s">
        <v>973</v>
      </c>
      <c r="B51" s="20" t="s">
        <v>3</v>
      </c>
      <c r="C51" s="20" t="s">
        <v>675</v>
      </c>
      <c r="D51" s="20" t="s">
        <v>918</v>
      </c>
      <c r="E51" s="2" t="str">
        <f t="shared" si="0"/>
        <v>m</v>
      </c>
      <c r="F51" s="2">
        <f t="shared" si="1"/>
        <v>13</v>
      </c>
      <c r="G51" s="2">
        <v>2013</v>
      </c>
      <c r="H51" s="2" t="s">
        <v>988</v>
      </c>
      <c r="I51" s="2" t="s">
        <v>975</v>
      </c>
      <c r="J51" s="2" t="s">
        <v>976</v>
      </c>
      <c r="K51" s="2" t="s">
        <v>398</v>
      </c>
      <c r="L51" s="2" t="s">
        <v>8</v>
      </c>
      <c r="M51">
        <v>0</v>
      </c>
      <c r="N51">
        <v>10</v>
      </c>
    </row>
    <row r="52" spans="1:15" ht="17.25" customHeight="1" x14ac:dyDescent="0.2">
      <c r="A52" s="20" t="s">
        <v>973</v>
      </c>
      <c r="B52" s="20" t="s">
        <v>3</v>
      </c>
      <c r="C52" s="20" t="s">
        <v>675</v>
      </c>
      <c r="D52" s="20" t="s">
        <v>918</v>
      </c>
      <c r="E52" s="2" t="str">
        <f t="shared" si="0"/>
        <v>n</v>
      </c>
      <c r="F52" s="2">
        <f t="shared" si="1"/>
        <v>14</v>
      </c>
      <c r="G52" s="2">
        <v>2014</v>
      </c>
      <c r="H52" s="2" t="s">
        <v>989</v>
      </c>
      <c r="I52" s="2" t="s">
        <v>975</v>
      </c>
      <c r="J52" s="2" t="s">
        <v>976</v>
      </c>
      <c r="K52" s="2" t="s">
        <v>398</v>
      </c>
      <c r="L52" s="2" t="s">
        <v>8</v>
      </c>
      <c r="M52">
        <v>0</v>
      </c>
      <c r="N52">
        <v>10</v>
      </c>
    </row>
    <row r="53" spans="1:15" ht="17.25" customHeight="1" x14ac:dyDescent="0.2">
      <c r="A53" s="20" t="s">
        <v>973</v>
      </c>
      <c r="B53" s="20" t="s">
        <v>3</v>
      </c>
      <c r="C53" s="20" t="s">
        <v>675</v>
      </c>
      <c r="D53" s="20" t="s">
        <v>918</v>
      </c>
      <c r="E53" s="2" t="str">
        <f t="shared" si="0"/>
        <v>o</v>
      </c>
      <c r="F53" s="2">
        <f t="shared" si="1"/>
        <v>15</v>
      </c>
      <c r="G53" s="2">
        <v>2015</v>
      </c>
      <c r="H53" s="2" t="s">
        <v>990</v>
      </c>
      <c r="I53" s="2" t="s">
        <v>975</v>
      </c>
      <c r="J53" s="2" t="s">
        <v>976</v>
      </c>
      <c r="K53" s="2" t="s">
        <v>398</v>
      </c>
      <c r="L53" s="2" t="s">
        <v>8</v>
      </c>
      <c r="M53">
        <v>0</v>
      </c>
      <c r="N53">
        <v>10</v>
      </c>
    </row>
    <row r="54" spans="1:15" ht="17.25" customHeight="1" x14ac:dyDescent="0.2">
      <c r="A54" s="20" t="s">
        <v>973</v>
      </c>
      <c r="B54" s="20" t="s">
        <v>3</v>
      </c>
      <c r="C54" s="20" t="s">
        <v>675</v>
      </c>
      <c r="D54" s="20" t="s">
        <v>918</v>
      </c>
      <c r="E54" s="2" t="str">
        <f t="shared" si="0"/>
        <v>p</v>
      </c>
      <c r="F54" s="2">
        <f t="shared" si="1"/>
        <v>16</v>
      </c>
      <c r="G54" s="2">
        <v>2016</v>
      </c>
      <c r="H54" s="2" t="s">
        <v>991</v>
      </c>
      <c r="I54" s="2" t="s">
        <v>975</v>
      </c>
      <c r="J54" s="2" t="s">
        <v>976</v>
      </c>
      <c r="K54" s="2" t="s">
        <v>398</v>
      </c>
      <c r="L54" s="2" t="s">
        <v>8</v>
      </c>
      <c r="M54">
        <v>0</v>
      </c>
      <c r="N54">
        <v>10</v>
      </c>
    </row>
    <row r="55" spans="1:15" ht="17.25" customHeight="1" x14ac:dyDescent="0.2">
      <c r="A55" s="20" t="s">
        <v>973</v>
      </c>
      <c r="B55" s="20" t="s">
        <v>3</v>
      </c>
      <c r="C55" s="20" t="s">
        <v>675</v>
      </c>
      <c r="D55" s="20" t="s">
        <v>918</v>
      </c>
      <c r="E55" s="2" t="str">
        <f t="shared" si="0"/>
        <v>q</v>
      </c>
      <c r="F55" s="2">
        <f t="shared" si="1"/>
        <v>17</v>
      </c>
      <c r="G55" s="2">
        <v>2017</v>
      </c>
      <c r="H55" s="2" t="s">
        <v>992</v>
      </c>
      <c r="I55" s="2" t="s">
        <v>975</v>
      </c>
      <c r="J55" s="2" t="s">
        <v>976</v>
      </c>
      <c r="K55" s="2" t="s">
        <v>398</v>
      </c>
      <c r="L55" s="2" t="s">
        <v>8</v>
      </c>
      <c r="M55">
        <v>0</v>
      </c>
      <c r="N55">
        <v>10</v>
      </c>
    </row>
    <row r="56" spans="1:15" ht="17.25" customHeight="1" x14ac:dyDescent="0.2">
      <c r="A56" s="20" t="s">
        <v>973</v>
      </c>
      <c r="B56" s="20" t="s">
        <v>3</v>
      </c>
      <c r="C56" s="20" t="s">
        <v>675</v>
      </c>
      <c r="D56" s="20" t="s">
        <v>918</v>
      </c>
      <c r="E56" s="2" t="str">
        <f t="shared" si="0"/>
        <v>r</v>
      </c>
      <c r="F56" s="2">
        <f t="shared" si="1"/>
        <v>18</v>
      </c>
      <c r="G56" s="2">
        <v>2018</v>
      </c>
      <c r="H56" s="2" t="s">
        <v>1081</v>
      </c>
      <c r="I56" s="2" t="s">
        <v>975</v>
      </c>
      <c r="J56" s="2" t="s">
        <v>976</v>
      </c>
      <c r="K56" s="2" t="s">
        <v>398</v>
      </c>
      <c r="L56" s="2" t="s">
        <v>8</v>
      </c>
      <c r="M56">
        <v>0</v>
      </c>
      <c r="N56">
        <v>10</v>
      </c>
    </row>
    <row r="57" spans="1:15" ht="17.25" customHeight="1" x14ac:dyDescent="0.2">
      <c r="A57" s="18" t="s">
        <v>973</v>
      </c>
      <c r="B57" s="18" t="s">
        <v>274</v>
      </c>
      <c r="C57" s="18" t="s">
        <v>239</v>
      </c>
      <c r="D57" s="18" t="s">
        <v>993</v>
      </c>
      <c r="E57" s="2" t="str">
        <f t="shared" si="0"/>
        <v>a</v>
      </c>
      <c r="F57" s="2">
        <f t="shared" si="1"/>
        <v>1</v>
      </c>
      <c r="G57" s="2">
        <v>2001</v>
      </c>
      <c r="H57" s="2" t="s">
        <v>994</v>
      </c>
      <c r="I57" s="2" t="s">
        <v>995</v>
      </c>
      <c r="J57" s="2" t="s">
        <v>996</v>
      </c>
      <c r="K57" s="2" t="s">
        <v>398</v>
      </c>
      <c r="L57" s="2" t="s">
        <v>8</v>
      </c>
      <c r="M57">
        <v>0</v>
      </c>
      <c r="N57">
        <v>10</v>
      </c>
      <c r="O57" s="2"/>
    </row>
    <row r="58" spans="1:15" ht="17.25" customHeight="1" x14ac:dyDescent="0.2">
      <c r="A58" s="18" t="s">
        <v>973</v>
      </c>
      <c r="B58" s="18" t="s">
        <v>274</v>
      </c>
      <c r="C58" s="18" t="s">
        <v>239</v>
      </c>
      <c r="D58" s="18" t="s">
        <v>993</v>
      </c>
      <c r="E58" s="2" t="str">
        <f t="shared" si="0"/>
        <v>b</v>
      </c>
      <c r="F58" s="2">
        <f t="shared" si="1"/>
        <v>2</v>
      </c>
      <c r="G58" s="2">
        <v>2002</v>
      </c>
      <c r="H58" s="2" t="s">
        <v>997</v>
      </c>
      <c r="I58" s="2" t="s">
        <v>995</v>
      </c>
      <c r="J58" s="2" t="s">
        <v>996</v>
      </c>
      <c r="K58" s="2" t="s">
        <v>398</v>
      </c>
      <c r="L58" s="2" t="s">
        <v>8</v>
      </c>
      <c r="M58">
        <v>0</v>
      </c>
      <c r="N58">
        <v>10</v>
      </c>
      <c r="O58" s="2"/>
    </row>
    <row r="59" spans="1:15" ht="17.25" customHeight="1" x14ac:dyDescent="0.2">
      <c r="A59" s="18" t="s">
        <v>973</v>
      </c>
      <c r="B59" s="18" t="s">
        <v>274</v>
      </c>
      <c r="C59" s="18" t="s">
        <v>239</v>
      </c>
      <c r="D59" s="18" t="s">
        <v>993</v>
      </c>
      <c r="E59" s="2" t="str">
        <f t="shared" si="0"/>
        <v>c</v>
      </c>
      <c r="F59" s="2">
        <f t="shared" si="1"/>
        <v>3</v>
      </c>
      <c r="G59" s="2">
        <v>2003</v>
      </c>
      <c r="H59" s="2" t="s">
        <v>998</v>
      </c>
      <c r="I59" s="2" t="s">
        <v>995</v>
      </c>
      <c r="J59" s="2" t="s">
        <v>996</v>
      </c>
      <c r="K59" s="2" t="s">
        <v>398</v>
      </c>
      <c r="L59" s="2" t="s">
        <v>8</v>
      </c>
      <c r="M59">
        <v>0</v>
      </c>
      <c r="N59">
        <v>10</v>
      </c>
      <c r="O59" s="2"/>
    </row>
    <row r="60" spans="1:15" ht="17.25" customHeight="1" x14ac:dyDescent="0.2">
      <c r="A60" s="18" t="s">
        <v>973</v>
      </c>
      <c r="B60" s="18" t="s">
        <v>274</v>
      </c>
      <c r="C60" s="18" t="s">
        <v>239</v>
      </c>
      <c r="D60" s="18" t="s">
        <v>993</v>
      </c>
      <c r="E60" s="2" t="str">
        <f t="shared" si="0"/>
        <v>d</v>
      </c>
      <c r="F60" s="2">
        <f t="shared" si="1"/>
        <v>4</v>
      </c>
      <c r="G60" s="2">
        <v>2004</v>
      </c>
      <c r="H60" s="2" t="s">
        <v>999</v>
      </c>
      <c r="I60" s="2" t="s">
        <v>995</v>
      </c>
      <c r="J60" s="2" t="s">
        <v>996</v>
      </c>
      <c r="K60" s="2" t="s">
        <v>398</v>
      </c>
      <c r="L60" s="2" t="s">
        <v>8</v>
      </c>
      <c r="M60">
        <v>0</v>
      </c>
      <c r="N60">
        <v>10</v>
      </c>
      <c r="O60" s="2"/>
    </row>
    <row r="61" spans="1:15" ht="17.25" customHeight="1" x14ac:dyDescent="0.2">
      <c r="A61" s="18" t="s">
        <v>973</v>
      </c>
      <c r="B61" s="18" t="s">
        <v>274</v>
      </c>
      <c r="C61" s="18" t="s">
        <v>239</v>
      </c>
      <c r="D61" s="18" t="s">
        <v>993</v>
      </c>
      <c r="E61" s="2" t="str">
        <f t="shared" si="0"/>
        <v>e</v>
      </c>
      <c r="F61" s="2">
        <f t="shared" si="1"/>
        <v>5</v>
      </c>
      <c r="G61" s="2">
        <v>2005</v>
      </c>
      <c r="H61" s="2" t="s">
        <v>1000</v>
      </c>
      <c r="I61" s="2" t="s">
        <v>995</v>
      </c>
      <c r="J61" s="2" t="s">
        <v>996</v>
      </c>
      <c r="K61" s="2" t="s">
        <v>398</v>
      </c>
      <c r="L61" s="2" t="s">
        <v>8</v>
      </c>
      <c r="M61">
        <v>0</v>
      </c>
      <c r="N61">
        <v>10</v>
      </c>
      <c r="O61" s="2"/>
    </row>
    <row r="62" spans="1:15" ht="17.25" customHeight="1" x14ac:dyDescent="0.2">
      <c r="A62" s="18" t="s">
        <v>973</v>
      </c>
      <c r="B62" s="18" t="s">
        <v>274</v>
      </c>
      <c r="C62" s="18" t="s">
        <v>239</v>
      </c>
      <c r="D62" s="18" t="s">
        <v>993</v>
      </c>
      <c r="E62" s="2" t="str">
        <f t="shared" si="0"/>
        <v>f</v>
      </c>
      <c r="F62" s="2">
        <f t="shared" si="1"/>
        <v>6</v>
      </c>
      <c r="G62" s="2">
        <v>2006</v>
      </c>
      <c r="H62" s="2" t="s">
        <v>1001</v>
      </c>
      <c r="I62" s="2" t="s">
        <v>995</v>
      </c>
      <c r="J62" s="2" t="s">
        <v>996</v>
      </c>
      <c r="K62" s="2" t="s">
        <v>398</v>
      </c>
      <c r="L62" s="2" t="s">
        <v>8</v>
      </c>
      <c r="M62">
        <v>0</v>
      </c>
      <c r="N62">
        <v>10</v>
      </c>
      <c r="O62" s="2"/>
    </row>
    <row r="63" spans="1:15" ht="17.25" customHeight="1" x14ac:dyDescent="0.2">
      <c r="A63" s="18" t="s">
        <v>973</v>
      </c>
      <c r="B63" s="18" t="s">
        <v>274</v>
      </c>
      <c r="C63" s="18" t="s">
        <v>239</v>
      </c>
      <c r="D63" s="18" t="s">
        <v>993</v>
      </c>
      <c r="E63" s="2" t="str">
        <f t="shared" si="0"/>
        <v>g</v>
      </c>
      <c r="F63" s="2">
        <f t="shared" si="1"/>
        <v>7</v>
      </c>
      <c r="G63" s="2">
        <v>2007</v>
      </c>
      <c r="H63" s="2" t="s">
        <v>1002</v>
      </c>
      <c r="I63" s="2" t="s">
        <v>995</v>
      </c>
      <c r="J63" s="2" t="s">
        <v>996</v>
      </c>
      <c r="K63" s="2" t="s">
        <v>398</v>
      </c>
      <c r="L63" s="2" t="s">
        <v>8</v>
      </c>
      <c r="M63">
        <v>0</v>
      </c>
      <c r="N63">
        <v>10</v>
      </c>
      <c r="O63" s="2"/>
    </row>
    <row r="64" spans="1:15" ht="17.25" customHeight="1" x14ac:dyDescent="0.2">
      <c r="A64" s="18" t="s">
        <v>973</v>
      </c>
      <c r="B64" s="18" t="s">
        <v>274</v>
      </c>
      <c r="C64" s="18" t="s">
        <v>239</v>
      </c>
      <c r="D64" s="18" t="s">
        <v>993</v>
      </c>
      <c r="E64" s="2" t="str">
        <f t="shared" si="0"/>
        <v>h</v>
      </c>
      <c r="F64" s="2">
        <f t="shared" si="1"/>
        <v>8</v>
      </c>
      <c r="G64" s="2">
        <v>2008</v>
      </c>
      <c r="H64" s="2" t="s">
        <v>1003</v>
      </c>
      <c r="I64" s="2" t="s">
        <v>995</v>
      </c>
      <c r="J64" s="2" t="s">
        <v>996</v>
      </c>
      <c r="K64" s="2" t="s">
        <v>398</v>
      </c>
      <c r="L64" s="2" t="s">
        <v>8</v>
      </c>
      <c r="M64">
        <v>0</v>
      </c>
      <c r="N64">
        <v>10</v>
      </c>
      <c r="O64" s="2"/>
    </row>
    <row r="65" spans="1:15" ht="17.25" customHeight="1" x14ac:dyDescent="0.2">
      <c r="A65" s="18" t="s">
        <v>973</v>
      </c>
      <c r="B65" s="18" t="s">
        <v>274</v>
      </c>
      <c r="C65" s="18" t="s">
        <v>239</v>
      </c>
      <c r="D65" s="18" t="s">
        <v>993</v>
      </c>
      <c r="E65" s="2" t="str">
        <f t="shared" si="0"/>
        <v>i</v>
      </c>
      <c r="F65" s="2">
        <f t="shared" si="1"/>
        <v>9</v>
      </c>
      <c r="G65" s="2">
        <v>2009</v>
      </c>
      <c r="H65" s="2" t="s">
        <v>1004</v>
      </c>
      <c r="I65" s="2" t="s">
        <v>995</v>
      </c>
      <c r="J65" s="2" t="s">
        <v>996</v>
      </c>
      <c r="K65" s="2" t="s">
        <v>398</v>
      </c>
      <c r="L65" s="2" t="s">
        <v>8</v>
      </c>
      <c r="M65">
        <v>0</v>
      </c>
      <c r="N65">
        <v>10</v>
      </c>
      <c r="O65" s="2"/>
    </row>
    <row r="66" spans="1:15" ht="17.25" customHeight="1" x14ac:dyDescent="0.2">
      <c r="A66" s="18" t="s">
        <v>973</v>
      </c>
      <c r="B66" s="18" t="s">
        <v>274</v>
      </c>
      <c r="C66" s="18" t="s">
        <v>239</v>
      </c>
      <c r="D66" s="18" t="s">
        <v>993</v>
      </c>
      <c r="E66" s="2" t="str">
        <f t="shared" si="0"/>
        <v>j</v>
      </c>
      <c r="F66" s="2">
        <f t="shared" si="1"/>
        <v>10</v>
      </c>
      <c r="G66" s="2">
        <v>2010</v>
      </c>
      <c r="H66" s="2" t="s">
        <v>1005</v>
      </c>
      <c r="I66" s="2" t="s">
        <v>995</v>
      </c>
      <c r="J66" s="2" t="s">
        <v>996</v>
      </c>
      <c r="K66" s="2" t="s">
        <v>398</v>
      </c>
      <c r="L66" s="2" t="s">
        <v>8</v>
      </c>
      <c r="M66">
        <v>0</v>
      </c>
      <c r="N66">
        <v>10</v>
      </c>
      <c r="O66" s="2"/>
    </row>
    <row r="67" spans="1:15" ht="17.25" customHeight="1" x14ac:dyDescent="0.2">
      <c r="A67" s="18" t="s">
        <v>973</v>
      </c>
      <c r="B67" s="18" t="s">
        <v>274</v>
      </c>
      <c r="C67" s="18" t="s">
        <v>239</v>
      </c>
      <c r="D67" s="18" t="s">
        <v>993</v>
      </c>
      <c r="E67" s="2" t="str">
        <f t="shared" ref="E67:E130" si="2">MID("abcdefghijklmnopqrstuvwxyz",F67,1)</f>
        <v>k</v>
      </c>
      <c r="F67" s="2">
        <f t="shared" ref="F67:F130" si="3">G67-2000</f>
        <v>11</v>
      </c>
      <c r="G67" s="2">
        <v>2011</v>
      </c>
      <c r="H67" s="2" t="s">
        <v>1006</v>
      </c>
      <c r="I67" s="2" t="s">
        <v>995</v>
      </c>
      <c r="J67" s="2" t="s">
        <v>996</v>
      </c>
      <c r="K67" s="2" t="s">
        <v>398</v>
      </c>
      <c r="L67" s="2" t="s">
        <v>8</v>
      </c>
      <c r="M67">
        <v>0</v>
      </c>
      <c r="N67">
        <v>10</v>
      </c>
      <c r="O67" s="2"/>
    </row>
    <row r="68" spans="1:15" ht="17.25" customHeight="1" x14ac:dyDescent="0.2">
      <c r="A68" s="18" t="s">
        <v>973</v>
      </c>
      <c r="B68" s="18" t="s">
        <v>274</v>
      </c>
      <c r="C68" s="18" t="s">
        <v>239</v>
      </c>
      <c r="D68" s="18" t="s">
        <v>993</v>
      </c>
      <c r="E68" s="2" t="str">
        <f t="shared" si="2"/>
        <v>l</v>
      </c>
      <c r="F68" s="2">
        <f t="shared" si="3"/>
        <v>12</v>
      </c>
      <c r="G68" s="2">
        <v>2012</v>
      </c>
      <c r="H68" s="2" t="s">
        <v>1007</v>
      </c>
      <c r="I68" s="2" t="s">
        <v>995</v>
      </c>
      <c r="J68" s="2" t="s">
        <v>996</v>
      </c>
      <c r="K68" s="2" t="s">
        <v>398</v>
      </c>
      <c r="L68" s="2" t="s">
        <v>8</v>
      </c>
      <c r="M68">
        <v>0</v>
      </c>
      <c r="N68">
        <v>10</v>
      </c>
      <c r="O68" s="2"/>
    </row>
    <row r="69" spans="1:15" ht="17.25" customHeight="1" x14ac:dyDescent="0.2">
      <c r="A69" s="18" t="s">
        <v>973</v>
      </c>
      <c r="B69" s="18" t="s">
        <v>274</v>
      </c>
      <c r="C69" s="18" t="s">
        <v>239</v>
      </c>
      <c r="D69" s="18" t="s">
        <v>993</v>
      </c>
      <c r="E69" s="2" t="str">
        <f t="shared" si="2"/>
        <v>m</v>
      </c>
      <c r="F69" s="2">
        <f t="shared" si="3"/>
        <v>13</v>
      </c>
      <c r="G69" s="2">
        <v>2013</v>
      </c>
      <c r="H69" s="2" t="s">
        <v>1008</v>
      </c>
      <c r="I69" s="2" t="s">
        <v>995</v>
      </c>
      <c r="J69" s="2" t="s">
        <v>996</v>
      </c>
      <c r="K69" s="2" t="s">
        <v>398</v>
      </c>
      <c r="L69" s="2" t="s">
        <v>8</v>
      </c>
      <c r="M69">
        <v>0</v>
      </c>
      <c r="N69">
        <v>10</v>
      </c>
      <c r="O69" s="2"/>
    </row>
    <row r="70" spans="1:15" ht="17.25" customHeight="1" x14ac:dyDescent="0.2">
      <c r="A70" s="18" t="s">
        <v>973</v>
      </c>
      <c r="B70" s="18" t="s">
        <v>274</v>
      </c>
      <c r="C70" s="18" t="s">
        <v>239</v>
      </c>
      <c r="D70" s="18" t="s">
        <v>993</v>
      </c>
      <c r="E70" s="2" t="str">
        <f t="shared" si="2"/>
        <v>n</v>
      </c>
      <c r="F70" s="2">
        <f t="shared" si="3"/>
        <v>14</v>
      </c>
      <c r="G70" s="2">
        <v>2014</v>
      </c>
      <c r="H70" s="2" t="s">
        <v>1009</v>
      </c>
      <c r="I70" s="2" t="s">
        <v>995</v>
      </c>
      <c r="J70" s="2" t="s">
        <v>996</v>
      </c>
      <c r="K70" s="2" t="s">
        <v>398</v>
      </c>
      <c r="L70" s="2" t="s">
        <v>8</v>
      </c>
      <c r="M70">
        <v>0</v>
      </c>
      <c r="N70">
        <v>10</v>
      </c>
      <c r="O70" s="2"/>
    </row>
    <row r="71" spans="1:15" ht="17.25" customHeight="1" x14ac:dyDescent="0.2">
      <c r="A71" s="18" t="s">
        <v>973</v>
      </c>
      <c r="B71" s="18" t="s">
        <v>274</v>
      </c>
      <c r="C71" s="18" t="s">
        <v>239</v>
      </c>
      <c r="D71" s="18" t="s">
        <v>993</v>
      </c>
      <c r="E71" s="2" t="str">
        <f t="shared" si="2"/>
        <v>o</v>
      </c>
      <c r="F71" s="2">
        <f t="shared" si="3"/>
        <v>15</v>
      </c>
      <c r="G71" s="2">
        <v>2015</v>
      </c>
      <c r="H71" s="2" t="s">
        <v>1010</v>
      </c>
      <c r="I71" s="2" t="s">
        <v>995</v>
      </c>
      <c r="J71" s="2" t="s">
        <v>996</v>
      </c>
      <c r="K71" s="2" t="s">
        <v>398</v>
      </c>
      <c r="L71" s="2" t="s">
        <v>8</v>
      </c>
      <c r="M71">
        <v>0</v>
      </c>
      <c r="N71">
        <v>10</v>
      </c>
      <c r="O71" s="2"/>
    </row>
    <row r="72" spans="1:15" ht="17.25" customHeight="1" x14ac:dyDescent="0.2">
      <c r="A72" s="18" t="s">
        <v>973</v>
      </c>
      <c r="B72" s="18" t="s">
        <v>274</v>
      </c>
      <c r="C72" s="18" t="s">
        <v>239</v>
      </c>
      <c r="D72" s="18" t="s">
        <v>993</v>
      </c>
      <c r="E72" s="2" t="str">
        <f t="shared" si="2"/>
        <v>p</v>
      </c>
      <c r="F72" s="2">
        <f t="shared" si="3"/>
        <v>16</v>
      </c>
      <c r="G72" s="2">
        <v>2016</v>
      </c>
      <c r="H72" s="2" t="s">
        <v>1011</v>
      </c>
      <c r="I72" s="2" t="s">
        <v>995</v>
      </c>
      <c r="J72" s="2" t="s">
        <v>996</v>
      </c>
      <c r="K72" s="2" t="s">
        <v>398</v>
      </c>
      <c r="L72" s="2" t="s">
        <v>8</v>
      </c>
      <c r="M72">
        <v>0</v>
      </c>
      <c r="N72">
        <v>10</v>
      </c>
      <c r="O72" s="2"/>
    </row>
    <row r="73" spans="1:15" ht="17.25" customHeight="1" x14ac:dyDescent="0.2">
      <c r="A73" s="18" t="s">
        <v>973</v>
      </c>
      <c r="B73" s="18" t="s">
        <v>274</v>
      </c>
      <c r="C73" s="18" t="s">
        <v>239</v>
      </c>
      <c r="D73" s="18" t="s">
        <v>993</v>
      </c>
      <c r="E73" s="2" t="str">
        <f t="shared" si="2"/>
        <v>q</v>
      </c>
      <c r="F73" s="2">
        <f t="shared" si="3"/>
        <v>17</v>
      </c>
      <c r="G73" s="2">
        <v>2017</v>
      </c>
      <c r="H73" s="2" t="s">
        <v>1012</v>
      </c>
      <c r="I73" s="2" t="s">
        <v>995</v>
      </c>
      <c r="J73" s="2" t="s">
        <v>996</v>
      </c>
      <c r="K73" s="2" t="s">
        <v>398</v>
      </c>
      <c r="L73" s="2" t="s">
        <v>8</v>
      </c>
      <c r="M73">
        <v>0</v>
      </c>
      <c r="N73">
        <v>10</v>
      </c>
      <c r="O73" s="2"/>
    </row>
    <row r="74" spans="1:15" ht="17.25" customHeight="1" x14ac:dyDescent="0.2">
      <c r="A74" s="18" t="s">
        <v>973</v>
      </c>
      <c r="B74" s="18" t="s">
        <v>274</v>
      </c>
      <c r="C74" s="18" t="s">
        <v>239</v>
      </c>
      <c r="D74" s="18" t="s">
        <v>993</v>
      </c>
      <c r="E74" s="2" t="str">
        <f t="shared" si="2"/>
        <v>r</v>
      </c>
      <c r="F74" s="2">
        <f t="shared" si="3"/>
        <v>18</v>
      </c>
      <c r="G74" s="2">
        <v>2018</v>
      </c>
      <c r="H74" s="2" t="s">
        <v>1082</v>
      </c>
      <c r="I74" s="2" t="s">
        <v>995</v>
      </c>
      <c r="J74" s="2" t="s">
        <v>996</v>
      </c>
      <c r="K74" s="2" t="s">
        <v>398</v>
      </c>
      <c r="L74" s="2" t="s">
        <v>8</v>
      </c>
      <c r="M74">
        <v>0</v>
      </c>
      <c r="N74">
        <v>10</v>
      </c>
      <c r="O74" s="2"/>
    </row>
    <row r="75" spans="1:15" ht="17.25" customHeight="1" x14ac:dyDescent="0.2">
      <c r="A75" s="18" t="s">
        <v>973</v>
      </c>
      <c r="B75" s="18" t="s">
        <v>274</v>
      </c>
      <c r="C75" s="18" t="s">
        <v>239</v>
      </c>
      <c r="D75" s="18" t="s">
        <v>1013</v>
      </c>
      <c r="E75" s="2" t="str">
        <f t="shared" si="2"/>
        <v>a</v>
      </c>
      <c r="F75" s="2">
        <f t="shared" si="3"/>
        <v>1</v>
      </c>
      <c r="G75" s="2">
        <v>2001</v>
      </c>
      <c r="H75" s="2" t="s">
        <v>1014</v>
      </c>
      <c r="I75" s="2" t="s">
        <v>1015</v>
      </c>
      <c r="J75" s="2" t="s">
        <v>996</v>
      </c>
      <c r="K75" s="2" t="s">
        <v>398</v>
      </c>
      <c r="L75" s="2" t="s">
        <v>8</v>
      </c>
      <c r="M75">
        <v>0</v>
      </c>
      <c r="N75">
        <v>10</v>
      </c>
      <c r="O75" s="2"/>
    </row>
    <row r="76" spans="1:15" ht="17.25" customHeight="1" x14ac:dyDescent="0.2">
      <c r="A76" s="18" t="s">
        <v>973</v>
      </c>
      <c r="B76" s="18" t="s">
        <v>274</v>
      </c>
      <c r="C76" s="18" t="s">
        <v>239</v>
      </c>
      <c r="D76" s="18" t="s">
        <v>1013</v>
      </c>
      <c r="E76" s="2" t="str">
        <f t="shared" si="2"/>
        <v>b</v>
      </c>
      <c r="F76" s="2">
        <f t="shared" si="3"/>
        <v>2</v>
      </c>
      <c r="G76" s="2">
        <v>2002</v>
      </c>
      <c r="H76" s="2" t="s">
        <v>1016</v>
      </c>
      <c r="I76" s="2" t="s">
        <v>1015</v>
      </c>
      <c r="J76" s="2" t="s">
        <v>996</v>
      </c>
      <c r="K76" s="2" t="s">
        <v>398</v>
      </c>
      <c r="L76" s="2" t="s">
        <v>8</v>
      </c>
      <c r="M76">
        <v>0</v>
      </c>
      <c r="N76">
        <v>10</v>
      </c>
      <c r="O76" s="2"/>
    </row>
    <row r="77" spans="1:15" ht="17.25" customHeight="1" x14ac:dyDescent="0.2">
      <c r="A77" s="18" t="s">
        <v>973</v>
      </c>
      <c r="B77" s="18" t="s">
        <v>274</v>
      </c>
      <c r="C77" s="18" t="s">
        <v>239</v>
      </c>
      <c r="D77" s="18" t="s">
        <v>1013</v>
      </c>
      <c r="E77" s="2" t="str">
        <f t="shared" si="2"/>
        <v>c</v>
      </c>
      <c r="F77" s="2">
        <f t="shared" si="3"/>
        <v>3</v>
      </c>
      <c r="G77" s="2">
        <v>2003</v>
      </c>
      <c r="H77" s="2" t="s">
        <v>1017</v>
      </c>
      <c r="I77" s="2" t="s">
        <v>1015</v>
      </c>
      <c r="J77" s="2" t="s">
        <v>996</v>
      </c>
      <c r="K77" s="2" t="s">
        <v>398</v>
      </c>
      <c r="L77" s="2" t="s">
        <v>8</v>
      </c>
      <c r="M77">
        <v>0</v>
      </c>
      <c r="N77">
        <v>10</v>
      </c>
      <c r="O77" s="2"/>
    </row>
    <row r="78" spans="1:15" ht="17.25" customHeight="1" x14ac:dyDescent="0.2">
      <c r="A78" s="18" t="s">
        <v>973</v>
      </c>
      <c r="B78" s="18" t="s">
        <v>274</v>
      </c>
      <c r="C78" s="18" t="s">
        <v>239</v>
      </c>
      <c r="D78" s="18" t="s">
        <v>1013</v>
      </c>
      <c r="E78" s="2" t="str">
        <f t="shared" si="2"/>
        <v>d</v>
      </c>
      <c r="F78" s="2">
        <f t="shared" si="3"/>
        <v>4</v>
      </c>
      <c r="G78" s="2">
        <v>2004</v>
      </c>
      <c r="H78" s="2" t="s">
        <v>1018</v>
      </c>
      <c r="I78" s="2" t="s">
        <v>1015</v>
      </c>
      <c r="J78" s="2" t="s">
        <v>996</v>
      </c>
      <c r="K78" s="2" t="s">
        <v>398</v>
      </c>
      <c r="L78" s="2" t="s">
        <v>8</v>
      </c>
      <c r="M78">
        <v>0</v>
      </c>
      <c r="N78">
        <v>10</v>
      </c>
      <c r="O78" s="2"/>
    </row>
    <row r="79" spans="1:15" ht="17.25" customHeight="1" x14ac:dyDescent="0.2">
      <c r="A79" s="18" t="s">
        <v>973</v>
      </c>
      <c r="B79" s="18" t="s">
        <v>274</v>
      </c>
      <c r="C79" s="18" t="s">
        <v>239</v>
      </c>
      <c r="D79" s="18" t="s">
        <v>1013</v>
      </c>
      <c r="E79" s="2" t="str">
        <f t="shared" si="2"/>
        <v>e</v>
      </c>
      <c r="F79" s="2">
        <f t="shared" si="3"/>
        <v>5</v>
      </c>
      <c r="G79" s="2">
        <v>2005</v>
      </c>
      <c r="H79" s="2" t="s">
        <v>1019</v>
      </c>
      <c r="I79" s="2" t="s">
        <v>1015</v>
      </c>
      <c r="J79" s="2" t="s">
        <v>996</v>
      </c>
      <c r="K79" s="2" t="s">
        <v>398</v>
      </c>
      <c r="L79" s="2" t="s">
        <v>8</v>
      </c>
      <c r="M79">
        <v>0</v>
      </c>
      <c r="N79">
        <v>10</v>
      </c>
      <c r="O79" s="2"/>
    </row>
    <row r="80" spans="1:15" ht="17.25" customHeight="1" x14ac:dyDescent="0.2">
      <c r="A80" s="18" t="s">
        <v>973</v>
      </c>
      <c r="B80" s="18" t="s">
        <v>274</v>
      </c>
      <c r="C80" s="18" t="s">
        <v>239</v>
      </c>
      <c r="D80" s="18" t="s">
        <v>1013</v>
      </c>
      <c r="E80" s="2" t="str">
        <f t="shared" si="2"/>
        <v>f</v>
      </c>
      <c r="F80" s="2">
        <f t="shared" si="3"/>
        <v>6</v>
      </c>
      <c r="G80" s="2">
        <v>2006</v>
      </c>
      <c r="H80" s="2" t="s">
        <v>1020</v>
      </c>
      <c r="I80" s="2" t="s">
        <v>1015</v>
      </c>
      <c r="J80" s="2" t="s">
        <v>996</v>
      </c>
      <c r="K80" s="2" t="s">
        <v>398</v>
      </c>
      <c r="L80" s="2" t="s">
        <v>8</v>
      </c>
      <c r="M80">
        <v>0</v>
      </c>
      <c r="N80">
        <v>10</v>
      </c>
      <c r="O80" s="2"/>
    </row>
    <row r="81" spans="1:15" ht="17.25" customHeight="1" x14ac:dyDescent="0.2">
      <c r="A81" s="18" t="s">
        <v>973</v>
      </c>
      <c r="B81" s="18" t="s">
        <v>274</v>
      </c>
      <c r="C81" s="18" t="s">
        <v>239</v>
      </c>
      <c r="D81" s="18" t="s">
        <v>1013</v>
      </c>
      <c r="E81" s="2" t="str">
        <f t="shared" si="2"/>
        <v>g</v>
      </c>
      <c r="F81" s="2">
        <f t="shared" si="3"/>
        <v>7</v>
      </c>
      <c r="G81" s="2">
        <v>2007</v>
      </c>
      <c r="H81" s="2" t="s">
        <v>1021</v>
      </c>
      <c r="I81" s="2" t="s">
        <v>1015</v>
      </c>
      <c r="J81" s="2" t="s">
        <v>996</v>
      </c>
      <c r="K81" s="2" t="s">
        <v>398</v>
      </c>
      <c r="L81" s="2" t="s">
        <v>8</v>
      </c>
      <c r="M81">
        <v>0</v>
      </c>
      <c r="N81">
        <v>10</v>
      </c>
      <c r="O81" s="2"/>
    </row>
    <row r="82" spans="1:15" ht="17.25" customHeight="1" x14ac:dyDescent="0.2">
      <c r="A82" s="18" t="s">
        <v>973</v>
      </c>
      <c r="B82" s="18" t="s">
        <v>274</v>
      </c>
      <c r="C82" s="18" t="s">
        <v>239</v>
      </c>
      <c r="D82" s="18" t="s">
        <v>1013</v>
      </c>
      <c r="E82" s="2" t="str">
        <f t="shared" si="2"/>
        <v>h</v>
      </c>
      <c r="F82" s="2">
        <f t="shared" si="3"/>
        <v>8</v>
      </c>
      <c r="G82" s="2">
        <v>2008</v>
      </c>
      <c r="H82" s="2" t="s">
        <v>1022</v>
      </c>
      <c r="I82" s="2" t="s">
        <v>1015</v>
      </c>
      <c r="J82" s="2" t="s">
        <v>996</v>
      </c>
      <c r="K82" s="2" t="s">
        <v>398</v>
      </c>
      <c r="L82" s="2" t="s">
        <v>8</v>
      </c>
      <c r="M82">
        <v>0</v>
      </c>
      <c r="N82">
        <v>10</v>
      </c>
      <c r="O82" s="2"/>
    </row>
    <row r="83" spans="1:15" ht="17.25" customHeight="1" x14ac:dyDescent="0.2">
      <c r="A83" s="18" t="s">
        <v>973</v>
      </c>
      <c r="B83" s="18" t="s">
        <v>274</v>
      </c>
      <c r="C83" s="18" t="s">
        <v>239</v>
      </c>
      <c r="D83" s="18" t="s">
        <v>1013</v>
      </c>
      <c r="E83" s="2" t="str">
        <f t="shared" si="2"/>
        <v>i</v>
      </c>
      <c r="F83" s="2">
        <f t="shared" si="3"/>
        <v>9</v>
      </c>
      <c r="G83" s="2">
        <v>2009</v>
      </c>
      <c r="H83" s="2" t="s">
        <v>1023</v>
      </c>
      <c r="I83" s="2" t="s">
        <v>1015</v>
      </c>
      <c r="J83" s="2" t="s">
        <v>996</v>
      </c>
      <c r="K83" s="2" t="s">
        <v>398</v>
      </c>
      <c r="L83" s="2" t="s">
        <v>8</v>
      </c>
      <c r="M83">
        <v>0</v>
      </c>
      <c r="N83">
        <v>10</v>
      </c>
      <c r="O83" s="2"/>
    </row>
    <row r="84" spans="1:15" ht="17.25" customHeight="1" x14ac:dyDescent="0.2">
      <c r="A84" s="18" t="s">
        <v>973</v>
      </c>
      <c r="B84" s="18" t="s">
        <v>274</v>
      </c>
      <c r="C84" s="18" t="s">
        <v>239</v>
      </c>
      <c r="D84" s="18" t="s">
        <v>1013</v>
      </c>
      <c r="E84" s="2" t="str">
        <f t="shared" si="2"/>
        <v>j</v>
      </c>
      <c r="F84" s="2">
        <f t="shared" si="3"/>
        <v>10</v>
      </c>
      <c r="G84" s="2">
        <v>2010</v>
      </c>
      <c r="H84" s="2" t="s">
        <v>1024</v>
      </c>
      <c r="I84" s="2" t="s">
        <v>1015</v>
      </c>
      <c r="J84" s="2" t="s">
        <v>996</v>
      </c>
      <c r="K84" s="2" t="s">
        <v>398</v>
      </c>
      <c r="L84" s="2" t="s">
        <v>8</v>
      </c>
      <c r="M84">
        <v>0</v>
      </c>
      <c r="N84">
        <v>10</v>
      </c>
      <c r="O84" s="2"/>
    </row>
    <row r="85" spans="1:15" ht="17.25" customHeight="1" x14ac:dyDescent="0.2">
      <c r="A85" s="18" t="s">
        <v>973</v>
      </c>
      <c r="B85" s="18" t="s">
        <v>274</v>
      </c>
      <c r="C85" s="18" t="s">
        <v>239</v>
      </c>
      <c r="D85" s="18" t="s">
        <v>1013</v>
      </c>
      <c r="E85" s="2" t="str">
        <f t="shared" si="2"/>
        <v>k</v>
      </c>
      <c r="F85" s="2">
        <f t="shared" si="3"/>
        <v>11</v>
      </c>
      <c r="G85" s="2">
        <v>2011</v>
      </c>
      <c r="H85" s="2" t="s">
        <v>1025</v>
      </c>
      <c r="I85" s="2" t="s">
        <v>1015</v>
      </c>
      <c r="J85" s="2" t="s">
        <v>996</v>
      </c>
      <c r="K85" s="2" t="s">
        <v>398</v>
      </c>
      <c r="L85" s="2" t="s">
        <v>8</v>
      </c>
      <c r="M85">
        <v>0</v>
      </c>
      <c r="N85">
        <v>10</v>
      </c>
      <c r="O85" s="2"/>
    </row>
    <row r="86" spans="1:15" ht="17.25" customHeight="1" x14ac:dyDescent="0.2">
      <c r="A86" s="18" t="s">
        <v>973</v>
      </c>
      <c r="B86" s="18" t="s">
        <v>274</v>
      </c>
      <c r="C86" s="18" t="s">
        <v>239</v>
      </c>
      <c r="D86" s="18" t="s">
        <v>1013</v>
      </c>
      <c r="E86" s="2" t="str">
        <f t="shared" si="2"/>
        <v>l</v>
      </c>
      <c r="F86" s="2">
        <f t="shared" si="3"/>
        <v>12</v>
      </c>
      <c r="G86" s="2">
        <v>2012</v>
      </c>
      <c r="H86" s="2" t="s">
        <v>1026</v>
      </c>
      <c r="I86" s="2" t="s">
        <v>1015</v>
      </c>
      <c r="J86" s="2" t="s">
        <v>996</v>
      </c>
      <c r="K86" s="2" t="s">
        <v>398</v>
      </c>
      <c r="L86" s="2" t="s">
        <v>8</v>
      </c>
      <c r="M86">
        <v>0</v>
      </c>
      <c r="N86">
        <v>10</v>
      </c>
      <c r="O86" s="2"/>
    </row>
    <row r="87" spans="1:15" ht="17.25" customHeight="1" x14ac:dyDescent="0.2">
      <c r="A87" s="18" t="s">
        <v>973</v>
      </c>
      <c r="B87" s="18" t="s">
        <v>274</v>
      </c>
      <c r="C87" s="18" t="s">
        <v>239</v>
      </c>
      <c r="D87" s="18" t="s">
        <v>1013</v>
      </c>
      <c r="E87" s="2" t="str">
        <f t="shared" si="2"/>
        <v>m</v>
      </c>
      <c r="F87" s="2">
        <f t="shared" si="3"/>
        <v>13</v>
      </c>
      <c r="G87" s="2">
        <v>2013</v>
      </c>
      <c r="H87" s="2" t="s">
        <v>1027</v>
      </c>
      <c r="I87" s="2" t="s">
        <v>1015</v>
      </c>
      <c r="J87" s="2" t="s">
        <v>996</v>
      </c>
      <c r="K87" s="2" t="s">
        <v>398</v>
      </c>
      <c r="L87" s="2" t="s">
        <v>8</v>
      </c>
      <c r="M87">
        <v>0</v>
      </c>
      <c r="N87">
        <v>10</v>
      </c>
      <c r="O87" s="2"/>
    </row>
    <row r="88" spans="1:15" ht="17.25" customHeight="1" x14ac:dyDescent="0.2">
      <c r="A88" s="18" t="s">
        <v>973</v>
      </c>
      <c r="B88" s="18" t="s">
        <v>274</v>
      </c>
      <c r="C88" s="18" t="s">
        <v>239</v>
      </c>
      <c r="D88" s="18" t="s">
        <v>1013</v>
      </c>
      <c r="E88" s="2" t="str">
        <f t="shared" si="2"/>
        <v>n</v>
      </c>
      <c r="F88" s="2">
        <f t="shared" si="3"/>
        <v>14</v>
      </c>
      <c r="G88" s="2">
        <v>2014</v>
      </c>
      <c r="H88" s="2" t="s">
        <v>1028</v>
      </c>
      <c r="I88" s="2" t="s">
        <v>1015</v>
      </c>
      <c r="J88" s="2" t="s">
        <v>996</v>
      </c>
      <c r="K88" s="2" t="s">
        <v>398</v>
      </c>
      <c r="L88" s="2" t="s">
        <v>8</v>
      </c>
      <c r="M88">
        <v>0</v>
      </c>
      <c r="N88">
        <v>10</v>
      </c>
      <c r="O88" s="2"/>
    </row>
    <row r="89" spans="1:15" ht="17.25" customHeight="1" x14ac:dyDescent="0.2">
      <c r="A89" s="18" t="s">
        <v>973</v>
      </c>
      <c r="B89" s="18" t="s">
        <v>274</v>
      </c>
      <c r="C89" s="18" t="s">
        <v>239</v>
      </c>
      <c r="D89" s="18" t="s">
        <v>1013</v>
      </c>
      <c r="E89" s="2" t="str">
        <f t="shared" si="2"/>
        <v>o</v>
      </c>
      <c r="F89" s="2">
        <f t="shared" si="3"/>
        <v>15</v>
      </c>
      <c r="G89" s="2">
        <v>2015</v>
      </c>
      <c r="H89" s="2" t="s">
        <v>1029</v>
      </c>
      <c r="I89" s="2" t="s">
        <v>1015</v>
      </c>
      <c r="J89" s="2" t="s">
        <v>996</v>
      </c>
      <c r="K89" s="2" t="s">
        <v>398</v>
      </c>
      <c r="L89" s="2" t="s">
        <v>8</v>
      </c>
      <c r="M89">
        <v>0</v>
      </c>
      <c r="N89">
        <v>10</v>
      </c>
      <c r="O89" s="2"/>
    </row>
    <row r="90" spans="1:15" ht="17.25" customHeight="1" x14ac:dyDescent="0.2">
      <c r="A90" s="18" t="s">
        <v>973</v>
      </c>
      <c r="B90" s="18" t="s">
        <v>274</v>
      </c>
      <c r="C90" s="18" t="s">
        <v>239</v>
      </c>
      <c r="D90" s="18" t="s">
        <v>1013</v>
      </c>
      <c r="E90" s="2" t="str">
        <f t="shared" si="2"/>
        <v>p</v>
      </c>
      <c r="F90" s="2">
        <f t="shared" si="3"/>
        <v>16</v>
      </c>
      <c r="G90" s="2">
        <v>2016</v>
      </c>
      <c r="H90" s="2" t="s">
        <v>1030</v>
      </c>
      <c r="I90" s="2" t="s">
        <v>1015</v>
      </c>
      <c r="J90" s="2" t="s">
        <v>996</v>
      </c>
      <c r="K90" s="2" t="s">
        <v>398</v>
      </c>
      <c r="L90" s="2" t="s">
        <v>8</v>
      </c>
      <c r="M90">
        <v>0</v>
      </c>
      <c r="N90">
        <v>10</v>
      </c>
      <c r="O90" s="2"/>
    </row>
    <row r="91" spans="1:15" ht="17.25" customHeight="1" x14ac:dyDescent="0.2">
      <c r="A91" s="18" t="s">
        <v>973</v>
      </c>
      <c r="B91" s="18" t="s">
        <v>274</v>
      </c>
      <c r="C91" s="18" t="s">
        <v>239</v>
      </c>
      <c r="D91" s="18" t="s">
        <v>1013</v>
      </c>
      <c r="E91" s="2" t="str">
        <f t="shared" si="2"/>
        <v>q</v>
      </c>
      <c r="F91" s="2">
        <f t="shared" si="3"/>
        <v>17</v>
      </c>
      <c r="G91" s="2">
        <v>2017</v>
      </c>
      <c r="H91" s="2" t="s">
        <v>1031</v>
      </c>
      <c r="I91" s="2" t="s">
        <v>1015</v>
      </c>
      <c r="J91" s="2" t="s">
        <v>996</v>
      </c>
      <c r="K91" s="2" t="s">
        <v>398</v>
      </c>
      <c r="L91" s="2" t="s">
        <v>8</v>
      </c>
      <c r="M91">
        <v>0</v>
      </c>
      <c r="N91">
        <v>10</v>
      </c>
      <c r="O91" s="2"/>
    </row>
    <row r="92" spans="1:15" ht="17.25" customHeight="1" x14ac:dyDescent="0.2">
      <c r="A92" s="18" t="s">
        <v>973</v>
      </c>
      <c r="B92" s="18" t="s">
        <v>274</v>
      </c>
      <c r="C92" s="18" t="s">
        <v>239</v>
      </c>
      <c r="D92" s="18" t="s">
        <v>1013</v>
      </c>
      <c r="E92" s="2" t="str">
        <f t="shared" si="2"/>
        <v>r</v>
      </c>
      <c r="F92" s="2">
        <f t="shared" si="3"/>
        <v>18</v>
      </c>
      <c r="G92" s="2">
        <v>2018</v>
      </c>
      <c r="H92" s="2" t="s">
        <v>1083</v>
      </c>
      <c r="I92" s="2" t="s">
        <v>1015</v>
      </c>
      <c r="J92" s="2" t="s">
        <v>996</v>
      </c>
      <c r="K92" s="2" t="s">
        <v>398</v>
      </c>
      <c r="L92" s="2" t="s">
        <v>8</v>
      </c>
      <c r="M92">
        <v>0</v>
      </c>
      <c r="N92">
        <v>10</v>
      </c>
      <c r="O92" s="2"/>
    </row>
    <row r="93" spans="1:15" ht="17.25" customHeight="1" x14ac:dyDescent="0.2">
      <c r="A93" s="18" t="s">
        <v>973</v>
      </c>
      <c r="B93" s="18" t="s">
        <v>274</v>
      </c>
      <c r="C93" s="18" t="s">
        <v>444</v>
      </c>
      <c r="D93" s="18" t="s">
        <v>1032</v>
      </c>
      <c r="E93" s="2" t="str">
        <f t="shared" si="2"/>
        <v>a</v>
      </c>
      <c r="F93" s="2">
        <f t="shared" si="3"/>
        <v>1</v>
      </c>
      <c r="G93" s="2">
        <v>2001</v>
      </c>
      <c r="H93" s="2" t="s">
        <v>1033</v>
      </c>
      <c r="I93" s="2" t="s">
        <v>1034</v>
      </c>
      <c r="J93" s="2" t="s">
        <v>996</v>
      </c>
      <c r="K93" s="2" t="s">
        <v>398</v>
      </c>
      <c r="L93" s="2" t="s">
        <v>8</v>
      </c>
      <c r="M93">
        <v>0</v>
      </c>
      <c r="N93">
        <v>10</v>
      </c>
      <c r="O93" s="2"/>
    </row>
    <row r="94" spans="1:15" ht="17.25" customHeight="1" x14ac:dyDescent="0.2">
      <c r="A94" s="18" t="s">
        <v>973</v>
      </c>
      <c r="B94" s="18" t="s">
        <v>274</v>
      </c>
      <c r="C94" s="18" t="s">
        <v>444</v>
      </c>
      <c r="D94" s="18" t="s">
        <v>1032</v>
      </c>
      <c r="E94" s="2" t="str">
        <f t="shared" si="2"/>
        <v>b</v>
      </c>
      <c r="F94" s="2">
        <f t="shared" si="3"/>
        <v>2</v>
      </c>
      <c r="G94" s="2">
        <v>2002</v>
      </c>
      <c r="H94" s="2" t="s">
        <v>1035</v>
      </c>
      <c r="I94" s="2" t="s">
        <v>1034</v>
      </c>
      <c r="J94" s="2" t="s">
        <v>996</v>
      </c>
      <c r="K94" s="2" t="s">
        <v>398</v>
      </c>
      <c r="L94" s="2" t="s">
        <v>8</v>
      </c>
      <c r="M94">
        <v>0</v>
      </c>
      <c r="N94">
        <v>10</v>
      </c>
      <c r="O94" s="2"/>
    </row>
    <row r="95" spans="1:15" ht="17.25" customHeight="1" x14ac:dyDescent="0.2">
      <c r="A95" s="18" t="s">
        <v>973</v>
      </c>
      <c r="B95" s="18" t="s">
        <v>274</v>
      </c>
      <c r="C95" s="18" t="s">
        <v>444</v>
      </c>
      <c r="D95" s="18" t="s">
        <v>1032</v>
      </c>
      <c r="E95" s="2" t="str">
        <f t="shared" si="2"/>
        <v>c</v>
      </c>
      <c r="F95" s="2">
        <f t="shared" si="3"/>
        <v>3</v>
      </c>
      <c r="G95" s="2">
        <v>2003</v>
      </c>
      <c r="H95" s="2" t="s">
        <v>1036</v>
      </c>
      <c r="I95" s="2" t="s">
        <v>1034</v>
      </c>
      <c r="J95" s="2" t="s">
        <v>996</v>
      </c>
      <c r="K95" s="2" t="s">
        <v>398</v>
      </c>
      <c r="L95" s="2" t="s">
        <v>8</v>
      </c>
      <c r="M95">
        <v>0</v>
      </c>
      <c r="N95">
        <v>10</v>
      </c>
      <c r="O95" s="2"/>
    </row>
    <row r="96" spans="1:15" ht="17.25" customHeight="1" x14ac:dyDescent="0.2">
      <c r="A96" s="18" t="s">
        <v>973</v>
      </c>
      <c r="B96" s="18" t="s">
        <v>274</v>
      </c>
      <c r="C96" s="18" t="s">
        <v>444</v>
      </c>
      <c r="D96" s="18" t="s">
        <v>1032</v>
      </c>
      <c r="E96" s="2" t="str">
        <f t="shared" si="2"/>
        <v>d</v>
      </c>
      <c r="F96" s="2">
        <f t="shared" si="3"/>
        <v>4</v>
      </c>
      <c r="G96" s="2">
        <v>2004</v>
      </c>
      <c r="H96" s="2" t="s">
        <v>1037</v>
      </c>
      <c r="I96" s="2" t="s">
        <v>1034</v>
      </c>
      <c r="J96" s="2" t="s">
        <v>996</v>
      </c>
      <c r="K96" s="2" t="s">
        <v>398</v>
      </c>
      <c r="L96" s="2" t="s">
        <v>8</v>
      </c>
      <c r="M96">
        <v>0</v>
      </c>
      <c r="N96">
        <v>10</v>
      </c>
      <c r="O96" s="2"/>
    </row>
    <row r="97" spans="1:15" ht="17.25" customHeight="1" x14ac:dyDescent="0.2">
      <c r="A97" s="18" t="s">
        <v>973</v>
      </c>
      <c r="B97" s="18" t="s">
        <v>274</v>
      </c>
      <c r="C97" s="18" t="s">
        <v>444</v>
      </c>
      <c r="D97" s="18" t="s">
        <v>1032</v>
      </c>
      <c r="E97" s="2" t="str">
        <f t="shared" si="2"/>
        <v>e</v>
      </c>
      <c r="F97" s="2">
        <f t="shared" si="3"/>
        <v>5</v>
      </c>
      <c r="G97" s="2">
        <v>2005</v>
      </c>
      <c r="H97" s="2" t="s">
        <v>1038</v>
      </c>
      <c r="I97" s="2" t="s">
        <v>1034</v>
      </c>
      <c r="J97" s="2" t="s">
        <v>996</v>
      </c>
      <c r="K97" s="2" t="s">
        <v>398</v>
      </c>
      <c r="L97" s="2" t="s">
        <v>8</v>
      </c>
      <c r="M97">
        <v>0</v>
      </c>
      <c r="N97">
        <v>10</v>
      </c>
      <c r="O97" s="2"/>
    </row>
    <row r="98" spans="1:15" ht="17.25" customHeight="1" x14ac:dyDescent="0.2">
      <c r="A98" s="18" t="s">
        <v>973</v>
      </c>
      <c r="B98" s="18" t="s">
        <v>274</v>
      </c>
      <c r="C98" s="18" t="s">
        <v>444</v>
      </c>
      <c r="D98" s="18" t="s">
        <v>1032</v>
      </c>
      <c r="E98" s="2" t="str">
        <f t="shared" si="2"/>
        <v>f</v>
      </c>
      <c r="F98" s="2">
        <f t="shared" si="3"/>
        <v>6</v>
      </c>
      <c r="G98" s="2">
        <v>2006</v>
      </c>
      <c r="H98" s="2" t="s">
        <v>1039</v>
      </c>
      <c r="I98" s="2" t="s">
        <v>1034</v>
      </c>
      <c r="J98" s="2" t="s">
        <v>996</v>
      </c>
      <c r="K98" s="2" t="s">
        <v>398</v>
      </c>
      <c r="L98" s="2" t="s">
        <v>8</v>
      </c>
      <c r="M98">
        <v>0</v>
      </c>
      <c r="N98">
        <v>10</v>
      </c>
      <c r="O98" s="2"/>
    </row>
    <row r="99" spans="1:15" ht="17.25" customHeight="1" x14ac:dyDescent="0.2">
      <c r="A99" s="18" t="s">
        <v>973</v>
      </c>
      <c r="B99" s="18" t="s">
        <v>274</v>
      </c>
      <c r="C99" s="18" t="s">
        <v>444</v>
      </c>
      <c r="D99" s="18" t="s">
        <v>1032</v>
      </c>
      <c r="E99" s="2" t="str">
        <f t="shared" si="2"/>
        <v>g</v>
      </c>
      <c r="F99" s="2">
        <f t="shared" si="3"/>
        <v>7</v>
      </c>
      <c r="G99" s="2">
        <v>2007</v>
      </c>
      <c r="H99" s="2" t="s">
        <v>1040</v>
      </c>
      <c r="I99" s="2" t="s">
        <v>1034</v>
      </c>
      <c r="J99" s="2" t="s">
        <v>996</v>
      </c>
      <c r="K99" s="2" t="s">
        <v>398</v>
      </c>
      <c r="L99" s="2" t="s">
        <v>8</v>
      </c>
      <c r="M99">
        <v>0</v>
      </c>
      <c r="N99">
        <v>10</v>
      </c>
      <c r="O99" s="2"/>
    </row>
    <row r="100" spans="1:15" ht="17.25" customHeight="1" x14ac:dyDescent="0.2">
      <c r="A100" s="18" t="s">
        <v>973</v>
      </c>
      <c r="B100" s="18" t="s">
        <v>274</v>
      </c>
      <c r="C100" s="18" t="s">
        <v>444</v>
      </c>
      <c r="D100" s="18" t="s">
        <v>1032</v>
      </c>
      <c r="E100" s="2" t="str">
        <f t="shared" si="2"/>
        <v>h</v>
      </c>
      <c r="F100" s="2">
        <f t="shared" si="3"/>
        <v>8</v>
      </c>
      <c r="G100" s="2">
        <v>2008</v>
      </c>
      <c r="H100" s="2" t="s">
        <v>1041</v>
      </c>
      <c r="I100" s="2" t="s">
        <v>1034</v>
      </c>
      <c r="J100" s="2" t="s">
        <v>996</v>
      </c>
      <c r="K100" s="2" t="s">
        <v>398</v>
      </c>
      <c r="L100" s="2" t="s">
        <v>8</v>
      </c>
      <c r="M100">
        <v>0</v>
      </c>
      <c r="N100">
        <v>10</v>
      </c>
      <c r="O100" s="2"/>
    </row>
    <row r="101" spans="1:15" ht="17.25" customHeight="1" x14ac:dyDescent="0.2">
      <c r="A101" s="18" t="s">
        <v>973</v>
      </c>
      <c r="B101" s="18" t="s">
        <v>274</v>
      </c>
      <c r="C101" s="18" t="s">
        <v>444</v>
      </c>
      <c r="D101" s="18" t="s">
        <v>1032</v>
      </c>
      <c r="E101" s="2" t="str">
        <f t="shared" si="2"/>
        <v>i</v>
      </c>
      <c r="F101" s="2">
        <f t="shared" si="3"/>
        <v>9</v>
      </c>
      <c r="G101" s="2">
        <v>2009</v>
      </c>
      <c r="H101" s="2" t="s">
        <v>1042</v>
      </c>
      <c r="I101" s="2" t="s">
        <v>1034</v>
      </c>
      <c r="J101" s="2" t="s">
        <v>996</v>
      </c>
      <c r="K101" s="2" t="s">
        <v>398</v>
      </c>
      <c r="L101" s="2" t="s">
        <v>8</v>
      </c>
      <c r="M101">
        <v>0</v>
      </c>
      <c r="N101">
        <v>10</v>
      </c>
      <c r="O101" s="2"/>
    </row>
    <row r="102" spans="1:15" ht="17.25" customHeight="1" x14ac:dyDescent="0.2">
      <c r="A102" s="18" t="s">
        <v>973</v>
      </c>
      <c r="B102" s="18" t="s">
        <v>274</v>
      </c>
      <c r="C102" s="18" t="s">
        <v>444</v>
      </c>
      <c r="D102" s="18" t="s">
        <v>1032</v>
      </c>
      <c r="E102" s="2" t="str">
        <f t="shared" si="2"/>
        <v>j</v>
      </c>
      <c r="F102" s="2">
        <f t="shared" si="3"/>
        <v>10</v>
      </c>
      <c r="G102" s="2">
        <v>2010</v>
      </c>
      <c r="H102" s="2" t="s">
        <v>1043</v>
      </c>
      <c r="I102" s="2" t="s">
        <v>1034</v>
      </c>
      <c r="J102" s="2" t="s">
        <v>996</v>
      </c>
      <c r="K102" s="2" t="s">
        <v>398</v>
      </c>
      <c r="L102" s="2" t="s">
        <v>8</v>
      </c>
      <c r="M102">
        <v>0</v>
      </c>
      <c r="N102">
        <v>10</v>
      </c>
      <c r="O102" s="2"/>
    </row>
    <row r="103" spans="1:15" ht="17.25" customHeight="1" x14ac:dyDescent="0.2">
      <c r="A103" s="18" t="s">
        <v>973</v>
      </c>
      <c r="B103" s="18" t="s">
        <v>274</v>
      </c>
      <c r="C103" s="18" t="s">
        <v>444</v>
      </c>
      <c r="D103" s="18" t="s">
        <v>1032</v>
      </c>
      <c r="E103" s="2" t="str">
        <f t="shared" si="2"/>
        <v>k</v>
      </c>
      <c r="F103" s="2">
        <f t="shared" si="3"/>
        <v>11</v>
      </c>
      <c r="G103" s="2">
        <v>2011</v>
      </c>
      <c r="H103" s="2" t="s">
        <v>1044</v>
      </c>
      <c r="I103" s="2" t="s">
        <v>1034</v>
      </c>
      <c r="J103" s="2" t="s">
        <v>996</v>
      </c>
      <c r="K103" s="2" t="s">
        <v>398</v>
      </c>
      <c r="L103" s="2" t="s">
        <v>8</v>
      </c>
      <c r="M103">
        <v>0</v>
      </c>
      <c r="N103">
        <v>10</v>
      </c>
      <c r="O103" s="2"/>
    </row>
    <row r="104" spans="1:15" ht="17.25" customHeight="1" x14ac:dyDescent="0.2">
      <c r="A104" s="18" t="s">
        <v>973</v>
      </c>
      <c r="B104" s="18" t="s">
        <v>274</v>
      </c>
      <c r="C104" s="18" t="s">
        <v>444</v>
      </c>
      <c r="D104" s="18" t="s">
        <v>1032</v>
      </c>
      <c r="E104" s="2" t="str">
        <f t="shared" si="2"/>
        <v>l</v>
      </c>
      <c r="F104" s="2">
        <f t="shared" si="3"/>
        <v>12</v>
      </c>
      <c r="G104" s="2">
        <v>2012</v>
      </c>
      <c r="H104" s="2" t="s">
        <v>1045</v>
      </c>
      <c r="I104" s="2" t="s">
        <v>1034</v>
      </c>
      <c r="J104" s="2" t="s">
        <v>996</v>
      </c>
      <c r="K104" s="2" t="s">
        <v>398</v>
      </c>
      <c r="L104" s="2" t="s">
        <v>8</v>
      </c>
      <c r="M104">
        <v>0</v>
      </c>
      <c r="N104">
        <v>10</v>
      </c>
      <c r="O104" s="2"/>
    </row>
    <row r="105" spans="1:15" ht="17.25" customHeight="1" x14ac:dyDescent="0.2">
      <c r="A105" s="18" t="s">
        <v>973</v>
      </c>
      <c r="B105" s="18" t="s">
        <v>274</v>
      </c>
      <c r="C105" s="18" t="s">
        <v>444</v>
      </c>
      <c r="D105" s="18" t="s">
        <v>1032</v>
      </c>
      <c r="E105" s="2" t="str">
        <f t="shared" si="2"/>
        <v>m</v>
      </c>
      <c r="F105" s="2">
        <f t="shared" si="3"/>
        <v>13</v>
      </c>
      <c r="G105" s="2">
        <v>2013</v>
      </c>
      <c r="H105" s="2" t="s">
        <v>1046</v>
      </c>
      <c r="I105" s="2" t="s">
        <v>1034</v>
      </c>
      <c r="J105" s="2" t="s">
        <v>996</v>
      </c>
      <c r="K105" s="2" t="s">
        <v>398</v>
      </c>
      <c r="L105" s="2" t="s">
        <v>8</v>
      </c>
      <c r="M105">
        <v>0</v>
      </c>
      <c r="N105">
        <v>10</v>
      </c>
      <c r="O105" s="2"/>
    </row>
    <row r="106" spans="1:15" ht="17.25" customHeight="1" x14ac:dyDescent="0.2">
      <c r="A106" s="18" t="s">
        <v>973</v>
      </c>
      <c r="B106" s="18" t="s">
        <v>274</v>
      </c>
      <c r="C106" s="18" t="s">
        <v>444</v>
      </c>
      <c r="D106" s="18" t="s">
        <v>1032</v>
      </c>
      <c r="E106" s="2" t="str">
        <f t="shared" si="2"/>
        <v>n</v>
      </c>
      <c r="F106" s="2">
        <f t="shared" si="3"/>
        <v>14</v>
      </c>
      <c r="G106" s="2">
        <v>2014</v>
      </c>
      <c r="H106" s="2" t="s">
        <v>1047</v>
      </c>
      <c r="I106" s="2" t="s">
        <v>1034</v>
      </c>
      <c r="J106" s="2" t="s">
        <v>996</v>
      </c>
      <c r="K106" s="2" t="s">
        <v>398</v>
      </c>
      <c r="L106" s="2" t="s">
        <v>8</v>
      </c>
      <c r="M106">
        <v>0</v>
      </c>
      <c r="N106">
        <v>10</v>
      </c>
      <c r="O106" s="2"/>
    </row>
    <row r="107" spans="1:15" ht="17.25" customHeight="1" x14ac:dyDescent="0.2">
      <c r="A107" s="18" t="s">
        <v>973</v>
      </c>
      <c r="B107" s="18" t="s">
        <v>274</v>
      </c>
      <c r="C107" s="18" t="s">
        <v>444</v>
      </c>
      <c r="D107" s="18" t="s">
        <v>1032</v>
      </c>
      <c r="E107" s="2" t="str">
        <f t="shared" si="2"/>
        <v>o</v>
      </c>
      <c r="F107" s="2">
        <f t="shared" si="3"/>
        <v>15</v>
      </c>
      <c r="G107" s="2">
        <v>2015</v>
      </c>
      <c r="H107" s="2" t="s">
        <v>1048</v>
      </c>
      <c r="I107" s="2" t="s">
        <v>1034</v>
      </c>
      <c r="J107" s="2" t="s">
        <v>996</v>
      </c>
      <c r="K107" s="2" t="s">
        <v>398</v>
      </c>
      <c r="L107" s="2" t="s">
        <v>8</v>
      </c>
      <c r="M107">
        <v>0</v>
      </c>
      <c r="N107">
        <v>10</v>
      </c>
      <c r="O107" s="2"/>
    </row>
    <row r="108" spans="1:15" ht="17.25" customHeight="1" x14ac:dyDescent="0.2">
      <c r="A108" s="18" t="s">
        <v>973</v>
      </c>
      <c r="B108" s="18" t="s">
        <v>274</v>
      </c>
      <c r="C108" s="18" t="s">
        <v>444</v>
      </c>
      <c r="D108" s="18" t="s">
        <v>1032</v>
      </c>
      <c r="E108" s="2" t="str">
        <f t="shared" si="2"/>
        <v>p</v>
      </c>
      <c r="F108" s="2">
        <f t="shared" si="3"/>
        <v>16</v>
      </c>
      <c r="G108" s="2">
        <v>2016</v>
      </c>
      <c r="H108" s="2" t="s">
        <v>1049</v>
      </c>
      <c r="I108" s="2" t="s">
        <v>1034</v>
      </c>
      <c r="J108" s="2" t="s">
        <v>996</v>
      </c>
      <c r="K108" s="2" t="s">
        <v>398</v>
      </c>
      <c r="L108" s="2" t="s">
        <v>8</v>
      </c>
      <c r="M108">
        <v>0</v>
      </c>
      <c r="N108">
        <v>10</v>
      </c>
      <c r="O108" s="2"/>
    </row>
    <row r="109" spans="1:15" ht="17.25" customHeight="1" x14ac:dyDescent="0.2">
      <c r="A109" s="18" t="s">
        <v>973</v>
      </c>
      <c r="B109" s="18" t="s">
        <v>274</v>
      </c>
      <c r="C109" s="18" t="s">
        <v>444</v>
      </c>
      <c r="D109" s="18" t="s">
        <v>1032</v>
      </c>
      <c r="E109" s="2" t="str">
        <f t="shared" si="2"/>
        <v>q</v>
      </c>
      <c r="F109" s="2">
        <f t="shared" si="3"/>
        <v>17</v>
      </c>
      <c r="G109" s="2">
        <v>2017</v>
      </c>
      <c r="H109" s="2" t="s">
        <v>1050</v>
      </c>
      <c r="I109" s="2" t="s">
        <v>1034</v>
      </c>
      <c r="J109" s="2" t="s">
        <v>996</v>
      </c>
      <c r="K109" s="2" t="s">
        <v>398</v>
      </c>
      <c r="L109" s="2" t="s">
        <v>8</v>
      </c>
      <c r="M109">
        <v>0</v>
      </c>
      <c r="N109">
        <v>10</v>
      </c>
      <c r="O109" s="2"/>
    </row>
    <row r="110" spans="1:15" ht="17.25" customHeight="1" x14ac:dyDescent="0.2">
      <c r="A110" s="18" t="s">
        <v>973</v>
      </c>
      <c r="B110" s="18" t="s">
        <v>274</v>
      </c>
      <c r="C110" s="18" t="s">
        <v>444</v>
      </c>
      <c r="D110" s="18" t="s">
        <v>1032</v>
      </c>
      <c r="E110" s="2" t="str">
        <f t="shared" si="2"/>
        <v>r</v>
      </c>
      <c r="F110" s="2">
        <f t="shared" si="3"/>
        <v>18</v>
      </c>
      <c r="G110" s="2">
        <v>2018</v>
      </c>
      <c r="H110" s="2" t="s">
        <v>1050</v>
      </c>
      <c r="I110" s="2" t="s">
        <v>1034</v>
      </c>
      <c r="J110" s="2" t="s">
        <v>996</v>
      </c>
      <c r="K110" s="2" t="s">
        <v>398</v>
      </c>
      <c r="L110" s="2" t="s">
        <v>8</v>
      </c>
      <c r="M110">
        <v>0</v>
      </c>
      <c r="N110">
        <v>10</v>
      </c>
      <c r="O110" s="2"/>
    </row>
    <row r="111" spans="1:15" ht="17.25" customHeight="1" x14ac:dyDescent="0.2">
      <c r="A111" s="18" t="s">
        <v>973</v>
      </c>
      <c r="B111" s="18" t="s">
        <v>274</v>
      </c>
      <c r="C111" s="18" t="s">
        <v>553</v>
      </c>
      <c r="D111" s="18" t="s">
        <v>1051</v>
      </c>
      <c r="E111" s="2" t="str">
        <f t="shared" si="2"/>
        <v>a</v>
      </c>
      <c r="F111" s="2">
        <f t="shared" si="3"/>
        <v>1</v>
      </c>
      <c r="G111" s="2">
        <v>2001</v>
      </c>
      <c r="H111" s="2" t="s">
        <v>1052</v>
      </c>
      <c r="I111" s="2" t="s">
        <v>1053</v>
      </c>
      <c r="J111" s="2" t="s">
        <v>976</v>
      </c>
      <c r="K111" s="2" t="s">
        <v>398</v>
      </c>
      <c r="L111" s="2" t="s">
        <v>8</v>
      </c>
      <c r="M111">
        <v>0</v>
      </c>
      <c r="N111">
        <v>10</v>
      </c>
      <c r="O111" s="2"/>
    </row>
    <row r="112" spans="1:15" ht="17.25" customHeight="1" x14ac:dyDescent="0.2">
      <c r="A112" s="18" t="s">
        <v>973</v>
      </c>
      <c r="B112" s="18" t="s">
        <v>274</v>
      </c>
      <c r="C112" s="18" t="s">
        <v>553</v>
      </c>
      <c r="D112" s="18" t="s">
        <v>1051</v>
      </c>
      <c r="E112" s="2" t="str">
        <f t="shared" si="2"/>
        <v>b</v>
      </c>
      <c r="F112" s="2">
        <f t="shared" si="3"/>
        <v>2</v>
      </c>
      <c r="G112" s="2">
        <v>2002</v>
      </c>
      <c r="H112" s="2" t="s">
        <v>1054</v>
      </c>
      <c r="I112" s="2" t="s">
        <v>1053</v>
      </c>
      <c r="J112" s="2" t="s">
        <v>976</v>
      </c>
      <c r="K112" s="2" t="s">
        <v>398</v>
      </c>
      <c r="L112" s="2" t="s">
        <v>8</v>
      </c>
      <c r="M112">
        <v>0</v>
      </c>
      <c r="N112">
        <v>10</v>
      </c>
      <c r="O112" s="2"/>
    </row>
    <row r="113" spans="1:15" ht="17.25" customHeight="1" x14ac:dyDescent="0.2">
      <c r="A113" s="18" t="s">
        <v>973</v>
      </c>
      <c r="B113" s="18" t="s">
        <v>274</v>
      </c>
      <c r="C113" s="18" t="s">
        <v>553</v>
      </c>
      <c r="D113" s="18" t="s">
        <v>1051</v>
      </c>
      <c r="E113" s="2" t="str">
        <f t="shared" si="2"/>
        <v>c</v>
      </c>
      <c r="F113" s="2">
        <f t="shared" si="3"/>
        <v>3</v>
      </c>
      <c r="G113" s="2">
        <v>2003</v>
      </c>
      <c r="H113" s="2" t="s">
        <v>1055</v>
      </c>
      <c r="I113" s="2" t="s">
        <v>1053</v>
      </c>
      <c r="J113" s="2" t="s">
        <v>976</v>
      </c>
      <c r="K113" s="2" t="s">
        <v>398</v>
      </c>
      <c r="L113" s="2" t="s">
        <v>8</v>
      </c>
      <c r="M113">
        <v>0</v>
      </c>
      <c r="N113">
        <v>10</v>
      </c>
      <c r="O113" s="2"/>
    </row>
    <row r="114" spans="1:15" ht="17.25" customHeight="1" x14ac:dyDescent="0.2">
      <c r="A114" s="18" t="s">
        <v>973</v>
      </c>
      <c r="B114" s="18" t="s">
        <v>274</v>
      </c>
      <c r="C114" s="18" t="s">
        <v>553</v>
      </c>
      <c r="D114" s="18" t="s">
        <v>1051</v>
      </c>
      <c r="E114" s="2" t="str">
        <f t="shared" si="2"/>
        <v>d</v>
      </c>
      <c r="F114" s="2">
        <f t="shared" si="3"/>
        <v>4</v>
      </c>
      <c r="G114" s="2">
        <v>2004</v>
      </c>
      <c r="H114" s="2" t="s">
        <v>1056</v>
      </c>
      <c r="I114" s="2" t="s">
        <v>1053</v>
      </c>
      <c r="J114" s="2" t="s">
        <v>976</v>
      </c>
      <c r="K114" s="2" t="s">
        <v>398</v>
      </c>
      <c r="L114" s="2" t="s">
        <v>8</v>
      </c>
      <c r="M114">
        <v>0</v>
      </c>
      <c r="N114">
        <v>10</v>
      </c>
      <c r="O114" s="2"/>
    </row>
    <row r="115" spans="1:15" ht="17.25" customHeight="1" x14ac:dyDescent="0.2">
      <c r="A115" s="18" t="s">
        <v>973</v>
      </c>
      <c r="B115" s="18" t="s">
        <v>274</v>
      </c>
      <c r="C115" s="18" t="s">
        <v>553</v>
      </c>
      <c r="D115" s="18" t="s">
        <v>1051</v>
      </c>
      <c r="E115" s="2" t="str">
        <f t="shared" si="2"/>
        <v>e</v>
      </c>
      <c r="F115" s="2">
        <f t="shared" si="3"/>
        <v>5</v>
      </c>
      <c r="G115" s="2">
        <v>2005</v>
      </c>
      <c r="H115" s="2" t="s">
        <v>1057</v>
      </c>
      <c r="I115" s="2" t="s">
        <v>1053</v>
      </c>
      <c r="J115" s="2" t="s">
        <v>976</v>
      </c>
      <c r="K115" s="2" t="s">
        <v>398</v>
      </c>
      <c r="L115" s="2" t="s">
        <v>8</v>
      </c>
      <c r="M115">
        <v>0</v>
      </c>
      <c r="N115">
        <v>10</v>
      </c>
      <c r="O115" s="2"/>
    </row>
    <row r="116" spans="1:15" ht="17.25" customHeight="1" x14ac:dyDescent="0.2">
      <c r="A116" s="18" t="s">
        <v>973</v>
      </c>
      <c r="B116" s="18" t="s">
        <v>274</v>
      </c>
      <c r="C116" s="18" t="s">
        <v>553</v>
      </c>
      <c r="D116" s="18" t="s">
        <v>1051</v>
      </c>
      <c r="E116" s="2" t="str">
        <f t="shared" si="2"/>
        <v>f</v>
      </c>
      <c r="F116" s="2">
        <f t="shared" si="3"/>
        <v>6</v>
      </c>
      <c r="G116" s="2">
        <v>2006</v>
      </c>
      <c r="H116" s="2" t="s">
        <v>1058</v>
      </c>
      <c r="I116" s="2" t="s">
        <v>1053</v>
      </c>
      <c r="J116" s="2" t="s">
        <v>976</v>
      </c>
      <c r="K116" s="2" t="s">
        <v>398</v>
      </c>
      <c r="L116" s="2" t="s">
        <v>8</v>
      </c>
      <c r="M116">
        <v>0</v>
      </c>
      <c r="N116">
        <v>10</v>
      </c>
      <c r="O116" s="2"/>
    </row>
    <row r="117" spans="1:15" ht="17.25" customHeight="1" x14ac:dyDescent="0.2">
      <c r="A117" s="18" t="s">
        <v>973</v>
      </c>
      <c r="B117" s="18" t="s">
        <v>274</v>
      </c>
      <c r="C117" s="18" t="s">
        <v>553</v>
      </c>
      <c r="D117" s="18" t="s">
        <v>1051</v>
      </c>
      <c r="E117" s="2" t="str">
        <f t="shared" si="2"/>
        <v>g</v>
      </c>
      <c r="F117" s="2">
        <f t="shared" si="3"/>
        <v>7</v>
      </c>
      <c r="G117" s="2">
        <v>2007</v>
      </c>
      <c r="H117" s="2" t="s">
        <v>1059</v>
      </c>
      <c r="I117" s="2" t="s">
        <v>1053</v>
      </c>
      <c r="J117" s="2" t="s">
        <v>976</v>
      </c>
      <c r="K117" s="2" t="s">
        <v>398</v>
      </c>
      <c r="L117" s="2" t="s">
        <v>8</v>
      </c>
      <c r="M117">
        <v>0</v>
      </c>
      <c r="N117">
        <v>10</v>
      </c>
      <c r="O117" s="2"/>
    </row>
    <row r="118" spans="1:15" ht="17.25" customHeight="1" x14ac:dyDescent="0.2">
      <c r="A118" s="18" t="s">
        <v>973</v>
      </c>
      <c r="B118" s="18" t="s">
        <v>274</v>
      </c>
      <c r="C118" s="18" t="s">
        <v>553</v>
      </c>
      <c r="D118" s="18" t="s">
        <v>1051</v>
      </c>
      <c r="E118" s="2" t="str">
        <f t="shared" si="2"/>
        <v>h</v>
      </c>
      <c r="F118" s="2">
        <f t="shared" si="3"/>
        <v>8</v>
      </c>
      <c r="G118" s="2">
        <v>2008</v>
      </c>
      <c r="H118" s="2" t="s">
        <v>1060</v>
      </c>
      <c r="I118" s="2" t="s">
        <v>1053</v>
      </c>
      <c r="J118" s="2" t="s">
        <v>976</v>
      </c>
      <c r="K118" s="2" t="s">
        <v>398</v>
      </c>
      <c r="L118" s="2" t="s">
        <v>8</v>
      </c>
      <c r="M118">
        <v>0</v>
      </c>
      <c r="N118">
        <v>10</v>
      </c>
      <c r="O118" s="2"/>
    </row>
    <row r="119" spans="1:15" ht="17.25" customHeight="1" x14ac:dyDescent="0.2">
      <c r="A119" s="18" t="s">
        <v>973</v>
      </c>
      <c r="B119" s="18" t="s">
        <v>274</v>
      </c>
      <c r="C119" s="18" t="s">
        <v>553</v>
      </c>
      <c r="D119" s="18" t="s">
        <v>1051</v>
      </c>
      <c r="E119" s="2" t="str">
        <f t="shared" si="2"/>
        <v>i</v>
      </c>
      <c r="F119" s="2">
        <f t="shared" si="3"/>
        <v>9</v>
      </c>
      <c r="G119" s="2">
        <v>2009</v>
      </c>
      <c r="H119" s="2" t="s">
        <v>1061</v>
      </c>
      <c r="I119" s="2" t="s">
        <v>1053</v>
      </c>
      <c r="J119" s="2" t="s">
        <v>976</v>
      </c>
      <c r="K119" s="2" t="s">
        <v>398</v>
      </c>
      <c r="L119" s="2" t="s">
        <v>8</v>
      </c>
      <c r="M119">
        <v>0</v>
      </c>
      <c r="N119">
        <v>10</v>
      </c>
      <c r="O119" s="2"/>
    </row>
    <row r="120" spans="1:15" ht="17.25" customHeight="1" x14ac:dyDescent="0.2">
      <c r="A120" s="18" t="s">
        <v>973</v>
      </c>
      <c r="B120" s="18" t="s">
        <v>274</v>
      </c>
      <c r="C120" s="18" t="s">
        <v>553</v>
      </c>
      <c r="D120" s="18" t="s">
        <v>1051</v>
      </c>
      <c r="E120" s="2" t="str">
        <f t="shared" si="2"/>
        <v>j</v>
      </c>
      <c r="F120" s="2">
        <f t="shared" si="3"/>
        <v>10</v>
      </c>
      <c r="G120" s="2">
        <v>2010</v>
      </c>
      <c r="H120" s="2" t="s">
        <v>1062</v>
      </c>
      <c r="I120" s="2" t="s">
        <v>1053</v>
      </c>
      <c r="J120" s="2" t="s">
        <v>976</v>
      </c>
      <c r="K120" s="2" t="s">
        <v>398</v>
      </c>
      <c r="L120" s="2" t="s">
        <v>8</v>
      </c>
      <c r="M120">
        <v>0</v>
      </c>
      <c r="N120">
        <v>10</v>
      </c>
      <c r="O120" s="2"/>
    </row>
    <row r="121" spans="1:15" ht="17.25" customHeight="1" x14ac:dyDescent="0.2">
      <c r="A121" s="18" t="s">
        <v>973</v>
      </c>
      <c r="B121" s="18" t="s">
        <v>274</v>
      </c>
      <c r="C121" s="18" t="s">
        <v>553</v>
      </c>
      <c r="D121" s="18" t="s">
        <v>1051</v>
      </c>
      <c r="E121" s="2" t="str">
        <f t="shared" si="2"/>
        <v>k</v>
      </c>
      <c r="F121" s="2">
        <f t="shared" si="3"/>
        <v>11</v>
      </c>
      <c r="G121" s="2">
        <v>2011</v>
      </c>
      <c r="H121" s="2" t="s">
        <v>1063</v>
      </c>
      <c r="I121" s="2" t="s">
        <v>1053</v>
      </c>
      <c r="J121" s="2" t="s">
        <v>976</v>
      </c>
      <c r="K121" s="2" t="s">
        <v>398</v>
      </c>
      <c r="L121" s="2" t="s">
        <v>8</v>
      </c>
      <c r="M121">
        <v>0</v>
      </c>
      <c r="N121">
        <v>10</v>
      </c>
      <c r="O121" s="2"/>
    </row>
    <row r="122" spans="1:15" ht="17.25" customHeight="1" x14ac:dyDescent="0.2">
      <c r="A122" s="18" t="s">
        <v>973</v>
      </c>
      <c r="B122" s="18" t="s">
        <v>274</v>
      </c>
      <c r="C122" s="18" t="s">
        <v>553</v>
      </c>
      <c r="D122" s="18" t="s">
        <v>1051</v>
      </c>
      <c r="E122" s="2" t="str">
        <f t="shared" si="2"/>
        <v>l</v>
      </c>
      <c r="F122" s="2">
        <f t="shared" si="3"/>
        <v>12</v>
      </c>
      <c r="G122" s="2">
        <v>2012</v>
      </c>
      <c r="H122" s="2" t="s">
        <v>1064</v>
      </c>
      <c r="I122" s="2" t="s">
        <v>1053</v>
      </c>
      <c r="J122" s="2" t="s">
        <v>976</v>
      </c>
      <c r="K122" s="2" t="s">
        <v>398</v>
      </c>
      <c r="L122" s="2" t="s">
        <v>8</v>
      </c>
      <c r="M122">
        <v>0</v>
      </c>
      <c r="N122">
        <v>10</v>
      </c>
      <c r="O122" s="2"/>
    </row>
    <row r="123" spans="1:15" ht="17.25" customHeight="1" x14ac:dyDescent="0.2">
      <c r="A123" s="18" t="s">
        <v>973</v>
      </c>
      <c r="B123" s="18" t="s">
        <v>274</v>
      </c>
      <c r="C123" s="18" t="s">
        <v>553</v>
      </c>
      <c r="D123" s="18" t="s">
        <v>1051</v>
      </c>
      <c r="E123" s="2" t="str">
        <f t="shared" si="2"/>
        <v>m</v>
      </c>
      <c r="F123" s="2">
        <f t="shared" si="3"/>
        <v>13</v>
      </c>
      <c r="G123" s="2">
        <v>2013</v>
      </c>
      <c r="H123" s="2" t="s">
        <v>1065</v>
      </c>
      <c r="I123" s="2" t="s">
        <v>1053</v>
      </c>
      <c r="J123" s="2" t="s">
        <v>976</v>
      </c>
      <c r="K123" s="2" t="s">
        <v>398</v>
      </c>
      <c r="L123" s="2" t="s">
        <v>8</v>
      </c>
      <c r="M123">
        <v>0</v>
      </c>
      <c r="N123">
        <v>10</v>
      </c>
      <c r="O123" s="2"/>
    </row>
    <row r="124" spans="1:15" ht="17.25" customHeight="1" x14ac:dyDescent="0.2">
      <c r="A124" s="18" t="s">
        <v>973</v>
      </c>
      <c r="B124" s="18" t="s">
        <v>274</v>
      </c>
      <c r="C124" s="18" t="s">
        <v>553</v>
      </c>
      <c r="D124" s="18" t="s">
        <v>1051</v>
      </c>
      <c r="E124" s="2" t="str">
        <f t="shared" si="2"/>
        <v>n</v>
      </c>
      <c r="F124" s="2">
        <f t="shared" si="3"/>
        <v>14</v>
      </c>
      <c r="G124" s="2">
        <v>2014</v>
      </c>
      <c r="H124" s="2" t="s">
        <v>1066</v>
      </c>
      <c r="I124" s="2" t="s">
        <v>1053</v>
      </c>
      <c r="J124" s="2" t="s">
        <v>976</v>
      </c>
      <c r="K124" s="2" t="s">
        <v>398</v>
      </c>
      <c r="L124" s="2" t="s">
        <v>8</v>
      </c>
      <c r="M124">
        <v>0</v>
      </c>
      <c r="N124">
        <v>10</v>
      </c>
      <c r="O124" s="2"/>
    </row>
    <row r="125" spans="1:15" ht="17.25" customHeight="1" x14ac:dyDescent="0.2">
      <c r="A125" s="18" t="s">
        <v>973</v>
      </c>
      <c r="B125" s="18" t="s">
        <v>274</v>
      </c>
      <c r="C125" s="18" t="s">
        <v>553</v>
      </c>
      <c r="D125" s="18" t="s">
        <v>1051</v>
      </c>
      <c r="E125" s="2" t="str">
        <f t="shared" si="2"/>
        <v>o</v>
      </c>
      <c r="F125" s="2">
        <f t="shared" si="3"/>
        <v>15</v>
      </c>
      <c r="G125" s="2">
        <v>2015</v>
      </c>
      <c r="H125" s="2" t="s">
        <v>1067</v>
      </c>
      <c r="I125" s="2" t="s">
        <v>1053</v>
      </c>
      <c r="J125" s="2" t="s">
        <v>976</v>
      </c>
      <c r="K125" s="2" t="s">
        <v>398</v>
      </c>
      <c r="L125" s="2" t="s">
        <v>8</v>
      </c>
      <c r="M125">
        <v>0</v>
      </c>
      <c r="N125">
        <v>10</v>
      </c>
      <c r="O125" s="2"/>
    </row>
    <row r="126" spans="1:15" ht="17.25" customHeight="1" x14ac:dyDescent="0.2">
      <c r="A126" s="18" t="s">
        <v>973</v>
      </c>
      <c r="B126" s="18" t="s">
        <v>274</v>
      </c>
      <c r="C126" s="18" t="s">
        <v>553</v>
      </c>
      <c r="D126" s="18" t="s">
        <v>1051</v>
      </c>
      <c r="E126" s="2" t="str">
        <f t="shared" si="2"/>
        <v>p</v>
      </c>
      <c r="F126" s="2">
        <f t="shared" si="3"/>
        <v>16</v>
      </c>
      <c r="G126" s="2">
        <v>2016</v>
      </c>
      <c r="H126" s="2" t="s">
        <v>1068</v>
      </c>
      <c r="I126" s="2" t="s">
        <v>1053</v>
      </c>
      <c r="J126" s="2" t="s">
        <v>976</v>
      </c>
      <c r="K126" s="2" t="s">
        <v>398</v>
      </c>
      <c r="L126" s="2" t="s">
        <v>8</v>
      </c>
      <c r="M126">
        <v>0</v>
      </c>
      <c r="N126">
        <v>10</v>
      </c>
      <c r="O126" s="2"/>
    </row>
    <row r="127" spans="1:15" ht="17.25" customHeight="1" x14ac:dyDescent="0.2">
      <c r="A127" s="18" t="s">
        <v>973</v>
      </c>
      <c r="B127" s="18" t="s">
        <v>274</v>
      </c>
      <c r="C127" s="18" t="s">
        <v>553</v>
      </c>
      <c r="D127" s="18" t="s">
        <v>1051</v>
      </c>
      <c r="E127" s="2" t="str">
        <f t="shared" si="2"/>
        <v>q</v>
      </c>
      <c r="F127" s="2">
        <f t="shared" si="3"/>
        <v>17</v>
      </c>
      <c r="G127" s="2">
        <v>2017</v>
      </c>
      <c r="H127" s="2" t="s">
        <v>1069</v>
      </c>
      <c r="I127" s="2" t="s">
        <v>1053</v>
      </c>
      <c r="J127" s="2" t="s">
        <v>976</v>
      </c>
      <c r="K127" s="2" t="s">
        <v>398</v>
      </c>
      <c r="L127" s="2" t="s">
        <v>8</v>
      </c>
      <c r="M127">
        <v>0</v>
      </c>
      <c r="N127">
        <v>10</v>
      </c>
      <c r="O127" s="2"/>
    </row>
    <row r="128" spans="1:15" ht="17.25" customHeight="1" x14ac:dyDescent="0.2">
      <c r="A128" s="18" t="s">
        <v>973</v>
      </c>
      <c r="B128" s="18" t="s">
        <v>274</v>
      </c>
      <c r="C128" s="18" t="s">
        <v>553</v>
      </c>
      <c r="D128" s="18" t="s">
        <v>1051</v>
      </c>
      <c r="E128" s="2" t="str">
        <f t="shared" si="2"/>
        <v>r</v>
      </c>
      <c r="F128" s="2">
        <f t="shared" si="3"/>
        <v>18</v>
      </c>
      <c r="G128" s="2">
        <v>2018</v>
      </c>
      <c r="H128" s="2" t="s">
        <v>1084</v>
      </c>
      <c r="I128" s="2" t="s">
        <v>1053</v>
      </c>
      <c r="J128" s="2" t="s">
        <v>976</v>
      </c>
      <c r="K128" s="2" t="s">
        <v>398</v>
      </c>
      <c r="L128" s="2" t="s">
        <v>8</v>
      </c>
      <c r="M128">
        <v>0</v>
      </c>
      <c r="N128">
        <v>10</v>
      </c>
      <c r="O128" s="2"/>
    </row>
    <row r="129" spans="1:14" x14ac:dyDescent="0.2">
      <c r="A129" s="18" t="s">
        <v>973</v>
      </c>
      <c r="B129" s="18" t="s">
        <v>274</v>
      </c>
      <c r="C129" s="18" t="s">
        <v>447</v>
      </c>
      <c r="D129" s="18" t="s">
        <v>1071</v>
      </c>
      <c r="E129" s="2" t="str">
        <f t="shared" si="2"/>
        <v>a</v>
      </c>
      <c r="F129" s="2">
        <f t="shared" si="3"/>
        <v>1</v>
      </c>
      <c r="G129" s="2">
        <v>2001</v>
      </c>
      <c r="H129" t="str">
        <f>E129&amp;"losatft"</f>
        <v>alosatft</v>
      </c>
      <c r="I129" s="2" t="s">
        <v>1070</v>
      </c>
      <c r="J129" s="2" t="s">
        <v>976</v>
      </c>
      <c r="K129" s="2" t="s">
        <v>398</v>
      </c>
      <c r="L129" s="2" t="s">
        <v>8</v>
      </c>
      <c r="M129">
        <v>0</v>
      </c>
      <c r="N129">
        <v>10</v>
      </c>
    </row>
    <row r="130" spans="1:14" x14ac:dyDescent="0.2">
      <c r="A130" s="18" t="s">
        <v>973</v>
      </c>
      <c r="B130" s="18" t="s">
        <v>274</v>
      </c>
      <c r="C130" s="18" t="s">
        <v>447</v>
      </c>
      <c r="D130" s="18" t="s">
        <v>1071</v>
      </c>
      <c r="E130" s="2" t="str">
        <f t="shared" si="2"/>
        <v>b</v>
      </c>
      <c r="F130" s="2">
        <f t="shared" si="3"/>
        <v>2</v>
      </c>
      <c r="G130" s="2">
        <v>2002</v>
      </c>
      <c r="H130" t="str">
        <f t="shared" ref="H130:H146" si="4">E130&amp;"losatft"</f>
        <v>blosatft</v>
      </c>
      <c r="I130" s="2" t="s">
        <v>1070</v>
      </c>
      <c r="J130" s="2" t="s">
        <v>976</v>
      </c>
      <c r="K130" s="2" t="s">
        <v>398</v>
      </c>
      <c r="L130" s="2" t="s">
        <v>8</v>
      </c>
      <c r="M130">
        <v>0</v>
      </c>
      <c r="N130">
        <v>10</v>
      </c>
    </row>
    <row r="131" spans="1:14" x14ac:dyDescent="0.2">
      <c r="A131" s="18" t="s">
        <v>973</v>
      </c>
      <c r="B131" s="18" t="s">
        <v>274</v>
      </c>
      <c r="C131" s="18" t="s">
        <v>447</v>
      </c>
      <c r="D131" s="18" t="s">
        <v>1071</v>
      </c>
      <c r="E131" s="2" t="str">
        <f t="shared" ref="E131:E194" si="5">MID("abcdefghijklmnopqrstuvwxyz",F131,1)</f>
        <v>c</v>
      </c>
      <c r="F131" s="2">
        <f t="shared" ref="F131:F194" si="6">G131-2000</f>
        <v>3</v>
      </c>
      <c r="G131" s="2">
        <v>2003</v>
      </c>
      <c r="H131" t="str">
        <f t="shared" si="4"/>
        <v>closatft</v>
      </c>
      <c r="I131" s="2" t="s">
        <v>1070</v>
      </c>
      <c r="J131" s="2" t="s">
        <v>976</v>
      </c>
      <c r="K131" s="2" t="s">
        <v>398</v>
      </c>
      <c r="L131" s="2" t="s">
        <v>8</v>
      </c>
      <c r="M131">
        <v>0</v>
      </c>
      <c r="N131">
        <v>10</v>
      </c>
    </row>
    <row r="132" spans="1:14" x14ac:dyDescent="0.2">
      <c r="A132" s="18" t="s">
        <v>973</v>
      </c>
      <c r="B132" s="18" t="s">
        <v>274</v>
      </c>
      <c r="C132" s="18" t="s">
        <v>447</v>
      </c>
      <c r="D132" s="18" t="s">
        <v>1071</v>
      </c>
      <c r="E132" s="2" t="str">
        <f t="shared" si="5"/>
        <v>d</v>
      </c>
      <c r="F132" s="2">
        <f t="shared" si="6"/>
        <v>4</v>
      </c>
      <c r="G132" s="2">
        <v>2004</v>
      </c>
      <c r="H132" t="str">
        <f t="shared" si="4"/>
        <v>dlosatft</v>
      </c>
      <c r="I132" s="2" t="s">
        <v>1070</v>
      </c>
      <c r="J132" s="2" t="s">
        <v>976</v>
      </c>
      <c r="K132" s="2" t="s">
        <v>398</v>
      </c>
      <c r="L132" s="2" t="s">
        <v>8</v>
      </c>
      <c r="M132">
        <v>0</v>
      </c>
      <c r="N132">
        <v>10</v>
      </c>
    </row>
    <row r="133" spans="1:14" x14ac:dyDescent="0.2">
      <c r="A133" s="18" t="s">
        <v>973</v>
      </c>
      <c r="B133" s="18" t="s">
        <v>274</v>
      </c>
      <c r="C133" s="18" t="s">
        <v>447</v>
      </c>
      <c r="D133" s="18" t="s">
        <v>1071</v>
      </c>
      <c r="E133" s="2" t="str">
        <f t="shared" si="5"/>
        <v>e</v>
      </c>
      <c r="F133" s="2">
        <f t="shared" si="6"/>
        <v>5</v>
      </c>
      <c r="G133" s="2">
        <v>2005</v>
      </c>
      <c r="H133" t="str">
        <f t="shared" si="4"/>
        <v>elosatft</v>
      </c>
      <c r="I133" s="2" t="s">
        <v>1070</v>
      </c>
      <c r="J133" s="2" t="s">
        <v>976</v>
      </c>
      <c r="K133" s="2" t="s">
        <v>398</v>
      </c>
      <c r="L133" s="2" t="s">
        <v>8</v>
      </c>
      <c r="M133">
        <v>0</v>
      </c>
      <c r="N133">
        <v>10</v>
      </c>
    </row>
    <row r="134" spans="1:14" x14ac:dyDescent="0.2">
      <c r="A134" s="18" t="s">
        <v>973</v>
      </c>
      <c r="B134" s="18" t="s">
        <v>274</v>
      </c>
      <c r="C134" s="18" t="s">
        <v>447</v>
      </c>
      <c r="D134" s="18" t="s">
        <v>1071</v>
      </c>
      <c r="E134" s="2" t="str">
        <f t="shared" si="5"/>
        <v>f</v>
      </c>
      <c r="F134" s="2">
        <f t="shared" si="6"/>
        <v>6</v>
      </c>
      <c r="G134" s="2">
        <v>2006</v>
      </c>
      <c r="H134" t="str">
        <f t="shared" si="4"/>
        <v>flosatft</v>
      </c>
      <c r="I134" s="2" t="s">
        <v>1070</v>
      </c>
      <c r="J134" s="2" t="s">
        <v>976</v>
      </c>
      <c r="K134" s="2" t="s">
        <v>398</v>
      </c>
      <c r="L134" s="2" t="s">
        <v>8</v>
      </c>
      <c r="M134">
        <v>0</v>
      </c>
      <c r="N134">
        <v>10</v>
      </c>
    </row>
    <row r="135" spans="1:14" x14ac:dyDescent="0.2">
      <c r="A135" s="18" t="s">
        <v>973</v>
      </c>
      <c r="B135" s="18" t="s">
        <v>274</v>
      </c>
      <c r="C135" s="18" t="s">
        <v>447</v>
      </c>
      <c r="D135" s="18" t="s">
        <v>1071</v>
      </c>
      <c r="E135" s="2" t="str">
        <f t="shared" si="5"/>
        <v>g</v>
      </c>
      <c r="F135" s="2">
        <f t="shared" si="6"/>
        <v>7</v>
      </c>
      <c r="G135" s="2">
        <v>2007</v>
      </c>
      <c r="H135" t="str">
        <f t="shared" si="4"/>
        <v>glosatft</v>
      </c>
      <c r="I135" s="2" t="s">
        <v>1070</v>
      </c>
      <c r="J135" s="2" t="s">
        <v>976</v>
      </c>
      <c r="K135" s="2" t="s">
        <v>398</v>
      </c>
      <c r="L135" s="2" t="s">
        <v>8</v>
      </c>
      <c r="M135">
        <v>0</v>
      </c>
      <c r="N135">
        <v>10</v>
      </c>
    </row>
    <row r="136" spans="1:14" x14ac:dyDescent="0.2">
      <c r="A136" s="18" t="s">
        <v>973</v>
      </c>
      <c r="B136" s="18" t="s">
        <v>274</v>
      </c>
      <c r="C136" s="18" t="s">
        <v>447</v>
      </c>
      <c r="D136" s="18" t="s">
        <v>1071</v>
      </c>
      <c r="E136" s="2" t="str">
        <f t="shared" si="5"/>
        <v>h</v>
      </c>
      <c r="F136" s="2">
        <f t="shared" si="6"/>
        <v>8</v>
      </c>
      <c r="G136" s="2">
        <v>2008</v>
      </c>
      <c r="H136" t="str">
        <f t="shared" si="4"/>
        <v>hlosatft</v>
      </c>
      <c r="I136" s="2" t="s">
        <v>1070</v>
      </c>
      <c r="J136" s="2" t="s">
        <v>976</v>
      </c>
      <c r="K136" s="2" t="s">
        <v>398</v>
      </c>
      <c r="L136" s="2" t="s">
        <v>8</v>
      </c>
      <c r="M136">
        <v>0</v>
      </c>
      <c r="N136">
        <v>10</v>
      </c>
    </row>
    <row r="137" spans="1:14" x14ac:dyDescent="0.2">
      <c r="A137" s="18" t="s">
        <v>973</v>
      </c>
      <c r="B137" s="18" t="s">
        <v>274</v>
      </c>
      <c r="C137" s="18" t="s">
        <v>447</v>
      </c>
      <c r="D137" s="18" t="s">
        <v>1071</v>
      </c>
      <c r="E137" s="2" t="str">
        <f t="shared" si="5"/>
        <v>i</v>
      </c>
      <c r="F137" s="2">
        <f t="shared" si="6"/>
        <v>9</v>
      </c>
      <c r="G137" s="2">
        <v>2009</v>
      </c>
      <c r="H137" t="str">
        <f t="shared" si="4"/>
        <v>ilosatft</v>
      </c>
      <c r="I137" s="2" t="s">
        <v>1070</v>
      </c>
      <c r="J137" s="2" t="s">
        <v>976</v>
      </c>
      <c r="K137" s="2" t="s">
        <v>398</v>
      </c>
      <c r="L137" s="2" t="s">
        <v>8</v>
      </c>
      <c r="M137">
        <v>0</v>
      </c>
      <c r="N137">
        <v>10</v>
      </c>
    </row>
    <row r="138" spans="1:14" x14ac:dyDescent="0.2">
      <c r="A138" s="18" t="s">
        <v>973</v>
      </c>
      <c r="B138" s="18" t="s">
        <v>274</v>
      </c>
      <c r="C138" s="18" t="s">
        <v>447</v>
      </c>
      <c r="D138" s="18" t="s">
        <v>1071</v>
      </c>
      <c r="E138" s="2" t="str">
        <f t="shared" si="5"/>
        <v>j</v>
      </c>
      <c r="F138" s="2">
        <f t="shared" si="6"/>
        <v>10</v>
      </c>
      <c r="G138" s="2">
        <v>2010</v>
      </c>
      <c r="H138" t="str">
        <f t="shared" si="4"/>
        <v>jlosatft</v>
      </c>
      <c r="I138" s="2" t="s">
        <v>1070</v>
      </c>
      <c r="J138" s="2" t="s">
        <v>976</v>
      </c>
      <c r="K138" s="2" t="s">
        <v>398</v>
      </c>
      <c r="L138" s="2" t="s">
        <v>8</v>
      </c>
      <c r="M138">
        <v>0</v>
      </c>
      <c r="N138">
        <v>10</v>
      </c>
    </row>
    <row r="139" spans="1:14" x14ac:dyDescent="0.2">
      <c r="A139" s="18" t="s">
        <v>973</v>
      </c>
      <c r="B139" s="18" t="s">
        <v>274</v>
      </c>
      <c r="C139" s="18" t="s">
        <v>447</v>
      </c>
      <c r="D139" s="18" t="s">
        <v>1071</v>
      </c>
      <c r="E139" s="2" t="str">
        <f t="shared" si="5"/>
        <v>k</v>
      </c>
      <c r="F139" s="2">
        <f t="shared" si="6"/>
        <v>11</v>
      </c>
      <c r="G139" s="2">
        <v>2011</v>
      </c>
      <c r="H139" t="str">
        <f t="shared" si="4"/>
        <v>klosatft</v>
      </c>
      <c r="I139" s="2" t="s">
        <v>1070</v>
      </c>
      <c r="J139" s="2" t="s">
        <v>976</v>
      </c>
      <c r="K139" s="2" t="s">
        <v>398</v>
      </c>
      <c r="L139" s="2" t="s">
        <v>8</v>
      </c>
      <c r="M139">
        <v>0</v>
      </c>
      <c r="N139">
        <v>10</v>
      </c>
    </row>
    <row r="140" spans="1:14" x14ac:dyDescent="0.2">
      <c r="A140" s="18" t="s">
        <v>973</v>
      </c>
      <c r="B140" s="18" t="s">
        <v>274</v>
      </c>
      <c r="C140" s="18" t="s">
        <v>447</v>
      </c>
      <c r="D140" s="18" t="s">
        <v>1071</v>
      </c>
      <c r="E140" s="2" t="str">
        <f t="shared" si="5"/>
        <v>l</v>
      </c>
      <c r="F140" s="2">
        <f t="shared" si="6"/>
        <v>12</v>
      </c>
      <c r="G140" s="2">
        <v>2012</v>
      </c>
      <c r="H140" t="str">
        <f t="shared" si="4"/>
        <v>llosatft</v>
      </c>
      <c r="I140" s="2" t="s">
        <v>1070</v>
      </c>
      <c r="J140" s="2" t="s">
        <v>976</v>
      </c>
      <c r="K140" s="2" t="s">
        <v>398</v>
      </c>
      <c r="L140" s="2" t="s">
        <v>8</v>
      </c>
      <c r="M140">
        <v>0</v>
      </c>
      <c r="N140">
        <v>10</v>
      </c>
    </row>
    <row r="141" spans="1:14" x14ac:dyDescent="0.2">
      <c r="A141" s="18" t="s">
        <v>973</v>
      </c>
      <c r="B141" s="18" t="s">
        <v>274</v>
      </c>
      <c r="C141" s="18" t="s">
        <v>447</v>
      </c>
      <c r="D141" s="18" t="s">
        <v>1071</v>
      </c>
      <c r="E141" s="2" t="str">
        <f t="shared" si="5"/>
        <v>m</v>
      </c>
      <c r="F141" s="2">
        <f t="shared" si="6"/>
        <v>13</v>
      </c>
      <c r="G141" s="2">
        <v>2013</v>
      </c>
      <c r="H141" t="str">
        <f t="shared" si="4"/>
        <v>mlosatft</v>
      </c>
      <c r="I141" s="2" t="s">
        <v>1070</v>
      </c>
      <c r="J141" s="2" t="s">
        <v>976</v>
      </c>
      <c r="K141" s="2" t="s">
        <v>398</v>
      </c>
      <c r="L141" s="2" t="s">
        <v>8</v>
      </c>
      <c r="M141">
        <v>0</v>
      </c>
      <c r="N141">
        <v>10</v>
      </c>
    </row>
    <row r="142" spans="1:14" x14ac:dyDescent="0.2">
      <c r="A142" s="18" t="s">
        <v>973</v>
      </c>
      <c r="B142" s="18" t="s">
        <v>274</v>
      </c>
      <c r="C142" s="18" t="s">
        <v>447</v>
      </c>
      <c r="D142" s="18" t="s">
        <v>1071</v>
      </c>
      <c r="E142" s="2" t="str">
        <f t="shared" si="5"/>
        <v>n</v>
      </c>
      <c r="F142" s="2">
        <f t="shared" si="6"/>
        <v>14</v>
      </c>
      <c r="G142" s="2">
        <v>2014</v>
      </c>
      <c r="H142" t="str">
        <f t="shared" si="4"/>
        <v>nlosatft</v>
      </c>
      <c r="I142" s="2" t="s">
        <v>1070</v>
      </c>
      <c r="J142" s="2" t="s">
        <v>976</v>
      </c>
      <c r="K142" s="2" t="s">
        <v>398</v>
      </c>
      <c r="L142" s="2" t="s">
        <v>8</v>
      </c>
      <c r="M142">
        <v>0</v>
      </c>
      <c r="N142">
        <v>10</v>
      </c>
    </row>
    <row r="143" spans="1:14" x14ac:dyDescent="0.2">
      <c r="A143" s="18" t="s">
        <v>973</v>
      </c>
      <c r="B143" s="18" t="s">
        <v>274</v>
      </c>
      <c r="C143" s="18" t="s">
        <v>447</v>
      </c>
      <c r="D143" s="18" t="s">
        <v>1071</v>
      </c>
      <c r="E143" s="2" t="str">
        <f t="shared" si="5"/>
        <v>o</v>
      </c>
      <c r="F143" s="2">
        <f t="shared" si="6"/>
        <v>15</v>
      </c>
      <c r="G143" s="2">
        <v>2015</v>
      </c>
      <c r="H143" t="str">
        <f t="shared" si="4"/>
        <v>olosatft</v>
      </c>
      <c r="I143" s="2" t="s">
        <v>1070</v>
      </c>
      <c r="J143" s="2" t="s">
        <v>976</v>
      </c>
      <c r="K143" s="2" t="s">
        <v>398</v>
      </c>
      <c r="L143" s="2" t="s">
        <v>8</v>
      </c>
      <c r="M143">
        <v>0</v>
      </c>
      <c r="N143">
        <v>10</v>
      </c>
    </row>
    <row r="144" spans="1:14" x14ac:dyDescent="0.2">
      <c r="A144" s="18" t="s">
        <v>973</v>
      </c>
      <c r="B144" s="18" t="s">
        <v>274</v>
      </c>
      <c r="C144" s="18" t="s">
        <v>447</v>
      </c>
      <c r="D144" s="18" t="s">
        <v>1071</v>
      </c>
      <c r="E144" s="2" t="str">
        <f t="shared" si="5"/>
        <v>p</v>
      </c>
      <c r="F144" s="2">
        <f t="shared" si="6"/>
        <v>16</v>
      </c>
      <c r="G144" s="2">
        <v>2016</v>
      </c>
      <c r="H144" t="str">
        <f t="shared" si="4"/>
        <v>plosatft</v>
      </c>
      <c r="I144" s="2" t="s">
        <v>1070</v>
      </c>
      <c r="J144" s="2" t="s">
        <v>976</v>
      </c>
      <c r="K144" s="2" t="s">
        <v>398</v>
      </c>
      <c r="L144" s="2" t="s">
        <v>8</v>
      </c>
      <c r="M144">
        <v>0</v>
      </c>
      <c r="N144">
        <v>10</v>
      </c>
    </row>
    <row r="145" spans="1:14" x14ac:dyDescent="0.2">
      <c r="A145" s="18" t="s">
        <v>973</v>
      </c>
      <c r="B145" s="18" t="s">
        <v>274</v>
      </c>
      <c r="C145" s="18" t="s">
        <v>447</v>
      </c>
      <c r="D145" s="18" t="s">
        <v>1071</v>
      </c>
      <c r="E145" s="2" t="str">
        <f t="shared" si="5"/>
        <v>q</v>
      </c>
      <c r="F145" s="2">
        <f t="shared" si="6"/>
        <v>17</v>
      </c>
      <c r="G145" s="2">
        <v>2017</v>
      </c>
      <c r="H145" t="str">
        <f t="shared" ref="H145" si="7">E145&amp;"losatft"</f>
        <v>qlosatft</v>
      </c>
      <c r="I145" s="2" t="s">
        <v>1070</v>
      </c>
      <c r="J145" s="2" t="s">
        <v>976</v>
      </c>
      <c r="K145" s="2" t="s">
        <v>398</v>
      </c>
      <c r="L145" s="2" t="s">
        <v>8</v>
      </c>
      <c r="M145">
        <v>0</v>
      </c>
      <c r="N145">
        <v>10</v>
      </c>
    </row>
    <row r="146" spans="1:14" x14ac:dyDescent="0.2">
      <c r="A146" s="18" t="s">
        <v>973</v>
      </c>
      <c r="B146" s="18" t="s">
        <v>274</v>
      </c>
      <c r="C146" s="18" t="s">
        <v>447</v>
      </c>
      <c r="D146" s="18" t="s">
        <v>1071</v>
      </c>
      <c r="E146" s="2" t="str">
        <f t="shared" si="5"/>
        <v>r</v>
      </c>
      <c r="F146" s="2">
        <f t="shared" si="6"/>
        <v>18</v>
      </c>
      <c r="G146" s="2">
        <v>2018</v>
      </c>
      <c r="H146" t="str">
        <f t="shared" si="4"/>
        <v>rlosatft</v>
      </c>
      <c r="I146" s="2" t="s">
        <v>1070</v>
      </c>
      <c r="J146" s="2" t="s">
        <v>976</v>
      </c>
      <c r="K146" s="2" t="s">
        <v>398</v>
      </c>
      <c r="L146" s="2" t="s">
        <v>8</v>
      </c>
      <c r="M146">
        <v>0</v>
      </c>
      <c r="N146">
        <v>10</v>
      </c>
    </row>
    <row r="147" spans="1:14" x14ac:dyDescent="0.2">
      <c r="A147" s="18" t="s">
        <v>973</v>
      </c>
      <c r="B147" s="18" t="s">
        <v>274</v>
      </c>
      <c r="C147" s="18" t="s">
        <v>454</v>
      </c>
      <c r="D147" s="18" t="s">
        <v>1073</v>
      </c>
      <c r="E147" s="2" t="str">
        <f t="shared" si="5"/>
        <v>a</v>
      </c>
      <c r="F147" s="2">
        <f t="shared" si="6"/>
        <v>1</v>
      </c>
      <c r="G147" s="2">
        <v>2001</v>
      </c>
      <c r="H147" t="str">
        <f>E147&amp;"losathl"</f>
        <v>alosathl</v>
      </c>
      <c r="I147" s="2" t="s">
        <v>1072</v>
      </c>
      <c r="J147" s="2" t="s">
        <v>976</v>
      </c>
      <c r="K147" s="2" t="s">
        <v>398</v>
      </c>
      <c r="L147" s="2" t="s">
        <v>8</v>
      </c>
      <c r="M147">
        <v>0</v>
      </c>
      <c r="N147">
        <v>10</v>
      </c>
    </row>
    <row r="148" spans="1:14" x14ac:dyDescent="0.2">
      <c r="A148" s="18" t="s">
        <v>973</v>
      </c>
      <c r="B148" s="18" t="s">
        <v>274</v>
      </c>
      <c r="C148" s="18" t="s">
        <v>454</v>
      </c>
      <c r="D148" s="18" t="s">
        <v>1073</v>
      </c>
      <c r="E148" s="2" t="str">
        <f t="shared" si="5"/>
        <v>b</v>
      </c>
      <c r="F148" s="2">
        <f t="shared" si="6"/>
        <v>2</v>
      </c>
      <c r="G148" s="2">
        <v>2002</v>
      </c>
      <c r="H148" t="str">
        <f t="shared" ref="H148:H164" si="8">E148&amp;"losathl"</f>
        <v>blosathl</v>
      </c>
      <c r="I148" s="2" t="s">
        <v>1072</v>
      </c>
      <c r="J148" s="2" t="s">
        <v>976</v>
      </c>
      <c r="K148" s="2" t="s">
        <v>398</v>
      </c>
      <c r="L148" s="2" t="s">
        <v>8</v>
      </c>
      <c r="M148">
        <v>0</v>
      </c>
      <c r="N148">
        <v>10</v>
      </c>
    </row>
    <row r="149" spans="1:14" x14ac:dyDescent="0.2">
      <c r="A149" s="18" t="s">
        <v>973</v>
      </c>
      <c r="B149" s="18" t="s">
        <v>274</v>
      </c>
      <c r="C149" s="18" t="s">
        <v>454</v>
      </c>
      <c r="D149" s="18" t="s">
        <v>1073</v>
      </c>
      <c r="E149" s="2" t="str">
        <f t="shared" si="5"/>
        <v>c</v>
      </c>
      <c r="F149" s="2">
        <f t="shared" si="6"/>
        <v>3</v>
      </c>
      <c r="G149" s="2">
        <v>2003</v>
      </c>
      <c r="H149" t="str">
        <f t="shared" si="8"/>
        <v>closathl</v>
      </c>
      <c r="I149" s="2" t="s">
        <v>1072</v>
      </c>
      <c r="J149" s="2" t="s">
        <v>976</v>
      </c>
      <c r="K149" s="2" t="s">
        <v>398</v>
      </c>
      <c r="L149" s="2" t="s">
        <v>8</v>
      </c>
      <c r="M149">
        <v>0</v>
      </c>
      <c r="N149">
        <v>10</v>
      </c>
    </row>
    <row r="150" spans="1:14" x14ac:dyDescent="0.2">
      <c r="A150" s="18" t="s">
        <v>973</v>
      </c>
      <c r="B150" s="18" t="s">
        <v>274</v>
      </c>
      <c r="C150" s="18" t="s">
        <v>454</v>
      </c>
      <c r="D150" s="18" t="s">
        <v>1073</v>
      </c>
      <c r="E150" s="2" t="str">
        <f t="shared" si="5"/>
        <v>d</v>
      </c>
      <c r="F150" s="2">
        <f t="shared" si="6"/>
        <v>4</v>
      </c>
      <c r="G150" s="2">
        <v>2004</v>
      </c>
      <c r="H150" t="str">
        <f t="shared" si="8"/>
        <v>dlosathl</v>
      </c>
      <c r="I150" s="2" t="s">
        <v>1072</v>
      </c>
      <c r="J150" s="2" t="s">
        <v>976</v>
      </c>
      <c r="K150" s="2" t="s">
        <v>398</v>
      </c>
      <c r="L150" s="2" t="s">
        <v>8</v>
      </c>
      <c r="M150">
        <v>0</v>
      </c>
      <c r="N150">
        <v>10</v>
      </c>
    </row>
    <row r="151" spans="1:14" x14ac:dyDescent="0.2">
      <c r="A151" s="18" t="s">
        <v>973</v>
      </c>
      <c r="B151" s="18" t="s">
        <v>274</v>
      </c>
      <c r="C151" s="18" t="s">
        <v>454</v>
      </c>
      <c r="D151" s="18" t="s">
        <v>1073</v>
      </c>
      <c r="E151" s="2" t="str">
        <f t="shared" si="5"/>
        <v>e</v>
      </c>
      <c r="F151" s="2">
        <f t="shared" si="6"/>
        <v>5</v>
      </c>
      <c r="G151" s="2">
        <v>2005</v>
      </c>
      <c r="H151" t="str">
        <f t="shared" si="8"/>
        <v>elosathl</v>
      </c>
      <c r="I151" s="2" t="s">
        <v>1072</v>
      </c>
      <c r="J151" s="2" t="s">
        <v>976</v>
      </c>
      <c r="K151" s="2" t="s">
        <v>398</v>
      </c>
      <c r="L151" s="2" t="s">
        <v>8</v>
      </c>
      <c r="M151">
        <v>0</v>
      </c>
      <c r="N151">
        <v>10</v>
      </c>
    </row>
    <row r="152" spans="1:14" x14ac:dyDescent="0.2">
      <c r="A152" s="18" t="s">
        <v>973</v>
      </c>
      <c r="B152" s="18" t="s">
        <v>274</v>
      </c>
      <c r="C152" s="18" t="s">
        <v>454</v>
      </c>
      <c r="D152" s="18" t="s">
        <v>1073</v>
      </c>
      <c r="E152" s="2" t="str">
        <f t="shared" si="5"/>
        <v>f</v>
      </c>
      <c r="F152" s="2">
        <f t="shared" si="6"/>
        <v>6</v>
      </c>
      <c r="G152" s="2">
        <v>2006</v>
      </c>
      <c r="H152" t="str">
        <f t="shared" si="8"/>
        <v>flosathl</v>
      </c>
      <c r="I152" s="2" t="s">
        <v>1072</v>
      </c>
      <c r="J152" s="2" t="s">
        <v>976</v>
      </c>
      <c r="K152" s="2" t="s">
        <v>398</v>
      </c>
      <c r="L152" s="2" t="s">
        <v>8</v>
      </c>
      <c r="M152">
        <v>0</v>
      </c>
      <c r="N152">
        <v>10</v>
      </c>
    </row>
    <row r="153" spans="1:14" x14ac:dyDescent="0.2">
      <c r="A153" s="18" t="s">
        <v>973</v>
      </c>
      <c r="B153" s="18" t="s">
        <v>274</v>
      </c>
      <c r="C153" s="18" t="s">
        <v>454</v>
      </c>
      <c r="D153" s="18" t="s">
        <v>1073</v>
      </c>
      <c r="E153" s="2" t="str">
        <f t="shared" si="5"/>
        <v>g</v>
      </c>
      <c r="F153" s="2">
        <f t="shared" si="6"/>
        <v>7</v>
      </c>
      <c r="G153" s="2">
        <v>2007</v>
      </c>
      <c r="H153" t="str">
        <f t="shared" si="8"/>
        <v>glosathl</v>
      </c>
      <c r="I153" s="2" t="s">
        <v>1072</v>
      </c>
      <c r="J153" s="2" t="s">
        <v>976</v>
      </c>
      <c r="K153" s="2" t="s">
        <v>398</v>
      </c>
      <c r="L153" s="2" t="s">
        <v>8</v>
      </c>
      <c r="M153">
        <v>0</v>
      </c>
      <c r="N153">
        <v>10</v>
      </c>
    </row>
    <row r="154" spans="1:14" x14ac:dyDescent="0.2">
      <c r="A154" s="18" t="s">
        <v>973</v>
      </c>
      <c r="B154" s="18" t="s">
        <v>274</v>
      </c>
      <c r="C154" s="18" t="s">
        <v>454</v>
      </c>
      <c r="D154" s="18" t="s">
        <v>1073</v>
      </c>
      <c r="E154" s="2" t="str">
        <f t="shared" si="5"/>
        <v>h</v>
      </c>
      <c r="F154" s="2">
        <f t="shared" si="6"/>
        <v>8</v>
      </c>
      <c r="G154" s="2">
        <v>2008</v>
      </c>
      <c r="H154" t="str">
        <f t="shared" si="8"/>
        <v>hlosathl</v>
      </c>
      <c r="I154" s="2" t="s">
        <v>1072</v>
      </c>
      <c r="J154" s="2" t="s">
        <v>976</v>
      </c>
      <c r="K154" s="2" t="s">
        <v>398</v>
      </c>
      <c r="L154" s="2" t="s">
        <v>8</v>
      </c>
      <c r="M154">
        <v>0</v>
      </c>
      <c r="N154">
        <v>10</v>
      </c>
    </row>
    <row r="155" spans="1:14" x14ac:dyDescent="0.2">
      <c r="A155" s="18" t="s">
        <v>973</v>
      </c>
      <c r="B155" s="18" t="s">
        <v>274</v>
      </c>
      <c r="C155" s="18" t="s">
        <v>454</v>
      </c>
      <c r="D155" s="18" t="s">
        <v>1073</v>
      </c>
      <c r="E155" s="2" t="str">
        <f t="shared" si="5"/>
        <v>i</v>
      </c>
      <c r="F155" s="2">
        <f t="shared" si="6"/>
        <v>9</v>
      </c>
      <c r="G155" s="2">
        <v>2009</v>
      </c>
      <c r="H155" t="str">
        <f t="shared" si="8"/>
        <v>ilosathl</v>
      </c>
      <c r="I155" s="2" t="s">
        <v>1072</v>
      </c>
      <c r="J155" s="2" t="s">
        <v>976</v>
      </c>
      <c r="K155" s="2" t="s">
        <v>398</v>
      </c>
      <c r="L155" s="2" t="s">
        <v>8</v>
      </c>
      <c r="M155">
        <v>0</v>
      </c>
      <c r="N155">
        <v>10</v>
      </c>
    </row>
    <row r="156" spans="1:14" x14ac:dyDescent="0.2">
      <c r="A156" s="18" t="s">
        <v>973</v>
      </c>
      <c r="B156" s="18" t="s">
        <v>274</v>
      </c>
      <c r="C156" s="18" t="s">
        <v>454</v>
      </c>
      <c r="D156" s="18" t="s">
        <v>1073</v>
      </c>
      <c r="E156" s="2" t="str">
        <f t="shared" si="5"/>
        <v>j</v>
      </c>
      <c r="F156" s="2">
        <f t="shared" si="6"/>
        <v>10</v>
      </c>
      <c r="G156" s="2">
        <v>2010</v>
      </c>
      <c r="H156" t="str">
        <f t="shared" si="8"/>
        <v>jlosathl</v>
      </c>
      <c r="I156" s="2" t="s">
        <v>1072</v>
      </c>
      <c r="J156" s="2" t="s">
        <v>976</v>
      </c>
      <c r="K156" s="2" t="s">
        <v>398</v>
      </c>
      <c r="L156" s="2" t="s">
        <v>8</v>
      </c>
      <c r="M156">
        <v>0</v>
      </c>
      <c r="N156">
        <v>10</v>
      </c>
    </row>
    <row r="157" spans="1:14" x14ac:dyDescent="0.2">
      <c r="A157" s="18" t="s">
        <v>973</v>
      </c>
      <c r="B157" s="18" t="s">
        <v>274</v>
      </c>
      <c r="C157" s="18" t="s">
        <v>454</v>
      </c>
      <c r="D157" s="18" t="s">
        <v>1073</v>
      </c>
      <c r="E157" s="2" t="str">
        <f t="shared" si="5"/>
        <v>k</v>
      </c>
      <c r="F157" s="2">
        <f t="shared" si="6"/>
        <v>11</v>
      </c>
      <c r="G157" s="2">
        <v>2011</v>
      </c>
      <c r="H157" t="str">
        <f t="shared" si="8"/>
        <v>klosathl</v>
      </c>
      <c r="I157" s="2" t="s">
        <v>1072</v>
      </c>
      <c r="J157" s="2" t="s">
        <v>976</v>
      </c>
      <c r="K157" s="2" t="s">
        <v>398</v>
      </c>
      <c r="L157" s="2" t="s">
        <v>8</v>
      </c>
      <c r="M157">
        <v>0</v>
      </c>
      <c r="N157">
        <v>10</v>
      </c>
    </row>
    <row r="158" spans="1:14" x14ac:dyDescent="0.2">
      <c r="A158" s="18" t="s">
        <v>973</v>
      </c>
      <c r="B158" s="18" t="s">
        <v>274</v>
      </c>
      <c r="C158" s="18" t="s">
        <v>454</v>
      </c>
      <c r="D158" s="18" t="s">
        <v>1073</v>
      </c>
      <c r="E158" s="2" t="str">
        <f t="shared" si="5"/>
        <v>l</v>
      </c>
      <c r="F158" s="2">
        <f t="shared" si="6"/>
        <v>12</v>
      </c>
      <c r="G158" s="2">
        <v>2012</v>
      </c>
      <c r="H158" t="str">
        <f t="shared" si="8"/>
        <v>llosathl</v>
      </c>
      <c r="I158" s="2" t="s">
        <v>1072</v>
      </c>
      <c r="J158" s="2" t="s">
        <v>976</v>
      </c>
      <c r="K158" s="2" t="s">
        <v>398</v>
      </c>
      <c r="L158" s="2" t="s">
        <v>8</v>
      </c>
      <c r="M158">
        <v>0</v>
      </c>
      <c r="N158">
        <v>10</v>
      </c>
    </row>
    <row r="159" spans="1:14" x14ac:dyDescent="0.2">
      <c r="A159" s="18" t="s">
        <v>973</v>
      </c>
      <c r="B159" s="18" t="s">
        <v>274</v>
      </c>
      <c r="C159" s="18" t="s">
        <v>454</v>
      </c>
      <c r="D159" s="18" t="s">
        <v>1073</v>
      </c>
      <c r="E159" s="2" t="str">
        <f t="shared" si="5"/>
        <v>m</v>
      </c>
      <c r="F159" s="2">
        <f t="shared" si="6"/>
        <v>13</v>
      </c>
      <c r="G159" s="2">
        <v>2013</v>
      </c>
      <c r="H159" t="str">
        <f t="shared" si="8"/>
        <v>mlosathl</v>
      </c>
      <c r="I159" s="2" t="s">
        <v>1072</v>
      </c>
      <c r="J159" s="2" t="s">
        <v>976</v>
      </c>
      <c r="K159" s="2" t="s">
        <v>398</v>
      </c>
      <c r="L159" s="2" t="s">
        <v>8</v>
      </c>
      <c r="M159">
        <v>0</v>
      </c>
      <c r="N159">
        <v>10</v>
      </c>
    </row>
    <row r="160" spans="1:14" x14ac:dyDescent="0.2">
      <c r="A160" s="18" t="s">
        <v>973</v>
      </c>
      <c r="B160" s="18" t="s">
        <v>274</v>
      </c>
      <c r="C160" s="18" t="s">
        <v>454</v>
      </c>
      <c r="D160" s="18" t="s">
        <v>1073</v>
      </c>
      <c r="E160" s="2" t="str">
        <f t="shared" si="5"/>
        <v>n</v>
      </c>
      <c r="F160" s="2">
        <f t="shared" si="6"/>
        <v>14</v>
      </c>
      <c r="G160" s="2">
        <v>2014</v>
      </c>
      <c r="H160" t="str">
        <f t="shared" si="8"/>
        <v>nlosathl</v>
      </c>
      <c r="I160" s="2" t="s">
        <v>1072</v>
      </c>
      <c r="J160" s="2" t="s">
        <v>976</v>
      </c>
      <c r="K160" s="2" t="s">
        <v>398</v>
      </c>
      <c r="L160" s="2" t="s">
        <v>8</v>
      </c>
      <c r="M160">
        <v>0</v>
      </c>
      <c r="N160">
        <v>10</v>
      </c>
    </row>
    <row r="161" spans="1:14" x14ac:dyDescent="0.2">
      <c r="A161" s="18" t="s">
        <v>973</v>
      </c>
      <c r="B161" s="18" t="s">
        <v>274</v>
      </c>
      <c r="C161" s="18" t="s">
        <v>454</v>
      </c>
      <c r="D161" s="18" t="s">
        <v>1073</v>
      </c>
      <c r="E161" s="2" t="str">
        <f t="shared" si="5"/>
        <v>o</v>
      </c>
      <c r="F161" s="2">
        <f t="shared" si="6"/>
        <v>15</v>
      </c>
      <c r="G161" s="2">
        <v>2015</v>
      </c>
      <c r="H161" t="str">
        <f t="shared" si="8"/>
        <v>olosathl</v>
      </c>
      <c r="I161" s="2" t="s">
        <v>1072</v>
      </c>
      <c r="J161" s="2" t="s">
        <v>976</v>
      </c>
      <c r="K161" s="2" t="s">
        <v>398</v>
      </c>
      <c r="L161" s="2" t="s">
        <v>8</v>
      </c>
      <c r="M161">
        <v>0</v>
      </c>
      <c r="N161">
        <v>10</v>
      </c>
    </row>
    <row r="162" spans="1:14" x14ac:dyDescent="0.2">
      <c r="A162" s="18" t="s">
        <v>973</v>
      </c>
      <c r="B162" s="18" t="s">
        <v>274</v>
      </c>
      <c r="C162" s="18" t="s">
        <v>454</v>
      </c>
      <c r="D162" s="18" t="s">
        <v>1073</v>
      </c>
      <c r="E162" s="2" t="str">
        <f t="shared" si="5"/>
        <v>p</v>
      </c>
      <c r="F162" s="2">
        <f t="shared" si="6"/>
        <v>16</v>
      </c>
      <c r="G162" s="2">
        <v>2016</v>
      </c>
      <c r="H162" t="str">
        <f t="shared" si="8"/>
        <v>plosathl</v>
      </c>
      <c r="I162" s="2" t="s">
        <v>1072</v>
      </c>
      <c r="J162" s="2" t="s">
        <v>976</v>
      </c>
      <c r="K162" s="2" t="s">
        <v>398</v>
      </c>
      <c r="L162" s="2" t="s">
        <v>8</v>
      </c>
      <c r="M162">
        <v>0</v>
      </c>
      <c r="N162">
        <v>10</v>
      </c>
    </row>
    <row r="163" spans="1:14" x14ac:dyDescent="0.2">
      <c r="A163" s="18" t="s">
        <v>973</v>
      </c>
      <c r="B163" s="18" t="s">
        <v>274</v>
      </c>
      <c r="C163" s="18" t="s">
        <v>454</v>
      </c>
      <c r="D163" s="18" t="s">
        <v>1073</v>
      </c>
      <c r="E163" s="2" t="str">
        <f t="shared" si="5"/>
        <v>q</v>
      </c>
      <c r="F163" s="2">
        <f t="shared" si="6"/>
        <v>17</v>
      </c>
      <c r="G163" s="2">
        <v>2017</v>
      </c>
      <c r="H163" t="str">
        <f t="shared" ref="H163" si="9">E163&amp;"losathl"</f>
        <v>qlosathl</v>
      </c>
      <c r="I163" s="2" t="s">
        <v>1072</v>
      </c>
      <c r="J163" s="2" t="s">
        <v>976</v>
      </c>
      <c r="K163" s="2" t="s">
        <v>398</v>
      </c>
      <c r="L163" s="2" t="s">
        <v>8</v>
      </c>
      <c r="M163">
        <v>0</v>
      </c>
      <c r="N163">
        <v>10</v>
      </c>
    </row>
    <row r="164" spans="1:14" x14ac:dyDescent="0.2">
      <c r="A164" s="18" t="s">
        <v>973</v>
      </c>
      <c r="B164" s="18" t="s">
        <v>274</v>
      </c>
      <c r="C164" s="18" t="s">
        <v>454</v>
      </c>
      <c r="D164" s="18" t="s">
        <v>1073</v>
      </c>
      <c r="E164" s="2" t="str">
        <f t="shared" si="5"/>
        <v>r</v>
      </c>
      <c r="F164" s="2">
        <f t="shared" si="6"/>
        <v>18</v>
      </c>
      <c r="G164" s="2">
        <v>2018</v>
      </c>
      <c r="H164" t="str">
        <f t="shared" si="8"/>
        <v>rlosathl</v>
      </c>
      <c r="I164" s="2" t="s">
        <v>1072</v>
      </c>
      <c r="J164" s="2" t="s">
        <v>976</v>
      </c>
      <c r="K164" s="2" t="s">
        <v>398</v>
      </c>
      <c r="L164" s="2" t="s">
        <v>8</v>
      </c>
      <c r="M164">
        <v>0</v>
      </c>
      <c r="N164">
        <v>10</v>
      </c>
    </row>
    <row r="165" spans="1:14" x14ac:dyDescent="0.2">
      <c r="A165" s="18" t="s">
        <v>973</v>
      </c>
      <c r="B165" s="18" t="s">
        <v>274</v>
      </c>
      <c r="C165" s="18" t="s">
        <v>457</v>
      </c>
      <c r="D165" s="18" t="s">
        <v>1075</v>
      </c>
      <c r="E165" s="2" t="str">
        <f t="shared" si="5"/>
        <v>a</v>
      </c>
      <c r="F165" s="2">
        <f t="shared" si="6"/>
        <v>1</v>
      </c>
      <c r="G165" s="2">
        <v>2001</v>
      </c>
      <c r="H165" t="str">
        <f>E165&amp;"losatlc"</f>
        <v>alosatlc</v>
      </c>
      <c r="I165" s="2" t="s">
        <v>1074</v>
      </c>
      <c r="J165" s="2" t="s">
        <v>976</v>
      </c>
      <c r="K165" s="2" t="s">
        <v>398</v>
      </c>
      <c r="L165" s="2" t="s">
        <v>8</v>
      </c>
      <c r="M165">
        <v>0</v>
      </c>
      <c r="N165">
        <v>10</v>
      </c>
    </row>
    <row r="166" spans="1:14" x14ac:dyDescent="0.2">
      <c r="A166" s="18" t="s">
        <v>973</v>
      </c>
      <c r="B166" s="18" t="s">
        <v>274</v>
      </c>
      <c r="C166" s="18" t="s">
        <v>457</v>
      </c>
      <c r="D166" s="18" t="s">
        <v>1075</v>
      </c>
      <c r="E166" s="2" t="str">
        <f t="shared" si="5"/>
        <v>b</v>
      </c>
      <c r="F166" s="2">
        <f t="shared" si="6"/>
        <v>2</v>
      </c>
      <c r="G166" s="2">
        <v>2002</v>
      </c>
      <c r="H166" t="str">
        <f t="shared" ref="H166:H182" si="10">E166&amp;"losatlc"</f>
        <v>blosatlc</v>
      </c>
      <c r="I166" s="2" t="s">
        <v>1074</v>
      </c>
      <c r="J166" s="2" t="s">
        <v>976</v>
      </c>
      <c r="K166" s="2" t="s">
        <v>398</v>
      </c>
      <c r="L166" s="2" t="s">
        <v>8</v>
      </c>
      <c r="M166">
        <v>0</v>
      </c>
      <c r="N166">
        <v>10</v>
      </c>
    </row>
    <row r="167" spans="1:14" x14ac:dyDescent="0.2">
      <c r="A167" s="18" t="s">
        <v>973</v>
      </c>
      <c r="B167" s="18" t="s">
        <v>274</v>
      </c>
      <c r="C167" s="18" t="s">
        <v>457</v>
      </c>
      <c r="D167" s="18" t="s">
        <v>1075</v>
      </c>
      <c r="E167" s="2" t="str">
        <f t="shared" si="5"/>
        <v>c</v>
      </c>
      <c r="F167" s="2">
        <f t="shared" si="6"/>
        <v>3</v>
      </c>
      <c r="G167" s="2">
        <v>2003</v>
      </c>
      <c r="H167" t="str">
        <f t="shared" si="10"/>
        <v>closatlc</v>
      </c>
      <c r="I167" s="2" t="s">
        <v>1074</v>
      </c>
      <c r="J167" s="2" t="s">
        <v>976</v>
      </c>
      <c r="K167" s="2" t="s">
        <v>398</v>
      </c>
      <c r="L167" s="2" t="s">
        <v>8</v>
      </c>
      <c r="M167">
        <v>0</v>
      </c>
      <c r="N167">
        <v>10</v>
      </c>
    </row>
    <row r="168" spans="1:14" x14ac:dyDescent="0.2">
      <c r="A168" s="18" t="s">
        <v>973</v>
      </c>
      <c r="B168" s="18" t="s">
        <v>274</v>
      </c>
      <c r="C168" s="18" t="s">
        <v>457</v>
      </c>
      <c r="D168" s="18" t="s">
        <v>1075</v>
      </c>
      <c r="E168" s="2" t="str">
        <f t="shared" si="5"/>
        <v>d</v>
      </c>
      <c r="F168" s="2">
        <f t="shared" si="6"/>
        <v>4</v>
      </c>
      <c r="G168" s="2">
        <v>2004</v>
      </c>
      <c r="H168" t="str">
        <f t="shared" si="10"/>
        <v>dlosatlc</v>
      </c>
      <c r="I168" s="2" t="s">
        <v>1074</v>
      </c>
      <c r="J168" s="2" t="s">
        <v>976</v>
      </c>
      <c r="K168" s="2" t="s">
        <v>398</v>
      </c>
      <c r="L168" s="2" t="s">
        <v>8</v>
      </c>
      <c r="M168">
        <v>0</v>
      </c>
      <c r="N168">
        <v>10</v>
      </c>
    </row>
    <row r="169" spans="1:14" x14ac:dyDescent="0.2">
      <c r="A169" s="18" t="s">
        <v>973</v>
      </c>
      <c r="B169" s="18" t="s">
        <v>274</v>
      </c>
      <c r="C169" s="18" t="s">
        <v>457</v>
      </c>
      <c r="D169" s="18" t="s">
        <v>1075</v>
      </c>
      <c r="E169" s="2" t="str">
        <f t="shared" si="5"/>
        <v>e</v>
      </c>
      <c r="F169" s="2">
        <f t="shared" si="6"/>
        <v>5</v>
      </c>
      <c r="G169" s="2">
        <v>2005</v>
      </c>
      <c r="H169" t="str">
        <f t="shared" si="10"/>
        <v>elosatlc</v>
      </c>
      <c r="I169" s="2" t="s">
        <v>1074</v>
      </c>
      <c r="J169" s="2" t="s">
        <v>976</v>
      </c>
      <c r="K169" s="2" t="s">
        <v>398</v>
      </c>
      <c r="L169" s="2" t="s">
        <v>8</v>
      </c>
      <c r="M169">
        <v>0</v>
      </c>
      <c r="N169">
        <v>10</v>
      </c>
    </row>
    <row r="170" spans="1:14" x14ac:dyDescent="0.2">
      <c r="A170" s="18" t="s">
        <v>973</v>
      </c>
      <c r="B170" s="18" t="s">
        <v>274</v>
      </c>
      <c r="C170" s="18" t="s">
        <v>457</v>
      </c>
      <c r="D170" s="18" t="s">
        <v>1075</v>
      </c>
      <c r="E170" s="2" t="str">
        <f t="shared" si="5"/>
        <v>f</v>
      </c>
      <c r="F170" s="2">
        <f t="shared" si="6"/>
        <v>6</v>
      </c>
      <c r="G170" s="2">
        <v>2006</v>
      </c>
      <c r="H170" t="str">
        <f t="shared" si="10"/>
        <v>flosatlc</v>
      </c>
      <c r="I170" s="2" t="s">
        <v>1074</v>
      </c>
      <c r="J170" s="2" t="s">
        <v>976</v>
      </c>
      <c r="K170" s="2" t="s">
        <v>398</v>
      </c>
      <c r="L170" s="2" t="s">
        <v>8</v>
      </c>
      <c r="M170">
        <v>0</v>
      </c>
      <c r="N170">
        <v>10</v>
      </c>
    </row>
    <row r="171" spans="1:14" x14ac:dyDescent="0.2">
      <c r="A171" s="18" t="s">
        <v>973</v>
      </c>
      <c r="B171" s="18" t="s">
        <v>274</v>
      </c>
      <c r="C171" s="18" t="s">
        <v>457</v>
      </c>
      <c r="D171" s="18" t="s">
        <v>1075</v>
      </c>
      <c r="E171" s="2" t="str">
        <f t="shared" si="5"/>
        <v>g</v>
      </c>
      <c r="F171" s="2">
        <f t="shared" si="6"/>
        <v>7</v>
      </c>
      <c r="G171" s="2">
        <v>2007</v>
      </c>
      <c r="H171" t="str">
        <f t="shared" si="10"/>
        <v>glosatlc</v>
      </c>
      <c r="I171" s="2" t="s">
        <v>1074</v>
      </c>
      <c r="J171" s="2" t="s">
        <v>976</v>
      </c>
      <c r="K171" s="2" t="s">
        <v>398</v>
      </c>
      <c r="L171" s="2" t="s">
        <v>8</v>
      </c>
      <c r="M171">
        <v>0</v>
      </c>
      <c r="N171">
        <v>10</v>
      </c>
    </row>
    <row r="172" spans="1:14" x14ac:dyDescent="0.2">
      <c r="A172" s="18" t="s">
        <v>973</v>
      </c>
      <c r="B172" s="18" t="s">
        <v>274</v>
      </c>
      <c r="C172" s="18" t="s">
        <v>457</v>
      </c>
      <c r="D172" s="18" t="s">
        <v>1075</v>
      </c>
      <c r="E172" s="2" t="str">
        <f t="shared" si="5"/>
        <v>h</v>
      </c>
      <c r="F172" s="2">
        <f t="shared" si="6"/>
        <v>8</v>
      </c>
      <c r="G172" s="2">
        <v>2008</v>
      </c>
      <c r="H172" t="str">
        <f t="shared" si="10"/>
        <v>hlosatlc</v>
      </c>
      <c r="I172" s="2" t="s">
        <v>1074</v>
      </c>
      <c r="J172" s="2" t="s">
        <v>976</v>
      </c>
      <c r="K172" s="2" t="s">
        <v>398</v>
      </c>
      <c r="L172" s="2" t="s">
        <v>8</v>
      </c>
      <c r="M172">
        <v>0</v>
      </c>
      <c r="N172">
        <v>10</v>
      </c>
    </row>
    <row r="173" spans="1:14" x14ac:dyDescent="0.2">
      <c r="A173" s="18" t="s">
        <v>973</v>
      </c>
      <c r="B173" s="18" t="s">
        <v>274</v>
      </c>
      <c r="C173" s="18" t="s">
        <v>457</v>
      </c>
      <c r="D173" s="18" t="s">
        <v>1075</v>
      </c>
      <c r="E173" s="2" t="str">
        <f t="shared" si="5"/>
        <v>i</v>
      </c>
      <c r="F173" s="2">
        <f t="shared" si="6"/>
        <v>9</v>
      </c>
      <c r="G173" s="2">
        <v>2009</v>
      </c>
      <c r="H173" t="str">
        <f t="shared" si="10"/>
        <v>ilosatlc</v>
      </c>
      <c r="I173" s="2" t="s">
        <v>1074</v>
      </c>
      <c r="J173" s="2" t="s">
        <v>976</v>
      </c>
      <c r="K173" s="2" t="s">
        <v>398</v>
      </c>
      <c r="L173" s="2" t="s">
        <v>8</v>
      </c>
      <c r="M173">
        <v>0</v>
      </c>
      <c r="N173">
        <v>10</v>
      </c>
    </row>
    <row r="174" spans="1:14" x14ac:dyDescent="0.2">
      <c r="A174" s="18" t="s">
        <v>973</v>
      </c>
      <c r="B174" s="18" t="s">
        <v>274</v>
      </c>
      <c r="C174" s="18" t="s">
        <v>457</v>
      </c>
      <c r="D174" s="18" t="s">
        <v>1075</v>
      </c>
      <c r="E174" s="2" t="str">
        <f t="shared" si="5"/>
        <v>j</v>
      </c>
      <c r="F174" s="2">
        <f t="shared" si="6"/>
        <v>10</v>
      </c>
      <c r="G174" s="2">
        <v>2010</v>
      </c>
      <c r="H174" t="str">
        <f t="shared" si="10"/>
        <v>jlosatlc</v>
      </c>
      <c r="I174" s="2" t="s">
        <v>1074</v>
      </c>
      <c r="J174" s="2" t="s">
        <v>976</v>
      </c>
      <c r="K174" s="2" t="s">
        <v>398</v>
      </c>
      <c r="L174" s="2" t="s">
        <v>8</v>
      </c>
      <c r="M174">
        <v>0</v>
      </c>
      <c r="N174">
        <v>10</v>
      </c>
    </row>
    <row r="175" spans="1:14" x14ac:dyDescent="0.2">
      <c r="A175" s="18" t="s">
        <v>973</v>
      </c>
      <c r="B175" s="18" t="s">
        <v>274</v>
      </c>
      <c r="C175" s="18" t="s">
        <v>457</v>
      </c>
      <c r="D175" s="18" t="s">
        <v>1075</v>
      </c>
      <c r="E175" s="2" t="str">
        <f t="shared" si="5"/>
        <v>k</v>
      </c>
      <c r="F175" s="2">
        <f t="shared" si="6"/>
        <v>11</v>
      </c>
      <c r="G175" s="2">
        <v>2011</v>
      </c>
      <c r="H175" t="str">
        <f t="shared" si="10"/>
        <v>klosatlc</v>
      </c>
      <c r="I175" s="2" t="s">
        <v>1074</v>
      </c>
      <c r="J175" s="2" t="s">
        <v>976</v>
      </c>
      <c r="K175" s="2" t="s">
        <v>398</v>
      </c>
      <c r="L175" s="2" t="s">
        <v>8</v>
      </c>
      <c r="M175">
        <v>0</v>
      </c>
      <c r="N175">
        <v>10</v>
      </c>
    </row>
    <row r="176" spans="1:14" x14ac:dyDescent="0.2">
      <c r="A176" s="18" t="s">
        <v>973</v>
      </c>
      <c r="B176" s="18" t="s">
        <v>274</v>
      </c>
      <c r="C176" s="18" t="s">
        <v>457</v>
      </c>
      <c r="D176" s="18" t="s">
        <v>1075</v>
      </c>
      <c r="E176" s="2" t="str">
        <f t="shared" si="5"/>
        <v>l</v>
      </c>
      <c r="F176" s="2">
        <f t="shared" si="6"/>
        <v>12</v>
      </c>
      <c r="G176" s="2">
        <v>2012</v>
      </c>
      <c r="H176" t="str">
        <f t="shared" si="10"/>
        <v>llosatlc</v>
      </c>
      <c r="I176" s="2" t="s">
        <v>1074</v>
      </c>
      <c r="J176" s="2" t="s">
        <v>976</v>
      </c>
      <c r="K176" s="2" t="s">
        <v>398</v>
      </c>
      <c r="L176" s="2" t="s">
        <v>8</v>
      </c>
      <c r="M176">
        <v>0</v>
      </c>
      <c r="N176">
        <v>10</v>
      </c>
    </row>
    <row r="177" spans="1:14" x14ac:dyDescent="0.2">
      <c r="A177" s="18" t="s">
        <v>973</v>
      </c>
      <c r="B177" s="18" t="s">
        <v>274</v>
      </c>
      <c r="C177" s="18" t="s">
        <v>457</v>
      </c>
      <c r="D177" s="18" t="s">
        <v>1075</v>
      </c>
      <c r="E177" s="2" t="str">
        <f t="shared" si="5"/>
        <v>m</v>
      </c>
      <c r="F177" s="2">
        <f t="shared" si="6"/>
        <v>13</v>
      </c>
      <c r="G177" s="2">
        <v>2013</v>
      </c>
      <c r="H177" t="str">
        <f t="shared" si="10"/>
        <v>mlosatlc</v>
      </c>
      <c r="I177" s="2" t="s">
        <v>1074</v>
      </c>
      <c r="J177" s="2" t="s">
        <v>976</v>
      </c>
      <c r="K177" s="2" t="s">
        <v>398</v>
      </c>
      <c r="L177" s="2" t="s">
        <v>8</v>
      </c>
      <c r="M177">
        <v>0</v>
      </c>
      <c r="N177">
        <v>10</v>
      </c>
    </row>
    <row r="178" spans="1:14" x14ac:dyDescent="0.2">
      <c r="A178" s="18" t="s">
        <v>973</v>
      </c>
      <c r="B178" s="18" t="s">
        <v>274</v>
      </c>
      <c r="C178" s="18" t="s">
        <v>457</v>
      </c>
      <c r="D178" s="18" t="s">
        <v>1075</v>
      </c>
      <c r="E178" s="2" t="str">
        <f t="shared" si="5"/>
        <v>n</v>
      </c>
      <c r="F178" s="2">
        <f t="shared" si="6"/>
        <v>14</v>
      </c>
      <c r="G178" s="2">
        <v>2014</v>
      </c>
      <c r="H178" t="str">
        <f t="shared" si="10"/>
        <v>nlosatlc</v>
      </c>
      <c r="I178" s="2" t="s">
        <v>1074</v>
      </c>
      <c r="J178" s="2" t="s">
        <v>976</v>
      </c>
      <c r="K178" s="2" t="s">
        <v>398</v>
      </c>
      <c r="L178" s="2" t="s">
        <v>8</v>
      </c>
      <c r="M178">
        <v>0</v>
      </c>
      <c r="N178">
        <v>10</v>
      </c>
    </row>
    <row r="179" spans="1:14" x14ac:dyDescent="0.2">
      <c r="A179" s="18" t="s">
        <v>973</v>
      </c>
      <c r="B179" s="18" t="s">
        <v>274</v>
      </c>
      <c r="C179" s="18" t="s">
        <v>457</v>
      </c>
      <c r="D179" s="18" t="s">
        <v>1075</v>
      </c>
      <c r="E179" s="2" t="str">
        <f t="shared" si="5"/>
        <v>o</v>
      </c>
      <c r="F179" s="2">
        <f t="shared" si="6"/>
        <v>15</v>
      </c>
      <c r="G179" s="2">
        <v>2015</v>
      </c>
      <c r="H179" t="str">
        <f t="shared" si="10"/>
        <v>olosatlc</v>
      </c>
      <c r="I179" s="2" t="s">
        <v>1074</v>
      </c>
      <c r="J179" s="2" t="s">
        <v>976</v>
      </c>
      <c r="K179" s="2" t="s">
        <v>398</v>
      </c>
      <c r="L179" s="2" t="s">
        <v>8</v>
      </c>
      <c r="M179">
        <v>0</v>
      </c>
      <c r="N179">
        <v>10</v>
      </c>
    </row>
    <row r="180" spans="1:14" x14ac:dyDescent="0.2">
      <c r="A180" s="18" t="s">
        <v>973</v>
      </c>
      <c r="B180" s="18" t="s">
        <v>274</v>
      </c>
      <c r="C180" s="18" t="s">
        <v>457</v>
      </c>
      <c r="D180" s="18" t="s">
        <v>1075</v>
      </c>
      <c r="E180" s="2" t="str">
        <f t="shared" si="5"/>
        <v>p</v>
      </c>
      <c r="F180" s="2">
        <f t="shared" si="6"/>
        <v>16</v>
      </c>
      <c r="G180" s="2">
        <v>2016</v>
      </c>
      <c r="H180" t="str">
        <f t="shared" si="10"/>
        <v>plosatlc</v>
      </c>
      <c r="I180" s="2" t="s">
        <v>1074</v>
      </c>
      <c r="J180" s="2" t="s">
        <v>976</v>
      </c>
      <c r="K180" s="2" t="s">
        <v>398</v>
      </c>
      <c r="L180" s="2" t="s">
        <v>8</v>
      </c>
      <c r="M180">
        <v>0</v>
      </c>
      <c r="N180">
        <v>10</v>
      </c>
    </row>
    <row r="181" spans="1:14" x14ac:dyDescent="0.2">
      <c r="A181" s="18" t="s">
        <v>973</v>
      </c>
      <c r="B181" s="18" t="s">
        <v>274</v>
      </c>
      <c r="C181" s="18" t="s">
        <v>457</v>
      </c>
      <c r="D181" s="18" t="s">
        <v>1075</v>
      </c>
      <c r="E181" s="2" t="str">
        <f t="shared" si="5"/>
        <v>q</v>
      </c>
      <c r="F181" s="2">
        <f t="shared" si="6"/>
        <v>17</v>
      </c>
      <c r="G181" s="2">
        <v>2017</v>
      </c>
      <c r="H181" t="str">
        <f t="shared" ref="H181" si="11">E181&amp;"losatlc"</f>
        <v>qlosatlc</v>
      </c>
      <c r="I181" s="2" t="s">
        <v>1074</v>
      </c>
      <c r="J181" s="2" t="s">
        <v>976</v>
      </c>
      <c r="K181" s="2" t="s">
        <v>398</v>
      </c>
      <c r="L181" s="2" t="s">
        <v>8</v>
      </c>
      <c r="M181">
        <v>0</v>
      </c>
      <c r="N181">
        <v>10</v>
      </c>
    </row>
    <row r="182" spans="1:14" x14ac:dyDescent="0.2">
      <c r="A182" s="18" t="s">
        <v>973</v>
      </c>
      <c r="B182" s="18" t="s">
        <v>274</v>
      </c>
      <c r="C182" s="18" t="s">
        <v>457</v>
      </c>
      <c r="D182" s="18" t="s">
        <v>1075</v>
      </c>
      <c r="E182" s="2" t="str">
        <f t="shared" si="5"/>
        <v>r</v>
      </c>
      <c r="F182" s="2">
        <f t="shared" si="6"/>
        <v>18</v>
      </c>
      <c r="G182" s="2">
        <v>2018</v>
      </c>
      <c r="H182" t="str">
        <f t="shared" si="10"/>
        <v>rlosatlc</v>
      </c>
      <c r="I182" s="2" t="s">
        <v>1074</v>
      </c>
      <c r="J182" s="2" t="s">
        <v>976</v>
      </c>
      <c r="K182" s="2" t="s">
        <v>398</v>
      </c>
      <c r="L182" s="2" t="s">
        <v>8</v>
      </c>
      <c r="M182">
        <v>0</v>
      </c>
      <c r="N182">
        <v>10</v>
      </c>
    </row>
    <row r="183" spans="1:14" x14ac:dyDescent="0.2">
      <c r="A183" s="18" t="s">
        <v>973</v>
      </c>
      <c r="B183" s="18" t="s">
        <v>274</v>
      </c>
      <c r="C183" s="18" t="s">
        <v>362</v>
      </c>
      <c r="D183" s="18" t="s">
        <v>445</v>
      </c>
      <c r="E183" s="2" t="str">
        <f t="shared" si="5"/>
        <v>a</v>
      </c>
      <c r="F183" s="2">
        <f t="shared" si="6"/>
        <v>1</v>
      </c>
      <c r="G183" s="2">
        <v>2001</v>
      </c>
      <c r="H183" t="str">
        <f>E183&amp;"jbmsall"</f>
        <v>ajbmsall</v>
      </c>
      <c r="I183" s="2" t="s">
        <v>1076</v>
      </c>
      <c r="J183" s="2" t="s">
        <v>976</v>
      </c>
      <c r="K183" s="2" t="s">
        <v>398</v>
      </c>
      <c r="L183" s="2" t="s">
        <v>8</v>
      </c>
      <c r="M183">
        <v>0</v>
      </c>
      <c r="N183">
        <v>10</v>
      </c>
    </row>
    <row r="184" spans="1:14" x14ac:dyDescent="0.2">
      <c r="A184" s="18" t="s">
        <v>973</v>
      </c>
      <c r="B184" s="18" t="s">
        <v>274</v>
      </c>
      <c r="C184" s="18" t="s">
        <v>362</v>
      </c>
      <c r="D184" s="18" t="s">
        <v>445</v>
      </c>
      <c r="E184" s="2" t="str">
        <f t="shared" si="5"/>
        <v>b</v>
      </c>
      <c r="F184" s="2">
        <f t="shared" si="6"/>
        <v>2</v>
      </c>
      <c r="G184" s="2">
        <v>2002</v>
      </c>
      <c r="H184" t="str">
        <f t="shared" ref="H184:H200" si="12">E184&amp;"jbmsall"</f>
        <v>bjbmsall</v>
      </c>
      <c r="I184" s="2" t="s">
        <v>1076</v>
      </c>
      <c r="J184" s="2" t="s">
        <v>976</v>
      </c>
      <c r="K184" s="2" t="s">
        <v>398</v>
      </c>
      <c r="L184" s="2" t="s">
        <v>8</v>
      </c>
      <c r="M184">
        <v>0</v>
      </c>
      <c r="N184">
        <v>10</v>
      </c>
    </row>
    <row r="185" spans="1:14" x14ac:dyDescent="0.2">
      <c r="A185" s="18" t="s">
        <v>973</v>
      </c>
      <c r="B185" s="18" t="s">
        <v>274</v>
      </c>
      <c r="C185" s="18" t="s">
        <v>362</v>
      </c>
      <c r="D185" s="18" t="s">
        <v>445</v>
      </c>
      <c r="E185" s="2" t="str">
        <f t="shared" si="5"/>
        <v>c</v>
      </c>
      <c r="F185" s="2">
        <f t="shared" si="6"/>
        <v>3</v>
      </c>
      <c r="G185" s="2">
        <v>2003</v>
      </c>
      <c r="H185" t="str">
        <f t="shared" si="12"/>
        <v>cjbmsall</v>
      </c>
      <c r="I185" s="2" t="s">
        <v>1076</v>
      </c>
      <c r="J185" s="2" t="s">
        <v>976</v>
      </c>
      <c r="K185" s="2" t="s">
        <v>398</v>
      </c>
      <c r="L185" s="2" t="s">
        <v>8</v>
      </c>
      <c r="M185">
        <v>0</v>
      </c>
      <c r="N185">
        <v>10</v>
      </c>
    </row>
    <row r="186" spans="1:14" x14ac:dyDescent="0.2">
      <c r="A186" s="18" t="s">
        <v>973</v>
      </c>
      <c r="B186" s="18" t="s">
        <v>274</v>
      </c>
      <c r="C186" s="18" t="s">
        <v>362</v>
      </c>
      <c r="D186" s="18" t="s">
        <v>445</v>
      </c>
      <c r="E186" s="2" t="str">
        <f t="shared" si="5"/>
        <v>d</v>
      </c>
      <c r="F186" s="2">
        <f t="shared" si="6"/>
        <v>4</v>
      </c>
      <c r="G186" s="2">
        <v>2004</v>
      </c>
      <c r="H186" t="str">
        <f t="shared" si="12"/>
        <v>djbmsall</v>
      </c>
      <c r="I186" s="2" t="s">
        <v>1076</v>
      </c>
      <c r="J186" s="2" t="s">
        <v>976</v>
      </c>
      <c r="K186" s="2" t="s">
        <v>398</v>
      </c>
      <c r="L186" s="2" t="s">
        <v>8</v>
      </c>
      <c r="M186">
        <v>0</v>
      </c>
      <c r="N186">
        <v>10</v>
      </c>
    </row>
    <row r="187" spans="1:14" x14ac:dyDescent="0.2">
      <c r="A187" s="18" t="s">
        <v>973</v>
      </c>
      <c r="B187" s="18" t="s">
        <v>274</v>
      </c>
      <c r="C187" s="18" t="s">
        <v>362</v>
      </c>
      <c r="D187" s="18" t="s">
        <v>445</v>
      </c>
      <c r="E187" s="2" t="str">
        <f t="shared" si="5"/>
        <v>e</v>
      </c>
      <c r="F187" s="2">
        <f t="shared" si="6"/>
        <v>5</v>
      </c>
      <c r="G187" s="2">
        <v>2005</v>
      </c>
      <c r="H187" t="str">
        <f t="shared" si="12"/>
        <v>ejbmsall</v>
      </c>
      <c r="I187" s="2" t="s">
        <v>1076</v>
      </c>
      <c r="J187" s="2" t="s">
        <v>976</v>
      </c>
      <c r="K187" s="2" t="s">
        <v>398</v>
      </c>
      <c r="L187" s="2" t="s">
        <v>8</v>
      </c>
      <c r="M187">
        <v>0</v>
      </c>
      <c r="N187">
        <v>10</v>
      </c>
    </row>
    <row r="188" spans="1:14" x14ac:dyDescent="0.2">
      <c r="A188" s="18" t="s">
        <v>973</v>
      </c>
      <c r="B188" s="18" t="s">
        <v>274</v>
      </c>
      <c r="C188" s="18" t="s">
        <v>362</v>
      </c>
      <c r="D188" s="18" t="s">
        <v>445</v>
      </c>
      <c r="E188" s="2" t="str">
        <f t="shared" si="5"/>
        <v>f</v>
      </c>
      <c r="F188" s="2">
        <f t="shared" si="6"/>
        <v>6</v>
      </c>
      <c r="G188" s="2">
        <v>2006</v>
      </c>
      <c r="H188" t="str">
        <f t="shared" si="12"/>
        <v>fjbmsall</v>
      </c>
      <c r="I188" s="2" t="s">
        <v>1076</v>
      </c>
      <c r="J188" s="2" t="s">
        <v>976</v>
      </c>
      <c r="K188" s="2" t="s">
        <v>398</v>
      </c>
      <c r="L188" s="2" t="s">
        <v>8</v>
      </c>
      <c r="M188">
        <v>0</v>
      </c>
      <c r="N188">
        <v>10</v>
      </c>
    </row>
    <row r="189" spans="1:14" x14ac:dyDescent="0.2">
      <c r="A189" s="18" t="s">
        <v>973</v>
      </c>
      <c r="B189" s="18" t="s">
        <v>274</v>
      </c>
      <c r="C189" s="18" t="s">
        <v>362</v>
      </c>
      <c r="D189" s="18" t="s">
        <v>445</v>
      </c>
      <c r="E189" s="2" t="str">
        <f t="shared" si="5"/>
        <v>g</v>
      </c>
      <c r="F189" s="2">
        <f t="shared" si="6"/>
        <v>7</v>
      </c>
      <c r="G189" s="2">
        <v>2007</v>
      </c>
      <c r="H189" t="str">
        <f t="shared" si="12"/>
        <v>gjbmsall</v>
      </c>
      <c r="I189" s="2" t="s">
        <v>1076</v>
      </c>
      <c r="J189" s="2" t="s">
        <v>976</v>
      </c>
      <c r="K189" s="2" t="s">
        <v>398</v>
      </c>
      <c r="L189" s="2" t="s">
        <v>8</v>
      </c>
      <c r="M189">
        <v>0</v>
      </c>
      <c r="N189">
        <v>10</v>
      </c>
    </row>
    <row r="190" spans="1:14" x14ac:dyDescent="0.2">
      <c r="A190" s="18" t="s">
        <v>973</v>
      </c>
      <c r="B190" s="18" t="s">
        <v>274</v>
      </c>
      <c r="C190" s="18" t="s">
        <v>362</v>
      </c>
      <c r="D190" s="18" t="s">
        <v>445</v>
      </c>
      <c r="E190" s="2" t="str">
        <f t="shared" si="5"/>
        <v>h</v>
      </c>
      <c r="F190" s="2">
        <f t="shared" si="6"/>
        <v>8</v>
      </c>
      <c r="G190" s="2">
        <v>2008</v>
      </c>
      <c r="H190" t="str">
        <f t="shared" si="12"/>
        <v>hjbmsall</v>
      </c>
      <c r="I190" s="2" t="s">
        <v>1076</v>
      </c>
      <c r="J190" s="2" t="s">
        <v>976</v>
      </c>
      <c r="K190" s="2" t="s">
        <v>398</v>
      </c>
      <c r="L190" s="2" t="s">
        <v>8</v>
      </c>
      <c r="M190">
        <v>0</v>
      </c>
      <c r="N190">
        <v>10</v>
      </c>
    </row>
    <row r="191" spans="1:14" x14ac:dyDescent="0.2">
      <c r="A191" s="18" t="s">
        <v>973</v>
      </c>
      <c r="B191" s="18" t="s">
        <v>274</v>
      </c>
      <c r="C191" s="18" t="s">
        <v>362</v>
      </c>
      <c r="D191" s="18" t="s">
        <v>445</v>
      </c>
      <c r="E191" s="2" t="str">
        <f t="shared" si="5"/>
        <v>i</v>
      </c>
      <c r="F191" s="2">
        <f t="shared" si="6"/>
        <v>9</v>
      </c>
      <c r="G191" s="2">
        <v>2009</v>
      </c>
      <c r="H191" t="str">
        <f t="shared" si="12"/>
        <v>ijbmsall</v>
      </c>
      <c r="I191" s="2" t="s">
        <v>1076</v>
      </c>
      <c r="J191" s="2" t="s">
        <v>976</v>
      </c>
      <c r="K191" s="2" t="s">
        <v>398</v>
      </c>
      <c r="L191" s="2" t="s">
        <v>8</v>
      </c>
      <c r="M191">
        <v>0</v>
      </c>
      <c r="N191">
        <v>10</v>
      </c>
    </row>
    <row r="192" spans="1:14" x14ac:dyDescent="0.2">
      <c r="A192" s="18" t="s">
        <v>973</v>
      </c>
      <c r="B192" s="18" t="s">
        <v>274</v>
      </c>
      <c r="C192" s="18" t="s">
        <v>362</v>
      </c>
      <c r="D192" s="18" t="s">
        <v>445</v>
      </c>
      <c r="E192" s="2" t="str">
        <f t="shared" si="5"/>
        <v>j</v>
      </c>
      <c r="F192" s="2">
        <f t="shared" si="6"/>
        <v>10</v>
      </c>
      <c r="G192" s="2">
        <v>2010</v>
      </c>
      <c r="H192" t="str">
        <f t="shared" si="12"/>
        <v>jjbmsall</v>
      </c>
      <c r="I192" s="2" t="s">
        <v>1076</v>
      </c>
      <c r="J192" s="2" t="s">
        <v>976</v>
      </c>
      <c r="K192" s="2" t="s">
        <v>398</v>
      </c>
      <c r="L192" s="2" t="s">
        <v>8</v>
      </c>
      <c r="M192">
        <v>0</v>
      </c>
      <c r="N192">
        <v>10</v>
      </c>
    </row>
    <row r="193" spans="1:14" x14ac:dyDescent="0.2">
      <c r="A193" s="18" t="s">
        <v>973</v>
      </c>
      <c r="B193" s="18" t="s">
        <v>274</v>
      </c>
      <c r="C193" s="18" t="s">
        <v>362</v>
      </c>
      <c r="D193" s="18" t="s">
        <v>445</v>
      </c>
      <c r="E193" s="2" t="str">
        <f t="shared" si="5"/>
        <v>k</v>
      </c>
      <c r="F193" s="2">
        <f t="shared" si="6"/>
        <v>11</v>
      </c>
      <c r="G193" s="2">
        <v>2011</v>
      </c>
      <c r="H193" t="str">
        <f t="shared" si="12"/>
        <v>kjbmsall</v>
      </c>
      <c r="I193" s="2" t="s">
        <v>1076</v>
      </c>
      <c r="J193" s="2" t="s">
        <v>976</v>
      </c>
      <c r="K193" s="2" t="s">
        <v>398</v>
      </c>
      <c r="L193" s="2" t="s">
        <v>8</v>
      </c>
      <c r="M193">
        <v>0</v>
      </c>
      <c r="N193">
        <v>10</v>
      </c>
    </row>
    <row r="194" spans="1:14" x14ac:dyDescent="0.2">
      <c r="A194" s="18" t="s">
        <v>973</v>
      </c>
      <c r="B194" s="18" t="s">
        <v>274</v>
      </c>
      <c r="C194" s="18" t="s">
        <v>362</v>
      </c>
      <c r="D194" s="18" t="s">
        <v>445</v>
      </c>
      <c r="E194" s="2" t="str">
        <f t="shared" si="5"/>
        <v>l</v>
      </c>
      <c r="F194" s="2">
        <f t="shared" si="6"/>
        <v>12</v>
      </c>
      <c r="G194" s="2">
        <v>2012</v>
      </c>
      <c r="H194" t="str">
        <f t="shared" si="12"/>
        <v>ljbmsall</v>
      </c>
      <c r="I194" s="2" t="s">
        <v>1076</v>
      </c>
      <c r="J194" s="2" t="s">
        <v>976</v>
      </c>
      <c r="K194" s="2" t="s">
        <v>398</v>
      </c>
      <c r="L194" s="2" t="s">
        <v>8</v>
      </c>
      <c r="M194">
        <v>0</v>
      </c>
      <c r="N194">
        <v>10</v>
      </c>
    </row>
    <row r="195" spans="1:14" x14ac:dyDescent="0.2">
      <c r="A195" s="18" t="s">
        <v>973</v>
      </c>
      <c r="B195" s="18" t="s">
        <v>274</v>
      </c>
      <c r="C195" s="18" t="s">
        <v>362</v>
      </c>
      <c r="D195" s="18" t="s">
        <v>445</v>
      </c>
      <c r="E195" s="2" t="str">
        <f t="shared" ref="E195:E258" si="13">MID("abcdefghijklmnopqrstuvwxyz",F195,1)</f>
        <v>m</v>
      </c>
      <c r="F195" s="2">
        <f t="shared" ref="F195:F258" si="14">G195-2000</f>
        <v>13</v>
      </c>
      <c r="G195" s="2">
        <v>2013</v>
      </c>
      <c r="H195" t="str">
        <f t="shared" si="12"/>
        <v>mjbmsall</v>
      </c>
      <c r="I195" s="2" t="s">
        <v>1076</v>
      </c>
      <c r="J195" s="2" t="s">
        <v>976</v>
      </c>
      <c r="K195" s="2" t="s">
        <v>398</v>
      </c>
      <c r="L195" s="2" t="s">
        <v>8</v>
      </c>
      <c r="M195">
        <v>0</v>
      </c>
      <c r="N195">
        <v>10</v>
      </c>
    </row>
    <row r="196" spans="1:14" x14ac:dyDescent="0.2">
      <c r="A196" s="18" t="s">
        <v>973</v>
      </c>
      <c r="B196" s="18" t="s">
        <v>274</v>
      </c>
      <c r="C196" s="18" t="s">
        <v>362</v>
      </c>
      <c r="D196" s="18" t="s">
        <v>445</v>
      </c>
      <c r="E196" s="2" t="str">
        <f t="shared" si="13"/>
        <v>n</v>
      </c>
      <c r="F196" s="2">
        <f t="shared" si="14"/>
        <v>14</v>
      </c>
      <c r="G196" s="2">
        <v>2014</v>
      </c>
      <c r="H196" t="str">
        <f t="shared" si="12"/>
        <v>njbmsall</v>
      </c>
      <c r="I196" s="2" t="s">
        <v>1076</v>
      </c>
      <c r="J196" s="2" t="s">
        <v>976</v>
      </c>
      <c r="K196" s="2" t="s">
        <v>398</v>
      </c>
      <c r="L196" s="2" t="s">
        <v>8</v>
      </c>
      <c r="M196">
        <v>0</v>
      </c>
      <c r="N196">
        <v>10</v>
      </c>
    </row>
    <row r="197" spans="1:14" x14ac:dyDescent="0.2">
      <c r="A197" s="18" t="s">
        <v>973</v>
      </c>
      <c r="B197" s="18" t="s">
        <v>274</v>
      </c>
      <c r="C197" s="18" t="s">
        <v>362</v>
      </c>
      <c r="D197" s="18" t="s">
        <v>445</v>
      </c>
      <c r="E197" s="2" t="str">
        <f t="shared" si="13"/>
        <v>o</v>
      </c>
      <c r="F197" s="2">
        <f t="shared" si="14"/>
        <v>15</v>
      </c>
      <c r="G197" s="2">
        <v>2015</v>
      </c>
      <c r="H197" t="str">
        <f t="shared" si="12"/>
        <v>ojbmsall</v>
      </c>
      <c r="I197" s="2" t="s">
        <v>1076</v>
      </c>
      <c r="J197" s="2" t="s">
        <v>976</v>
      </c>
      <c r="K197" s="2" t="s">
        <v>398</v>
      </c>
      <c r="L197" s="2" t="s">
        <v>8</v>
      </c>
      <c r="M197">
        <v>0</v>
      </c>
      <c r="N197">
        <v>10</v>
      </c>
    </row>
    <row r="198" spans="1:14" x14ac:dyDescent="0.2">
      <c r="A198" s="18" t="s">
        <v>973</v>
      </c>
      <c r="B198" s="18" t="s">
        <v>274</v>
      </c>
      <c r="C198" s="18" t="s">
        <v>362</v>
      </c>
      <c r="D198" s="18" t="s">
        <v>445</v>
      </c>
      <c r="E198" s="2" t="str">
        <f t="shared" si="13"/>
        <v>p</v>
      </c>
      <c r="F198" s="2">
        <f t="shared" si="14"/>
        <v>16</v>
      </c>
      <c r="G198" s="2">
        <v>2016</v>
      </c>
      <c r="H198" t="str">
        <f t="shared" si="12"/>
        <v>pjbmsall</v>
      </c>
      <c r="I198" s="2" t="s">
        <v>1076</v>
      </c>
      <c r="J198" s="2" t="s">
        <v>976</v>
      </c>
      <c r="K198" s="2" t="s">
        <v>398</v>
      </c>
      <c r="L198" s="2" t="s">
        <v>8</v>
      </c>
      <c r="M198">
        <v>0</v>
      </c>
      <c r="N198">
        <v>10</v>
      </c>
    </row>
    <row r="199" spans="1:14" x14ac:dyDescent="0.2">
      <c r="A199" s="18" t="s">
        <v>973</v>
      </c>
      <c r="B199" s="18" t="s">
        <v>274</v>
      </c>
      <c r="C199" s="18" t="s">
        <v>362</v>
      </c>
      <c r="D199" s="18" t="s">
        <v>445</v>
      </c>
      <c r="E199" s="2" t="str">
        <f t="shared" si="13"/>
        <v>q</v>
      </c>
      <c r="F199" s="2">
        <f t="shared" si="14"/>
        <v>17</v>
      </c>
      <c r="G199" s="2">
        <v>2017</v>
      </c>
      <c r="H199" t="str">
        <f t="shared" ref="H199" si="15">E199&amp;"jbmsall"</f>
        <v>qjbmsall</v>
      </c>
      <c r="I199" s="2" t="s">
        <v>1076</v>
      </c>
      <c r="J199" s="2" t="s">
        <v>976</v>
      </c>
      <c r="K199" s="2" t="s">
        <v>398</v>
      </c>
      <c r="L199" s="2" t="s">
        <v>8</v>
      </c>
      <c r="M199">
        <v>0</v>
      </c>
      <c r="N199">
        <v>10</v>
      </c>
    </row>
    <row r="200" spans="1:14" x14ac:dyDescent="0.2">
      <c r="A200" s="18" t="s">
        <v>973</v>
      </c>
      <c r="B200" s="18" t="s">
        <v>274</v>
      </c>
      <c r="C200" s="18" t="s">
        <v>362</v>
      </c>
      <c r="D200" s="18" t="s">
        <v>445</v>
      </c>
      <c r="E200" s="2" t="str">
        <f t="shared" si="13"/>
        <v>r</v>
      </c>
      <c r="F200" s="2">
        <f t="shared" si="14"/>
        <v>18</v>
      </c>
      <c r="G200" s="2">
        <v>2018</v>
      </c>
      <c r="H200" t="str">
        <f t="shared" si="12"/>
        <v>rjbmsall</v>
      </c>
      <c r="I200" s="2" t="s">
        <v>1076</v>
      </c>
      <c r="J200" s="2" t="s">
        <v>976</v>
      </c>
      <c r="K200" s="2" t="s">
        <v>398</v>
      </c>
      <c r="L200" s="2" t="s">
        <v>8</v>
      </c>
      <c r="M200">
        <v>0</v>
      </c>
      <c r="N200">
        <v>10</v>
      </c>
    </row>
    <row r="201" spans="1:14" x14ac:dyDescent="0.2">
      <c r="A201" s="18" t="s">
        <v>973</v>
      </c>
      <c r="B201" s="18" t="s">
        <v>274</v>
      </c>
      <c r="C201" s="18" t="s">
        <v>240</v>
      </c>
      <c r="D201" s="18" t="s">
        <v>204</v>
      </c>
      <c r="E201" s="2" t="str">
        <f t="shared" si="13"/>
        <v>a</v>
      </c>
      <c r="F201" s="2">
        <f t="shared" si="14"/>
        <v>1</v>
      </c>
      <c r="G201" s="2">
        <v>2001</v>
      </c>
      <c r="H201" t="str">
        <f>E201&amp;"losatyh"</f>
        <v>alosatyh</v>
      </c>
      <c r="I201" s="2" t="s">
        <v>1077</v>
      </c>
      <c r="J201" s="2" t="s">
        <v>976</v>
      </c>
      <c r="K201" s="2" t="s">
        <v>398</v>
      </c>
      <c r="L201" s="2" t="s">
        <v>8</v>
      </c>
      <c r="M201">
        <v>0</v>
      </c>
      <c r="N201">
        <v>10</v>
      </c>
    </row>
    <row r="202" spans="1:14" x14ac:dyDescent="0.2">
      <c r="A202" s="18" t="s">
        <v>973</v>
      </c>
      <c r="B202" s="18" t="s">
        <v>274</v>
      </c>
      <c r="C202" s="18" t="s">
        <v>240</v>
      </c>
      <c r="D202" s="18" t="s">
        <v>204</v>
      </c>
      <c r="E202" s="2" t="str">
        <f t="shared" si="13"/>
        <v>b</v>
      </c>
      <c r="F202" s="2">
        <f t="shared" si="14"/>
        <v>2</v>
      </c>
      <c r="G202" s="2">
        <v>2002</v>
      </c>
      <c r="H202" t="str">
        <f t="shared" ref="H202:H218" si="16">E202&amp;"losatyh"</f>
        <v>blosatyh</v>
      </c>
      <c r="I202" s="2" t="s">
        <v>1077</v>
      </c>
      <c r="J202" s="2" t="s">
        <v>976</v>
      </c>
      <c r="K202" s="2" t="s">
        <v>398</v>
      </c>
      <c r="L202" s="2" t="s">
        <v>8</v>
      </c>
      <c r="M202">
        <v>0</v>
      </c>
      <c r="N202">
        <v>10</v>
      </c>
    </row>
    <row r="203" spans="1:14" x14ac:dyDescent="0.2">
      <c r="A203" s="18" t="s">
        <v>973</v>
      </c>
      <c r="B203" s="18" t="s">
        <v>274</v>
      </c>
      <c r="C203" s="18" t="s">
        <v>240</v>
      </c>
      <c r="D203" s="18" t="s">
        <v>204</v>
      </c>
      <c r="E203" s="2" t="str">
        <f t="shared" si="13"/>
        <v>c</v>
      </c>
      <c r="F203" s="2">
        <f t="shared" si="14"/>
        <v>3</v>
      </c>
      <c r="G203" s="2">
        <v>2003</v>
      </c>
      <c r="H203" t="str">
        <f t="shared" si="16"/>
        <v>closatyh</v>
      </c>
      <c r="I203" s="2" t="s">
        <v>1077</v>
      </c>
      <c r="J203" s="2" t="s">
        <v>976</v>
      </c>
      <c r="K203" s="2" t="s">
        <v>398</v>
      </c>
      <c r="L203" s="2" t="s">
        <v>8</v>
      </c>
      <c r="M203">
        <v>0</v>
      </c>
      <c r="N203">
        <v>10</v>
      </c>
    </row>
    <row r="204" spans="1:14" x14ac:dyDescent="0.2">
      <c r="A204" s="18" t="s">
        <v>973</v>
      </c>
      <c r="B204" s="18" t="s">
        <v>274</v>
      </c>
      <c r="C204" s="18" t="s">
        <v>240</v>
      </c>
      <c r="D204" s="18" t="s">
        <v>204</v>
      </c>
      <c r="E204" s="2" t="str">
        <f t="shared" si="13"/>
        <v>d</v>
      </c>
      <c r="F204" s="2">
        <f t="shared" si="14"/>
        <v>4</v>
      </c>
      <c r="G204" s="2">
        <v>2004</v>
      </c>
      <c r="H204" t="str">
        <f t="shared" si="16"/>
        <v>dlosatyh</v>
      </c>
      <c r="I204" s="2" t="s">
        <v>1077</v>
      </c>
      <c r="J204" s="2" t="s">
        <v>976</v>
      </c>
      <c r="K204" s="2" t="s">
        <v>398</v>
      </c>
      <c r="L204" s="2" t="s">
        <v>8</v>
      </c>
      <c r="M204">
        <v>0</v>
      </c>
      <c r="N204">
        <v>10</v>
      </c>
    </row>
    <row r="205" spans="1:14" x14ac:dyDescent="0.2">
      <c r="A205" s="18" t="s">
        <v>973</v>
      </c>
      <c r="B205" s="18" t="s">
        <v>274</v>
      </c>
      <c r="C205" s="18" t="s">
        <v>240</v>
      </c>
      <c r="D205" s="18" t="s">
        <v>204</v>
      </c>
      <c r="E205" s="2" t="str">
        <f t="shared" si="13"/>
        <v>e</v>
      </c>
      <c r="F205" s="2">
        <f t="shared" si="14"/>
        <v>5</v>
      </c>
      <c r="G205" s="2">
        <v>2005</v>
      </c>
      <c r="H205" t="str">
        <f t="shared" si="16"/>
        <v>elosatyh</v>
      </c>
      <c r="I205" s="2" t="s">
        <v>1077</v>
      </c>
      <c r="J205" s="2" t="s">
        <v>976</v>
      </c>
      <c r="K205" s="2" t="s">
        <v>398</v>
      </c>
      <c r="L205" s="2" t="s">
        <v>8</v>
      </c>
      <c r="M205">
        <v>0</v>
      </c>
      <c r="N205">
        <v>10</v>
      </c>
    </row>
    <row r="206" spans="1:14" x14ac:dyDescent="0.2">
      <c r="A206" s="18" t="s">
        <v>973</v>
      </c>
      <c r="B206" s="18" t="s">
        <v>274</v>
      </c>
      <c r="C206" s="18" t="s">
        <v>240</v>
      </c>
      <c r="D206" s="18" t="s">
        <v>204</v>
      </c>
      <c r="E206" s="2" t="str">
        <f t="shared" si="13"/>
        <v>f</v>
      </c>
      <c r="F206" s="2">
        <f t="shared" si="14"/>
        <v>6</v>
      </c>
      <c r="G206" s="2">
        <v>2006</v>
      </c>
      <c r="H206" t="str">
        <f t="shared" si="16"/>
        <v>flosatyh</v>
      </c>
      <c r="I206" s="2" t="s">
        <v>1077</v>
      </c>
      <c r="J206" s="2" t="s">
        <v>976</v>
      </c>
      <c r="K206" s="2" t="s">
        <v>398</v>
      </c>
      <c r="L206" s="2" t="s">
        <v>8</v>
      </c>
      <c r="M206">
        <v>0</v>
      </c>
      <c r="N206">
        <v>10</v>
      </c>
    </row>
    <row r="207" spans="1:14" x14ac:dyDescent="0.2">
      <c r="A207" s="18" t="s">
        <v>973</v>
      </c>
      <c r="B207" s="18" t="s">
        <v>274</v>
      </c>
      <c r="C207" s="18" t="s">
        <v>240</v>
      </c>
      <c r="D207" s="18" t="s">
        <v>204</v>
      </c>
      <c r="E207" s="2" t="str">
        <f t="shared" si="13"/>
        <v>g</v>
      </c>
      <c r="F207" s="2">
        <f t="shared" si="14"/>
        <v>7</v>
      </c>
      <c r="G207" s="2">
        <v>2007</v>
      </c>
      <c r="H207" t="str">
        <f t="shared" si="16"/>
        <v>glosatyh</v>
      </c>
      <c r="I207" s="2" t="s">
        <v>1077</v>
      </c>
      <c r="J207" s="2" t="s">
        <v>976</v>
      </c>
      <c r="K207" s="2" t="s">
        <v>398</v>
      </c>
      <c r="L207" s="2" t="s">
        <v>8</v>
      </c>
      <c r="M207">
        <v>0</v>
      </c>
      <c r="N207">
        <v>10</v>
      </c>
    </row>
    <row r="208" spans="1:14" x14ac:dyDescent="0.2">
      <c r="A208" s="18" t="s">
        <v>973</v>
      </c>
      <c r="B208" s="18" t="s">
        <v>274</v>
      </c>
      <c r="C208" s="18" t="s">
        <v>240</v>
      </c>
      <c r="D208" s="18" t="s">
        <v>204</v>
      </c>
      <c r="E208" s="2" t="str">
        <f t="shared" si="13"/>
        <v>h</v>
      </c>
      <c r="F208" s="2">
        <f t="shared" si="14"/>
        <v>8</v>
      </c>
      <c r="G208" s="2">
        <v>2008</v>
      </c>
      <c r="H208" t="str">
        <f t="shared" si="16"/>
        <v>hlosatyh</v>
      </c>
      <c r="I208" s="2" t="s">
        <v>1077</v>
      </c>
      <c r="J208" s="2" t="s">
        <v>976</v>
      </c>
      <c r="K208" s="2" t="s">
        <v>398</v>
      </c>
      <c r="L208" s="2" t="s">
        <v>8</v>
      </c>
      <c r="M208">
        <v>0</v>
      </c>
      <c r="N208">
        <v>10</v>
      </c>
    </row>
    <row r="209" spans="1:14" x14ac:dyDescent="0.2">
      <c r="A209" s="18" t="s">
        <v>973</v>
      </c>
      <c r="B209" s="18" t="s">
        <v>274</v>
      </c>
      <c r="C209" s="18" t="s">
        <v>240</v>
      </c>
      <c r="D209" s="18" t="s">
        <v>204</v>
      </c>
      <c r="E209" s="2" t="str">
        <f t="shared" si="13"/>
        <v>i</v>
      </c>
      <c r="F209" s="2">
        <f t="shared" si="14"/>
        <v>9</v>
      </c>
      <c r="G209" s="2">
        <v>2009</v>
      </c>
      <c r="H209" t="str">
        <f t="shared" si="16"/>
        <v>ilosatyh</v>
      </c>
      <c r="I209" s="2" t="s">
        <v>1077</v>
      </c>
      <c r="J209" s="2" t="s">
        <v>976</v>
      </c>
      <c r="K209" s="2" t="s">
        <v>398</v>
      </c>
      <c r="L209" s="2" t="s">
        <v>8</v>
      </c>
      <c r="M209">
        <v>0</v>
      </c>
      <c r="N209">
        <v>10</v>
      </c>
    </row>
    <row r="210" spans="1:14" x14ac:dyDescent="0.2">
      <c r="A210" s="18" t="s">
        <v>973</v>
      </c>
      <c r="B210" s="18" t="s">
        <v>274</v>
      </c>
      <c r="C210" s="18" t="s">
        <v>240</v>
      </c>
      <c r="D210" s="18" t="s">
        <v>204</v>
      </c>
      <c r="E210" s="2" t="str">
        <f t="shared" si="13"/>
        <v>j</v>
      </c>
      <c r="F210" s="2">
        <f t="shared" si="14"/>
        <v>10</v>
      </c>
      <c r="G210" s="2">
        <v>2010</v>
      </c>
      <c r="H210" t="str">
        <f t="shared" si="16"/>
        <v>jlosatyh</v>
      </c>
      <c r="I210" s="2" t="s">
        <v>1077</v>
      </c>
      <c r="J210" s="2" t="s">
        <v>976</v>
      </c>
      <c r="K210" s="2" t="s">
        <v>398</v>
      </c>
      <c r="L210" s="2" t="s">
        <v>8</v>
      </c>
      <c r="M210">
        <v>0</v>
      </c>
      <c r="N210">
        <v>10</v>
      </c>
    </row>
    <row r="211" spans="1:14" x14ac:dyDescent="0.2">
      <c r="A211" s="18" t="s">
        <v>973</v>
      </c>
      <c r="B211" s="18" t="s">
        <v>274</v>
      </c>
      <c r="C211" s="18" t="s">
        <v>240</v>
      </c>
      <c r="D211" s="18" t="s">
        <v>204</v>
      </c>
      <c r="E211" s="2" t="str">
        <f t="shared" si="13"/>
        <v>k</v>
      </c>
      <c r="F211" s="2">
        <f t="shared" si="14"/>
        <v>11</v>
      </c>
      <c r="G211" s="2">
        <v>2011</v>
      </c>
      <c r="H211" t="str">
        <f t="shared" si="16"/>
        <v>klosatyh</v>
      </c>
      <c r="I211" s="2" t="s">
        <v>1077</v>
      </c>
      <c r="J211" s="2" t="s">
        <v>976</v>
      </c>
      <c r="K211" s="2" t="s">
        <v>398</v>
      </c>
      <c r="L211" s="2" t="s">
        <v>8</v>
      </c>
      <c r="M211">
        <v>0</v>
      </c>
      <c r="N211">
        <v>10</v>
      </c>
    </row>
    <row r="212" spans="1:14" x14ac:dyDescent="0.2">
      <c r="A212" s="18" t="s">
        <v>973</v>
      </c>
      <c r="B212" s="18" t="s">
        <v>274</v>
      </c>
      <c r="C212" s="18" t="s">
        <v>240</v>
      </c>
      <c r="D212" s="18" t="s">
        <v>204</v>
      </c>
      <c r="E212" s="2" t="str">
        <f t="shared" si="13"/>
        <v>l</v>
      </c>
      <c r="F212" s="2">
        <f t="shared" si="14"/>
        <v>12</v>
      </c>
      <c r="G212" s="2">
        <v>2012</v>
      </c>
      <c r="H212" t="str">
        <f t="shared" si="16"/>
        <v>llosatyh</v>
      </c>
      <c r="I212" s="2" t="s">
        <v>1077</v>
      </c>
      <c r="J212" s="2" t="s">
        <v>976</v>
      </c>
      <c r="K212" s="2" t="s">
        <v>398</v>
      </c>
      <c r="L212" s="2" t="s">
        <v>8</v>
      </c>
      <c r="M212">
        <v>0</v>
      </c>
      <c r="N212">
        <v>10</v>
      </c>
    </row>
    <row r="213" spans="1:14" x14ac:dyDescent="0.2">
      <c r="A213" s="18" t="s">
        <v>973</v>
      </c>
      <c r="B213" s="18" t="s">
        <v>274</v>
      </c>
      <c r="C213" s="18" t="s">
        <v>240</v>
      </c>
      <c r="D213" s="18" t="s">
        <v>204</v>
      </c>
      <c r="E213" s="2" t="str">
        <f t="shared" si="13"/>
        <v>m</v>
      </c>
      <c r="F213" s="2">
        <f t="shared" si="14"/>
        <v>13</v>
      </c>
      <c r="G213" s="2">
        <v>2013</v>
      </c>
      <c r="H213" t="str">
        <f t="shared" si="16"/>
        <v>mlosatyh</v>
      </c>
      <c r="I213" s="2" t="s">
        <v>1077</v>
      </c>
      <c r="J213" s="2" t="s">
        <v>976</v>
      </c>
      <c r="K213" s="2" t="s">
        <v>398</v>
      </c>
      <c r="L213" s="2" t="s">
        <v>8</v>
      </c>
      <c r="M213">
        <v>0</v>
      </c>
      <c r="N213">
        <v>10</v>
      </c>
    </row>
    <row r="214" spans="1:14" x14ac:dyDescent="0.2">
      <c r="A214" s="18" t="s">
        <v>973</v>
      </c>
      <c r="B214" s="18" t="s">
        <v>274</v>
      </c>
      <c r="C214" s="18" t="s">
        <v>240</v>
      </c>
      <c r="D214" s="18" t="s">
        <v>204</v>
      </c>
      <c r="E214" s="2" t="str">
        <f t="shared" si="13"/>
        <v>n</v>
      </c>
      <c r="F214" s="2">
        <f t="shared" si="14"/>
        <v>14</v>
      </c>
      <c r="G214" s="2">
        <v>2014</v>
      </c>
      <c r="H214" t="str">
        <f t="shared" si="16"/>
        <v>nlosatyh</v>
      </c>
      <c r="I214" s="2" t="s">
        <v>1077</v>
      </c>
      <c r="J214" s="2" t="s">
        <v>976</v>
      </c>
      <c r="K214" s="2" t="s">
        <v>398</v>
      </c>
      <c r="L214" s="2" t="s">
        <v>8</v>
      </c>
      <c r="M214">
        <v>0</v>
      </c>
      <c r="N214">
        <v>10</v>
      </c>
    </row>
    <row r="215" spans="1:14" x14ac:dyDescent="0.2">
      <c r="A215" s="18" t="s">
        <v>973</v>
      </c>
      <c r="B215" s="18" t="s">
        <v>274</v>
      </c>
      <c r="C215" s="18" t="s">
        <v>240</v>
      </c>
      <c r="D215" s="18" t="s">
        <v>204</v>
      </c>
      <c r="E215" s="2" t="str">
        <f t="shared" si="13"/>
        <v>o</v>
      </c>
      <c r="F215" s="2">
        <f t="shared" si="14"/>
        <v>15</v>
      </c>
      <c r="G215" s="2">
        <v>2015</v>
      </c>
      <c r="H215" t="str">
        <f t="shared" si="16"/>
        <v>olosatyh</v>
      </c>
      <c r="I215" s="2" t="s">
        <v>1077</v>
      </c>
      <c r="J215" s="2" t="s">
        <v>976</v>
      </c>
      <c r="K215" s="2" t="s">
        <v>398</v>
      </c>
      <c r="L215" s="2" t="s">
        <v>8</v>
      </c>
      <c r="M215">
        <v>0</v>
      </c>
      <c r="N215">
        <v>10</v>
      </c>
    </row>
    <row r="216" spans="1:14" x14ac:dyDescent="0.2">
      <c r="A216" s="18" t="s">
        <v>973</v>
      </c>
      <c r="B216" s="18" t="s">
        <v>274</v>
      </c>
      <c r="C216" s="18" t="s">
        <v>240</v>
      </c>
      <c r="D216" s="18" t="s">
        <v>204</v>
      </c>
      <c r="E216" s="2" t="str">
        <f t="shared" si="13"/>
        <v>p</v>
      </c>
      <c r="F216" s="2">
        <f t="shared" si="14"/>
        <v>16</v>
      </c>
      <c r="G216" s="2">
        <v>2016</v>
      </c>
      <c r="H216" t="str">
        <f t="shared" si="16"/>
        <v>plosatyh</v>
      </c>
      <c r="I216" s="2" t="s">
        <v>1077</v>
      </c>
      <c r="J216" s="2" t="s">
        <v>976</v>
      </c>
      <c r="K216" s="2" t="s">
        <v>398</v>
      </c>
      <c r="L216" s="2" t="s">
        <v>8</v>
      </c>
      <c r="M216">
        <v>0</v>
      </c>
      <c r="N216">
        <v>10</v>
      </c>
    </row>
    <row r="217" spans="1:14" x14ac:dyDescent="0.2">
      <c r="A217" s="18" t="s">
        <v>973</v>
      </c>
      <c r="B217" s="18" t="s">
        <v>274</v>
      </c>
      <c r="C217" s="18" t="s">
        <v>240</v>
      </c>
      <c r="D217" s="18" t="s">
        <v>204</v>
      </c>
      <c r="E217" s="2" t="str">
        <f t="shared" si="13"/>
        <v>q</v>
      </c>
      <c r="F217" s="2">
        <f t="shared" si="14"/>
        <v>17</v>
      </c>
      <c r="G217" s="2">
        <v>2017</v>
      </c>
      <c r="H217" t="str">
        <f t="shared" ref="H217" si="17">E217&amp;"losatyh"</f>
        <v>qlosatyh</v>
      </c>
      <c r="I217" s="2" t="s">
        <v>1077</v>
      </c>
      <c r="J217" s="2" t="s">
        <v>976</v>
      </c>
      <c r="K217" s="2" t="s">
        <v>398</v>
      </c>
      <c r="L217" s="2" t="s">
        <v>8</v>
      </c>
      <c r="M217">
        <v>0</v>
      </c>
      <c r="N217">
        <v>10</v>
      </c>
    </row>
    <row r="218" spans="1:14" x14ac:dyDescent="0.2">
      <c r="A218" s="18" t="s">
        <v>973</v>
      </c>
      <c r="B218" s="18" t="s">
        <v>274</v>
      </c>
      <c r="C218" s="18" t="s">
        <v>240</v>
      </c>
      <c r="D218" s="18" t="s">
        <v>204</v>
      </c>
      <c r="E218" s="2" t="str">
        <f t="shared" si="13"/>
        <v>r</v>
      </c>
      <c r="F218" s="2">
        <f t="shared" si="14"/>
        <v>18</v>
      </c>
      <c r="G218" s="2">
        <v>2018</v>
      </c>
      <c r="H218" t="str">
        <f t="shared" si="16"/>
        <v>rlosatyh</v>
      </c>
      <c r="I218" s="2" t="s">
        <v>1077</v>
      </c>
      <c r="J218" s="2" t="s">
        <v>976</v>
      </c>
      <c r="K218" s="2" t="s">
        <v>398</v>
      </c>
      <c r="L218" s="2" t="s">
        <v>8</v>
      </c>
      <c r="M218">
        <v>0</v>
      </c>
      <c r="N218">
        <v>10</v>
      </c>
    </row>
    <row r="219" spans="1:14" x14ac:dyDescent="0.2">
      <c r="A219" s="18" t="s">
        <v>973</v>
      </c>
      <c r="B219" s="18" t="s">
        <v>274</v>
      </c>
      <c r="C219" s="18" t="s">
        <v>326</v>
      </c>
      <c r="D219" s="18" t="s">
        <v>1078</v>
      </c>
      <c r="E219" s="2" t="str">
        <f t="shared" si="13"/>
        <v>e</v>
      </c>
      <c r="F219" s="2">
        <f t="shared" si="14"/>
        <v>5</v>
      </c>
      <c r="G219" s="2">
        <v>2005</v>
      </c>
      <c r="H219" t="str">
        <f>E219&amp;"lshhdiv"</f>
        <v>elshhdiv</v>
      </c>
      <c r="I219" s="2" t="s">
        <v>1079</v>
      </c>
      <c r="J219" s="2" t="s">
        <v>976</v>
      </c>
      <c r="K219" s="2" t="s">
        <v>398</v>
      </c>
      <c r="L219" s="2" t="s">
        <v>8</v>
      </c>
      <c r="M219">
        <v>0</v>
      </c>
      <c r="N219">
        <v>10</v>
      </c>
    </row>
    <row r="220" spans="1:14" x14ac:dyDescent="0.2">
      <c r="A220" s="18" t="s">
        <v>973</v>
      </c>
      <c r="B220" s="18" t="s">
        <v>274</v>
      </c>
      <c r="C220" s="18" t="s">
        <v>326</v>
      </c>
      <c r="D220" s="18" t="s">
        <v>1078</v>
      </c>
      <c r="E220" s="2" t="str">
        <f t="shared" si="13"/>
        <v>f</v>
      </c>
      <c r="F220" s="2">
        <f t="shared" si="14"/>
        <v>6</v>
      </c>
      <c r="G220" s="2">
        <v>2006</v>
      </c>
      <c r="H220" t="str">
        <f t="shared" ref="H220:H232" si="18">E220&amp;"lshhdiv"</f>
        <v>flshhdiv</v>
      </c>
      <c r="I220" s="2" t="s">
        <v>1079</v>
      </c>
      <c r="J220" s="2" t="s">
        <v>976</v>
      </c>
      <c r="K220" s="2" t="s">
        <v>398</v>
      </c>
      <c r="L220" s="2" t="s">
        <v>8</v>
      </c>
      <c r="M220">
        <v>0</v>
      </c>
      <c r="N220">
        <v>10</v>
      </c>
    </row>
    <row r="221" spans="1:14" x14ac:dyDescent="0.2">
      <c r="A221" s="18" t="s">
        <v>973</v>
      </c>
      <c r="B221" s="18" t="s">
        <v>274</v>
      </c>
      <c r="C221" s="18" t="s">
        <v>326</v>
      </c>
      <c r="D221" s="18" t="s">
        <v>1078</v>
      </c>
      <c r="E221" s="2" t="str">
        <f t="shared" si="13"/>
        <v>g</v>
      </c>
      <c r="F221" s="2">
        <f t="shared" si="14"/>
        <v>7</v>
      </c>
      <c r="G221" s="2">
        <v>2007</v>
      </c>
      <c r="H221" t="str">
        <f t="shared" si="18"/>
        <v>glshhdiv</v>
      </c>
      <c r="I221" s="2" t="s">
        <v>1079</v>
      </c>
      <c r="J221" s="2" t="s">
        <v>976</v>
      </c>
      <c r="K221" s="2" t="s">
        <v>398</v>
      </c>
      <c r="L221" s="2" t="s">
        <v>8</v>
      </c>
      <c r="M221">
        <v>0</v>
      </c>
      <c r="N221">
        <v>10</v>
      </c>
    </row>
    <row r="222" spans="1:14" x14ac:dyDescent="0.2">
      <c r="A222" s="18" t="s">
        <v>973</v>
      </c>
      <c r="B222" s="18" t="s">
        <v>274</v>
      </c>
      <c r="C222" s="18" t="s">
        <v>326</v>
      </c>
      <c r="D222" s="18" t="s">
        <v>1078</v>
      </c>
      <c r="E222" s="2" t="str">
        <f t="shared" si="13"/>
        <v>h</v>
      </c>
      <c r="F222" s="2">
        <f t="shared" si="14"/>
        <v>8</v>
      </c>
      <c r="G222" s="2">
        <v>2008</v>
      </c>
      <c r="H222" t="str">
        <f t="shared" si="18"/>
        <v>hlshhdiv</v>
      </c>
      <c r="I222" s="2" t="s">
        <v>1079</v>
      </c>
      <c r="J222" s="2" t="s">
        <v>976</v>
      </c>
      <c r="K222" s="2" t="s">
        <v>398</v>
      </c>
      <c r="L222" s="2" t="s">
        <v>8</v>
      </c>
      <c r="M222">
        <v>0</v>
      </c>
      <c r="N222">
        <v>10</v>
      </c>
    </row>
    <row r="223" spans="1:14" x14ac:dyDescent="0.2">
      <c r="A223" s="18" t="s">
        <v>973</v>
      </c>
      <c r="B223" s="18" t="s">
        <v>274</v>
      </c>
      <c r="C223" s="18" t="s">
        <v>326</v>
      </c>
      <c r="D223" s="18" t="s">
        <v>1078</v>
      </c>
      <c r="E223" s="2" t="str">
        <f t="shared" si="13"/>
        <v>i</v>
      </c>
      <c r="F223" s="2">
        <f t="shared" si="14"/>
        <v>9</v>
      </c>
      <c r="G223" s="2">
        <v>2009</v>
      </c>
      <c r="H223" t="str">
        <f t="shared" si="18"/>
        <v>ilshhdiv</v>
      </c>
      <c r="I223" s="2" t="s">
        <v>1079</v>
      </c>
      <c r="J223" s="2" t="s">
        <v>976</v>
      </c>
      <c r="K223" s="2" t="s">
        <v>398</v>
      </c>
      <c r="L223" s="2" t="s">
        <v>8</v>
      </c>
      <c r="M223">
        <v>0</v>
      </c>
      <c r="N223">
        <v>10</v>
      </c>
    </row>
    <row r="224" spans="1:14" x14ac:dyDescent="0.2">
      <c r="A224" s="18" t="s">
        <v>973</v>
      </c>
      <c r="B224" s="18" t="s">
        <v>274</v>
      </c>
      <c r="C224" s="18" t="s">
        <v>326</v>
      </c>
      <c r="D224" s="18" t="s">
        <v>1078</v>
      </c>
      <c r="E224" s="2" t="str">
        <f t="shared" si="13"/>
        <v>j</v>
      </c>
      <c r="F224" s="2">
        <f t="shared" si="14"/>
        <v>10</v>
      </c>
      <c r="G224" s="2">
        <v>2010</v>
      </c>
      <c r="H224" t="str">
        <f t="shared" si="18"/>
        <v>jlshhdiv</v>
      </c>
      <c r="I224" s="2" t="s">
        <v>1079</v>
      </c>
      <c r="J224" s="2" t="s">
        <v>976</v>
      </c>
      <c r="K224" s="2" t="s">
        <v>398</v>
      </c>
      <c r="L224" s="2" t="s">
        <v>8</v>
      </c>
      <c r="M224">
        <v>0</v>
      </c>
      <c r="N224">
        <v>10</v>
      </c>
    </row>
    <row r="225" spans="1:14" x14ac:dyDescent="0.2">
      <c r="A225" s="18" t="s">
        <v>973</v>
      </c>
      <c r="B225" s="18" t="s">
        <v>274</v>
      </c>
      <c r="C225" s="18" t="s">
        <v>326</v>
      </c>
      <c r="D225" s="18" t="s">
        <v>1078</v>
      </c>
      <c r="E225" s="2" t="str">
        <f t="shared" si="13"/>
        <v>k</v>
      </c>
      <c r="F225" s="2">
        <f t="shared" si="14"/>
        <v>11</v>
      </c>
      <c r="G225" s="2">
        <v>2011</v>
      </c>
      <c r="H225" t="str">
        <f t="shared" si="18"/>
        <v>klshhdiv</v>
      </c>
      <c r="I225" s="2" t="s">
        <v>1079</v>
      </c>
      <c r="J225" s="2" t="s">
        <v>976</v>
      </c>
      <c r="K225" s="2" t="s">
        <v>398</v>
      </c>
      <c r="L225" s="2" t="s">
        <v>8</v>
      </c>
      <c r="M225">
        <v>0</v>
      </c>
      <c r="N225">
        <v>10</v>
      </c>
    </row>
    <row r="226" spans="1:14" x14ac:dyDescent="0.2">
      <c r="A226" s="18" t="s">
        <v>973</v>
      </c>
      <c r="B226" s="18" t="s">
        <v>274</v>
      </c>
      <c r="C226" s="18" t="s">
        <v>326</v>
      </c>
      <c r="D226" s="18" t="s">
        <v>1078</v>
      </c>
      <c r="E226" s="2" t="str">
        <f t="shared" si="13"/>
        <v>l</v>
      </c>
      <c r="F226" s="2">
        <f t="shared" si="14"/>
        <v>12</v>
      </c>
      <c r="G226" s="2">
        <v>2012</v>
      </c>
      <c r="H226" t="str">
        <f t="shared" si="18"/>
        <v>llshhdiv</v>
      </c>
      <c r="I226" s="2" t="s">
        <v>1079</v>
      </c>
      <c r="J226" s="2" t="s">
        <v>976</v>
      </c>
      <c r="K226" s="2" t="s">
        <v>398</v>
      </c>
      <c r="L226" s="2" t="s">
        <v>8</v>
      </c>
      <c r="M226">
        <v>0</v>
      </c>
      <c r="N226">
        <v>10</v>
      </c>
    </row>
    <row r="227" spans="1:14" x14ac:dyDescent="0.2">
      <c r="A227" s="18" t="s">
        <v>973</v>
      </c>
      <c r="B227" s="18" t="s">
        <v>274</v>
      </c>
      <c r="C227" s="18" t="s">
        <v>326</v>
      </c>
      <c r="D227" s="18" t="s">
        <v>1078</v>
      </c>
      <c r="E227" s="2" t="str">
        <f t="shared" si="13"/>
        <v>m</v>
      </c>
      <c r="F227" s="2">
        <f t="shared" si="14"/>
        <v>13</v>
      </c>
      <c r="G227" s="2">
        <v>2013</v>
      </c>
      <c r="H227" t="str">
        <f t="shared" si="18"/>
        <v>mlshhdiv</v>
      </c>
      <c r="I227" s="2" t="s">
        <v>1079</v>
      </c>
      <c r="J227" s="2" t="s">
        <v>976</v>
      </c>
      <c r="K227" s="2" t="s">
        <v>398</v>
      </c>
      <c r="L227" s="2" t="s">
        <v>8</v>
      </c>
      <c r="M227">
        <v>0</v>
      </c>
      <c r="N227">
        <v>10</v>
      </c>
    </row>
    <row r="228" spans="1:14" x14ac:dyDescent="0.2">
      <c r="A228" s="18" t="s">
        <v>973</v>
      </c>
      <c r="B228" s="18" t="s">
        <v>274</v>
      </c>
      <c r="C228" s="18" t="s">
        <v>326</v>
      </c>
      <c r="D228" s="18" t="s">
        <v>1078</v>
      </c>
      <c r="E228" s="2" t="str">
        <f t="shared" si="13"/>
        <v>n</v>
      </c>
      <c r="F228" s="2">
        <f t="shared" si="14"/>
        <v>14</v>
      </c>
      <c r="G228" s="2">
        <v>2014</v>
      </c>
      <c r="H228" t="str">
        <f t="shared" si="18"/>
        <v>nlshhdiv</v>
      </c>
      <c r="I228" s="2" t="s">
        <v>1079</v>
      </c>
      <c r="J228" s="2" t="s">
        <v>976</v>
      </c>
      <c r="K228" s="2" t="s">
        <v>398</v>
      </c>
      <c r="L228" s="2" t="s">
        <v>8</v>
      </c>
      <c r="M228">
        <v>0</v>
      </c>
      <c r="N228">
        <v>10</v>
      </c>
    </row>
    <row r="229" spans="1:14" x14ac:dyDescent="0.2">
      <c r="A229" s="18" t="s">
        <v>973</v>
      </c>
      <c r="B229" s="18" t="s">
        <v>274</v>
      </c>
      <c r="C229" s="18" t="s">
        <v>326</v>
      </c>
      <c r="D229" s="18" t="s">
        <v>1078</v>
      </c>
      <c r="E229" s="2" t="str">
        <f t="shared" si="13"/>
        <v>o</v>
      </c>
      <c r="F229" s="2">
        <f t="shared" si="14"/>
        <v>15</v>
      </c>
      <c r="G229" s="2">
        <v>2015</v>
      </c>
      <c r="H229" t="str">
        <f t="shared" si="18"/>
        <v>olshhdiv</v>
      </c>
      <c r="I229" s="2" t="s">
        <v>1079</v>
      </c>
      <c r="J229" s="2" t="s">
        <v>976</v>
      </c>
      <c r="K229" s="2" t="s">
        <v>398</v>
      </c>
      <c r="L229" s="2" t="s">
        <v>8</v>
      </c>
      <c r="M229">
        <v>0</v>
      </c>
      <c r="N229">
        <v>10</v>
      </c>
    </row>
    <row r="230" spans="1:14" x14ac:dyDescent="0.2">
      <c r="A230" s="18" t="s">
        <v>973</v>
      </c>
      <c r="B230" s="18" t="s">
        <v>274</v>
      </c>
      <c r="C230" s="18" t="s">
        <v>326</v>
      </c>
      <c r="D230" s="18" t="s">
        <v>1078</v>
      </c>
      <c r="E230" s="2" t="str">
        <f t="shared" si="13"/>
        <v>p</v>
      </c>
      <c r="F230" s="2">
        <f t="shared" si="14"/>
        <v>16</v>
      </c>
      <c r="G230" s="2">
        <v>2016</v>
      </c>
      <c r="H230" t="str">
        <f t="shared" si="18"/>
        <v>plshhdiv</v>
      </c>
      <c r="I230" s="2" t="s">
        <v>1079</v>
      </c>
      <c r="J230" s="2" t="s">
        <v>976</v>
      </c>
      <c r="K230" s="2" t="s">
        <v>398</v>
      </c>
      <c r="L230" s="2" t="s">
        <v>8</v>
      </c>
      <c r="M230">
        <v>0</v>
      </c>
      <c r="N230">
        <v>10</v>
      </c>
    </row>
    <row r="231" spans="1:14" x14ac:dyDescent="0.2">
      <c r="A231" s="18" t="s">
        <v>973</v>
      </c>
      <c r="B231" s="18" t="s">
        <v>274</v>
      </c>
      <c r="C231" s="18" t="s">
        <v>326</v>
      </c>
      <c r="D231" s="18" t="s">
        <v>1078</v>
      </c>
      <c r="E231" s="2" t="str">
        <f t="shared" si="13"/>
        <v>q</v>
      </c>
      <c r="F231" s="2">
        <f t="shared" si="14"/>
        <v>17</v>
      </c>
      <c r="G231" s="2">
        <v>2017</v>
      </c>
      <c r="H231" t="str">
        <f t="shared" ref="H231" si="19">E231&amp;"lshhdiv"</f>
        <v>qlshhdiv</v>
      </c>
      <c r="I231" s="2" t="s">
        <v>1079</v>
      </c>
      <c r="J231" s="2" t="s">
        <v>976</v>
      </c>
      <c r="K231" s="2" t="s">
        <v>398</v>
      </c>
      <c r="L231" s="2" t="s">
        <v>8</v>
      </c>
      <c r="M231">
        <v>0</v>
      </c>
      <c r="N231">
        <v>10</v>
      </c>
    </row>
    <row r="232" spans="1:14" x14ac:dyDescent="0.2">
      <c r="A232" s="18" t="s">
        <v>973</v>
      </c>
      <c r="B232" s="18" t="s">
        <v>274</v>
      </c>
      <c r="C232" s="18" t="s">
        <v>326</v>
      </c>
      <c r="D232" s="18" t="s">
        <v>1078</v>
      </c>
      <c r="E232" s="2" t="str">
        <f t="shared" si="13"/>
        <v>r</v>
      </c>
      <c r="F232" s="2">
        <f t="shared" si="14"/>
        <v>18</v>
      </c>
      <c r="G232" s="2">
        <v>2018</v>
      </c>
      <c r="H232" t="str">
        <f t="shared" si="18"/>
        <v>rlshhdiv</v>
      </c>
      <c r="I232" s="2" t="s">
        <v>1079</v>
      </c>
      <c r="J232" s="2" t="s">
        <v>976</v>
      </c>
      <c r="K232" s="2" t="s">
        <v>398</v>
      </c>
      <c r="L232" s="2" t="s">
        <v>8</v>
      </c>
      <c r="M232">
        <v>0</v>
      </c>
      <c r="N232">
        <v>10</v>
      </c>
    </row>
    <row r="233" spans="1:14" x14ac:dyDescent="0.2">
      <c r="A233" s="18" t="s">
        <v>973</v>
      </c>
      <c r="B233" s="18" t="s">
        <v>274</v>
      </c>
      <c r="C233" s="18" t="s">
        <v>238</v>
      </c>
      <c r="D233" s="18" t="s">
        <v>125</v>
      </c>
      <c r="E233" s="2" t="str">
        <f t="shared" si="13"/>
        <v>a</v>
      </c>
      <c r="F233" s="2">
        <f t="shared" si="14"/>
        <v>1</v>
      </c>
      <c r="G233" s="2">
        <v>2001</v>
      </c>
      <c r="H233" t="str">
        <f>E233&amp;"jbmspay"</f>
        <v>ajbmspay</v>
      </c>
      <c r="I233" s="2" t="s">
        <v>1080</v>
      </c>
      <c r="J233" s="2" t="s">
        <v>976</v>
      </c>
      <c r="K233" s="2" t="s">
        <v>398</v>
      </c>
      <c r="L233" s="2" t="s">
        <v>8</v>
      </c>
      <c r="M233">
        <v>0</v>
      </c>
      <c r="N233">
        <v>10</v>
      </c>
    </row>
    <row r="234" spans="1:14" x14ac:dyDescent="0.2">
      <c r="A234" s="18" t="s">
        <v>973</v>
      </c>
      <c r="B234" s="18" t="s">
        <v>274</v>
      </c>
      <c r="C234" s="18" t="s">
        <v>238</v>
      </c>
      <c r="D234" s="18" t="s">
        <v>125</v>
      </c>
      <c r="E234" s="2" t="str">
        <f t="shared" si="13"/>
        <v>b</v>
      </c>
      <c r="F234" s="2">
        <f t="shared" si="14"/>
        <v>2</v>
      </c>
      <c r="G234" s="2">
        <v>2002</v>
      </c>
      <c r="H234" t="str">
        <f t="shared" ref="H234:H250" si="20">E234&amp;"jbmspay"</f>
        <v>bjbmspay</v>
      </c>
      <c r="I234" s="2" t="s">
        <v>1080</v>
      </c>
      <c r="J234" s="2" t="s">
        <v>976</v>
      </c>
      <c r="K234" s="2" t="s">
        <v>398</v>
      </c>
      <c r="L234" s="2" t="s">
        <v>8</v>
      </c>
      <c r="M234">
        <v>0</v>
      </c>
      <c r="N234">
        <v>10</v>
      </c>
    </row>
    <row r="235" spans="1:14" x14ac:dyDescent="0.2">
      <c r="A235" s="18" t="s">
        <v>973</v>
      </c>
      <c r="B235" s="18" t="s">
        <v>274</v>
      </c>
      <c r="C235" s="18" t="s">
        <v>238</v>
      </c>
      <c r="D235" s="18" t="s">
        <v>125</v>
      </c>
      <c r="E235" s="2" t="str">
        <f t="shared" si="13"/>
        <v>c</v>
      </c>
      <c r="F235" s="2">
        <f t="shared" si="14"/>
        <v>3</v>
      </c>
      <c r="G235" s="2">
        <v>2003</v>
      </c>
      <c r="H235" t="str">
        <f t="shared" si="20"/>
        <v>cjbmspay</v>
      </c>
      <c r="I235" s="2" t="s">
        <v>1080</v>
      </c>
      <c r="J235" s="2" t="s">
        <v>976</v>
      </c>
      <c r="K235" s="2" t="s">
        <v>398</v>
      </c>
      <c r="L235" s="2" t="s">
        <v>8</v>
      </c>
      <c r="M235">
        <v>0</v>
      </c>
      <c r="N235">
        <v>10</v>
      </c>
    </row>
    <row r="236" spans="1:14" x14ac:dyDescent="0.2">
      <c r="A236" s="18" t="s">
        <v>973</v>
      </c>
      <c r="B236" s="18" t="s">
        <v>274</v>
      </c>
      <c r="C236" s="18" t="s">
        <v>238</v>
      </c>
      <c r="D236" s="18" t="s">
        <v>125</v>
      </c>
      <c r="E236" s="2" t="str">
        <f t="shared" si="13"/>
        <v>d</v>
      </c>
      <c r="F236" s="2">
        <f t="shared" si="14"/>
        <v>4</v>
      </c>
      <c r="G236" s="2">
        <v>2004</v>
      </c>
      <c r="H236" t="str">
        <f t="shared" si="20"/>
        <v>djbmspay</v>
      </c>
      <c r="I236" s="2" t="s">
        <v>1080</v>
      </c>
      <c r="J236" s="2" t="s">
        <v>976</v>
      </c>
      <c r="K236" s="2" t="s">
        <v>398</v>
      </c>
      <c r="L236" s="2" t="s">
        <v>8</v>
      </c>
      <c r="M236">
        <v>0</v>
      </c>
      <c r="N236">
        <v>10</v>
      </c>
    </row>
    <row r="237" spans="1:14" x14ac:dyDescent="0.2">
      <c r="A237" s="18" t="s">
        <v>973</v>
      </c>
      <c r="B237" s="18" t="s">
        <v>274</v>
      </c>
      <c r="C237" s="18" t="s">
        <v>238</v>
      </c>
      <c r="D237" s="18" t="s">
        <v>125</v>
      </c>
      <c r="E237" s="2" t="str">
        <f t="shared" si="13"/>
        <v>e</v>
      </c>
      <c r="F237" s="2">
        <f t="shared" si="14"/>
        <v>5</v>
      </c>
      <c r="G237" s="2">
        <v>2005</v>
      </c>
      <c r="H237" t="str">
        <f t="shared" si="20"/>
        <v>ejbmspay</v>
      </c>
      <c r="I237" s="2" t="s">
        <v>1080</v>
      </c>
      <c r="J237" s="2" t="s">
        <v>976</v>
      </c>
      <c r="K237" s="2" t="s">
        <v>398</v>
      </c>
      <c r="L237" s="2" t="s">
        <v>8</v>
      </c>
      <c r="M237">
        <v>0</v>
      </c>
      <c r="N237">
        <v>10</v>
      </c>
    </row>
    <row r="238" spans="1:14" x14ac:dyDescent="0.2">
      <c r="A238" s="18" t="s">
        <v>973</v>
      </c>
      <c r="B238" s="18" t="s">
        <v>274</v>
      </c>
      <c r="C238" s="18" t="s">
        <v>238</v>
      </c>
      <c r="D238" s="18" t="s">
        <v>125</v>
      </c>
      <c r="E238" s="2" t="str">
        <f t="shared" si="13"/>
        <v>f</v>
      </c>
      <c r="F238" s="2">
        <f t="shared" si="14"/>
        <v>6</v>
      </c>
      <c r="G238" s="2">
        <v>2006</v>
      </c>
      <c r="H238" t="str">
        <f t="shared" si="20"/>
        <v>fjbmspay</v>
      </c>
      <c r="I238" s="2" t="s">
        <v>1080</v>
      </c>
      <c r="J238" s="2" t="s">
        <v>976</v>
      </c>
      <c r="K238" s="2" t="s">
        <v>398</v>
      </c>
      <c r="L238" s="2" t="s">
        <v>8</v>
      </c>
      <c r="M238">
        <v>0</v>
      </c>
      <c r="N238">
        <v>10</v>
      </c>
    </row>
    <row r="239" spans="1:14" x14ac:dyDescent="0.2">
      <c r="A239" s="18" t="s">
        <v>973</v>
      </c>
      <c r="B239" s="18" t="s">
        <v>274</v>
      </c>
      <c r="C239" s="18" t="s">
        <v>238</v>
      </c>
      <c r="D239" s="18" t="s">
        <v>125</v>
      </c>
      <c r="E239" s="2" t="str">
        <f t="shared" si="13"/>
        <v>g</v>
      </c>
      <c r="F239" s="2">
        <f t="shared" si="14"/>
        <v>7</v>
      </c>
      <c r="G239" s="2">
        <v>2007</v>
      </c>
      <c r="H239" t="str">
        <f t="shared" si="20"/>
        <v>gjbmspay</v>
      </c>
      <c r="I239" s="2" t="s">
        <v>1080</v>
      </c>
      <c r="J239" s="2" t="s">
        <v>976</v>
      </c>
      <c r="K239" s="2" t="s">
        <v>398</v>
      </c>
      <c r="L239" s="2" t="s">
        <v>8</v>
      </c>
      <c r="M239">
        <v>0</v>
      </c>
      <c r="N239">
        <v>10</v>
      </c>
    </row>
    <row r="240" spans="1:14" x14ac:dyDescent="0.2">
      <c r="A240" s="18" t="s">
        <v>973</v>
      </c>
      <c r="B240" s="18" t="s">
        <v>274</v>
      </c>
      <c r="C240" s="18" t="s">
        <v>238</v>
      </c>
      <c r="D240" s="18" t="s">
        <v>125</v>
      </c>
      <c r="E240" s="2" t="str">
        <f t="shared" si="13"/>
        <v>h</v>
      </c>
      <c r="F240" s="2">
        <f t="shared" si="14"/>
        <v>8</v>
      </c>
      <c r="G240" s="2">
        <v>2008</v>
      </c>
      <c r="H240" t="str">
        <f t="shared" si="20"/>
        <v>hjbmspay</v>
      </c>
      <c r="I240" s="2" t="s">
        <v>1080</v>
      </c>
      <c r="J240" s="2" t="s">
        <v>976</v>
      </c>
      <c r="K240" s="2" t="s">
        <v>398</v>
      </c>
      <c r="L240" s="2" t="s">
        <v>8</v>
      </c>
      <c r="M240">
        <v>0</v>
      </c>
      <c r="N240">
        <v>10</v>
      </c>
    </row>
    <row r="241" spans="1:16" x14ac:dyDescent="0.2">
      <c r="A241" s="18" t="s">
        <v>973</v>
      </c>
      <c r="B241" s="18" t="s">
        <v>274</v>
      </c>
      <c r="C241" s="18" t="s">
        <v>238</v>
      </c>
      <c r="D241" s="18" t="s">
        <v>125</v>
      </c>
      <c r="E241" s="2" t="str">
        <f t="shared" si="13"/>
        <v>i</v>
      </c>
      <c r="F241" s="2">
        <f t="shared" si="14"/>
        <v>9</v>
      </c>
      <c r="G241" s="2">
        <v>2009</v>
      </c>
      <c r="H241" t="str">
        <f t="shared" si="20"/>
        <v>ijbmspay</v>
      </c>
      <c r="I241" s="2" t="s">
        <v>1080</v>
      </c>
      <c r="J241" s="2" t="s">
        <v>976</v>
      </c>
      <c r="K241" s="2" t="s">
        <v>398</v>
      </c>
      <c r="L241" s="2" t="s">
        <v>8</v>
      </c>
      <c r="M241">
        <v>0</v>
      </c>
      <c r="N241">
        <v>10</v>
      </c>
    </row>
    <row r="242" spans="1:16" x14ac:dyDescent="0.2">
      <c r="A242" s="18" t="s">
        <v>973</v>
      </c>
      <c r="B242" s="18" t="s">
        <v>274</v>
      </c>
      <c r="C242" s="18" t="s">
        <v>238</v>
      </c>
      <c r="D242" s="18" t="s">
        <v>125</v>
      </c>
      <c r="E242" s="2" t="str">
        <f t="shared" si="13"/>
        <v>j</v>
      </c>
      <c r="F242" s="2">
        <f t="shared" si="14"/>
        <v>10</v>
      </c>
      <c r="G242" s="2">
        <v>2010</v>
      </c>
      <c r="H242" t="str">
        <f t="shared" si="20"/>
        <v>jjbmspay</v>
      </c>
      <c r="I242" s="2" t="s">
        <v>1080</v>
      </c>
      <c r="J242" s="2" t="s">
        <v>976</v>
      </c>
      <c r="K242" s="2" t="s">
        <v>398</v>
      </c>
      <c r="L242" s="2" t="s">
        <v>8</v>
      </c>
      <c r="M242">
        <v>0</v>
      </c>
      <c r="N242">
        <v>10</v>
      </c>
    </row>
    <row r="243" spans="1:16" x14ac:dyDescent="0.2">
      <c r="A243" s="18" t="s">
        <v>973</v>
      </c>
      <c r="B243" s="18" t="s">
        <v>274</v>
      </c>
      <c r="C243" s="18" t="s">
        <v>238</v>
      </c>
      <c r="D243" s="18" t="s">
        <v>125</v>
      </c>
      <c r="E243" s="2" t="str">
        <f t="shared" si="13"/>
        <v>k</v>
      </c>
      <c r="F243" s="2">
        <f t="shared" si="14"/>
        <v>11</v>
      </c>
      <c r="G243" s="2">
        <v>2011</v>
      </c>
      <c r="H243" t="str">
        <f t="shared" si="20"/>
        <v>kjbmspay</v>
      </c>
      <c r="I243" s="2" t="s">
        <v>1080</v>
      </c>
      <c r="J243" s="2" t="s">
        <v>976</v>
      </c>
      <c r="K243" s="2" t="s">
        <v>398</v>
      </c>
      <c r="L243" s="2" t="s">
        <v>8</v>
      </c>
      <c r="M243">
        <v>0</v>
      </c>
      <c r="N243">
        <v>10</v>
      </c>
    </row>
    <row r="244" spans="1:16" x14ac:dyDescent="0.2">
      <c r="A244" s="18" t="s">
        <v>973</v>
      </c>
      <c r="B244" s="18" t="s">
        <v>274</v>
      </c>
      <c r="C244" s="18" t="s">
        <v>238</v>
      </c>
      <c r="D244" s="18" t="s">
        <v>125</v>
      </c>
      <c r="E244" s="2" t="str">
        <f t="shared" si="13"/>
        <v>l</v>
      </c>
      <c r="F244" s="2">
        <f t="shared" si="14"/>
        <v>12</v>
      </c>
      <c r="G244" s="2">
        <v>2012</v>
      </c>
      <c r="H244" t="str">
        <f t="shared" si="20"/>
        <v>ljbmspay</v>
      </c>
      <c r="I244" s="2" t="s">
        <v>1080</v>
      </c>
      <c r="J244" s="2" t="s">
        <v>976</v>
      </c>
      <c r="K244" s="2" t="s">
        <v>398</v>
      </c>
      <c r="L244" s="2" t="s">
        <v>8</v>
      </c>
      <c r="M244">
        <v>0</v>
      </c>
      <c r="N244">
        <v>10</v>
      </c>
    </row>
    <row r="245" spans="1:16" x14ac:dyDescent="0.2">
      <c r="A245" s="18" t="s">
        <v>973</v>
      </c>
      <c r="B245" s="18" t="s">
        <v>274</v>
      </c>
      <c r="C245" s="18" t="s">
        <v>238</v>
      </c>
      <c r="D245" s="18" t="s">
        <v>125</v>
      </c>
      <c r="E245" s="2" t="str">
        <f t="shared" si="13"/>
        <v>m</v>
      </c>
      <c r="F245" s="2">
        <f t="shared" si="14"/>
        <v>13</v>
      </c>
      <c r="G245" s="2">
        <v>2013</v>
      </c>
      <c r="H245" t="str">
        <f t="shared" si="20"/>
        <v>mjbmspay</v>
      </c>
      <c r="I245" s="2" t="s">
        <v>1080</v>
      </c>
      <c r="J245" s="2" t="s">
        <v>976</v>
      </c>
      <c r="K245" s="2" t="s">
        <v>398</v>
      </c>
      <c r="L245" s="2" t="s">
        <v>8</v>
      </c>
      <c r="M245">
        <v>0</v>
      </c>
      <c r="N245">
        <v>10</v>
      </c>
    </row>
    <row r="246" spans="1:16" x14ac:dyDescent="0.2">
      <c r="A246" s="18" t="s">
        <v>973</v>
      </c>
      <c r="B246" s="18" t="s">
        <v>274</v>
      </c>
      <c r="C246" s="18" t="s">
        <v>238</v>
      </c>
      <c r="D246" s="18" t="s">
        <v>125</v>
      </c>
      <c r="E246" s="2" t="str">
        <f t="shared" si="13"/>
        <v>n</v>
      </c>
      <c r="F246" s="2">
        <f t="shared" si="14"/>
        <v>14</v>
      </c>
      <c r="G246" s="2">
        <v>2014</v>
      </c>
      <c r="H246" t="str">
        <f t="shared" si="20"/>
        <v>njbmspay</v>
      </c>
      <c r="I246" s="2" t="s">
        <v>1080</v>
      </c>
      <c r="J246" s="2" t="s">
        <v>976</v>
      </c>
      <c r="K246" s="2" t="s">
        <v>398</v>
      </c>
      <c r="L246" s="2" t="s">
        <v>8</v>
      </c>
      <c r="M246">
        <v>0</v>
      </c>
      <c r="N246">
        <v>10</v>
      </c>
    </row>
    <row r="247" spans="1:16" x14ac:dyDescent="0.2">
      <c r="A247" s="18" t="s">
        <v>973</v>
      </c>
      <c r="B247" s="18" t="s">
        <v>274</v>
      </c>
      <c r="C247" s="18" t="s">
        <v>238</v>
      </c>
      <c r="D247" s="18" t="s">
        <v>125</v>
      </c>
      <c r="E247" s="2" t="str">
        <f t="shared" si="13"/>
        <v>o</v>
      </c>
      <c r="F247" s="2">
        <f t="shared" si="14"/>
        <v>15</v>
      </c>
      <c r="G247" s="2">
        <v>2015</v>
      </c>
      <c r="H247" t="str">
        <f t="shared" si="20"/>
        <v>ojbmspay</v>
      </c>
      <c r="I247" s="2" t="s">
        <v>1080</v>
      </c>
      <c r="J247" s="2" t="s">
        <v>976</v>
      </c>
      <c r="K247" s="2" t="s">
        <v>398</v>
      </c>
      <c r="L247" s="2" t="s">
        <v>8</v>
      </c>
      <c r="M247">
        <v>0</v>
      </c>
      <c r="N247">
        <v>10</v>
      </c>
    </row>
    <row r="248" spans="1:16" x14ac:dyDescent="0.2">
      <c r="A248" s="18" t="s">
        <v>973</v>
      </c>
      <c r="B248" s="18" t="s">
        <v>274</v>
      </c>
      <c r="C248" s="18" t="s">
        <v>238</v>
      </c>
      <c r="D248" s="18" t="s">
        <v>125</v>
      </c>
      <c r="E248" s="2" t="str">
        <f t="shared" si="13"/>
        <v>p</v>
      </c>
      <c r="F248" s="2">
        <f t="shared" si="14"/>
        <v>16</v>
      </c>
      <c r="G248" s="2">
        <v>2016</v>
      </c>
      <c r="H248" t="str">
        <f t="shared" si="20"/>
        <v>pjbmspay</v>
      </c>
      <c r="I248" s="2" t="s">
        <v>1080</v>
      </c>
      <c r="J248" s="2" t="s">
        <v>976</v>
      </c>
      <c r="K248" s="2" t="s">
        <v>398</v>
      </c>
      <c r="L248" s="2" t="s">
        <v>8</v>
      </c>
      <c r="M248">
        <v>0</v>
      </c>
      <c r="N248">
        <v>10</v>
      </c>
    </row>
    <row r="249" spans="1:16" x14ac:dyDescent="0.2">
      <c r="A249" s="18" t="s">
        <v>973</v>
      </c>
      <c r="B249" s="18" t="s">
        <v>274</v>
      </c>
      <c r="C249" s="18" t="s">
        <v>238</v>
      </c>
      <c r="D249" s="18" t="s">
        <v>125</v>
      </c>
      <c r="E249" s="2" t="str">
        <f t="shared" si="13"/>
        <v>q</v>
      </c>
      <c r="F249" s="2">
        <f t="shared" si="14"/>
        <v>17</v>
      </c>
      <c r="G249" s="2">
        <v>2017</v>
      </c>
      <c r="H249" t="str">
        <f t="shared" si="20"/>
        <v>qjbmspay</v>
      </c>
      <c r="I249" s="2" t="s">
        <v>1080</v>
      </c>
      <c r="J249" s="2" t="s">
        <v>976</v>
      </c>
      <c r="K249" s="2" t="s">
        <v>398</v>
      </c>
      <c r="L249" s="2" t="s">
        <v>8</v>
      </c>
      <c r="M249">
        <v>0</v>
      </c>
      <c r="N249">
        <v>10</v>
      </c>
    </row>
    <row r="250" spans="1:16" x14ac:dyDescent="0.2">
      <c r="A250" s="18" t="s">
        <v>973</v>
      </c>
      <c r="B250" s="18" t="s">
        <v>274</v>
      </c>
      <c r="C250" s="18" t="s">
        <v>238</v>
      </c>
      <c r="D250" s="18" t="s">
        <v>125</v>
      </c>
      <c r="E250" s="2" t="str">
        <f t="shared" si="13"/>
        <v>r</v>
      </c>
      <c r="F250" s="2">
        <f t="shared" si="14"/>
        <v>18</v>
      </c>
      <c r="G250" s="2">
        <v>2018</v>
      </c>
      <c r="H250" t="str">
        <f t="shared" si="20"/>
        <v>rjbmspay</v>
      </c>
      <c r="I250" s="2" t="s">
        <v>1080</v>
      </c>
      <c r="J250" s="2" t="s">
        <v>976</v>
      </c>
      <c r="K250" s="2" t="s">
        <v>398</v>
      </c>
      <c r="L250" s="2" t="s">
        <v>8</v>
      </c>
      <c r="M250">
        <v>0</v>
      </c>
      <c r="N250">
        <v>10</v>
      </c>
    </row>
    <row r="251" spans="1:16" ht="17.25" customHeight="1" x14ac:dyDescent="0.2">
      <c r="A251" s="18" t="s">
        <v>973</v>
      </c>
      <c r="B251" s="18" t="s">
        <v>4182</v>
      </c>
      <c r="C251" s="18" t="s">
        <v>1625</v>
      </c>
      <c r="D251" s="18" t="s">
        <v>3325</v>
      </c>
      <c r="E251" s="2" t="str">
        <f t="shared" si="13"/>
        <v>f</v>
      </c>
      <c r="F251" s="2">
        <f t="shared" si="14"/>
        <v>6</v>
      </c>
      <c r="G251" s="2">
        <v>2006</v>
      </c>
      <c r="H251" s="2" t="s">
        <v>3326</v>
      </c>
      <c r="I251" s="2" t="s">
        <v>3327</v>
      </c>
      <c r="J251" s="2" t="s">
        <v>2288</v>
      </c>
      <c r="L251" s="2" t="s">
        <v>1414</v>
      </c>
      <c r="O251" s="2" t="s">
        <v>1127</v>
      </c>
      <c r="P251" t="s">
        <v>1127</v>
      </c>
    </row>
    <row r="252" spans="1:16" ht="17.25" customHeight="1" x14ac:dyDescent="0.2">
      <c r="A252" s="18" t="s">
        <v>973</v>
      </c>
      <c r="B252" s="18" t="s">
        <v>4182</v>
      </c>
      <c r="C252" s="18" t="s">
        <v>1625</v>
      </c>
      <c r="D252" s="18" t="s">
        <v>3325</v>
      </c>
      <c r="E252" s="2" t="str">
        <f t="shared" si="13"/>
        <v>g</v>
      </c>
      <c r="F252" s="2">
        <f t="shared" si="14"/>
        <v>7</v>
      </c>
      <c r="G252" s="2">
        <v>2007</v>
      </c>
      <c r="H252" s="2" t="s">
        <v>3328</v>
      </c>
      <c r="I252" s="2" t="s">
        <v>3327</v>
      </c>
      <c r="J252" s="2" t="s">
        <v>2288</v>
      </c>
      <c r="L252" s="2" t="s">
        <v>1414</v>
      </c>
      <c r="O252" s="2" t="s">
        <v>1127</v>
      </c>
      <c r="P252" s="2" t="s">
        <v>1127</v>
      </c>
    </row>
    <row r="253" spans="1:16" ht="17.25" customHeight="1" x14ac:dyDescent="0.2">
      <c r="A253" s="18" t="s">
        <v>973</v>
      </c>
      <c r="B253" s="18" t="s">
        <v>4182</v>
      </c>
      <c r="C253" s="18" t="s">
        <v>1625</v>
      </c>
      <c r="D253" s="18" t="s">
        <v>3325</v>
      </c>
      <c r="E253" s="2" t="str">
        <f t="shared" si="13"/>
        <v>h</v>
      </c>
      <c r="F253" s="2">
        <f t="shared" si="14"/>
        <v>8</v>
      </c>
      <c r="G253" s="2">
        <v>2008</v>
      </c>
      <c r="H253" s="2" t="s">
        <v>3329</v>
      </c>
      <c r="I253" s="2" t="s">
        <v>3327</v>
      </c>
      <c r="J253" s="2" t="s">
        <v>2288</v>
      </c>
      <c r="L253" s="2" t="s">
        <v>1414</v>
      </c>
      <c r="O253" s="2" t="s">
        <v>1127</v>
      </c>
      <c r="P253" s="2" t="s">
        <v>1127</v>
      </c>
    </row>
    <row r="254" spans="1:16" ht="17.25" customHeight="1" x14ac:dyDescent="0.2">
      <c r="A254" s="18" t="s">
        <v>973</v>
      </c>
      <c r="B254" s="18" t="s">
        <v>4182</v>
      </c>
      <c r="C254" s="18" t="s">
        <v>1625</v>
      </c>
      <c r="D254" s="18" t="s">
        <v>3325</v>
      </c>
      <c r="E254" s="2" t="str">
        <f t="shared" si="13"/>
        <v>i</v>
      </c>
      <c r="F254" s="2">
        <f t="shared" si="14"/>
        <v>9</v>
      </c>
      <c r="G254" s="2">
        <v>2009</v>
      </c>
      <c r="H254" s="2" t="s">
        <v>3330</v>
      </c>
      <c r="I254" s="2" t="s">
        <v>3327</v>
      </c>
      <c r="J254" s="2" t="s">
        <v>2288</v>
      </c>
      <c r="L254" s="2" t="s">
        <v>1414</v>
      </c>
      <c r="O254" s="2" t="s">
        <v>1127</v>
      </c>
      <c r="P254" s="2" t="s">
        <v>1127</v>
      </c>
    </row>
    <row r="255" spans="1:16" ht="17.25" customHeight="1" x14ac:dyDescent="0.2">
      <c r="A255" s="18" t="s">
        <v>973</v>
      </c>
      <c r="B255" s="18" t="s">
        <v>4182</v>
      </c>
      <c r="C255" s="18" t="s">
        <v>1625</v>
      </c>
      <c r="D255" s="18" t="s">
        <v>3325</v>
      </c>
      <c r="E255" s="2" t="str">
        <f t="shared" si="13"/>
        <v>j</v>
      </c>
      <c r="F255" s="2">
        <f t="shared" si="14"/>
        <v>10</v>
      </c>
      <c r="G255" s="2">
        <v>2010</v>
      </c>
      <c r="H255" s="2" t="s">
        <v>3331</v>
      </c>
      <c r="I255" s="2" t="s">
        <v>3327</v>
      </c>
      <c r="J255" s="2" t="s">
        <v>2288</v>
      </c>
      <c r="L255" s="2" t="s">
        <v>1414</v>
      </c>
      <c r="O255" s="2" t="s">
        <v>1127</v>
      </c>
      <c r="P255" s="2" t="s">
        <v>1127</v>
      </c>
    </row>
    <row r="256" spans="1:16" ht="17.25" customHeight="1" x14ac:dyDescent="0.2">
      <c r="A256" s="18" t="s">
        <v>973</v>
      </c>
      <c r="B256" s="18" t="s">
        <v>4182</v>
      </c>
      <c r="C256" s="18" t="s">
        <v>1625</v>
      </c>
      <c r="D256" s="18" t="s">
        <v>3325</v>
      </c>
      <c r="E256" s="2" t="str">
        <f t="shared" si="13"/>
        <v>k</v>
      </c>
      <c r="F256" s="2">
        <f t="shared" si="14"/>
        <v>11</v>
      </c>
      <c r="G256" s="2">
        <v>2011</v>
      </c>
      <c r="H256" s="2" t="s">
        <v>3332</v>
      </c>
      <c r="I256" s="2" t="s">
        <v>3327</v>
      </c>
      <c r="J256" s="2" t="s">
        <v>2288</v>
      </c>
      <c r="L256" s="2" t="s">
        <v>1414</v>
      </c>
      <c r="O256" s="2" t="s">
        <v>1127</v>
      </c>
      <c r="P256" s="2" t="s">
        <v>1127</v>
      </c>
    </row>
    <row r="257" spans="1:18" ht="17.25" customHeight="1" x14ac:dyDescent="0.2">
      <c r="A257" s="18" t="s">
        <v>973</v>
      </c>
      <c r="B257" s="18" t="s">
        <v>4182</v>
      </c>
      <c r="C257" s="18" t="s">
        <v>1625</v>
      </c>
      <c r="D257" s="18" t="s">
        <v>3325</v>
      </c>
      <c r="E257" s="2" t="str">
        <f t="shared" si="13"/>
        <v>l</v>
      </c>
      <c r="F257" s="2">
        <f t="shared" si="14"/>
        <v>12</v>
      </c>
      <c r="G257" s="2">
        <v>2012</v>
      </c>
      <c r="H257" s="2" t="s">
        <v>3333</v>
      </c>
      <c r="I257" s="2" t="s">
        <v>3327</v>
      </c>
      <c r="J257" s="2" t="s">
        <v>2288</v>
      </c>
      <c r="L257" s="2" t="s">
        <v>1414</v>
      </c>
      <c r="O257" s="2" t="s">
        <v>1127</v>
      </c>
      <c r="P257" s="2" t="s">
        <v>1127</v>
      </c>
    </row>
    <row r="258" spans="1:18" ht="17.25" customHeight="1" x14ac:dyDescent="0.2">
      <c r="A258" s="18" t="s">
        <v>973</v>
      </c>
      <c r="B258" s="18" t="s">
        <v>4182</v>
      </c>
      <c r="C258" s="18" t="s">
        <v>1625</v>
      </c>
      <c r="D258" s="18" t="s">
        <v>3325</v>
      </c>
      <c r="E258" s="2" t="str">
        <f t="shared" si="13"/>
        <v>m</v>
      </c>
      <c r="F258" s="2">
        <f t="shared" si="14"/>
        <v>13</v>
      </c>
      <c r="G258" s="2">
        <v>2013</v>
      </c>
      <c r="H258" s="2" t="s">
        <v>3334</v>
      </c>
      <c r="I258" s="2" t="s">
        <v>3327</v>
      </c>
      <c r="J258" s="2" t="s">
        <v>2288</v>
      </c>
      <c r="L258" s="2" t="s">
        <v>1414</v>
      </c>
      <c r="O258" s="2" t="s">
        <v>1127</v>
      </c>
      <c r="P258" s="2" t="s">
        <v>1127</v>
      </c>
    </row>
    <row r="259" spans="1:18" ht="17.25" customHeight="1" x14ac:dyDescent="0.2">
      <c r="A259" s="18" t="s">
        <v>973</v>
      </c>
      <c r="B259" s="18" t="s">
        <v>4182</v>
      </c>
      <c r="C259" s="18" t="s">
        <v>1625</v>
      </c>
      <c r="D259" s="18" t="s">
        <v>3325</v>
      </c>
      <c r="E259" s="2" t="str">
        <f t="shared" ref="E259:E339" si="21">MID("abcdefghijklmnopqrstuvwxyz",F259,1)</f>
        <v>n</v>
      </c>
      <c r="F259" s="2">
        <f t="shared" ref="F259:F339" si="22">G259-2000</f>
        <v>14</v>
      </c>
      <c r="G259" s="2">
        <v>2014</v>
      </c>
      <c r="H259" s="2" t="s">
        <v>3335</v>
      </c>
      <c r="I259" s="2" t="s">
        <v>3327</v>
      </c>
      <c r="J259" s="2" t="s">
        <v>2288</v>
      </c>
      <c r="L259" s="2" t="s">
        <v>1414</v>
      </c>
      <c r="O259" s="2" t="s">
        <v>1127</v>
      </c>
      <c r="P259" s="2" t="s">
        <v>1127</v>
      </c>
    </row>
    <row r="260" spans="1:18" ht="17.25" customHeight="1" x14ac:dyDescent="0.2">
      <c r="A260" s="18" t="s">
        <v>973</v>
      </c>
      <c r="B260" s="18" t="s">
        <v>4182</v>
      </c>
      <c r="C260" s="18" t="s">
        <v>1625</v>
      </c>
      <c r="D260" s="18" t="s">
        <v>3325</v>
      </c>
      <c r="E260" s="2" t="str">
        <f t="shared" si="21"/>
        <v>o</v>
      </c>
      <c r="F260" s="2">
        <f t="shared" si="22"/>
        <v>15</v>
      </c>
      <c r="G260" s="2">
        <v>2015</v>
      </c>
      <c r="H260" s="2" t="s">
        <v>3336</v>
      </c>
      <c r="I260" s="2" t="s">
        <v>3327</v>
      </c>
      <c r="J260" s="2" t="s">
        <v>2288</v>
      </c>
      <c r="L260" s="2" t="s">
        <v>1414</v>
      </c>
      <c r="O260" s="2" t="s">
        <v>1127</v>
      </c>
      <c r="P260" s="2" t="s">
        <v>1127</v>
      </c>
    </row>
    <row r="261" spans="1:18" ht="17.25" customHeight="1" x14ac:dyDescent="0.2">
      <c r="A261" s="18" t="s">
        <v>973</v>
      </c>
      <c r="B261" s="18" t="s">
        <v>4182</v>
      </c>
      <c r="C261" s="18" t="s">
        <v>1625</v>
      </c>
      <c r="D261" s="18" t="s">
        <v>3325</v>
      </c>
      <c r="E261" s="2" t="str">
        <f t="shared" si="21"/>
        <v>p</v>
      </c>
      <c r="F261" s="2">
        <f t="shared" si="22"/>
        <v>16</v>
      </c>
      <c r="G261" s="2">
        <v>2016</v>
      </c>
      <c r="H261" s="2" t="s">
        <v>3337</v>
      </c>
      <c r="I261" s="2" t="s">
        <v>3327</v>
      </c>
      <c r="J261" s="2" t="s">
        <v>2288</v>
      </c>
      <c r="L261" s="2" t="s">
        <v>1414</v>
      </c>
      <c r="O261" s="2" t="s">
        <v>1127</v>
      </c>
      <c r="P261" s="2" t="s">
        <v>1127</v>
      </c>
    </row>
    <row r="262" spans="1:18" ht="17.25" customHeight="1" x14ac:dyDescent="0.2">
      <c r="A262" s="18" t="s">
        <v>973</v>
      </c>
      <c r="B262" s="18" t="s">
        <v>4182</v>
      </c>
      <c r="C262" s="18" t="s">
        <v>1625</v>
      </c>
      <c r="D262" s="18" t="s">
        <v>3325</v>
      </c>
      <c r="E262" s="2" t="str">
        <f t="shared" si="21"/>
        <v>q</v>
      </c>
      <c r="F262" s="2">
        <f t="shared" si="22"/>
        <v>17</v>
      </c>
      <c r="G262" s="2">
        <v>2017</v>
      </c>
      <c r="H262" s="2" t="s">
        <v>3338</v>
      </c>
      <c r="I262" s="2" t="s">
        <v>3327</v>
      </c>
      <c r="J262" s="2" t="s">
        <v>2288</v>
      </c>
      <c r="L262" s="2" t="s">
        <v>1414</v>
      </c>
      <c r="O262" s="2" t="s">
        <v>1127</v>
      </c>
      <c r="P262" s="2" t="s">
        <v>1127</v>
      </c>
    </row>
    <row r="263" spans="1:18" ht="17.25" customHeight="1" x14ac:dyDescent="0.2">
      <c r="A263" s="18" t="s">
        <v>973</v>
      </c>
      <c r="B263" s="18" t="s">
        <v>4182</v>
      </c>
      <c r="C263" s="18" t="s">
        <v>1625</v>
      </c>
      <c r="D263" s="18" t="s">
        <v>3339</v>
      </c>
      <c r="E263" s="2" t="str">
        <f t="shared" si="21"/>
        <v>f</v>
      </c>
      <c r="F263" s="2">
        <f t="shared" si="22"/>
        <v>6</v>
      </c>
      <c r="G263" s="2">
        <v>2006</v>
      </c>
      <c r="H263" s="2" t="s">
        <v>3340</v>
      </c>
      <c r="I263" s="2" t="s">
        <v>3341</v>
      </c>
      <c r="J263" s="2" t="s">
        <v>2288</v>
      </c>
      <c r="L263" s="2" t="s">
        <v>1414</v>
      </c>
      <c r="O263" s="2" t="s">
        <v>1127</v>
      </c>
      <c r="P263" s="2" t="s">
        <v>1127</v>
      </c>
    </row>
    <row r="264" spans="1:18" ht="17.25" customHeight="1" x14ac:dyDescent="0.2">
      <c r="A264" s="18" t="s">
        <v>973</v>
      </c>
      <c r="B264" s="18" t="s">
        <v>4182</v>
      </c>
      <c r="C264" s="18" t="s">
        <v>1625</v>
      </c>
      <c r="D264" s="18" t="s">
        <v>3339</v>
      </c>
      <c r="E264" s="2" t="str">
        <f t="shared" si="21"/>
        <v>g</v>
      </c>
      <c r="F264" s="2">
        <f t="shared" si="22"/>
        <v>7</v>
      </c>
      <c r="G264" s="2">
        <v>2007</v>
      </c>
      <c r="H264" s="2" t="s">
        <v>3342</v>
      </c>
      <c r="I264" s="2" t="s">
        <v>3341</v>
      </c>
      <c r="J264" s="2" t="s">
        <v>2288</v>
      </c>
      <c r="L264" s="2" t="s">
        <v>1414</v>
      </c>
      <c r="O264" s="2" t="s">
        <v>1127</v>
      </c>
      <c r="P264" s="2" t="s">
        <v>1127</v>
      </c>
    </row>
    <row r="265" spans="1:18" ht="17.25" customHeight="1" x14ac:dyDescent="0.2">
      <c r="A265" s="18" t="s">
        <v>973</v>
      </c>
      <c r="B265" s="18" t="s">
        <v>4182</v>
      </c>
      <c r="C265" s="18" t="s">
        <v>1625</v>
      </c>
      <c r="D265" s="18" t="s">
        <v>3339</v>
      </c>
      <c r="E265" s="2" t="str">
        <f t="shared" si="21"/>
        <v>h</v>
      </c>
      <c r="F265" s="2">
        <f t="shared" si="22"/>
        <v>8</v>
      </c>
      <c r="G265" s="2">
        <v>2008</v>
      </c>
      <c r="H265" s="2" t="s">
        <v>3343</v>
      </c>
      <c r="I265" s="2" t="s">
        <v>3341</v>
      </c>
      <c r="J265" s="2" t="s">
        <v>2288</v>
      </c>
      <c r="L265" s="2" t="s">
        <v>1414</v>
      </c>
      <c r="O265" s="2" t="s">
        <v>1127</v>
      </c>
      <c r="P265" s="2" t="s">
        <v>1127</v>
      </c>
    </row>
    <row r="266" spans="1:18" ht="17.25" customHeight="1" x14ac:dyDescent="0.2">
      <c r="A266" s="18" t="s">
        <v>973</v>
      </c>
      <c r="B266" s="18" t="s">
        <v>4182</v>
      </c>
      <c r="C266" s="18" t="s">
        <v>1625</v>
      </c>
      <c r="D266" s="18" t="s">
        <v>3339</v>
      </c>
      <c r="E266" s="2" t="str">
        <f t="shared" si="21"/>
        <v>i</v>
      </c>
      <c r="F266" s="2">
        <f t="shared" si="22"/>
        <v>9</v>
      </c>
      <c r="G266" s="2">
        <v>2009</v>
      </c>
      <c r="H266" s="2" t="s">
        <v>3344</v>
      </c>
      <c r="I266" s="2" t="s">
        <v>3341</v>
      </c>
      <c r="J266" s="2" t="s">
        <v>2288</v>
      </c>
      <c r="L266" s="2" t="s">
        <v>1414</v>
      </c>
      <c r="O266" s="2" t="s">
        <v>1127</v>
      </c>
      <c r="P266" s="2" t="s">
        <v>1127</v>
      </c>
    </row>
    <row r="267" spans="1:18" ht="17.25" customHeight="1" x14ac:dyDescent="0.2">
      <c r="A267" s="18" t="s">
        <v>973</v>
      </c>
      <c r="B267" s="18" t="s">
        <v>4182</v>
      </c>
      <c r="C267" s="18" t="s">
        <v>1625</v>
      </c>
      <c r="D267" s="18" t="s">
        <v>3339</v>
      </c>
      <c r="E267" s="2" t="str">
        <f t="shared" si="21"/>
        <v>j</v>
      </c>
      <c r="F267" s="2">
        <f t="shared" si="22"/>
        <v>10</v>
      </c>
      <c r="G267" s="2">
        <v>2010</v>
      </c>
      <c r="H267" s="2" t="s">
        <v>3345</v>
      </c>
      <c r="I267" s="2" t="s">
        <v>3341</v>
      </c>
      <c r="J267" s="2" t="s">
        <v>2288</v>
      </c>
      <c r="L267" s="2" t="s">
        <v>1414</v>
      </c>
      <c r="O267" s="2" t="s">
        <v>1127</v>
      </c>
      <c r="P267" s="2" t="s">
        <v>1127</v>
      </c>
    </row>
    <row r="268" spans="1:18" ht="17.25" customHeight="1" x14ac:dyDescent="0.2">
      <c r="A268" s="18" t="s">
        <v>973</v>
      </c>
      <c r="B268" s="18" t="s">
        <v>4182</v>
      </c>
      <c r="C268" s="18" t="s">
        <v>1625</v>
      </c>
      <c r="D268" s="18" t="s">
        <v>3339</v>
      </c>
      <c r="E268" s="2" t="str">
        <f t="shared" si="21"/>
        <v>k</v>
      </c>
      <c r="F268" s="2">
        <f t="shared" si="22"/>
        <v>11</v>
      </c>
      <c r="G268" s="2">
        <v>2011</v>
      </c>
      <c r="H268" s="2" t="s">
        <v>3346</v>
      </c>
      <c r="I268" s="2" t="s">
        <v>3341</v>
      </c>
      <c r="J268" s="2" t="s">
        <v>2288</v>
      </c>
      <c r="L268" s="2" t="s">
        <v>1414</v>
      </c>
      <c r="O268" s="2" t="s">
        <v>1127</v>
      </c>
      <c r="P268" s="2" t="s">
        <v>1127</v>
      </c>
    </row>
    <row r="269" spans="1:18" ht="17.25" customHeight="1" x14ac:dyDescent="0.2">
      <c r="A269" s="18" t="s">
        <v>973</v>
      </c>
      <c r="B269" s="18" t="s">
        <v>4182</v>
      </c>
      <c r="C269" s="18" t="s">
        <v>1625</v>
      </c>
      <c r="D269" s="18" t="s">
        <v>3339</v>
      </c>
      <c r="E269" s="2" t="str">
        <f t="shared" si="21"/>
        <v>l</v>
      </c>
      <c r="F269" s="2">
        <f t="shared" si="22"/>
        <v>12</v>
      </c>
      <c r="G269" s="2">
        <v>2012</v>
      </c>
      <c r="H269" s="2" t="s">
        <v>3347</v>
      </c>
      <c r="I269" s="2" t="s">
        <v>3341</v>
      </c>
      <c r="J269" s="2" t="s">
        <v>2288</v>
      </c>
      <c r="L269" s="2" t="s">
        <v>1414</v>
      </c>
      <c r="O269" s="2" t="s">
        <v>1127</v>
      </c>
      <c r="P269" s="2" t="s">
        <v>1127</v>
      </c>
    </row>
    <row r="270" spans="1:18" ht="17.25" customHeight="1" x14ac:dyDescent="0.2">
      <c r="A270" s="18" t="s">
        <v>973</v>
      </c>
      <c r="B270" s="18" t="s">
        <v>4182</v>
      </c>
      <c r="C270" s="18" t="s">
        <v>1625</v>
      </c>
      <c r="D270" s="18" t="s">
        <v>3339</v>
      </c>
      <c r="E270" s="2" t="str">
        <f t="shared" si="21"/>
        <v>m</v>
      </c>
      <c r="F270" s="2">
        <f t="shared" si="22"/>
        <v>13</v>
      </c>
      <c r="G270" s="2">
        <v>2013</v>
      </c>
      <c r="H270" s="2" t="s">
        <v>3348</v>
      </c>
      <c r="I270" s="2" t="s">
        <v>3341</v>
      </c>
      <c r="J270" s="2" t="s">
        <v>2288</v>
      </c>
      <c r="L270" s="2" t="s">
        <v>1414</v>
      </c>
      <c r="O270" s="2" t="s">
        <v>1127</v>
      </c>
      <c r="P270" s="2" t="s">
        <v>1127</v>
      </c>
    </row>
    <row r="271" spans="1:18" ht="17.25" customHeight="1" x14ac:dyDescent="0.2">
      <c r="A271" s="18" t="s">
        <v>973</v>
      </c>
      <c r="B271" s="18" t="s">
        <v>4182</v>
      </c>
      <c r="C271" s="18" t="s">
        <v>1625</v>
      </c>
      <c r="D271" s="18" t="s">
        <v>3339</v>
      </c>
      <c r="E271" s="2" t="str">
        <f t="shared" si="21"/>
        <v>n</v>
      </c>
      <c r="F271" s="2">
        <f t="shared" si="22"/>
        <v>14</v>
      </c>
      <c r="G271" s="2">
        <v>2014</v>
      </c>
      <c r="H271" s="2" t="s">
        <v>3349</v>
      </c>
      <c r="I271" s="2" t="s">
        <v>3341</v>
      </c>
      <c r="J271" s="2" t="s">
        <v>2288</v>
      </c>
      <c r="L271" s="2" t="s">
        <v>1414</v>
      </c>
      <c r="O271" s="2" t="s">
        <v>1127</v>
      </c>
      <c r="P271" s="2" t="s">
        <v>1127</v>
      </c>
    </row>
    <row r="272" spans="1:18" ht="17.25" customHeight="1" x14ac:dyDescent="0.2">
      <c r="A272" s="18" t="s">
        <v>973</v>
      </c>
      <c r="B272" s="18" t="s">
        <v>4182</v>
      </c>
      <c r="C272" s="18" t="s">
        <v>1625</v>
      </c>
      <c r="D272" s="18" t="s">
        <v>3339</v>
      </c>
      <c r="E272" s="2" t="str">
        <f t="shared" si="21"/>
        <v>o</v>
      </c>
      <c r="F272" s="2">
        <f t="shared" si="22"/>
        <v>15</v>
      </c>
      <c r="G272" s="2">
        <v>2015</v>
      </c>
      <c r="H272" s="2" t="s">
        <v>3350</v>
      </c>
      <c r="I272" s="2" t="s">
        <v>3341</v>
      </c>
      <c r="J272" s="2" t="s">
        <v>2288</v>
      </c>
      <c r="L272" s="2" t="s">
        <v>1414</v>
      </c>
      <c r="O272" s="2" t="s">
        <v>1127</v>
      </c>
      <c r="P272" s="2" t="s">
        <v>1127</v>
      </c>
      <c r="R272" s="2"/>
    </row>
    <row r="273" spans="1:16" ht="17.25" customHeight="1" x14ac:dyDescent="0.2">
      <c r="A273" s="18" t="s">
        <v>973</v>
      </c>
      <c r="B273" s="18" t="s">
        <v>4182</v>
      </c>
      <c r="C273" s="18" t="s">
        <v>1625</v>
      </c>
      <c r="D273" s="18" t="s">
        <v>3339</v>
      </c>
      <c r="E273" s="2" t="str">
        <f t="shared" si="21"/>
        <v>p</v>
      </c>
      <c r="F273" s="2">
        <f t="shared" si="22"/>
        <v>16</v>
      </c>
      <c r="G273" s="2">
        <v>2016</v>
      </c>
      <c r="H273" s="2" t="s">
        <v>3351</v>
      </c>
      <c r="I273" s="2" t="s">
        <v>3341</v>
      </c>
      <c r="J273" s="2" t="s">
        <v>2288</v>
      </c>
      <c r="L273" s="2" t="s">
        <v>1414</v>
      </c>
      <c r="O273" s="2" t="s">
        <v>1127</v>
      </c>
      <c r="P273" s="2" t="s">
        <v>1127</v>
      </c>
    </row>
    <row r="274" spans="1:16" ht="17.25" customHeight="1" x14ac:dyDescent="0.2">
      <c r="A274" s="18" t="s">
        <v>973</v>
      </c>
      <c r="B274" s="18" t="s">
        <v>4182</v>
      </c>
      <c r="C274" s="18" t="s">
        <v>1625</v>
      </c>
      <c r="D274" s="18" t="s">
        <v>3339</v>
      </c>
      <c r="E274" s="2" t="str">
        <f t="shared" si="21"/>
        <v>q</v>
      </c>
      <c r="F274" s="2">
        <f t="shared" si="22"/>
        <v>17</v>
      </c>
      <c r="G274" s="2">
        <v>2017</v>
      </c>
      <c r="H274" s="2" t="s">
        <v>3352</v>
      </c>
      <c r="I274" s="2" t="s">
        <v>3341</v>
      </c>
      <c r="J274" s="2" t="s">
        <v>2288</v>
      </c>
      <c r="L274" s="2" t="s">
        <v>1414</v>
      </c>
      <c r="O274" s="2" t="s">
        <v>1127</v>
      </c>
      <c r="P274" s="2" t="s">
        <v>1127</v>
      </c>
    </row>
    <row r="275" spans="1:16" ht="17.25" customHeight="1" x14ac:dyDescent="0.2">
      <c r="A275" s="18" t="s">
        <v>973</v>
      </c>
      <c r="B275" s="18" t="s">
        <v>4182</v>
      </c>
      <c r="C275" s="18" t="s">
        <v>1482</v>
      </c>
      <c r="D275" s="18" t="s">
        <v>1482</v>
      </c>
      <c r="E275" s="2" t="str">
        <f t="shared" ref="E275:E291" si="23">MID("abcdefghijklmnopqrstuvwxyz",F275,1)</f>
        <v>a</v>
      </c>
      <c r="F275" s="2">
        <f t="shared" ref="F275:F291" si="24">G275-2000</f>
        <v>1</v>
      </c>
      <c r="G275" s="2">
        <v>2001</v>
      </c>
      <c r="H275" s="2" t="str">
        <f>E275&amp;"edhists"</f>
        <v>aedhists</v>
      </c>
      <c r="I275" s="2" t="s">
        <v>3354</v>
      </c>
      <c r="J275" s="34" t="s">
        <v>4185</v>
      </c>
      <c r="L275" s="2" t="s">
        <v>4188</v>
      </c>
      <c r="O275" s="2" t="s">
        <v>1127</v>
      </c>
      <c r="P275" s="2" t="s">
        <v>1127</v>
      </c>
    </row>
    <row r="276" spans="1:16" ht="17.25" customHeight="1" x14ac:dyDescent="0.2">
      <c r="A276" s="18" t="s">
        <v>973</v>
      </c>
      <c r="B276" s="18" t="s">
        <v>4182</v>
      </c>
      <c r="C276" s="18" t="s">
        <v>1482</v>
      </c>
      <c r="D276" s="18" t="s">
        <v>1482</v>
      </c>
      <c r="E276" s="2" t="str">
        <f t="shared" si="23"/>
        <v>b</v>
      </c>
      <c r="F276" s="2">
        <f t="shared" si="24"/>
        <v>2</v>
      </c>
      <c r="G276" s="2">
        <v>2002</v>
      </c>
      <c r="H276" s="2" t="str">
        <f t="shared" ref="H276:H291" si="25">E276&amp;"edhists"</f>
        <v>bedhists</v>
      </c>
      <c r="I276" s="2" t="s">
        <v>3354</v>
      </c>
      <c r="J276" s="34" t="s">
        <v>4185</v>
      </c>
      <c r="L276" s="2" t="s">
        <v>4188</v>
      </c>
      <c r="O276" s="2" t="s">
        <v>1127</v>
      </c>
      <c r="P276" s="2" t="s">
        <v>1127</v>
      </c>
    </row>
    <row r="277" spans="1:16" ht="17.25" customHeight="1" x14ac:dyDescent="0.2">
      <c r="A277" s="18" t="s">
        <v>973</v>
      </c>
      <c r="B277" s="18" t="s">
        <v>4182</v>
      </c>
      <c r="C277" s="18" t="s">
        <v>1482</v>
      </c>
      <c r="D277" s="18" t="s">
        <v>1482</v>
      </c>
      <c r="E277" s="2" t="str">
        <f t="shared" si="23"/>
        <v>c</v>
      </c>
      <c r="F277" s="2">
        <f t="shared" si="24"/>
        <v>3</v>
      </c>
      <c r="G277" s="2">
        <v>2003</v>
      </c>
      <c r="H277" s="2" t="str">
        <f t="shared" si="25"/>
        <v>cedhists</v>
      </c>
      <c r="I277" s="2" t="s">
        <v>3354</v>
      </c>
      <c r="J277" s="34" t="s">
        <v>4185</v>
      </c>
      <c r="L277" s="2" t="s">
        <v>4188</v>
      </c>
      <c r="O277" s="2" t="s">
        <v>1127</v>
      </c>
      <c r="P277" s="2" t="s">
        <v>1127</v>
      </c>
    </row>
    <row r="278" spans="1:16" ht="17.25" customHeight="1" x14ac:dyDescent="0.2">
      <c r="A278" s="18" t="s">
        <v>973</v>
      </c>
      <c r="B278" s="18" t="s">
        <v>4182</v>
      </c>
      <c r="C278" s="18" t="s">
        <v>1482</v>
      </c>
      <c r="D278" s="18" t="s">
        <v>1482</v>
      </c>
      <c r="E278" s="2" t="str">
        <f t="shared" si="23"/>
        <v>d</v>
      </c>
      <c r="F278" s="2">
        <f t="shared" si="24"/>
        <v>4</v>
      </c>
      <c r="G278" s="2">
        <v>2004</v>
      </c>
      <c r="H278" s="2" t="str">
        <f t="shared" si="25"/>
        <v>dedhists</v>
      </c>
      <c r="I278" s="2" t="s">
        <v>3354</v>
      </c>
      <c r="J278" s="34" t="s">
        <v>4185</v>
      </c>
      <c r="L278" s="2" t="s">
        <v>4188</v>
      </c>
      <c r="O278" s="2" t="s">
        <v>1127</v>
      </c>
      <c r="P278" s="2" t="s">
        <v>1127</v>
      </c>
    </row>
    <row r="279" spans="1:16" ht="17.25" customHeight="1" x14ac:dyDescent="0.2">
      <c r="A279" s="18" t="s">
        <v>973</v>
      </c>
      <c r="B279" s="18" t="s">
        <v>4182</v>
      </c>
      <c r="C279" s="18" t="s">
        <v>1482</v>
      </c>
      <c r="D279" s="18" t="s">
        <v>1482</v>
      </c>
      <c r="E279" s="2" t="str">
        <f t="shared" si="23"/>
        <v>e</v>
      </c>
      <c r="F279" s="2">
        <f t="shared" si="24"/>
        <v>5</v>
      </c>
      <c r="G279" s="2">
        <v>2005</v>
      </c>
      <c r="H279" s="2" t="str">
        <f t="shared" si="25"/>
        <v>eedhists</v>
      </c>
      <c r="I279" s="2" t="s">
        <v>3354</v>
      </c>
      <c r="J279" s="34" t="s">
        <v>4185</v>
      </c>
      <c r="L279" s="2" t="s">
        <v>4188</v>
      </c>
      <c r="O279" s="2" t="s">
        <v>1127</v>
      </c>
      <c r="P279" s="2" t="s">
        <v>1127</v>
      </c>
    </row>
    <row r="280" spans="1:16" ht="17.25" customHeight="1" x14ac:dyDescent="0.2">
      <c r="A280" s="18" t="s">
        <v>973</v>
      </c>
      <c r="B280" s="18" t="s">
        <v>4182</v>
      </c>
      <c r="C280" s="18" t="s">
        <v>1482</v>
      </c>
      <c r="D280" s="18" t="s">
        <v>1482</v>
      </c>
      <c r="E280" s="2" t="str">
        <f t="shared" si="23"/>
        <v>f</v>
      </c>
      <c r="F280" s="2">
        <f t="shared" si="24"/>
        <v>6</v>
      </c>
      <c r="G280" s="2">
        <v>2006</v>
      </c>
      <c r="H280" s="2" t="str">
        <f t="shared" si="25"/>
        <v>fedhists</v>
      </c>
      <c r="I280" s="2" t="s">
        <v>3354</v>
      </c>
      <c r="J280" s="34" t="s">
        <v>4185</v>
      </c>
      <c r="L280" s="2" t="s">
        <v>4188</v>
      </c>
      <c r="O280" s="2" t="s">
        <v>1127</v>
      </c>
      <c r="P280" s="2" t="s">
        <v>1127</v>
      </c>
    </row>
    <row r="281" spans="1:16" ht="17.25" customHeight="1" x14ac:dyDescent="0.2">
      <c r="A281" s="18" t="s">
        <v>973</v>
      </c>
      <c r="B281" s="18" t="s">
        <v>4182</v>
      </c>
      <c r="C281" s="18" t="s">
        <v>1482</v>
      </c>
      <c r="D281" s="18" t="s">
        <v>1482</v>
      </c>
      <c r="E281" s="2" t="str">
        <f t="shared" si="23"/>
        <v>g</v>
      </c>
      <c r="F281" s="2">
        <f t="shared" si="24"/>
        <v>7</v>
      </c>
      <c r="G281" s="2">
        <v>2007</v>
      </c>
      <c r="H281" s="2" t="str">
        <f t="shared" si="25"/>
        <v>gedhists</v>
      </c>
      <c r="I281" s="2" t="s">
        <v>3354</v>
      </c>
      <c r="J281" s="34" t="s">
        <v>4185</v>
      </c>
      <c r="L281" s="2" t="s">
        <v>4188</v>
      </c>
      <c r="O281" s="2" t="s">
        <v>1127</v>
      </c>
      <c r="P281" s="2" t="s">
        <v>1127</v>
      </c>
    </row>
    <row r="282" spans="1:16" ht="17.25" customHeight="1" x14ac:dyDescent="0.2">
      <c r="A282" s="18" t="s">
        <v>973</v>
      </c>
      <c r="B282" s="18" t="s">
        <v>4182</v>
      </c>
      <c r="C282" s="18" t="s">
        <v>1482</v>
      </c>
      <c r="D282" s="18" t="s">
        <v>1482</v>
      </c>
      <c r="E282" s="2" t="str">
        <f t="shared" si="23"/>
        <v>h</v>
      </c>
      <c r="F282" s="2">
        <f t="shared" si="24"/>
        <v>8</v>
      </c>
      <c r="G282" s="2">
        <v>2008</v>
      </c>
      <c r="H282" s="2" t="str">
        <f t="shared" si="25"/>
        <v>hedhists</v>
      </c>
      <c r="I282" s="2" t="s">
        <v>3354</v>
      </c>
      <c r="J282" s="34" t="s">
        <v>4185</v>
      </c>
      <c r="L282" s="2" t="s">
        <v>4188</v>
      </c>
      <c r="O282" s="2" t="s">
        <v>1127</v>
      </c>
      <c r="P282" s="2" t="s">
        <v>1127</v>
      </c>
    </row>
    <row r="283" spans="1:16" ht="17.25" customHeight="1" x14ac:dyDescent="0.2">
      <c r="A283" s="18" t="s">
        <v>973</v>
      </c>
      <c r="B283" s="18" t="s">
        <v>4182</v>
      </c>
      <c r="C283" s="18" t="s">
        <v>1482</v>
      </c>
      <c r="D283" s="18" t="s">
        <v>1482</v>
      </c>
      <c r="E283" s="2" t="str">
        <f t="shared" si="23"/>
        <v>i</v>
      </c>
      <c r="F283" s="2">
        <f t="shared" si="24"/>
        <v>9</v>
      </c>
      <c r="G283" s="2">
        <v>2009</v>
      </c>
      <c r="H283" s="2" t="str">
        <f t="shared" si="25"/>
        <v>iedhists</v>
      </c>
      <c r="I283" s="2" t="s">
        <v>3354</v>
      </c>
      <c r="J283" s="34" t="s">
        <v>4185</v>
      </c>
      <c r="L283" s="2" t="s">
        <v>4188</v>
      </c>
      <c r="O283" s="2" t="s">
        <v>1127</v>
      </c>
      <c r="P283" s="2" t="s">
        <v>1127</v>
      </c>
    </row>
    <row r="284" spans="1:16" ht="17.25" customHeight="1" x14ac:dyDescent="0.2">
      <c r="A284" s="18" t="s">
        <v>973</v>
      </c>
      <c r="B284" s="18" t="s">
        <v>4182</v>
      </c>
      <c r="C284" s="18" t="s">
        <v>1482</v>
      </c>
      <c r="D284" s="18" t="s">
        <v>1482</v>
      </c>
      <c r="E284" s="2" t="str">
        <f t="shared" si="23"/>
        <v>j</v>
      </c>
      <c r="F284" s="2">
        <f t="shared" si="24"/>
        <v>10</v>
      </c>
      <c r="G284" s="2">
        <v>2010</v>
      </c>
      <c r="H284" s="2" t="str">
        <f t="shared" si="25"/>
        <v>jedhists</v>
      </c>
      <c r="I284" s="2" t="s">
        <v>3354</v>
      </c>
      <c r="J284" s="34" t="s">
        <v>4185</v>
      </c>
      <c r="L284" s="2" t="s">
        <v>4188</v>
      </c>
      <c r="O284" s="2" t="s">
        <v>1127</v>
      </c>
      <c r="P284" s="2" t="s">
        <v>1127</v>
      </c>
    </row>
    <row r="285" spans="1:16" ht="17.25" customHeight="1" x14ac:dyDescent="0.2">
      <c r="A285" s="18" t="s">
        <v>973</v>
      </c>
      <c r="B285" s="18" t="s">
        <v>4182</v>
      </c>
      <c r="C285" s="18" t="s">
        <v>1482</v>
      </c>
      <c r="D285" s="18" t="s">
        <v>1482</v>
      </c>
      <c r="E285" s="2" t="str">
        <f t="shared" si="23"/>
        <v>k</v>
      </c>
      <c r="F285" s="2">
        <f t="shared" si="24"/>
        <v>11</v>
      </c>
      <c r="G285" s="2">
        <v>2011</v>
      </c>
      <c r="H285" s="2" t="str">
        <f t="shared" si="25"/>
        <v>kedhists</v>
      </c>
      <c r="I285" s="2" t="s">
        <v>3354</v>
      </c>
      <c r="J285" s="34" t="s">
        <v>4185</v>
      </c>
      <c r="L285" s="2" t="s">
        <v>4188</v>
      </c>
      <c r="O285" s="2" t="s">
        <v>1127</v>
      </c>
      <c r="P285" s="2" t="s">
        <v>1127</v>
      </c>
    </row>
    <row r="286" spans="1:16" ht="17.25" customHeight="1" x14ac:dyDescent="0.2">
      <c r="A286" s="18" t="s">
        <v>973</v>
      </c>
      <c r="B286" s="18" t="s">
        <v>4182</v>
      </c>
      <c r="C286" s="18" t="s">
        <v>1482</v>
      </c>
      <c r="D286" s="18" t="s">
        <v>1482</v>
      </c>
      <c r="E286" s="2" t="str">
        <f t="shared" si="23"/>
        <v>l</v>
      </c>
      <c r="F286" s="2">
        <f t="shared" si="24"/>
        <v>12</v>
      </c>
      <c r="G286" s="2">
        <v>2012</v>
      </c>
      <c r="H286" s="2" t="str">
        <f t="shared" si="25"/>
        <v>ledhists</v>
      </c>
      <c r="I286" s="2" t="s">
        <v>3354</v>
      </c>
      <c r="J286" s="34" t="s">
        <v>4185</v>
      </c>
      <c r="L286" s="2" t="s">
        <v>4188</v>
      </c>
      <c r="O286" s="2" t="s">
        <v>1127</v>
      </c>
      <c r="P286" s="2" t="s">
        <v>1127</v>
      </c>
    </row>
    <row r="287" spans="1:16" ht="17.25" customHeight="1" x14ac:dyDescent="0.2">
      <c r="A287" s="18" t="s">
        <v>973</v>
      </c>
      <c r="B287" s="18" t="s">
        <v>4182</v>
      </c>
      <c r="C287" s="18" t="s">
        <v>1482</v>
      </c>
      <c r="D287" s="18" t="s">
        <v>1482</v>
      </c>
      <c r="E287" s="2" t="str">
        <f t="shared" si="23"/>
        <v>m</v>
      </c>
      <c r="F287" s="2">
        <f t="shared" si="24"/>
        <v>13</v>
      </c>
      <c r="G287" s="2">
        <v>2013</v>
      </c>
      <c r="H287" s="2" t="str">
        <f t="shared" si="25"/>
        <v>medhists</v>
      </c>
      <c r="I287" s="2" t="s">
        <v>3354</v>
      </c>
      <c r="J287" s="34" t="s">
        <v>4185</v>
      </c>
      <c r="L287" s="2" t="s">
        <v>4188</v>
      </c>
      <c r="O287" s="2" t="s">
        <v>1127</v>
      </c>
      <c r="P287" s="2" t="s">
        <v>1127</v>
      </c>
    </row>
    <row r="288" spans="1:16" ht="17.25" customHeight="1" x14ac:dyDescent="0.2">
      <c r="A288" s="18" t="s">
        <v>973</v>
      </c>
      <c r="B288" s="18" t="s">
        <v>4182</v>
      </c>
      <c r="C288" s="18" t="s">
        <v>1482</v>
      </c>
      <c r="D288" s="18" t="s">
        <v>1482</v>
      </c>
      <c r="E288" s="2" t="str">
        <f t="shared" si="23"/>
        <v>n</v>
      </c>
      <c r="F288" s="2">
        <f t="shared" si="24"/>
        <v>14</v>
      </c>
      <c r="G288" s="2">
        <v>2014</v>
      </c>
      <c r="H288" s="2" t="str">
        <f t="shared" si="25"/>
        <v>nedhists</v>
      </c>
      <c r="I288" s="2" t="s">
        <v>3354</v>
      </c>
      <c r="J288" s="34" t="s">
        <v>4185</v>
      </c>
      <c r="L288" s="2" t="s">
        <v>4188</v>
      </c>
      <c r="O288" s="2" t="s">
        <v>1127</v>
      </c>
      <c r="P288" s="2" t="s">
        <v>1127</v>
      </c>
    </row>
    <row r="289" spans="1:16" ht="17.25" customHeight="1" x14ac:dyDescent="0.2">
      <c r="A289" s="18" t="s">
        <v>973</v>
      </c>
      <c r="B289" s="18" t="s">
        <v>4182</v>
      </c>
      <c r="C289" s="18" t="s">
        <v>1482</v>
      </c>
      <c r="D289" s="18" t="s">
        <v>1482</v>
      </c>
      <c r="E289" s="2" t="str">
        <f t="shared" si="23"/>
        <v>o</v>
      </c>
      <c r="F289" s="2">
        <f t="shared" si="24"/>
        <v>15</v>
      </c>
      <c r="G289" s="2">
        <v>2015</v>
      </c>
      <c r="H289" s="2" t="str">
        <f t="shared" si="25"/>
        <v>oedhists</v>
      </c>
      <c r="I289" s="2" t="s">
        <v>3354</v>
      </c>
      <c r="J289" s="34" t="s">
        <v>4185</v>
      </c>
      <c r="L289" s="2" t="s">
        <v>4188</v>
      </c>
      <c r="O289" s="2" t="s">
        <v>1127</v>
      </c>
      <c r="P289" s="2" t="s">
        <v>1127</v>
      </c>
    </row>
    <row r="290" spans="1:16" ht="17.25" customHeight="1" x14ac:dyDescent="0.2">
      <c r="A290" s="18" t="s">
        <v>973</v>
      </c>
      <c r="B290" s="18" t="s">
        <v>4182</v>
      </c>
      <c r="C290" s="18" t="s">
        <v>1482</v>
      </c>
      <c r="D290" s="18" t="s">
        <v>1482</v>
      </c>
      <c r="E290" s="2" t="str">
        <f t="shared" si="23"/>
        <v>p</v>
      </c>
      <c r="F290" s="2">
        <f t="shared" si="24"/>
        <v>16</v>
      </c>
      <c r="G290" s="2">
        <v>2016</v>
      </c>
      <c r="H290" s="2" t="str">
        <f t="shared" si="25"/>
        <v>pedhists</v>
      </c>
      <c r="I290" s="2" t="s">
        <v>3354</v>
      </c>
      <c r="J290" s="34" t="s">
        <v>4185</v>
      </c>
      <c r="L290" s="2" t="s">
        <v>4188</v>
      </c>
      <c r="O290" s="2" t="s">
        <v>1127</v>
      </c>
      <c r="P290" s="2" t="s">
        <v>1127</v>
      </c>
    </row>
    <row r="291" spans="1:16" ht="17.25" customHeight="1" x14ac:dyDescent="0.2">
      <c r="A291" s="18" t="s">
        <v>973</v>
      </c>
      <c r="B291" s="18" t="s">
        <v>4182</v>
      </c>
      <c r="C291" s="18" t="s">
        <v>1482</v>
      </c>
      <c r="D291" s="18" t="s">
        <v>1482</v>
      </c>
      <c r="E291" s="2" t="str">
        <f t="shared" si="23"/>
        <v>q</v>
      </c>
      <c r="F291" s="2">
        <f t="shared" si="24"/>
        <v>17</v>
      </c>
      <c r="G291" s="2">
        <v>2017</v>
      </c>
      <c r="H291" s="2" t="str">
        <f t="shared" si="25"/>
        <v>qedhists</v>
      </c>
      <c r="I291" s="2" t="s">
        <v>3354</v>
      </c>
      <c r="J291" s="34" t="s">
        <v>4185</v>
      </c>
      <c r="L291" s="2" t="s">
        <v>4188</v>
      </c>
      <c r="O291" s="2" t="s">
        <v>1127</v>
      </c>
      <c r="P291" s="2" t="s">
        <v>1127</v>
      </c>
    </row>
    <row r="292" spans="1:16" ht="17.25" customHeight="1" x14ac:dyDescent="0.2">
      <c r="A292" s="18" t="s">
        <v>973</v>
      </c>
      <c r="B292" s="18" t="s">
        <v>4182</v>
      </c>
      <c r="C292" s="18" t="s">
        <v>1482</v>
      </c>
      <c r="D292" s="18" t="s">
        <v>1482</v>
      </c>
      <c r="E292" s="2" t="str">
        <f t="shared" si="21"/>
        <v>a</v>
      </c>
      <c r="F292" s="2">
        <f t="shared" si="22"/>
        <v>1</v>
      </c>
      <c r="G292" s="2">
        <v>2001</v>
      </c>
      <c r="H292" s="2" t="s">
        <v>3353</v>
      </c>
      <c r="I292" s="2" t="s">
        <v>3354</v>
      </c>
      <c r="J292" s="2" t="s">
        <v>3355</v>
      </c>
      <c r="L292" s="2" t="s">
        <v>4187</v>
      </c>
      <c r="O292" s="2" t="s">
        <v>1127</v>
      </c>
      <c r="P292" s="2" t="s">
        <v>1127</v>
      </c>
    </row>
    <row r="293" spans="1:16" ht="17.25" customHeight="1" x14ac:dyDescent="0.2">
      <c r="A293" s="18" t="s">
        <v>973</v>
      </c>
      <c r="B293" s="18" t="s">
        <v>4182</v>
      </c>
      <c r="C293" s="18" t="s">
        <v>1482</v>
      </c>
      <c r="D293" s="18" t="s">
        <v>1482</v>
      </c>
      <c r="E293" s="2" t="str">
        <f t="shared" si="21"/>
        <v>b</v>
      </c>
      <c r="F293" s="2">
        <f t="shared" si="22"/>
        <v>2</v>
      </c>
      <c r="G293" s="2">
        <v>2002</v>
      </c>
      <c r="H293" s="2" t="s">
        <v>3356</v>
      </c>
      <c r="I293" s="2" t="s">
        <v>3354</v>
      </c>
      <c r="J293" s="2" t="s">
        <v>3355</v>
      </c>
      <c r="L293" s="2" t="s">
        <v>4187</v>
      </c>
      <c r="O293" s="2" t="s">
        <v>1127</v>
      </c>
      <c r="P293" s="2" t="s">
        <v>1127</v>
      </c>
    </row>
    <row r="294" spans="1:16" ht="17.25" customHeight="1" x14ac:dyDescent="0.2">
      <c r="A294" s="18" t="s">
        <v>973</v>
      </c>
      <c r="B294" s="18" t="s">
        <v>4182</v>
      </c>
      <c r="C294" s="18" t="s">
        <v>1482</v>
      </c>
      <c r="D294" s="18" t="s">
        <v>1482</v>
      </c>
      <c r="E294" s="2" t="str">
        <f t="shared" si="21"/>
        <v>c</v>
      </c>
      <c r="F294" s="2">
        <f t="shared" si="22"/>
        <v>3</v>
      </c>
      <c r="G294" s="2">
        <v>2003</v>
      </c>
      <c r="H294" s="2" t="s">
        <v>3357</v>
      </c>
      <c r="I294" s="2" t="s">
        <v>3354</v>
      </c>
      <c r="J294" s="2" t="s">
        <v>3355</v>
      </c>
      <c r="L294" s="2" t="s">
        <v>4187</v>
      </c>
      <c r="O294" s="2" t="s">
        <v>1127</v>
      </c>
      <c r="P294" s="2" t="s">
        <v>1127</v>
      </c>
    </row>
    <row r="295" spans="1:16" ht="17.25" customHeight="1" x14ac:dyDescent="0.2">
      <c r="A295" s="18" t="s">
        <v>973</v>
      </c>
      <c r="B295" s="18" t="s">
        <v>4182</v>
      </c>
      <c r="C295" s="18" t="s">
        <v>1482</v>
      </c>
      <c r="D295" s="18" t="s">
        <v>1482</v>
      </c>
      <c r="E295" s="2" t="str">
        <f t="shared" si="21"/>
        <v>d</v>
      </c>
      <c r="F295" s="2">
        <f t="shared" si="22"/>
        <v>4</v>
      </c>
      <c r="G295" s="2">
        <v>2004</v>
      </c>
      <c r="H295" s="2" t="s">
        <v>3358</v>
      </c>
      <c r="I295" s="2" t="s">
        <v>3354</v>
      </c>
      <c r="J295" s="2" t="s">
        <v>3355</v>
      </c>
      <c r="L295" s="2" t="s">
        <v>4187</v>
      </c>
      <c r="O295" s="2" t="s">
        <v>1127</v>
      </c>
      <c r="P295" s="2" t="s">
        <v>1127</v>
      </c>
    </row>
    <row r="296" spans="1:16" ht="17.25" customHeight="1" x14ac:dyDescent="0.2">
      <c r="A296" s="18" t="s">
        <v>973</v>
      </c>
      <c r="B296" s="18" t="s">
        <v>4182</v>
      </c>
      <c r="C296" s="18" t="s">
        <v>1482</v>
      </c>
      <c r="D296" s="18" t="s">
        <v>1482</v>
      </c>
      <c r="E296" s="2" t="str">
        <f t="shared" si="21"/>
        <v>e</v>
      </c>
      <c r="F296" s="2">
        <f t="shared" si="22"/>
        <v>5</v>
      </c>
      <c r="G296" s="2">
        <v>2005</v>
      </c>
      <c r="H296" s="2" t="s">
        <v>3359</v>
      </c>
      <c r="I296" s="2" t="s">
        <v>3354</v>
      </c>
      <c r="J296" s="2" t="s">
        <v>3355</v>
      </c>
      <c r="L296" s="2" t="s">
        <v>4187</v>
      </c>
      <c r="O296" s="2" t="s">
        <v>1127</v>
      </c>
      <c r="P296" s="2" t="s">
        <v>1127</v>
      </c>
    </row>
    <row r="297" spans="1:16" ht="17.25" customHeight="1" x14ac:dyDescent="0.2">
      <c r="A297" s="18" t="s">
        <v>973</v>
      </c>
      <c r="B297" s="18" t="s">
        <v>4182</v>
      </c>
      <c r="C297" s="18" t="s">
        <v>1482</v>
      </c>
      <c r="D297" s="18" t="s">
        <v>1482</v>
      </c>
      <c r="E297" s="2" t="str">
        <f t="shared" si="21"/>
        <v>f</v>
      </c>
      <c r="F297" s="2">
        <f t="shared" si="22"/>
        <v>6</v>
      </c>
      <c r="G297" s="2">
        <v>2006</v>
      </c>
      <c r="H297" s="2" t="s">
        <v>3360</v>
      </c>
      <c r="I297" s="2" t="s">
        <v>3354</v>
      </c>
      <c r="J297" s="2" t="s">
        <v>3355</v>
      </c>
      <c r="L297" s="2" t="s">
        <v>4187</v>
      </c>
      <c r="O297" s="2" t="s">
        <v>1127</v>
      </c>
      <c r="P297" s="2" t="s">
        <v>1127</v>
      </c>
    </row>
    <row r="298" spans="1:16" ht="17.25" customHeight="1" x14ac:dyDescent="0.2">
      <c r="A298" s="18" t="s">
        <v>973</v>
      </c>
      <c r="B298" s="18" t="s">
        <v>4182</v>
      </c>
      <c r="C298" s="18" t="s">
        <v>1482</v>
      </c>
      <c r="D298" s="18" t="s">
        <v>1482</v>
      </c>
      <c r="E298" s="2" t="str">
        <f t="shared" si="21"/>
        <v>g</v>
      </c>
      <c r="F298" s="2">
        <f t="shared" si="22"/>
        <v>7</v>
      </c>
      <c r="G298" s="2">
        <v>2007</v>
      </c>
      <c r="H298" s="2" t="s">
        <v>3361</v>
      </c>
      <c r="I298" s="2" t="s">
        <v>3354</v>
      </c>
      <c r="J298" s="2" t="s">
        <v>3355</v>
      </c>
      <c r="L298" s="2" t="s">
        <v>4187</v>
      </c>
      <c r="O298" s="2" t="s">
        <v>1127</v>
      </c>
      <c r="P298" s="2" t="s">
        <v>1127</v>
      </c>
    </row>
    <row r="299" spans="1:16" ht="17.25" customHeight="1" x14ac:dyDescent="0.2">
      <c r="A299" s="18" t="s">
        <v>973</v>
      </c>
      <c r="B299" s="18" t="s">
        <v>4182</v>
      </c>
      <c r="C299" s="18" t="s">
        <v>1482</v>
      </c>
      <c r="D299" s="18" t="s">
        <v>1482</v>
      </c>
      <c r="E299" s="2" t="str">
        <f t="shared" si="21"/>
        <v>h</v>
      </c>
      <c r="F299" s="2">
        <f t="shared" si="22"/>
        <v>8</v>
      </c>
      <c r="G299" s="2">
        <v>2008</v>
      </c>
      <c r="H299" s="2" t="s">
        <v>3362</v>
      </c>
      <c r="I299" s="2" t="s">
        <v>3354</v>
      </c>
      <c r="J299" s="2" t="s">
        <v>3355</v>
      </c>
      <c r="L299" s="2" t="s">
        <v>4187</v>
      </c>
      <c r="O299" s="2" t="s">
        <v>1127</v>
      </c>
      <c r="P299" s="2" t="s">
        <v>1127</v>
      </c>
    </row>
    <row r="300" spans="1:16" ht="17.25" customHeight="1" x14ac:dyDescent="0.2">
      <c r="A300" s="18" t="s">
        <v>973</v>
      </c>
      <c r="B300" s="18" t="s">
        <v>4182</v>
      </c>
      <c r="C300" s="18" t="s">
        <v>1482</v>
      </c>
      <c r="D300" s="18" t="s">
        <v>1482</v>
      </c>
      <c r="E300" s="2" t="str">
        <f t="shared" si="21"/>
        <v>i</v>
      </c>
      <c r="F300" s="2">
        <f t="shared" si="22"/>
        <v>9</v>
      </c>
      <c r="G300" s="2">
        <v>2009</v>
      </c>
      <c r="H300" s="2" t="s">
        <v>3363</v>
      </c>
      <c r="I300" s="2" t="s">
        <v>3354</v>
      </c>
      <c r="J300" s="2" t="s">
        <v>3355</v>
      </c>
      <c r="L300" s="2" t="s">
        <v>4187</v>
      </c>
      <c r="O300" s="2" t="s">
        <v>1127</v>
      </c>
      <c r="P300" s="2" t="s">
        <v>1127</v>
      </c>
    </row>
    <row r="301" spans="1:16" ht="17.25" customHeight="1" x14ac:dyDescent="0.2">
      <c r="A301" s="18" t="s">
        <v>973</v>
      </c>
      <c r="B301" s="18" t="s">
        <v>4182</v>
      </c>
      <c r="C301" s="18" t="s">
        <v>1482</v>
      </c>
      <c r="D301" s="18" t="s">
        <v>1482</v>
      </c>
      <c r="E301" s="2" t="str">
        <f t="shared" si="21"/>
        <v>j</v>
      </c>
      <c r="F301" s="2">
        <f t="shared" si="22"/>
        <v>10</v>
      </c>
      <c r="G301" s="2">
        <v>2010</v>
      </c>
      <c r="H301" s="2" t="s">
        <v>3364</v>
      </c>
      <c r="I301" s="2" t="s">
        <v>3354</v>
      </c>
      <c r="J301" s="2" t="s">
        <v>3355</v>
      </c>
      <c r="L301" s="2" t="s">
        <v>4187</v>
      </c>
      <c r="O301" s="2" t="s">
        <v>1127</v>
      </c>
      <c r="P301" s="2" t="s">
        <v>1127</v>
      </c>
    </row>
    <row r="302" spans="1:16" ht="17.25" customHeight="1" x14ac:dyDescent="0.2">
      <c r="A302" s="18" t="s">
        <v>973</v>
      </c>
      <c r="B302" s="18" t="s">
        <v>4182</v>
      </c>
      <c r="C302" s="18" t="s">
        <v>1482</v>
      </c>
      <c r="D302" s="18" t="s">
        <v>1482</v>
      </c>
      <c r="E302" s="2" t="str">
        <f t="shared" si="21"/>
        <v>k</v>
      </c>
      <c r="F302" s="2">
        <f t="shared" si="22"/>
        <v>11</v>
      </c>
      <c r="G302" s="2">
        <v>2011</v>
      </c>
      <c r="H302" s="2" t="s">
        <v>3365</v>
      </c>
      <c r="I302" s="2" t="s">
        <v>3354</v>
      </c>
      <c r="J302" s="2" t="s">
        <v>3355</v>
      </c>
      <c r="L302" s="2" t="s">
        <v>4187</v>
      </c>
      <c r="O302" s="2" t="s">
        <v>1127</v>
      </c>
      <c r="P302" s="2" t="s">
        <v>1127</v>
      </c>
    </row>
    <row r="303" spans="1:16" ht="17.25" customHeight="1" x14ac:dyDescent="0.2">
      <c r="A303" s="18" t="s">
        <v>973</v>
      </c>
      <c r="B303" s="18" t="s">
        <v>4182</v>
      </c>
      <c r="C303" s="18" t="s">
        <v>1482</v>
      </c>
      <c r="D303" s="18" t="s">
        <v>1482</v>
      </c>
      <c r="E303" s="2" t="str">
        <f t="shared" si="21"/>
        <v>l</v>
      </c>
      <c r="F303" s="2">
        <f t="shared" si="22"/>
        <v>12</v>
      </c>
      <c r="G303" s="2">
        <v>2012</v>
      </c>
      <c r="H303" s="2" t="s">
        <v>3366</v>
      </c>
      <c r="I303" s="2" t="s">
        <v>3354</v>
      </c>
      <c r="J303" s="2" t="s">
        <v>3355</v>
      </c>
      <c r="L303" s="2" t="s">
        <v>4187</v>
      </c>
      <c r="O303" s="2" t="s">
        <v>1127</v>
      </c>
      <c r="P303" s="2" t="s">
        <v>1127</v>
      </c>
    </row>
    <row r="304" spans="1:16" ht="17.25" customHeight="1" x14ac:dyDescent="0.2">
      <c r="A304" s="18" t="s">
        <v>973</v>
      </c>
      <c r="B304" s="18" t="s">
        <v>4182</v>
      </c>
      <c r="C304" s="18" t="s">
        <v>1482</v>
      </c>
      <c r="D304" s="18" t="s">
        <v>1482</v>
      </c>
      <c r="E304" s="2" t="str">
        <f t="shared" si="21"/>
        <v>m</v>
      </c>
      <c r="F304" s="2">
        <f t="shared" si="22"/>
        <v>13</v>
      </c>
      <c r="G304" s="2">
        <v>2013</v>
      </c>
      <c r="H304" s="2" t="s">
        <v>3367</v>
      </c>
      <c r="I304" s="2" t="s">
        <v>3354</v>
      </c>
      <c r="J304" s="2" t="s">
        <v>3355</v>
      </c>
      <c r="L304" s="2" t="s">
        <v>4187</v>
      </c>
      <c r="O304" s="2" t="s">
        <v>1127</v>
      </c>
      <c r="P304" s="2" t="s">
        <v>1127</v>
      </c>
    </row>
    <row r="305" spans="1:16" ht="17.25" customHeight="1" x14ac:dyDescent="0.2">
      <c r="A305" s="18" t="s">
        <v>973</v>
      </c>
      <c r="B305" s="18" t="s">
        <v>4182</v>
      </c>
      <c r="C305" s="18" t="s">
        <v>1482</v>
      </c>
      <c r="D305" s="18" t="s">
        <v>1482</v>
      </c>
      <c r="E305" s="2" t="str">
        <f t="shared" si="21"/>
        <v>n</v>
      </c>
      <c r="F305" s="2">
        <f t="shared" si="22"/>
        <v>14</v>
      </c>
      <c r="G305" s="2">
        <v>2014</v>
      </c>
      <c r="H305" s="2" t="s">
        <v>3368</v>
      </c>
      <c r="I305" s="2" t="s">
        <v>3354</v>
      </c>
      <c r="J305" s="2" t="s">
        <v>3355</v>
      </c>
      <c r="L305" s="2" t="s">
        <v>4187</v>
      </c>
      <c r="O305" s="2" t="s">
        <v>1127</v>
      </c>
      <c r="P305" s="2" t="s">
        <v>1127</v>
      </c>
    </row>
    <row r="306" spans="1:16" ht="17.25" customHeight="1" x14ac:dyDescent="0.2">
      <c r="A306" s="18" t="s">
        <v>973</v>
      </c>
      <c r="B306" s="18" t="s">
        <v>4182</v>
      </c>
      <c r="C306" s="18" t="s">
        <v>1482</v>
      </c>
      <c r="D306" s="18" t="s">
        <v>1482</v>
      </c>
      <c r="E306" s="2" t="str">
        <f t="shared" si="21"/>
        <v>o</v>
      </c>
      <c r="F306" s="2">
        <f t="shared" si="22"/>
        <v>15</v>
      </c>
      <c r="G306" s="2">
        <v>2015</v>
      </c>
      <c r="H306" s="2" t="s">
        <v>3369</v>
      </c>
      <c r="I306" s="2" t="s">
        <v>3354</v>
      </c>
      <c r="J306" s="2" t="s">
        <v>3355</v>
      </c>
      <c r="L306" s="2" t="s">
        <v>4187</v>
      </c>
      <c r="O306" s="2" t="s">
        <v>1127</v>
      </c>
      <c r="P306" s="2" t="s">
        <v>1127</v>
      </c>
    </row>
    <row r="307" spans="1:16" ht="17.25" customHeight="1" x14ac:dyDescent="0.2">
      <c r="A307" s="18" t="s">
        <v>973</v>
      </c>
      <c r="B307" s="18" t="s">
        <v>4182</v>
      </c>
      <c r="C307" s="18" t="s">
        <v>1482</v>
      </c>
      <c r="D307" s="18" t="s">
        <v>1482</v>
      </c>
      <c r="E307" s="2" t="str">
        <f t="shared" si="21"/>
        <v>p</v>
      </c>
      <c r="F307" s="2">
        <f t="shared" si="22"/>
        <v>16</v>
      </c>
      <c r="G307" s="2">
        <v>2016</v>
      </c>
      <c r="H307" s="2" t="s">
        <v>3370</v>
      </c>
      <c r="I307" s="2" t="s">
        <v>3354</v>
      </c>
      <c r="J307" s="2" t="s">
        <v>3355</v>
      </c>
      <c r="L307" s="2" t="s">
        <v>4187</v>
      </c>
      <c r="O307" s="2" t="s">
        <v>1127</v>
      </c>
      <c r="P307" s="2" t="s">
        <v>1127</v>
      </c>
    </row>
    <row r="308" spans="1:16" ht="17.25" customHeight="1" x14ac:dyDescent="0.2">
      <c r="A308" s="18" t="s">
        <v>973</v>
      </c>
      <c r="B308" s="18" t="s">
        <v>4182</v>
      </c>
      <c r="C308" s="18" t="s">
        <v>1482</v>
      </c>
      <c r="D308" s="18" t="s">
        <v>1482</v>
      </c>
      <c r="E308" s="2" t="str">
        <f t="shared" si="21"/>
        <v>q</v>
      </c>
      <c r="F308" s="2">
        <f t="shared" si="22"/>
        <v>17</v>
      </c>
      <c r="G308" s="2">
        <v>2017</v>
      </c>
      <c r="H308" s="2" t="s">
        <v>3371</v>
      </c>
      <c r="I308" s="2" t="s">
        <v>3354</v>
      </c>
      <c r="J308" s="2" t="s">
        <v>3355</v>
      </c>
      <c r="L308" s="2" t="s">
        <v>4187</v>
      </c>
      <c r="O308" s="2" t="s">
        <v>1127</v>
      </c>
      <c r="P308" s="2" t="s">
        <v>1127</v>
      </c>
    </row>
    <row r="309" spans="1:16" x14ac:dyDescent="0.2">
      <c r="A309" s="18" t="s">
        <v>973</v>
      </c>
      <c r="B309" s="18" t="s">
        <v>4182</v>
      </c>
      <c r="C309" s="18" t="s">
        <v>1626</v>
      </c>
      <c r="D309" s="18" t="s">
        <v>1626</v>
      </c>
      <c r="E309" s="2" t="str">
        <f t="shared" si="21"/>
        <v>a</v>
      </c>
      <c r="F309" s="2">
        <f t="shared" si="22"/>
        <v>1</v>
      </c>
      <c r="G309" s="2">
        <v>2001</v>
      </c>
      <c r="H309" t="str">
        <f>E309&amp;"jbmo6s"</f>
        <v>ajbmo6s</v>
      </c>
      <c r="I309" s="2" t="s">
        <v>3372</v>
      </c>
      <c r="J309" s="2" t="s">
        <v>2712</v>
      </c>
      <c r="L309" s="2" t="s">
        <v>8</v>
      </c>
      <c r="O309" s="2" t="s">
        <v>1127</v>
      </c>
      <c r="P309" s="2" t="s">
        <v>1127</v>
      </c>
    </row>
    <row r="310" spans="1:16" x14ac:dyDescent="0.2">
      <c r="A310" s="18" t="s">
        <v>973</v>
      </c>
      <c r="B310" s="18" t="s">
        <v>4182</v>
      </c>
      <c r="C310" s="18" t="s">
        <v>1626</v>
      </c>
      <c r="D310" s="18" t="s">
        <v>1626</v>
      </c>
      <c r="E310" s="2" t="str">
        <f t="shared" si="21"/>
        <v>b</v>
      </c>
      <c r="F310" s="2">
        <f t="shared" si="22"/>
        <v>2</v>
      </c>
      <c r="G310" s="2">
        <v>2002</v>
      </c>
      <c r="H310" t="str">
        <f t="shared" ref="H310:H326" si="26">E310&amp;"jbmo6s"</f>
        <v>bjbmo6s</v>
      </c>
      <c r="I310" s="2" t="s">
        <v>3372</v>
      </c>
      <c r="J310" s="2" t="s">
        <v>2712</v>
      </c>
      <c r="L310" s="2" t="s">
        <v>8</v>
      </c>
      <c r="O310" s="2" t="s">
        <v>1127</v>
      </c>
      <c r="P310" s="2" t="s">
        <v>1127</v>
      </c>
    </row>
    <row r="311" spans="1:16" x14ac:dyDescent="0.2">
      <c r="A311" s="18" t="s">
        <v>973</v>
      </c>
      <c r="B311" s="18" t="s">
        <v>4182</v>
      </c>
      <c r="C311" s="18" t="s">
        <v>1626</v>
      </c>
      <c r="D311" s="18" t="s">
        <v>1626</v>
      </c>
      <c r="E311" s="2" t="str">
        <f t="shared" si="21"/>
        <v>c</v>
      </c>
      <c r="F311" s="2">
        <f t="shared" si="22"/>
        <v>3</v>
      </c>
      <c r="G311" s="2">
        <v>2003</v>
      </c>
      <c r="H311" t="str">
        <f t="shared" si="26"/>
        <v>cjbmo6s</v>
      </c>
      <c r="I311" s="2" t="s">
        <v>3372</v>
      </c>
      <c r="J311" s="2" t="s">
        <v>2712</v>
      </c>
      <c r="L311" s="2" t="s">
        <v>8</v>
      </c>
      <c r="O311" s="2" t="s">
        <v>1127</v>
      </c>
      <c r="P311" s="2" t="s">
        <v>1127</v>
      </c>
    </row>
    <row r="312" spans="1:16" x14ac:dyDescent="0.2">
      <c r="A312" s="18" t="s">
        <v>973</v>
      </c>
      <c r="B312" s="18" t="s">
        <v>4182</v>
      </c>
      <c r="C312" s="18" t="s">
        <v>1626</v>
      </c>
      <c r="D312" s="18" t="s">
        <v>1626</v>
      </c>
      <c r="E312" s="2" t="str">
        <f t="shared" si="21"/>
        <v>d</v>
      </c>
      <c r="F312" s="2">
        <f t="shared" si="22"/>
        <v>4</v>
      </c>
      <c r="G312" s="2">
        <v>2004</v>
      </c>
      <c r="H312" t="str">
        <f t="shared" si="26"/>
        <v>djbmo6s</v>
      </c>
      <c r="I312" s="2" t="s">
        <v>3372</v>
      </c>
      <c r="J312" s="2" t="s">
        <v>2712</v>
      </c>
      <c r="L312" s="2" t="s">
        <v>8</v>
      </c>
      <c r="O312" s="2" t="s">
        <v>1127</v>
      </c>
      <c r="P312" s="2" t="s">
        <v>1127</v>
      </c>
    </row>
    <row r="313" spans="1:16" x14ac:dyDescent="0.2">
      <c r="A313" s="18" t="s">
        <v>973</v>
      </c>
      <c r="B313" s="18" t="s">
        <v>4182</v>
      </c>
      <c r="C313" s="18" t="s">
        <v>1626</v>
      </c>
      <c r="D313" s="18" t="s">
        <v>1626</v>
      </c>
      <c r="E313" s="2" t="str">
        <f t="shared" si="21"/>
        <v>e</v>
      </c>
      <c r="F313" s="2">
        <f t="shared" si="22"/>
        <v>5</v>
      </c>
      <c r="G313" s="2">
        <v>2005</v>
      </c>
      <c r="H313" t="str">
        <f t="shared" si="26"/>
        <v>ejbmo6s</v>
      </c>
      <c r="I313" s="2" t="s">
        <v>3372</v>
      </c>
      <c r="J313" s="2" t="s">
        <v>2712</v>
      </c>
      <c r="L313" s="2" t="s">
        <v>8</v>
      </c>
      <c r="O313" s="2" t="s">
        <v>1127</v>
      </c>
      <c r="P313" s="2" t="s">
        <v>1127</v>
      </c>
    </row>
    <row r="314" spans="1:16" x14ac:dyDescent="0.2">
      <c r="A314" s="18" t="s">
        <v>973</v>
      </c>
      <c r="B314" s="18" t="s">
        <v>4182</v>
      </c>
      <c r="C314" s="18" t="s">
        <v>1626</v>
      </c>
      <c r="D314" s="18" t="s">
        <v>1626</v>
      </c>
      <c r="E314" s="2" t="str">
        <f t="shared" si="21"/>
        <v>f</v>
      </c>
      <c r="F314" s="2">
        <f t="shared" si="22"/>
        <v>6</v>
      </c>
      <c r="G314" s="2">
        <v>2006</v>
      </c>
      <c r="H314" t="str">
        <f t="shared" si="26"/>
        <v>fjbmo6s</v>
      </c>
      <c r="I314" s="2" t="s">
        <v>3372</v>
      </c>
      <c r="J314" s="2" t="s">
        <v>2712</v>
      </c>
      <c r="L314" s="2" t="s">
        <v>8</v>
      </c>
      <c r="O314" s="2" t="s">
        <v>1127</v>
      </c>
      <c r="P314" s="2" t="s">
        <v>1127</v>
      </c>
    </row>
    <row r="315" spans="1:16" x14ac:dyDescent="0.2">
      <c r="A315" s="18" t="s">
        <v>973</v>
      </c>
      <c r="B315" s="18" t="s">
        <v>4182</v>
      </c>
      <c r="C315" s="18" t="s">
        <v>1626</v>
      </c>
      <c r="D315" s="18" t="s">
        <v>1626</v>
      </c>
      <c r="E315" s="2" t="str">
        <f t="shared" si="21"/>
        <v>g</v>
      </c>
      <c r="F315" s="2">
        <f t="shared" si="22"/>
        <v>7</v>
      </c>
      <c r="G315" s="2">
        <v>2007</v>
      </c>
      <c r="H315" t="str">
        <f t="shared" si="26"/>
        <v>gjbmo6s</v>
      </c>
      <c r="I315" s="2" t="s">
        <v>3372</v>
      </c>
      <c r="J315" s="2" t="s">
        <v>2712</v>
      </c>
      <c r="L315" s="2" t="s">
        <v>8</v>
      </c>
      <c r="O315" s="2" t="s">
        <v>1127</v>
      </c>
      <c r="P315" s="2" t="s">
        <v>1127</v>
      </c>
    </row>
    <row r="316" spans="1:16" x14ac:dyDescent="0.2">
      <c r="A316" s="18" t="s">
        <v>973</v>
      </c>
      <c r="B316" s="18" t="s">
        <v>4182</v>
      </c>
      <c r="C316" s="18" t="s">
        <v>1626</v>
      </c>
      <c r="D316" s="18" t="s">
        <v>1626</v>
      </c>
      <c r="E316" s="2" t="str">
        <f t="shared" si="21"/>
        <v>h</v>
      </c>
      <c r="F316" s="2">
        <f t="shared" si="22"/>
        <v>8</v>
      </c>
      <c r="G316" s="2">
        <v>2008</v>
      </c>
      <c r="H316" t="str">
        <f t="shared" si="26"/>
        <v>hjbmo6s</v>
      </c>
      <c r="I316" s="2" t="s">
        <v>3372</v>
      </c>
      <c r="J316" s="2" t="s">
        <v>2712</v>
      </c>
      <c r="L316" s="2" t="s">
        <v>8</v>
      </c>
      <c r="O316" s="2" t="s">
        <v>1127</v>
      </c>
      <c r="P316" s="2" t="s">
        <v>1127</v>
      </c>
    </row>
    <row r="317" spans="1:16" x14ac:dyDescent="0.2">
      <c r="A317" s="18" t="s">
        <v>973</v>
      </c>
      <c r="B317" s="18" t="s">
        <v>4182</v>
      </c>
      <c r="C317" s="18" t="s">
        <v>1626</v>
      </c>
      <c r="D317" s="18" t="s">
        <v>1626</v>
      </c>
      <c r="E317" s="2" t="str">
        <f t="shared" si="21"/>
        <v>i</v>
      </c>
      <c r="F317" s="2">
        <f t="shared" si="22"/>
        <v>9</v>
      </c>
      <c r="G317" s="2">
        <v>2009</v>
      </c>
      <c r="H317" t="str">
        <f t="shared" si="26"/>
        <v>ijbmo6s</v>
      </c>
      <c r="I317" s="2" t="s">
        <v>3372</v>
      </c>
      <c r="J317" s="2" t="s">
        <v>2712</v>
      </c>
      <c r="L317" s="2" t="s">
        <v>8</v>
      </c>
      <c r="O317" s="2" t="s">
        <v>1127</v>
      </c>
      <c r="P317" s="2" t="s">
        <v>1127</v>
      </c>
    </row>
    <row r="318" spans="1:16" x14ac:dyDescent="0.2">
      <c r="A318" s="18" t="s">
        <v>973</v>
      </c>
      <c r="B318" s="18" t="s">
        <v>4182</v>
      </c>
      <c r="C318" s="18" t="s">
        <v>1626</v>
      </c>
      <c r="D318" s="18" t="s">
        <v>1626</v>
      </c>
      <c r="E318" s="2" t="str">
        <f t="shared" si="21"/>
        <v>j</v>
      </c>
      <c r="F318" s="2">
        <f t="shared" si="22"/>
        <v>10</v>
      </c>
      <c r="G318" s="2">
        <v>2010</v>
      </c>
      <c r="H318" t="str">
        <f t="shared" si="26"/>
        <v>jjbmo6s</v>
      </c>
      <c r="I318" s="2" t="s">
        <v>3372</v>
      </c>
      <c r="J318" s="2" t="s">
        <v>2712</v>
      </c>
      <c r="L318" s="2" t="s">
        <v>8</v>
      </c>
      <c r="O318" s="2" t="s">
        <v>1127</v>
      </c>
      <c r="P318" s="2" t="s">
        <v>1127</v>
      </c>
    </row>
    <row r="319" spans="1:16" x14ac:dyDescent="0.2">
      <c r="A319" s="18" t="s">
        <v>973</v>
      </c>
      <c r="B319" s="18" t="s">
        <v>4182</v>
      </c>
      <c r="C319" s="18" t="s">
        <v>1626</v>
      </c>
      <c r="D319" s="18" t="s">
        <v>1626</v>
      </c>
      <c r="E319" s="2" t="str">
        <f t="shared" si="21"/>
        <v>k</v>
      </c>
      <c r="F319" s="2">
        <f t="shared" si="22"/>
        <v>11</v>
      </c>
      <c r="G319" s="2">
        <v>2011</v>
      </c>
      <c r="H319" t="str">
        <f t="shared" si="26"/>
        <v>kjbmo6s</v>
      </c>
      <c r="I319" s="2" t="s">
        <v>3372</v>
      </c>
      <c r="J319" s="2" t="s">
        <v>2712</v>
      </c>
      <c r="L319" s="2" t="s">
        <v>8</v>
      </c>
      <c r="O319" s="2" t="s">
        <v>1127</v>
      </c>
      <c r="P319" s="2" t="s">
        <v>1127</v>
      </c>
    </row>
    <row r="320" spans="1:16" x14ac:dyDescent="0.2">
      <c r="A320" s="18" t="s">
        <v>973</v>
      </c>
      <c r="B320" s="18" t="s">
        <v>4182</v>
      </c>
      <c r="C320" s="18" t="s">
        <v>1626</v>
      </c>
      <c r="D320" s="18" t="s">
        <v>1626</v>
      </c>
      <c r="E320" s="2" t="str">
        <f t="shared" si="21"/>
        <v>l</v>
      </c>
      <c r="F320" s="2">
        <f t="shared" si="22"/>
        <v>12</v>
      </c>
      <c r="G320" s="2">
        <v>2012</v>
      </c>
      <c r="H320" t="str">
        <f t="shared" si="26"/>
        <v>ljbmo6s</v>
      </c>
      <c r="I320" s="2" t="s">
        <v>3372</v>
      </c>
      <c r="J320" s="2" t="s">
        <v>2712</v>
      </c>
      <c r="L320" s="2" t="s">
        <v>8</v>
      </c>
      <c r="O320" s="2" t="s">
        <v>1127</v>
      </c>
      <c r="P320" s="2" t="s">
        <v>1127</v>
      </c>
    </row>
    <row r="321" spans="1:16" x14ac:dyDescent="0.2">
      <c r="A321" s="18" t="s">
        <v>973</v>
      </c>
      <c r="B321" s="18" t="s">
        <v>4182</v>
      </c>
      <c r="C321" s="18" t="s">
        <v>1626</v>
      </c>
      <c r="D321" s="18" t="s">
        <v>1626</v>
      </c>
      <c r="E321" s="2" t="str">
        <f t="shared" si="21"/>
        <v>m</v>
      </c>
      <c r="F321" s="2">
        <f t="shared" si="22"/>
        <v>13</v>
      </c>
      <c r="G321" s="2">
        <v>2013</v>
      </c>
      <c r="H321" t="str">
        <f t="shared" si="26"/>
        <v>mjbmo6s</v>
      </c>
      <c r="I321" s="2" t="s">
        <v>3372</v>
      </c>
      <c r="J321" s="2" t="s">
        <v>2712</v>
      </c>
      <c r="L321" s="2" t="s">
        <v>8</v>
      </c>
      <c r="O321" s="2" t="s">
        <v>1127</v>
      </c>
      <c r="P321" s="2" t="s">
        <v>1127</v>
      </c>
    </row>
    <row r="322" spans="1:16" x14ac:dyDescent="0.2">
      <c r="A322" s="18" t="s">
        <v>973</v>
      </c>
      <c r="B322" s="18" t="s">
        <v>4182</v>
      </c>
      <c r="C322" s="18" t="s">
        <v>1626</v>
      </c>
      <c r="D322" s="18" t="s">
        <v>1626</v>
      </c>
      <c r="E322" s="2" t="str">
        <f t="shared" si="21"/>
        <v>n</v>
      </c>
      <c r="F322" s="2">
        <f t="shared" si="22"/>
        <v>14</v>
      </c>
      <c r="G322" s="2">
        <v>2014</v>
      </c>
      <c r="H322" t="str">
        <f t="shared" si="26"/>
        <v>njbmo6s</v>
      </c>
      <c r="I322" s="2" t="s">
        <v>3372</v>
      </c>
      <c r="J322" s="2" t="s">
        <v>2712</v>
      </c>
      <c r="L322" s="2" t="s">
        <v>8</v>
      </c>
      <c r="O322" s="2" t="s">
        <v>1127</v>
      </c>
      <c r="P322" s="2" t="s">
        <v>1127</v>
      </c>
    </row>
    <row r="323" spans="1:16" x14ac:dyDescent="0.2">
      <c r="A323" s="18" t="s">
        <v>973</v>
      </c>
      <c r="B323" s="18" t="s">
        <v>4182</v>
      </c>
      <c r="C323" s="18" t="s">
        <v>1626</v>
      </c>
      <c r="D323" s="18" t="s">
        <v>1626</v>
      </c>
      <c r="E323" s="2" t="str">
        <f t="shared" si="21"/>
        <v>o</v>
      </c>
      <c r="F323" s="2">
        <f t="shared" si="22"/>
        <v>15</v>
      </c>
      <c r="G323" s="2">
        <v>2015</v>
      </c>
      <c r="H323" t="str">
        <f t="shared" si="26"/>
        <v>ojbmo6s</v>
      </c>
      <c r="I323" s="2" t="s">
        <v>3372</v>
      </c>
      <c r="J323" s="2" t="s">
        <v>2712</v>
      </c>
      <c r="L323" s="2" t="s">
        <v>8</v>
      </c>
      <c r="O323" s="2" t="s">
        <v>1127</v>
      </c>
      <c r="P323" s="2" t="s">
        <v>1127</v>
      </c>
    </row>
    <row r="324" spans="1:16" x14ac:dyDescent="0.2">
      <c r="A324" s="18" t="s">
        <v>973</v>
      </c>
      <c r="B324" s="18" t="s">
        <v>4182</v>
      </c>
      <c r="C324" s="18" t="s">
        <v>1626</v>
      </c>
      <c r="D324" s="18" t="s">
        <v>1626</v>
      </c>
      <c r="E324" s="2" t="str">
        <f t="shared" si="21"/>
        <v>p</v>
      </c>
      <c r="F324" s="2">
        <f t="shared" si="22"/>
        <v>16</v>
      </c>
      <c r="G324" s="2">
        <v>2016</v>
      </c>
      <c r="H324" t="str">
        <f t="shared" si="26"/>
        <v>pjbmo6s</v>
      </c>
      <c r="I324" s="2" t="s">
        <v>3372</v>
      </c>
      <c r="J324" s="2" t="s">
        <v>2712</v>
      </c>
      <c r="L324" s="2" t="s">
        <v>8</v>
      </c>
      <c r="O324" s="2" t="s">
        <v>1127</v>
      </c>
      <c r="P324" s="2" t="s">
        <v>1127</v>
      </c>
    </row>
    <row r="325" spans="1:16" x14ac:dyDescent="0.2">
      <c r="A325" s="18" t="s">
        <v>973</v>
      </c>
      <c r="B325" s="18" t="s">
        <v>4182</v>
      </c>
      <c r="C325" s="18" t="s">
        <v>1626</v>
      </c>
      <c r="D325" s="18" t="s">
        <v>1626</v>
      </c>
      <c r="E325" s="2" t="str">
        <f t="shared" si="21"/>
        <v>q</v>
      </c>
      <c r="F325" s="2">
        <f t="shared" si="22"/>
        <v>17</v>
      </c>
      <c r="G325" s="2">
        <v>2017</v>
      </c>
      <c r="H325" t="str">
        <f t="shared" si="26"/>
        <v>qjbmo6s</v>
      </c>
      <c r="I325" s="2" t="s">
        <v>3372</v>
      </c>
      <c r="J325" s="2" t="s">
        <v>2712</v>
      </c>
      <c r="L325" s="2" t="s">
        <v>8</v>
      </c>
      <c r="O325" s="2" t="s">
        <v>1127</v>
      </c>
      <c r="P325" s="2" t="s">
        <v>1127</v>
      </c>
    </row>
    <row r="326" spans="1:16" x14ac:dyDescent="0.2">
      <c r="A326" s="18" t="s">
        <v>973</v>
      </c>
      <c r="B326" s="18" t="s">
        <v>4182</v>
      </c>
      <c r="C326" s="18" t="s">
        <v>1626</v>
      </c>
      <c r="D326" s="18" t="s">
        <v>1626</v>
      </c>
      <c r="E326" s="2" t="str">
        <f t="shared" si="21"/>
        <v>r</v>
      </c>
      <c r="F326" s="2">
        <f t="shared" si="22"/>
        <v>18</v>
      </c>
      <c r="G326" s="2">
        <v>2018</v>
      </c>
      <c r="H326" t="str">
        <f t="shared" si="26"/>
        <v>rjbmo6s</v>
      </c>
      <c r="I326" s="2" t="s">
        <v>3372</v>
      </c>
      <c r="J326" s="2" t="s">
        <v>2712</v>
      </c>
      <c r="L326" s="2" t="s">
        <v>8</v>
      </c>
      <c r="O326" s="2" t="s">
        <v>1127</v>
      </c>
      <c r="P326" s="2" t="s">
        <v>1127</v>
      </c>
    </row>
    <row r="327" spans="1:16" ht="17.25" customHeight="1" x14ac:dyDescent="0.2">
      <c r="A327" s="18" t="s">
        <v>973</v>
      </c>
      <c r="B327" s="18" t="s">
        <v>4182</v>
      </c>
      <c r="C327" s="18" t="s">
        <v>1524</v>
      </c>
      <c r="D327" s="18" t="s">
        <v>3373</v>
      </c>
      <c r="E327" s="2" t="str">
        <f t="shared" si="21"/>
        <v>a</v>
      </c>
      <c r="F327" s="2">
        <f t="shared" si="22"/>
        <v>1</v>
      </c>
      <c r="G327" s="2">
        <v>2001</v>
      </c>
      <c r="H327" s="2" t="s">
        <v>3374</v>
      </c>
      <c r="I327" s="2" t="s">
        <v>3375</v>
      </c>
      <c r="J327" s="2" t="s">
        <v>1105</v>
      </c>
      <c r="L327" s="2" t="s">
        <v>8</v>
      </c>
      <c r="O327" s="2" t="s">
        <v>1527</v>
      </c>
      <c r="P327" s="2" t="s">
        <v>3462</v>
      </c>
    </row>
    <row r="328" spans="1:16" ht="17.25" customHeight="1" x14ac:dyDescent="0.2">
      <c r="A328" s="18" t="s">
        <v>973</v>
      </c>
      <c r="B328" s="18" t="s">
        <v>4182</v>
      </c>
      <c r="C328" s="18" t="s">
        <v>1524</v>
      </c>
      <c r="D328" s="18" t="s">
        <v>3373</v>
      </c>
      <c r="E328" s="2" t="str">
        <f t="shared" si="21"/>
        <v>b</v>
      </c>
      <c r="F328" s="2">
        <f t="shared" si="22"/>
        <v>2</v>
      </c>
      <c r="G328" s="2">
        <v>2002</v>
      </c>
      <c r="H328" s="2" t="s">
        <v>3376</v>
      </c>
      <c r="I328" s="2" t="s">
        <v>3375</v>
      </c>
      <c r="J328" s="2" t="s">
        <v>1105</v>
      </c>
      <c r="L328" s="2" t="s">
        <v>8</v>
      </c>
      <c r="O328" s="2" t="s">
        <v>1527</v>
      </c>
      <c r="P328" s="2" t="s">
        <v>3462</v>
      </c>
    </row>
    <row r="329" spans="1:16" ht="17.25" customHeight="1" x14ac:dyDescent="0.2">
      <c r="A329" s="18" t="s">
        <v>973</v>
      </c>
      <c r="B329" s="18" t="s">
        <v>4182</v>
      </c>
      <c r="C329" s="18" t="s">
        <v>1524</v>
      </c>
      <c r="D329" s="18" t="s">
        <v>3373</v>
      </c>
      <c r="E329" s="2" t="str">
        <f t="shared" si="21"/>
        <v>c</v>
      </c>
      <c r="F329" s="2">
        <f t="shared" si="22"/>
        <v>3</v>
      </c>
      <c r="G329" s="2">
        <v>2003</v>
      </c>
      <c r="H329" s="2" t="s">
        <v>3377</v>
      </c>
      <c r="I329" s="2" t="s">
        <v>3375</v>
      </c>
      <c r="J329" s="2" t="s">
        <v>1105</v>
      </c>
      <c r="L329" s="2" t="s">
        <v>8</v>
      </c>
      <c r="O329" s="2" t="s">
        <v>1527</v>
      </c>
      <c r="P329" s="2" t="s">
        <v>3462</v>
      </c>
    </row>
    <row r="330" spans="1:16" ht="17.25" customHeight="1" x14ac:dyDescent="0.2">
      <c r="A330" s="18" t="s">
        <v>973</v>
      </c>
      <c r="B330" s="18" t="s">
        <v>4182</v>
      </c>
      <c r="C330" s="18" t="s">
        <v>1524</v>
      </c>
      <c r="D330" s="18" t="s">
        <v>3373</v>
      </c>
      <c r="E330" s="2" t="str">
        <f t="shared" si="21"/>
        <v>d</v>
      </c>
      <c r="F330" s="2">
        <f t="shared" si="22"/>
        <v>4</v>
      </c>
      <c r="G330" s="2">
        <v>2004</v>
      </c>
      <c r="H330" s="2" t="s">
        <v>3378</v>
      </c>
      <c r="I330" s="2" t="s">
        <v>3375</v>
      </c>
      <c r="J330" s="2" t="s">
        <v>1105</v>
      </c>
      <c r="L330" s="2" t="s">
        <v>8</v>
      </c>
      <c r="O330" s="2" t="s">
        <v>1527</v>
      </c>
      <c r="P330" s="2" t="s">
        <v>3462</v>
      </c>
    </row>
    <row r="331" spans="1:16" ht="17.25" customHeight="1" x14ac:dyDescent="0.2">
      <c r="A331" s="18" t="s">
        <v>973</v>
      </c>
      <c r="B331" s="18" t="s">
        <v>4182</v>
      </c>
      <c r="C331" s="18" t="s">
        <v>1524</v>
      </c>
      <c r="D331" s="18" t="s">
        <v>3373</v>
      </c>
      <c r="E331" s="2" t="str">
        <f t="shared" si="21"/>
        <v>e</v>
      </c>
      <c r="F331" s="2">
        <f t="shared" si="22"/>
        <v>5</v>
      </c>
      <c r="G331" s="2">
        <v>2005</v>
      </c>
      <c r="H331" s="2" t="s">
        <v>3379</v>
      </c>
      <c r="I331" s="2" t="s">
        <v>3375</v>
      </c>
      <c r="J331" s="2" t="s">
        <v>1105</v>
      </c>
      <c r="L331" s="2" t="s">
        <v>8</v>
      </c>
      <c r="O331" s="2" t="s">
        <v>1527</v>
      </c>
      <c r="P331" s="2" t="s">
        <v>3462</v>
      </c>
    </row>
    <row r="332" spans="1:16" ht="17.25" customHeight="1" x14ac:dyDescent="0.2">
      <c r="A332" s="18" t="s">
        <v>973</v>
      </c>
      <c r="B332" s="18" t="s">
        <v>4182</v>
      </c>
      <c r="C332" s="18" t="s">
        <v>1524</v>
      </c>
      <c r="D332" s="18" t="s">
        <v>3373</v>
      </c>
      <c r="E332" s="2" t="str">
        <f t="shared" si="21"/>
        <v>f</v>
      </c>
      <c r="F332" s="2">
        <f t="shared" si="22"/>
        <v>6</v>
      </c>
      <c r="G332" s="2">
        <v>2006</v>
      </c>
      <c r="H332" s="2" t="s">
        <v>3380</v>
      </c>
      <c r="I332" s="2" t="s">
        <v>3375</v>
      </c>
      <c r="J332" s="2" t="s">
        <v>1105</v>
      </c>
      <c r="L332" s="2" t="s">
        <v>8</v>
      </c>
      <c r="O332" s="2" t="s">
        <v>1527</v>
      </c>
      <c r="P332" s="2" t="s">
        <v>3462</v>
      </c>
    </row>
    <row r="333" spans="1:16" ht="17.25" customHeight="1" x14ac:dyDescent="0.2">
      <c r="A333" s="18" t="s">
        <v>973</v>
      </c>
      <c r="B333" s="18" t="s">
        <v>4182</v>
      </c>
      <c r="C333" s="18" t="s">
        <v>1524</v>
      </c>
      <c r="D333" s="18" t="s">
        <v>3373</v>
      </c>
      <c r="E333" s="2" t="str">
        <f t="shared" si="21"/>
        <v>g</v>
      </c>
      <c r="F333" s="2">
        <f t="shared" si="22"/>
        <v>7</v>
      </c>
      <c r="G333" s="2">
        <v>2007</v>
      </c>
      <c r="H333" s="2" t="s">
        <v>3381</v>
      </c>
      <c r="I333" s="2" t="s">
        <v>3375</v>
      </c>
      <c r="J333" s="2" t="s">
        <v>1105</v>
      </c>
      <c r="L333" s="2" t="s">
        <v>8</v>
      </c>
      <c r="O333" s="2" t="s">
        <v>1527</v>
      </c>
      <c r="P333" s="2" t="s">
        <v>3462</v>
      </c>
    </row>
    <row r="334" spans="1:16" ht="17.25" customHeight="1" x14ac:dyDescent="0.2">
      <c r="A334" s="18" t="s">
        <v>973</v>
      </c>
      <c r="B334" s="18" t="s">
        <v>4182</v>
      </c>
      <c r="C334" s="18" t="s">
        <v>1524</v>
      </c>
      <c r="D334" s="18" t="s">
        <v>3373</v>
      </c>
      <c r="E334" s="2" t="str">
        <f t="shared" si="21"/>
        <v>h</v>
      </c>
      <c r="F334" s="2">
        <f t="shared" si="22"/>
        <v>8</v>
      </c>
      <c r="G334" s="2">
        <v>2008</v>
      </c>
      <c r="H334" s="2" t="s">
        <v>3382</v>
      </c>
      <c r="I334" s="2" t="s">
        <v>3375</v>
      </c>
      <c r="J334" s="2" t="s">
        <v>1105</v>
      </c>
      <c r="L334" s="2" t="s">
        <v>8</v>
      </c>
      <c r="O334" s="2" t="s">
        <v>1527</v>
      </c>
      <c r="P334" s="2" t="s">
        <v>3462</v>
      </c>
    </row>
    <row r="335" spans="1:16" ht="17.25" customHeight="1" x14ac:dyDescent="0.2">
      <c r="A335" s="18" t="s">
        <v>973</v>
      </c>
      <c r="B335" s="18" t="s">
        <v>4182</v>
      </c>
      <c r="C335" s="18" t="s">
        <v>1524</v>
      </c>
      <c r="D335" s="18" t="s">
        <v>3373</v>
      </c>
      <c r="E335" s="2" t="str">
        <f t="shared" si="21"/>
        <v>i</v>
      </c>
      <c r="F335" s="2">
        <f t="shared" si="22"/>
        <v>9</v>
      </c>
      <c r="G335" s="2">
        <v>2009</v>
      </c>
      <c r="H335" s="2" t="s">
        <v>3383</v>
      </c>
      <c r="I335" s="2" t="s">
        <v>3375</v>
      </c>
      <c r="J335" s="2" t="s">
        <v>1105</v>
      </c>
      <c r="L335" s="2" t="s">
        <v>8</v>
      </c>
      <c r="O335" s="2" t="s">
        <v>1527</v>
      </c>
      <c r="P335" s="2" t="s">
        <v>3462</v>
      </c>
    </row>
    <row r="336" spans="1:16" ht="17.25" customHeight="1" x14ac:dyDescent="0.2">
      <c r="A336" s="18" t="s">
        <v>973</v>
      </c>
      <c r="B336" s="18" t="s">
        <v>4182</v>
      </c>
      <c r="C336" s="18" t="s">
        <v>1524</v>
      </c>
      <c r="D336" s="18" t="s">
        <v>3373</v>
      </c>
      <c r="E336" s="2" t="str">
        <f t="shared" si="21"/>
        <v>j</v>
      </c>
      <c r="F336" s="2">
        <f t="shared" si="22"/>
        <v>10</v>
      </c>
      <c r="G336" s="2">
        <v>2010</v>
      </c>
      <c r="H336" s="2" t="s">
        <v>3384</v>
      </c>
      <c r="I336" s="2" t="s">
        <v>3375</v>
      </c>
      <c r="J336" s="2" t="s">
        <v>1105</v>
      </c>
      <c r="L336" s="2" t="s">
        <v>8</v>
      </c>
      <c r="O336" s="2" t="s">
        <v>1527</v>
      </c>
      <c r="P336" s="2" t="s">
        <v>3462</v>
      </c>
    </row>
    <row r="337" spans="1:16" ht="17.25" customHeight="1" x14ac:dyDescent="0.2">
      <c r="A337" s="18" t="s">
        <v>973</v>
      </c>
      <c r="B337" s="18" t="s">
        <v>4182</v>
      </c>
      <c r="C337" s="18" t="s">
        <v>1524</v>
      </c>
      <c r="D337" s="18" t="s">
        <v>3373</v>
      </c>
      <c r="E337" s="2" t="str">
        <f t="shared" si="21"/>
        <v>k</v>
      </c>
      <c r="F337" s="2">
        <f t="shared" si="22"/>
        <v>11</v>
      </c>
      <c r="G337" s="2">
        <v>2011</v>
      </c>
      <c r="H337" s="2" t="s">
        <v>3385</v>
      </c>
      <c r="I337" s="2" t="s">
        <v>3375</v>
      </c>
      <c r="J337" s="2" t="s">
        <v>1105</v>
      </c>
      <c r="L337" s="2" t="s">
        <v>8</v>
      </c>
      <c r="O337" s="2" t="s">
        <v>1527</v>
      </c>
      <c r="P337" s="2" t="s">
        <v>3462</v>
      </c>
    </row>
    <row r="338" spans="1:16" ht="17.25" customHeight="1" x14ac:dyDescent="0.2">
      <c r="A338" s="18" t="s">
        <v>973</v>
      </c>
      <c r="B338" s="18" t="s">
        <v>4182</v>
      </c>
      <c r="C338" s="18" t="s">
        <v>1524</v>
      </c>
      <c r="D338" s="18" t="s">
        <v>3373</v>
      </c>
      <c r="E338" s="2" t="str">
        <f t="shared" si="21"/>
        <v>l</v>
      </c>
      <c r="F338" s="2">
        <f t="shared" si="22"/>
        <v>12</v>
      </c>
      <c r="G338" s="2">
        <v>2012</v>
      </c>
      <c r="H338" s="2" t="s">
        <v>3386</v>
      </c>
      <c r="I338" s="2" t="s">
        <v>3375</v>
      </c>
      <c r="J338" s="2" t="s">
        <v>1105</v>
      </c>
      <c r="L338" s="2" t="s">
        <v>8</v>
      </c>
      <c r="O338" s="2" t="s">
        <v>1527</v>
      </c>
      <c r="P338" s="2" t="s">
        <v>3462</v>
      </c>
    </row>
    <row r="339" spans="1:16" ht="17.25" customHeight="1" x14ac:dyDescent="0.2">
      <c r="A339" s="18" t="s">
        <v>973</v>
      </c>
      <c r="B339" s="18" t="s">
        <v>4182</v>
      </c>
      <c r="C339" s="18" t="s">
        <v>1524</v>
      </c>
      <c r="D339" s="18" t="s">
        <v>3373</v>
      </c>
      <c r="E339" s="2" t="str">
        <f t="shared" si="21"/>
        <v>m</v>
      </c>
      <c r="F339" s="2">
        <f t="shared" si="22"/>
        <v>13</v>
      </c>
      <c r="G339" s="2">
        <v>2013</v>
      </c>
      <c r="H339" s="2" t="s">
        <v>3387</v>
      </c>
      <c r="I339" s="2" t="s">
        <v>3375</v>
      </c>
      <c r="J339" s="2" t="s">
        <v>1105</v>
      </c>
      <c r="L339" s="2" t="s">
        <v>8</v>
      </c>
      <c r="O339" s="2" t="s">
        <v>1527</v>
      </c>
      <c r="P339" s="2" t="s">
        <v>3462</v>
      </c>
    </row>
    <row r="340" spans="1:16" ht="17.25" customHeight="1" x14ac:dyDescent="0.2">
      <c r="A340" s="18" t="s">
        <v>973</v>
      </c>
      <c r="B340" s="18" t="s">
        <v>4182</v>
      </c>
      <c r="C340" s="18" t="s">
        <v>1524</v>
      </c>
      <c r="D340" s="18" t="s">
        <v>3373</v>
      </c>
      <c r="E340" s="2" t="str">
        <f t="shared" ref="E340:E403" si="27">MID("abcdefghijklmnopqrstuvwxyz",F340,1)</f>
        <v>n</v>
      </c>
      <c r="F340" s="2">
        <f t="shared" ref="F340:F403" si="28">G340-2000</f>
        <v>14</v>
      </c>
      <c r="G340" s="2">
        <v>2014</v>
      </c>
      <c r="H340" s="2" t="s">
        <v>3388</v>
      </c>
      <c r="I340" s="2" t="s">
        <v>3375</v>
      </c>
      <c r="J340" s="2" t="s">
        <v>1105</v>
      </c>
      <c r="L340" s="2" t="s">
        <v>8</v>
      </c>
      <c r="O340" s="2" t="s">
        <v>1527</v>
      </c>
      <c r="P340" s="2" t="s">
        <v>3462</v>
      </c>
    </row>
    <row r="341" spans="1:16" ht="17.25" customHeight="1" x14ac:dyDescent="0.2">
      <c r="A341" s="18" t="s">
        <v>973</v>
      </c>
      <c r="B341" s="18" t="s">
        <v>4182</v>
      </c>
      <c r="C341" s="18" t="s">
        <v>1524</v>
      </c>
      <c r="D341" s="18" t="s">
        <v>3373</v>
      </c>
      <c r="E341" s="2" t="str">
        <f t="shared" si="27"/>
        <v>o</v>
      </c>
      <c r="F341" s="2">
        <f t="shared" si="28"/>
        <v>15</v>
      </c>
      <c r="G341" s="2">
        <v>2015</v>
      </c>
      <c r="H341" s="2" t="s">
        <v>3389</v>
      </c>
      <c r="I341" s="2" t="s">
        <v>3375</v>
      </c>
      <c r="J341" s="2" t="s">
        <v>1105</v>
      </c>
      <c r="L341" s="2" t="s">
        <v>8</v>
      </c>
      <c r="O341" s="2" t="s">
        <v>1527</v>
      </c>
      <c r="P341" s="2" t="s">
        <v>3462</v>
      </c>
    </row>
    <row r="342" spans="1:16" ht="17.25" customHeight="1" x14ac:dyDescent="0.2">
      <c r="A342" s="18" t="s">
        <v>973</v>
      </c>
      <c r="B342" s="18" t="s">
        <v>4182</v>
      </c>
      <c r="C342" s="18" t="s">
        <v>1524</v>
      </c>
      <c r="D342" s="18" t="s">
        <v>3373</v>
      </c>
      <c r="E342" s="2" t="str">
        <f t="shared" si="27"/>
        <v>p</v>
      </c>
      <c r="F342" s="2">
        <f t="shared" si="28"/>
        <v>16</v>
      </c>
      <c r="G342" s="2">
        <v>2016</v>
      </c>
      <c r="H342" s="2" t="s">
        <v>3390</v>
      </c>
      <c r="I342" s="2" t="s">
        <v>3375</v>
      </c>
      <c r="J342" s="2" t="s">
        <v>1105</v>
      </c>
      <c r="L342" s="2" t="s">
        <v>8</v>
      </c>
      <c r="O342" s="2" t="s">
        <v>1527</v>
      </c>
      <c r="P342" s="2" t="s">
        <v>3462</v>
      </c>
    </row>
    <row r="343" spans="1:16" ht="17.25" customHeight="1" x14ac:dyDescent="0.2">
      <c r="A343" s="18" t="s">
        <v>973</v>
      </c>
      <c r="B343" s="18" t="s">
        <v>4182</v>
      </c>
      <c r="C343" s="18" t="s">
        <v>1524</v>
      </c>
      <c r="D343" s="18" t="s">
        <v>3373</v>
      </c>
      <c r="E343" s="2" t="str">
        <f t="shared" si="27"/>
        <v>q</v>
      </c>
      <c r="F343" s="2">
        <f t="shared" si="28"/>
        <v>17</v>
      </c>
      <c r="G343" s="2">
        <v>2017</v>
      </c>
      <c r="H343" s="2" t="s">
        <v>3391</v>
      </c>
      <c r="I343" s="2" t="s">
        <v>3375</v>
      </c>
      <c r="J343" s="2" t="s">
        <v>1105</v>
      </c>
      <c r="L343" s="2" t="s">
        <v>8</v>
      </c>
      <c r="O343" s="2" t="s">
        <v>1527</v>
      </c>
      <c r="P343" s="2" t="s">
        <v>3462</v>
      </c>
    </row>
    <row r="344" spans="1:16" ht="17.25" customHeight="1" x14ac:dyDescent="0.2">
      <c r="A344" s="18" t="s">
        <v>973</v>
      </c>
      <c r="B344" s="18" t="s">
        <v>4182</v>
      </c>
      <c r="C344" s="18" t="s">
        <v>1524</v>
      </c>
      <c r="D344" s="18" t="s">
        <v>3373</v>
      </c>
      <c r="E344" s="2" t="str">
        <f t="shared" si="27"/>
        <v>r</v>
      </c>
      <c r="F344" s="2">
        <f t="shared" si="28"/>
        <v>18</v>
      </c>
      <c r="G344" s="2">
        <v>2018</v>
      </c>
      <c r="H344" s="2" t="s">
        <v>3417</v>
      </c>
      <c r="I344" s="2" t="s">
        <v>3375</v>
      </c>
      <c r="J344" s="2" t="s">
        <v>1105</v>
      </c>
      <c r="L344" s="2" t="s">
        <v>8</v>
      </c>
      <c r="O344" s="2" t="s">
        <v>1527</v>
      </c>
      <c r="P344" s="2" t="s">
        <v>3462</v>
      </c>
    </row>
    <row r="345" spans="1:16" ht="17.25" customHeight="1" x14ac:dyDescent="0.2">
      <c r="A345" s="28" t="s">
        <v>973</v>
      </c>
      <c r="B345" s="28" t="s">
        <v>4182</v>
      </c>
      <c r="C345" s="28" t="s">
        <v>1641</v>
      </c>
      <c r="D345" s="28" t="s">
        <v>3392</v>
      </c>
      <c r="E345" s="2" t="str">
        <f t="shared" si="27"/>
        <v>a</v>
      </c>
      <c r="F345" s="2">
        <f t="shared" si="28"/>
        <v>1</v>
      </c>
      <c r="G345" s="2">
        <v>2001</v>
      </c>
      <c r="H345" s="2" t="str">
        <f t="shared" ref="H345:H362" si="29">_xlfn.CONCAT(E345,"ehtjbyr")</f>
        <v>aehtjbyr</v>
      </c>
      <c r="I345" s="2" t="s">
        <v>3393</v>
      </c>
      <c r="J345" s="2" t="s">
        <v>3394</v>
      </c>
      <c r="L345" s="2" t="s">
        <v>3395</v>
      </c>
      <c r="O345" s="2" t="s">
        <v>2175</v>
      </c>
      <c r="P345" s="2" t="s">
        <v>1127</v>
      </c>
    </row>
    <row r="346" spans="1:16" ht="17.25" customHeight="1" x14ac:dyDescent="0.2">
      <c r="A346" s="28" t="s">
        <v>973</v>
      </c>
      <c r="B346" s="28" t="s">
        <v>4182</v>
      </c>
      <c r="C346" s="28" t="s">
        <v>1641</v>
      </c>
      <c r="D346" s="28" t="s">
        <v>3392</v>
      </c>
      <c r="E346" s="2" t="str">
        <f t="shared" si="27"/>
        <v>b</v>
      </c>
      <c r="F346" s="2">
        <f t="shared" si="28"/>
        <v>2</v>
      </c>
      <c r="G346" s="2">
        <v>2002</v>
      </c>
      <c r="H346" s="2" t="str">
        <f t="shared" si="29"/>
        <v>behtjbyr</v>
      </c>
      <c r="I346" s="2" t="s">
        <v>3393</v>
      </c>
      <c r="J346" s="2" t="s">
        <v>3394</v>
      </c>
      <c r="L346" s="2" t="s">
        <v>3395</v>
      </c>
      <c r="O346" s="2" t="s">
        <v>2175</v>
      </c>
      <c r="P346" s="2" t="s">
        <v>1127</v>
      </c>
    </row>
    <row r="347" spans="1:16" ht="17.25" customHeight="1" x14ac:dyDescent="0.2">
      <c r="A347" s="28" t="s">
        <v>973</v>
      </c>
      <c r="B347" s="28" t="s">
        <v>4182</v>
      </c>
      <c r="C347" s="28" t="s">
        <v>1641</v>
      </c>
      <c r="D347" s="28" t="s">
        <v>3392</v>
      </c>
      <c r="E347" s="2" t="str">
        <f t="shared" si="27"/>
        <v>c</v>
      </c>
      <c r="F347" s="2">
        <f t="shared" si="28"/>
        <v>3</v>
      </c>
      <c r="G347" s="2">
        <v>2003</v>
      </c>
      <c r="H347" s="2" t="str">
        <f t="shared" si="29"/>
        <v>cehtjbyr</v>
      </c>
      <c r="I347" s="2" t="s">
        <v>3393</v>
      </c>
      <c r="J347" s="2" t="s">
        <v>3394</v>
      </c>
      <c r="L347" s="2" t="s">
        <v>3395</v>
      </c>
      <c r="O347" s="2" t="s">
        <v>2175</v>
      </c>
      <c r="P347" s="2" t="s">
        <v>1127</v>
      </c>
    </row>
    <row r="348" spans="1:16" ht="17.25" customHeight="1" x14ac:dyDescent="0.2">
      <c r="A348" s="28" t="s">
        <v>973</v>
      </c>
      <c r="B348" s="28" t="s">
        <v>4182</v>
      </c>
      <c r="C348" s="28" t="s">
        <v>1641</v>
      </c>
      <c r="D348" s="28" t="s">
        <v>3392</v>
      </c>
      <c r="E348" s="2" t="str">
        <f t="shared" si="27"/>
        <v>d</v>
      </c>
      <c r="F348" s="2">
        <f t="shared" si="28"/>
        <v>4</v>
      </c>
      <c r="G348" s="2">
        <v>2004</v>
      </c>
      <c r="H348" s="2" t="str">
        <f t="shared" si="29"/>
        <v>dehtjbyr</v>
      </c>
      <c r="I348" s="2" t="s">
        <v>3393</v>
      </c>
      <c r="J348" s="2" t="s">
        <v>3394</v>
      </c>
      <c r="L348" s="2" t="s">
        <v>3395</v>
      </c>
      <c r="O348" s="2" t="s">
        <v>2175</v>
      </c>
      <c r="P348" s="2" t="s">
        <v>1127</v>
      </c>
    </row>
    <row r="349" spans="1:16" ht="17.25" customHeight="1" x14ac:dyDescent="0.2">
      <c r="A349" s="28" t="s">
        <v>973</v>
      </c>
      <c r="B349" s="28" t="s">
        <v>4182</v>
      </c>
      <c r="C349" s="28" t="s">
        <v>1641</v>
      </c>
      <c r="D349" s="28" t="s">
        <v>3392</v>
      </c>
      <c r="E349" s="2" t="str">
        <f t="shared" si="27"/>
        <v>e</v>
      </c>
      <c r="F349" s="2">
        <f t="shared" si="28"/>
        <v>5</v>
      </c>
      <c r="G349" s="2">
        <v>2005</v>
      </c>
      <c r="H349" s="2" t="str">
        <f t="shared" si="29"/>
        <v>eehtjbyr</v>
      </c>
      <c r="I349" s="2" t="s">
        <v>3393</v>
      </c>
      <c r="J349" s="2" t="s">
        <v>3394</v>
      </c>
      <c r="L349" s="2" t="s">
        <v>3395</v>
      </c>
      <c r="O349" s="2" t="s">
        <v>2175</v>
      </c>
      <c r="P349" s="2" t="s">
        <v>1127</v>
      </c>
    </row>
    <row r="350" spans="1:16" ht="17.25" customHeight="1" x14ac:dyDescent="0.2">
      <c r="A350" s="28" t="s">
        <v>973</v>
      </c>
      <c r="B350" s="28" t="s">
        <v>4182</v>
      </c>
      <c r="C350" s="28" t="s">
        <v>1641</v>
      </c>
      <c r="D350" s="28" t="s">
        <v>3392</v>
      </c>
      <c r="E350" s="2" t="str">
        <f t="shared" si="27"/>
        <v>f</v>
      </c>
      <c r="F350" s="2">
        <f t="shared" si="28"/>
        <v>6</v>
      </c>
      <c r="G350" s="2">
        <v>2006</v>
      </c>
      <c r="H350" s="2" t="str">
        <f t="shared" si="29"/>
        <v>fehtjbyr</v>
      </c>
      <c r="I350" s="2" t="s">
        <v>3393</v>
      </c>
      <c r="J350" s="2" t="s">
        <v>3394</v>
      </c>
      <c r="L350" s="2" t="s">
        <v>3395</v>
      </c>
      <c r="O350" s="2" t="s">
        <v>2175</v>
      </c>
      <c r="P350" s="2" t="s">
        <v>1127</v>
      </c>
    </row>
    <row r="351" spans="1:16" ht="17.25" customHeight="1" x14ac:dyDescent="0.2">
      <c r="A351" s="28" t="s">
        <v>973</v>
      </c>
      <c r="B351" s="28" t="s">
        <v>4182</v>
      </c>
      <c r="C351" s="28" t="s">
        <v>1641</v>
      </c>
      <c r="D351" s="28" t="s">
        <v>3392</v>
      </c>
      <c r="E351" s="2" t="str">
        <f t="shared" si="27"/>
        <v>g</v>
      </c>
      <c r="F351" s="2">
        <f t="shared" si="28"/>
        <v>7</v>
      </c>
      <c r="G351" s="2">
        <v>2007</v>
      </c>
      <c r="H351" s="2" t="str">
        <f t="shared" si="29"/>
        <v>gehtjbyr</v>
      </c>
      <c r="I351" s="2" t="s">
        <v>3393</v>
      </c>
      <c r="J351" s="2" t="s">
        <v>3394</v>
      </c>
      <c r="L351" s="2" t="s">
        <v>3395</v>
      </c>
      <c r="O351" s="2" t="s">
        <v>2175</v>
      </c>
      <c r="P351" s="2" t="s">
        <v>1127</v>
      </c>
    </row>
    <row r="352" spans="1:16" ht="17.25" customHeight="1" x14ac:dyDescent="0.2">
      <c r="A352" s="28" t="s">
        <v>973</v>
      </c>
      <c r="B352" s="28" t="s">
        <v>4182</v>
      </c>
      <c r="C352" s="28" t="s">
        <v>1641</v>
      </c>
      <c r="D352" s="28" t="s">
        <v>3392</v>
      </c>
      <c r="E352" s="2" t="str">
        <f t="shared" si="27"/>
        <v>h</v>
      </c>
      <c r="F352" s="2">
        <f t="shared" si="28"/>
        <v>8</v>
      </c>
      <c r="G352" s="2">
        <v>2008</v>
      </c>
      <c r="H352" s="2" t="str">
        <f t="shared" si="29"/>
        <v>hehtjbyr</v>
      </c>
      <c r="I352" s="2" t="s">
        <v>3393</v>
      </c>
      <c r="J352" s="2" t="s">
        <v>3394</v>
      </c>
      <c r="L352" s="2" t="s">
        <v>3395</v>
      </c>
      <c r="O352" s="2" t="s">
        <v>2175</v>
      </c>
      <c r="P352" s="2" t="s">
        <v>1127</v>
      </c>
    </row>
    <row r="353" spans="1:16" ht="17.25" customHeight="1" x14ac:dyDescent="0.2">
      <c r="A353" s="28" t="s">
        <v>973</v>
      </c>
      <c r="B353" s="28" t="s">
        <v>4182</v>
      </c>
      <c r="C353" s="28" t="s">
        <v>1641</v>
      </c>
      <c r="D353" s="28" t="s">
        <v>3392</v>
      </c>
      <c r="E353" s="2" t="str">
        <f t="shared" si="27"/>
        <v>i</v>
      </c>
      <c r="F353" s="2">
        <f t="shared" si="28"/>
        <v>9</v>
      </c>
      <c r="G353" s="2">
        <v>2009</v>
      </c>
      <c r="H353" s="2" t="str">
        <f t="shared" si="29"/>
        <v>iehtjbyr</v>
      </c>
      <c r="I353" s="2" t="s">
        <v>3393</v>
      </c>
      <c r="J353" s="2" t="s">
        <v>3394</v>
      </c>
      <c r="L353" s="2" t="s">
        <v>3395</v>
      </c>
      <c r="O353" s="2" t="s">
        <v>2175</v>
      </c>
      <c r="P353" s="2" t="s">
        <v>1127</v>
      </c>
    </row>
    <row r="354" spans="1:16" ht="17.25" customHeight="1" x14ac:dyDescent="0.2">
      <c r="A354" s="28" t="s">
        <v>973</v>
      </c>
      <c r="B354" s="28" t="s">
        <v>4182</v>
      </c>
      <c r="C354" s="28" t="s">
        <v>1641</v>
      </c>
      <c r="D354" s="28" t="s">
        <v>3392</v>
      </c>
      <c r="E354" s="2" t="str">
        <f t="shared" si="27"/>
        <v>j</v>
      </c>
      <c r="F354" s="2">
        <f t="shared" si="28"/>
        <v>10</v>
      </c>
      <c r="G354" s="2">
        <v>2010</v>
      </c>
      <c r="H354" s="2" t="str">
        <f t="shared" si="29"/>
        <v>jehtjbyr</v>
      </c>
      <c r="I354" s="2" t="s">
        <v>3393</v>
      </c>
      <c r="J354" s="2" t="s">
        <v>3394</v>
      </c>
      <c r="L354" s="2" t="s">
        <v>3395</v>
      </c>
      <c r="O354" s="2" t="s">
        <v>2175</v>
      </c>
      <c r="P354" s="2" t="s">
        <v>1127</v>
      </c>
    </row>
    <row r="355" spans="1:16" ht="17.25" customHeight="1" x14ac:dyDescent="0.2">
      <c r="A355" s="28" t="s">
        <v>973</v>
      </c>
      <c r="B355" s="28" t="s">
        <v>4182</v>
      </c>
      <c r="C355" s="28" t="s">
        <v>1641</v>
      </c>
      <c r="D355" s="28" t="s">
        <v>3392</v>
      </c>
      <c r="E355" s="2" t="str">
        <f t="shared" si="27"/>
        <v>k</v>
      </c>
      <c r="F355" s="2">
        <f t="shared" si="28"/>
        <v>11</v>
      </c>
      <c r="G355" s="2">
        <v>2011</v>
      </c>
      <c r="H355" s="2" t="str">
        <f t="shared" si="29"/>
        <v>kehtjbyr</v>
      </c>
      <c r="I355" s="2" t="s">
        <v>3393</v>
      </c>
      <c r="J355" s="2" t="s">
        <v>3394</v>
      </c>
      <c r="L355" s="2" t="s">
        <v>3395</v>
      </c>
      <c r="O355" s="2" t="s">
        <v>2175</v>
      </c>
      <c r="P355" s="2" t="s">
        <v>1127</v>
      </c>
    </row>
    <row r="356" spans="1:16" ht="17.25" customHeight="1" x14ac:dyDescent="0.2">
      <c r="A356" s="28" t="s">
        <v>973</v>
      </c>
      <c r="B356" s="28" t="s">
        <v>4182</v>
      </c>
      <c r="C356" s="28" t="s">
        <v>1641</v>
      </c>
      <c r="D356" s="28" t="s">
        <v>3392</v>
      </c>
      <c r="E356" s="2" t="str">
        <f t="shared" si="27"/>
        <v>l</v>
      </c>
      <c r="F356" s="2">
        <f t="shared" si="28"/>
        <v>12</v>
      </c>
      <c r="G356" s="2">
        <v>2012</v>
      </c>
      <c r="H356" s="2" t="str">
        <f t="shared" si="29"/>
        <v>lehtjbyr</v>
      </c>
      <c r="I356" s="2" t="s">
        <v>3393</v>
      </c>
      <c r="J356" s="2" t="s">
        <v>3394</v>
      </c>
      <c r="L356" s="2" t="s">
        <v>3395</v>
      </c>
      <c r="O356" s="2" t="s">
        <v>2175</v>
      </c>
      <c r="P356" s="2" t="s">
        <v>1127</v>
      </c>
    </row>
    <row r="357" spans="1:16" ht="17.25" customHeight="1" x14ac:dyDescent="0.2">
      <c r="A357" s="28" t="s">
        <v>973</v>
      </c>
      <c r="B357" s="28" t="s">
        <v>4182</v>
      </c>
      <c r="C357" s="28" t="s">
        <v>1641</v>
      </c>
      <c r="D357" s="28" t="s">
        <v>3392</v>
      </c>
      <c r="E357" s="2" t="str">
        <f t="shared" si="27"/>
        <v>m</v>
      </c>
      <c r="F357" s="2">
        <f t="shared" si="28"/>
        <v>13</v>
      </c>
      <c r="G357" s="2">
        <v>2013</v>
      </c>
      <c r="H357" s="2" t="str">
        <f t="shared" si="29"/>
        <v>mehtjbyr</v>
      </c>
      <c r="I357" s="2" t="s">
        <v>3393</v>
      </c>
      <c r="J357" s="2" t="s">
        <v>3394</v>
      </c>
      <c r="L357" s="2" t="s">
        <v>3395</v>
      </c>
      <c r="O357" s="2" t="s">
        <v>2175</v>
      </c>
      <c r="P357" s="2" t="s">
        <v>1127</v>
      </c>
    </row>
    <row r="358" spans="1:16" ht="17.25" customHeight="1" x14ac:dyDescent="0.2">
      <c r="A358" s="28" t="s">
        <v>973</v>
      </c>
      <c r="B358" s="28" t="s">
        <v>4182</v>
      </c>
      <c r="C358" s="28" t="s">
        <v>1641</v>
      </c>
      <c r="D358" s="28" t="s">
        <v>3392</v>
      </c>
      <c r="E358" s="2" t="str">
        <f t="shared" si="27"/>
        <v>n</v>
      </c>
      <c r="F358" s="2">
        <f t="shared" si="28"/>
        <v>14</v>
      </c>
      <c r="G358" s="2">
        <v>2014</v>
      </c>
      <c r="H358" s="2" t="str">
        <f t="shared" si="29"/>
        <v>nehtjbyr</v>
      </c>
      <c r="I358" s="2" t="s">
        <v>3393</v>
      </c>
      <c r="J358" s="2" t="s">
        <v>3394</v>
      </c>
      <c r="L358" s="2" t="s">
        <v>3395</v>
      </c>
      <c r="O358" s="2" t="s">
        <v>2175</v>
      </c>
      <c r="P358" s="2" t="s">
        <v>1127</v>
      </c>
    </row>
    <row r="359" spans="1:16" ht="17.25" customHeight="1" x14ac:dyDescent="0.2">
      <c r="A359" s="28" t="s">
        <v>973</v>
      </c>
      <c r="B359" s="28" t="s">
        <v>4182</v>
      </c>
      <c r="C359" s="28" t="s">
        <v>1641</v>
      </c>
      <c r="D359" s="28" t="s">
        <v>3392</v>
      </c>
      <c r="E359" s="2" t="str">
        <f t="shared" si="27"/>
        <v>o</v>
      </c>
      <c r="F359" s="2">
        <f t="shared" si="28"/>
        <v>15</v>
      </c>
      <c r="G359" s="2">
        <v>2015</v>
      </c>
      <c r="H359" s="2" t="str">
        <f t="shared" si="29"/>
        <v>oehtjbyr</v>
      </c>
      <c r="I359" s="2" t="s">
        <v>3393</v>
      </c>
      <c r="J359" s="2" t="s">
        <v>3394</v>
      </c>
      <c r="L359" s="2" t="s">
        <v>3395</v>
      </c>
      <c r="O359" s="2" t="s">
        <v>2175</v>
      </c>
      <c r="P359" s="2" t="s">
        <v>1127</v>
      </c>
    </row>
    <row r="360" spans="1:16" ht="17.25" customHeight="1" x14ac:dyDescent="0.2">
      <c r="A360" s="28" t="s">
        <v>973</v>
      </c>
      <c r="B360" s="28" t="s">
        <v>4182</v>
      </c>
      <c r="C360" s="28" t="s">
        <v>1641</v>
      </c>
      <c r="D360" s="28" t="s">
        <v>3392</v>
      </c>
      <c r="E360" s="2" t="str">
        <f t="shared" si="27"/>
        <v>p</v>
      </c>
      <c r="F360" s="2">
        <f t="shared" si="28"/>
        <v>16</v>
      </c>
      <c r="G360" s="2">
        <v>2016</v>
      </c>
      <c r="H360" s="2" t="str">
        <f t="shared" si="29"/>
        <v>pehtjbyr</v>
      </c>
      <c r="I360" s="2" t="s">
        <v>3393</v>
      </c>
      <c r="J360" s="2" t="s">
        <v>3394</v>
      </c>
      <c r="L360" s="2" t="s">
        <v>3395</v>
      </c>
      <c r="O360" s="2" t="s">
        <v>2175</v>
      </c>
      <c r="P360" s="2" t="s">
        <v>1127</v>
      </c>
    </row>
    <row r="361" spans="1:16" ht="17.25" customHeight="1" x14ac:dyDescent="0.2">
      <c r="A361" s="28" t="s">
        <v>973</v>
      </c>
      <c r="B361" s="28" t="s">
        <v>4182</v>
      </c>
      <c r="C361" s="28" t="s">
        <v>1641</v>
      </c>
      <c r="D361" s="28" t="s">
        <v>3392</v>
      </c>
      <c r="E361" s="2" t="str">
        <f t="shared" si="27"/>
        <v>q</v>
      </c>
      <c r="F361" s="2">
        <f t="shared" si="28"/>
        <v>17</v>
      </c>
      <c r="G361" s="2">
        <v>2017</v>
      </c>
      <c r="H361" s="2" t="str">
        <f t="shared" ref="H361" si="30">_xlfn.CONCAT(E361,"ehtjbyr")</f>
        <v>qehtjbyr</v>
      </c>
      <c r="I361" s="2" t="s">
        <v>3393</v>
      </c>
      <c r="J361" s="2" t="s">
        <v>3394</v>
      </c>
      <c r="L361" s="2" t="s">
        <v>3395</v>
      </c>
      <c r="O361" s="2" t="s">
        <v>2175</v>
      </c>
      <c r="P361" s="2" t="s">
        <v>1127</v>
      </c>
    </row>
    <row r="362" spans="1:16" ht="17.25" customHeight="1" x14ac:dyDescent="0.2">
      <c r="A362" s="28" t="s">
        <v>973</v>
      </c>
      <c r="B362" s="28" t="s">
        <v>4182</v>
      </c>
      <c r="C362" s="28" t="s">
        <v>1641</v>
      </c>
      <c r="D362" s="28" t="s">
        <v>3392</v>
      </c>
      <c r="E362" s="2" t="str">
        <f t="shared" si="27"/>
        <v>r</v>
      </c>
      <c r="F362" s="2">
        <f t="shared" si="28"/>
        <v>18</v>
      </c>
      <c r="G362" s="2">
        <v>2018</v>
      </c>
      <c r="H362" s="2" t="str">
        <f t="shared" si="29"/>
        <v>rehtjbyr</v>
      </c>
      <c r="I362" s="2" t="s">
        <v>3393</v>
      </c>
      <c r="J362" s="2" t="s">
        <v>3394</v>
      </c>
      <c r="L362" s="2" t="s">
        <v>3395</v>
      </c>
      <c r="O362" s="2" t="s">
        <v>2175</v>
      </c>
      <c r="P362" s="2" t="s">
        <v>1127</v>
      </c>
    </row>
    <row r="363" spans="1:16" ht="17.25" customHeight="1" x14ac:dyDescent="0.2">
      <c r="A363" s="35" t="s">
        <v>973</v>
      </c>
      <c r="B363" s="35" t="s">
        <v>4182</v>
      </c>
      <c r="C363" s="35" t="s">
        <v>1410</v>
      </c>
      <c r="D363" s="35" t="s">
        <v>2317</v>
      </c>
      <c r="E363" s="2" t="str">
        <f t="shared" si="27"/>
        <v>a</v>
      </c>
      <c r="F363" s="2">
        <f t="shared" si="28"/>
        <v>1</v>
      </c>
      <c r="G363" s="2">
        <v>2001</v>
      </c>
      <c r="H363" s="2" t="str">
        <f>_xlfn.CONCAT(E363,"esbrd")</f>
        <v>aesbrd</v>
      </c>
      <c r="I363" s="2" t="s">
        <v>3396</v>
      </c>
      <c r="J363" s="2" t="s">
        <v>3397</v>
      </c>
      <c r="L363" s="2" t="s">
        <v>3398</v>
      </c>
      <c r="O363" s="2" t="s">
        <v>1127</v>
      </c>
      <c r="P363" s="2" t="s">
        <v>1127</v>
      </c>
    </row>
    <row r="364" spans="1:16" ht="17.25" customHeight="1" x14ac:dyDescent="0.2">
      <c r="A364" s="35" t="s">
        <v>973</v>
      </c>
      <c r="B364" s="35" t="s">
        <v>4182</v>
      </c>
      <c r="C364" s="35" t="s">
        <v>1410</v>
      </c>
      <c r="D364" s="35" t="s">
        <v>2317</v>
      </c>
      <c r="E364" s="2" t="str">
        <f t="shared" si="27"/>
        <v>b</v>
      </c>
      <c r="F364" s="2">
        <f t="shared" si="28"/>
        <v>2</v>
      </c>
      <c r="G364" s="2">
        <v>2002</v>
      </c>
      <c r="H364" s="2" t="str">
        <f t="shared" ref="H364:H380" si="31">_xlfn.CONCAT(E364,"esbrd")</f>
        <v>besbrd</v>
      </c>
      <c r="I364" s="2" t="s">
        <v>3396</v>
      </c>
      <c r="J364" s="2" t="s">
        <v>3397</v>
      </c>
      <c r="L364" s="2" t="s">
        <v>3398</v>
      </c>
      <c r="O364" s="2" t="s">
        <v>1127</v>
      </c>
      <c r="P364" s="2" t="s">
        <v>1127</v>
      </c>
    </row>
    <row r="365" spans="1:16" ht="17.25" customHeight="1" x14ac:dyDescent="0.2">
      <c r="A365" s="35" t="s">
        <v>973</v>
      </c>
      <c r="B365" s="35" t="s">
        <v>4182</v>
      </c>
      <c r="C365" s="35" t="s">
        <v>1410</v>
      </c>
      <c r="D365" s="35" t="s">
        <v>2317</v>
      </c>
      <c r="E365" s="2" t="str">
        <f t="shared" si="27"/>
        <v>c</v>
      </c>
      <c r="F365" s="2">
        <f t="shared" si="28"/>
        <v>3</v>
      </c>
      <c r="G365" s="2">
        <v>2003</v>
      </c>
      <c r="H365" s="2" t="str">
        <f t="shared" si="31"/>
        <v>cesbrd</v>
      </c>
      <c r="I365" s="2" t="s">
        <v>3396</v>
      </c>
      <c r="J365" s="2" t="s">
        <v>3397</v>
      </c>
      <c r="L365" s="2" t="s">
        <v>3398</v>
      </c>
      <c r="O365" s="2" t="s">
        <v>1127</v>
      </c>
      <c r="P365" s="2" t="s">
        <v>1127</v>
      </c>
    </row>
    <row r="366" spans="1:16" ht="17.25" customHeight="1" x14ac:dyDescent="0.2">
      <c r="A366" s="35" t="s">
        <v>973</v>
      </c>
      <c r="B366" s="35" t="s">
        <v>4182</v>
      </c>
      <c r="C366" s="35" t="s">
        <v>1410</v>
      </c>
      <c r="D366" s="35" t="s">
        <v>2317</v>
      </c>
      <c r="E366" s="2" t="str">
        <f t="shared" si="27"/>
        <v>d</v>
      </c>
      <c r="F366" s="2">
        <f t="shared" si="28"/>
        <v>4</v>
      </c>
      <c r="G366" s="2">
        <v>2004</v>
      </c>
      <c r="H366" s="2" t="str">
        <f t="shared" si="31"/>
        <v>desbrd</v>
      </c>
      <c r="I366" s="2" t="s">
        <v>3396</v>
      </c>
      <c r="J366" s="2" t="s">
        <v>3397</v>
      </c>
      <c r="L366" s="2" t="s">
        <v>3398</v>
      </c>
      <c r="O366" s="2" t="s">
        <v>1127</v>
      </c>
      <c r="P366" s="2" t="s">
        <v>1127</v>
      </c>
    </row>
    <row r="367" spans="1:16" ht="17.25" customHeight="1" x14ac:dyDescent="0.2">
      <c r="A367" s="35" t="s">
        <v>973</v>
      </c>
      <c r="B367" s="35" t="s">
        <v>4182</v>
      </c>
      <c r="C367" s="35" t="s">
        <v>1410</v>
      </c>
      <c r="D367" s="35" t="s">
        <v>2317</v>
      </c>
      <c r="E367" s="2" t="str">
        <f t="shared" si="27"/>
        <v>e</v>
      </c>
      <c r="F367" s="2">
        <f t="shared" si="28"/>
        <v>5</v>
      </c>
      <c r="G367" s="2">
        <v>2005</v>
      </c>
      <c r="H367" s="2" t="str">
        <f t="shared" si="31"/>
        <v>eesbrd</v>
      </c>
      <c r="I367" s="2" t="s">
        <v>3396</v>
      </c>
      <c r="J367" s="2" t="s">
        <v>3397</v>
      </c>
      <c r="L367" s="2" t="s">
        <v>3398</v>
      </c>
      <c r="O367" s="2" t="s">
        <v>1127</v>
      </c>
      <c r="P367" s="2" t="s">
        <v>1127</v>
      </c>
    </row>
    <row r="368" spans="1:16" ht="17.25" customHeight="1" x14ac:dyDescent="0.2">
      <c r="A368" s="35" t="s">
        <v>973</v>
      </c>
      <c r="B368" s="35" t="s">
        <v>4182</v>
      </c>
      <c r="C368" s="35" t="s">
        <v>1410</v>
      </c>
      <c r="D368" s="35" t="s">
        <v>2317</v>
      </c>
      <c r="E368" s="2" t="str">
        <f t="shared" si="27"/>
        <v>f</v>
      </c>
      <c r="F368" s="2">
        <f t="shared" si="28"/>
        <v>6</v>
      </c>
      <c r="G368" s="2">
        <v>2006</v>
      </c>
      <c r="H368" s="2" t="str">
        <f t="shared" si="31"/>
        <v>fesbrd</v>
      </c>
      <c r="I368" s="2" t="s">
        <v>3396</v>
      </c>
      <c r="J368" s="2" t="s">
        <v>3397</v>
      </c>
      <c r="L368" s="2" t="s">
        <v>3398</v>
      </c>
      <c r="O368" s="2" t="s">
        <v>1127</v>
      </c>
      <c r="P368" s="2" t="s">
        <v>1127</v>
      </c>
    </row>
    <row r="369" spans="1:16" ht="17.25" customHeight="1" x14ac:dyDescent="0.2">
      <c r="A369" s="35" t="s">
        <v>973</v>
      </c>
      <c r="B369" s="35" t="s">
        <v>4182</v>
      </c>
      <c r="C369" s="35" t="s">
        <v>1410</v>
      </c>
      <c r="D369" s="35" t="s">
        <v>2317</v>
      </c>
      <c r="E369" s="2" t="str">
        <f t="shared" si="27"/>
        <v>g</v>
      </c>
      <c r="F369" s="2">
        <f t="shared" si="28"/>
        <v>7</v>
      </c>
      <c r="G369" s="2">
        <v>2007</v>
      </c>
      <c r="H369" s="2" t="str">
        <f t="shared" si="31"/>
        <v>gesbrd</v>
      </c>
      <c r="I369" s="2" t="s">
        <v>3396</v>
      </c>
      <c r="J369" s="2" t="s">
        <v>3397</v>
      </c>
      <c r="L369" s="2" t="s">
        <v>3398</v>
      </c>
      <c r="O369" s="2" t="s">
        <v>1127</v>
      </c>
      <c r="P369" s="2" t="s">
        <v>1127</v>
      </c>
    </row>
    <row r="370" spans="1:16" ht="17.25" customHeight="1" x14ac:dyDescent="0.2">
      <c r="A370" s="35" t="s">
        <v>973</v>
      </c>
      <c r="B370" s="35" t="s">
        <v>4182</v>
      </c>
      <c r="C370" s="35" t="s">
        <v>1410</v>
      </c>
      <c r="D370" s="35" t="s">
        <v>2317</v>
      </c>
      <c r="E370" s="2" t="str">
        <f t="shared" si="27"/>
        <v>h</v>
      </c>
      <c r="F370" s="2">
        <f t="shared" si="28"/>
        <v>8</v>
      </c>
      <c r="G370" s="2">
        <v>2008</v>
      </c>
      <c r="H370" s="2" t="str">
        <f t="shared" si="31"/>
        <v>hesbrd</v>
      </c>
      <c r="I370" s="2" t="s">
        <v>3396</v>
      </c>
      <c r="J370" s="2" t="s">
        <v>3397</v>
      </c>
      <c r="L370" s="2" t="s">
        <v>3398</v>
      </c>
      <c r="O370" s="2" t="s">
        <v>1127</v>
      </c>
      <c r="P370" s="2" t="s">
        <v>1127</v>
      </c>
    </row>
    <row r="371" spans="1:16" ht="17.25" customHeight="1" x14ac:dyDescent="0.2">
      <c r="A371" s="35" t="s">
        <v>973</v>
      </c>
      <c r="B371" s="35" t="s">
        <v>4182</v>
      </c>
      <c r="C371" s="35" t="s">
        <v>1410</v>
      </c>
      <c r="D371" s="35" t="s">
        <v>2317</v>
      </c>
      <c r="E371" s="2" t="str">
        <f t="shared" si="27"/>
        <v>i</v>
      </c>
      <c r="F371" s="2">
        <f t="shared" si="28"/>
        <v>9</v>
      </c>
      <c r="G371" s="2">
        <v>2009</v>
      </c>
      <c r="H371" s="2" t="str">
        <f t="shared" si="31"/>
        <v>iesbrd</v>
      </c>
      <c r="I371" s="2" t="s">
        <v>3396</v>
      </c>
      <c r="J371" s="2" t="s">
        <v>3397</v>
      </c>
      <c r="L371" s="2" t="s">
        <v>3398</v>
      </c>
      <c r="O371" s="2" t="s">
        <v>1127</v>
      </c>
      <c r="P371" s="2" t="s">
        <v>1127</v>
      </c>
    </row>
    <row r="372" spans="1:16" ht="17.25" customHeight="1" x14ac:dyDescent="0.2">
      <c r="A372" s="35" t="s">
        <v>973</v>
      </c>
      <c r="B372" s="35" t="s">
        <v>4182</v>
      </c>
      <c r="C372" s="35" t="s">
        <v>1410</v>
      </c>
      <c r="D372" s="35" t="s">
        <v>2317</v>
      </c>
      <c r="E372" s="2" t="str">
        <f t="shared" si="27"/>
        <v>j</v>
      </c>
      <c r="F372" s="2">
        <f t="shared" si="28"/>
        <v>10</v>
      </c>
      <c r="G372" s="2">
        <v>2010</v>
      </c>
      <c r="H372" s="2" t="str">
        <f t="shared" si="31"/>
        <v>jesbrd</v>
      </c>
      <c r="I372" s="2" t="s">
        <v>3396</v>
      </c>
      <c r="J372" s="2" t="s">
        <v>3397</v>
      </c>
      <c r="L372" s="2" t="s">
        <v>3398</v>
      </c>
      <c r="O372" s="2" t="s">
        <v>1127</v>
      </c>
      <c r="P372" s="2" t="s">
        <v>1127</v>
      </c>
    </row>
    <row r="373" spans="1:16" ht="17.25" customHeight="1" x14ac:dyDescent="0.2">
      <c r="A373" s="35" t="s">
        <v>973</v>
      </c>
      <c r="B373" s="35" t="s">
        <v>4182</v>
      </c>
      <c r="C373" s="35" t="s">
        <v>1410</v>
      </c>
      <c r="D373" s="35" t="s">
        <v>2317</v>
      </c>
      <c r="E373" s="2" t="str">
        <f t="shared" si="27"/>
        <v>k</v>
      </c>
      <c r="F373" s="2">
        <f t="shared" si="28"/>
        <v>11</v>
      </c>
      <c r="G373" s="2">
        <v>2011</v>
      </c>
      <c r="H373" s="2" t="str">
        <f t="shared" si="31"/>
        <v>kesbrd</v>
      </c>
      <c r="I373" s="2" t="s">
        <v>3396</v>
      </c>
      <c r="J373" s="2" t="s">
        <v>3397</v>
      </c>
      <c r="L373" s="2" t="s">
        <v>3398</v>
      </c>
      <c r="O373" s="2" t="s">
        <v>1127</v>
      </c>
      <c r="P373" s="2" t="s">
        <v>1127</v>
      </c>
    </row>
    <row r="374" spans="1:16" ht="17.25" customHeight="1" x14ac:dyDescent="0.2">
      <c r="A374" s="35" t="s">
        <v>973</v>
      </c>
      <c r="B374" s="35" t="s">
        <v>4182</v>
      </c>
      <c r="C374" s="35" t="s">
        <v>1410</v>
      </c>
      <c r="D374" s="35" t="s">
        <v>2317</v>
      </c>
      <c r="E374" s="2" t="str">
        <f t="shared" si="27"/>
        <v>l</v>
      </c>
      <c r="F374" s="2">
        <f t="shared" si="28"/>
        <v>12</v>
      </c>
      <c r="G374" s="2">
        <v>2012</v>
      </c>
      <c r="H374" s="2" t="str">
        <f t="shared" si="31"/>
        <v>lesbrd</v>
      </c>
      <c r="I374" s="2" t="s">
        <v>3396</v>
      </c>
      <c r="J374" s="2" t="s">
        <v>3397</v>
      </c>
      <c r="L374" s="2" t="s">
        <v>3398</v>
      </c>
      <c r="O374" s="2" t="s">
        <v>1127</v>
      </c>
      <c r="P374" s="2" t="s">
        <v>1127</v>
      </c>
    </row>
    <row r="375" spans="1:16" ht="17.25" customHeight="1" x14ac:dyDescent="0.2">
      <c r="A375" s="35" t="s">
        <v>973</v>
      </c>
      <c r="B375" s="35" t="s">
        <v>4182</v>
      </c>
      <c r="C375" s="35" t="s">
        <v>1410</v>
      </c>
      <c r="D375" s="35" t="s">
        <v>2317</v>
      </c>
      <c r="E375" s="2" t="str">
        <f t="shared" si="27"/>
        <v>m</v>
      </c>
      <c r="F375" s="2">
        <f t="shared" si="28"/>
        <v>13</v>
      </c>
      <c r="G375" s="2">
        <v>2013</v>
      </c>
      <c r="H375" s="2" t="str">
        <f t="shared" si="31"/>
        <v>mesbrd</v>
      </c>
      <c r="I375" s="2" t="s">
        <v>3396</v>
      </c>
      <c r="J375" s="2" t="s">
        <v>3397</v>
      </c>
      <c r="L375" s="2" t="s">
        <v>3398</v>
      </c>
      <c r="O375" s="2" t="s">
        <v>1127</v>
      </c>
      <c r="P375" s="2" t="s">
        <v>1127</v>
      </c>
    </row>
    <row r="376" spans="1:16" ht="17.25" customHeight="1" x14ac:dyDescent="0.2">
      <c r="A376" s="35" t="s">
        <v>973</v>
      </c>
      <c r="B376" s="35" t="s">
        <v>4182</v>
      </c>
      <c r="C376" s="35" t="s">
        <v>1410</v>
      </c>
      <c r="D376" s="35" t="s">
        <v>2317</v>
      </c>
      <c r="E376" s="2" t="str">
        <f t="shared" si="27"/>
        <v>n</v>
      </c>
      <c r="F376" s="2">
        <f t="shared" si="28"/>
        <v>14</v>
      </c>
      <c r="G376" s="2">
        <v>2014</v>
      </c>
      <c r="H376" s="2" t="str">
        <f t="shared" si="31"/>
        <v>nesbrd</v>
      </c>
      <c r="I376" s="2" t="s">
        <v>3396</v>
      </c>
      <c r="J376" s="2" t="s">
        <v>3397</v>
      </c>
      <c r="L376" s="2" t="s">
        <v>3398</v>
      </c>
      <c r="O376" s="2" t="s">
        <v>1127</v>
      </c>
      <c r="P376" s="2" t="s">
        <v>1127</v>
      </c>
    </row>
    <row r="377" spans="1:16" ht="17.25" customHeight="1" x14ac:dyDescent="0.2">
      <c r="A377" s="35" t="s">
        <v>973</v>
      </c>
      <c r="B377" s="35" t="s">
        <v>4182</v>
      </c>
      <c r="C377" s="35" t="s">
        <v>1410</v>
      </c>
      <c r="D377" s="35" t="s">
        <v>2317</v>
      </c>
      <c r="E377" s="2" t="str">
        <f t="shared" si="27"/>
        <v>o</v>
      </c>
      <c r="F377" s="2">
        <f t="shared" si="28"/>
        <v>15</v>
      </c>
      <c r="G377" s="2">
        <v>2015</v>
      </c>
      <c r="H377" s="2" t="str">
        <f t="shared" si="31"/>
        <v>oesbrd</v>
      </c>
      <c r="I377" s="2" t="s">
        <v>3396</v>
      </c>
      <c r="J377" s="2" t="s">
        <v>3397</v>
      </c>
      <c r="L377" s="2" t="s">
        <v>3398</v>
      </c>
      <c r="O377" s="2" t="s">
        <v>1127</v>
      </c>
      <c r="P377" s="2" t="s">
        <v>1127</v>
      </c>
    </row>
    <row r="378" spans="1:16" ht="17.25" customHeight="1" x14ac:dyDescent="0.2">
      <c r="A378" s="35" t="s">
        <v>973</v>
      </c>
      <c r="B378" s="35" t="s">
        <v>4182</v>
      </c>
      <c r="C378" s="35" t="s">
        <v>1410</v>
      </c>
      <c r="D378" s="35" t="s">
        <v>2317</v>
      </c>
      <c r="E378" s="2" t="str">
        <f t="shared" si="27"/>
        <v>p</v>
      </c>
      <c r="F378" s="2">
        <f t="shared" si="28"/>
        <v>16</v>
      </c>
      <c r="G378" s="2">
        <v>2016</v>
      </c>
      <c r="H378" s="2" t="str">
        <f t="shared" si="31"/>
        <v>pesbrd</v>
      </c>
      <c r="I378" s="2" t="s">
        <v>3396</v>
      </c>
      <c r="J378" s="2" t="s">
        <v>3397</v>
      </c>
      <c r="L378" s="2" t="s">
        <v>3398</v>
      </c>
      <c r="O378" s="2" t="s">
        <v>1127</v>
      </c>
      <c r="P378" s="2" t="s">
        <v>1127</v>
      </c>
    </row>
    <row r="379" spans="1:16" ht="17.25" customHeight="1" x14ac:dyDescent="0.2">
      <c r="A379" s="35" t="s">
        <v>973</v>
      </c>
      <c r="B379" s="35" t="s">
        <v>4182</v>
      </c>
      <c r="C379" s="35" t="s">
        <v>1410</v>
      </c>
      <c r="D379" s="35" t="s">
        <v>2317</v>
      </c>
      <c r="E379" s="2" t="str">
        <f t="shared" si="27"/>
        <v>q</v>
      </c>
      <c r="F379" s="2">
        <f t="shared" si="28"/>
        <v>17</v>
      </c>
      <c r="G379" s="2">
        <v>2017</v>
      </c>
      <c r="H379" s="2" t="str">
        <f t="shared" ref="H379" si="32">_xlfn.CONCAT(E379,"esbrd")</f>
        <v>qesbrd</v>
      </c>
      <c r="I379" s="2" t="s">
        <v>3396</v>
      </c>
      <c r="J379" s="2" t="s">
        <v>3397</v>
      </c>
      <c r="L379" s="2" t="s">
        <v>3398</v>
      </c>
      <c r="O379" s="2" t="s">
        <v>1127</v>
      </c>
      <c r="P379" s="2" t="s">
        <v>1127</v>
      </c>
    </row>
    <row r="380" spans="1:16" ht="17.25" customHeight="1" x14ac:dyDescent="0.2">
      <c r="A380" s="35" t="s">
        <v>973</v>
      </c>
      <c r="B380" s="35" t="s">
        <v>4182</v>
      </c>
      <c r="C380" s="35" t="s">
        <v>1410</v>
      </c>
      <c r="D380" s="35" t="s">
        <v>2317</v>
      </c>
      <c r="E380" s="2" t="str">
        <f t="shared" si="27"/>
        <v>r</v>
      </c>
      <c r="F380" s="2">
        <f t="shared" si="28"/>
        <v>18</v>
      </c>
      <c r="G380" s="2">
        <v>2018</v>
      </c>
      <c r="H380" s="2" t="str">
        <f t="shared" si="31"/>
        <v>resbrd</v>
      </c>
      <c r="I380" s="2" t="s">
        <v>3396</v>
      </c>
      <c r="J380" s="2" t="s">
        <v>3397</v>
      </c>
      <c r="L380" s="2" t="s">
        <v>3398</v>
      </c>
      <c r="O380" s="2" t="s">
        <v>1127</v>
      </c>
      <c r="P380" s="2" t="s">
        <v>1127</v>
      </c>
    </row>
    <row r="381" spans="1:16" ht="17.25" customHeight="1" x14ac:dyDescent="0.2">
      <c r="A381" s="35" t="s">
        <v>973</v>
      </c>
      <c r="B381" s="35" t="s">
        <v>4182</v>
      </c>
      <c r="C381" s="35" t="s">
        <v>1410</v>
      </c>
      <c r="D381" s="35" t="s">
        <v>1410</v>
      </c>
      <c r="E381" s="2" t="str">
        <f t="shared" si="27"/>
        <v>a</v>
      </c>
      <c r="F381" s="2">
        <f t="shared" si="28"/>
        <v>1</v>
      </c>
      <c r="G381" s="2">
        <v>2001</v>
      </c>
      <c r="H381" s="2" t="str">
        <f>_xlfn.CONCAT(E381,"capune")</f>
        <v>acapune</v>
      </c>
      <c r="I381" s="2" t="s">
        <v>3399</v>
      </c>
      <c r="J381" s="2" t="s">
        <v>3394</v>
      </c>
      <c r="L381" s="2" t="s">
        <v>2024</v>
      </c>
      <c r="O381" s="2" t="s">
        <v>1127</v>
      </c>
      <c r="P381" s="2" t="s">
        <v>1127</v>
      </c>
    </row>
    <row r="382" spans="1:16" ht="17.25" customHeight="1" x14ac:dyDescent="0.2">
      <c r="A382" s="35" t="s">
        <v>973</v>
      </c>
      <c r="B382" s="35" t="s">
        <v>4182</v>
      </c>
      <c r="C382" s="35" t="s">
        <v>1410</v>
      </c>
      <c r="D382" s="35" t="s">
        <v>1410</v>
      </c>
      <c r="E382" s="2" t="str">
        <f t="shared" si="27"/>
        <v>b</v>
      </c>
      <c r="F382" s="2">
        <f t="shared" si="28"/>
        <v>2</v>
      </c>
      <c r="G382" s="2">
        <v>2002</v>
      </c>
      <c r="H382" s="2" t="str">
        <f t="shared" ref="H382:H398" si="33">_xlfn.CONCAT(E382,"capune")</f>
        <v>bcapune</v>
      </c>
      <c r="I382" s="2" t="s">
        <v>3399</v>
      </c>
      <c r="J382" s="2" t="s">
        <v>3394</v>
      </c>
      <c r="L382" s="2" t="s">
        <v>2024</v>
      </c>
      <c r="O382" s="2" t="s">
        <v>1127</v>
      </c>
      <c r="P382" s="2" t="s">
        <v>1127</v>
      </c>
    </row>
    <row r="383" spans="1:16" ht="17.25" customHeight="1" x14ac:dyDescent="0.2">
      <c r="A383" s="35" t="s">
        <v>973</v>
      </c>
      <c r="B383" s="35" t="s">
        <v>4182</v>
      </c>
      <c r="C383" s="35" t="s">
        <v>1410</v>
      </c>
      <c r="D383" s="35" t="s">
        <v>1410</v>
      </c>
      <c r="E383" s="2" t="str">
        <f t="shared" si="27"/>
        <v>c</v>
      </c>
      <c r="F383" s="2">
        <f t="shared" si="28"/>
        <v>3</v>
      </c>
      <c r="G383" s="2">
        <v>2003</v>
      </c>
      <c r="H383" s="2" t="str">
        <f t="shared" si="33"/>
        <v>ccapune</v>
      </c>
      <c r="I383" s="2" t="s">
        <v>3399</v>
      </c>
      <c r="J383" s="2" t="s">
        <v>3394</v>
      </c>
      <c r="L383" s="2" t="s">
        <v>2024</v>
      </c>
      <c r="O383" s="2" t="s">
        <v>1127</v>
      </c>
      <c r="P383" s="2" t="s">
        <v>1127</v>
      </c>
    </row>
    <row r="384" spans="1:16" ht="17.25" customHeight="1" x14ac:dyDescent="0.2">
      <c r="A384" s="35" t="s">
        <v>973</v>
      </c>
      <c r="B384" s="35" t="s">
        <v>4182</v>
      </c>
      <c r="C384" s="35" t="s">
        <v>1410</v>
      </c>
      <c r="D384" s="35" t="s">
        <v>1410</v>
      </c>
      <c r="E384" s="2" t="str">
        <f t="shared" si="27"/>
        <v>d</v>
      </c>
      <c r="F384" s="2">
        <f t="shared" si="28"/>
        <v>4</v>
      </c>
      <c r="G384" s="2">
        <v>2004</v>
      </c>
      <c r="H384" s="2" t="str">
        <f t="shared" si="33"/>
        <v>dcapune</v>
      </c>
      <c r="I384" s="2" t="s">
        <v>3399</v>
      </c>
      <c r="J384" s="2" t="s">
        <v>3394</v>
      </c>
      <c r="L384" s="2" t="s">
        <v>2024</v>
      </c>
      <c r="O384" s="2" t="s">
        <v>1127</v>
      </c>
      <c r="P384" s="2" t="s">
        <v>1127</v>
      </c>
    </row>
    <row r="385" spans="1:16" ht="17.25" customHeight="1" x14ac:dyDescent="0.2">
      <c r="A385" s="35" t="s">
        <v>973</v>
      </c>
      <c r="B385" s="35" t="s">
        <v>4182</v>
      </c>
      <c r="C385" s="35" t="s">
        <v>1410</v>
      </c>
      <c r="D385" s="35" t="s">
        <v>1410</v>
      </c>
      <c r="E385" s="2" t="str">
        <f t="shared" si="27"/>
        <v>e</v>
      </c>
      <c r="F385" s="2">
        <f t="shared" si="28"/>
        <v>5</v>
      </c>
      <c r="G385" s="2">
        <v>2005</v>
      </c>
      <c r="H385" s="2" t="str">
        <f t="shared" si="33"/>
        <v>ecapune</v>
      </c>
      <c r="I385" s="2" t="s">
        <v>3399</v>
      </c>
      <c r="J385" s="2" t="s">
        <v>3394</v>
      </c>
      <c r="L385" s="2" t="s">
        <v>2024</v>
      </c>
      <c r="O385" s="2" t="s">
        <v>1127</v>
      </c>
      <c r="P385" s="2" t="s">
        <v>1127</v>
      </c>
    </row>
    <row r="386" spans="1:16" ht="17.25" customHeight="1" x14ac:dyDescent="0.2">
      <c r="A386" s="35" t="s">
        <v>973</v>
      </c>
      <c r="B386" s="35" t="s">
        <v>4182</v>
      </c>
      <c r="C386" s="35" t="s">
        <v>1410</v>
      </c>
      <c r="D386" s="35" t="s">
        <v>1410</v>
      </c>
      <c r="E386" s="2" t="str">
        <f t="shared" si="27"/>
        <v>f</v>
      </c>
      <c r="F386" s="2">
        <f t="shared" si="28"/>
        <v>6</v>
      </c>
      <c r="G386" s="2">
        <v>2006</v>
      </c>
      <c r="H386" s="2" t="str">
        <f t="shared" si="33"/>
        <v>fcapune</v>
      </c>
      <c r="I386" s="2" t="s">
        <v>3399</v>
      </c>
      <c r="J386" s="2" t="s">
        <v>3394</v>
      </c>
      <c r="L386" s="2" t="s">
        <v>2024</v>
      </c>
      <c r="O386" s="2" t="s">
        <v>1127</v>
      </c>
      <c r="P386" s="2" t="s">
        <v>1127</v>
      </c>
    </row>
    <row r="387" spans="1:16" ht="17.25" customHeight="1" x14ac:dyDescent="0.2">
      <c r="A387" s="35" t="s">
        <v>973</v>
      </c>
      <c r="B387" s="35" t="s">
        <v>4182</v>
      </c>
      <c r="C387" s="35" t="s">
        <v>1410</v>
      </c>
      <c r="D387" s="35" t="s">
        <v>1410</v>
      </c>
      <c r="E387" s="2" t="str">
        <f t="shared" si="27"/>
        <v>g</v>
      </c>
      <c r="F387" s="2">
        <f t="shared" si="28"/>
        <v>7</v>
      </c>
      <c r="G387" s="2">
        <v>2007</v>
      </c>
      <c r="H387" s="2" t="str">
        <f t="shared" si="33"/>
        <v>gcapune</v>
      </c>
      <c r="I387" s="2" t="s">
        <v>3399</v>
      </c>
      <c r="J387" s="2" t="s">
        <v>3394</v>
      </c>
      <c r="L387" s="2" t="s">
        <v>2024</v>
      </c>
      <c r="O387" s="2" t="s">
        <v>1127</v>
      </c>
      <c r="P387" s="2" t="s">
        <v>1127</v>
      </c>
    </row>
    <row r="388" spans="1:16" ht="17.25" customHeight="1" x14ac:dyDescent="0.2">
      <c r="A388" s="35" t="s">
        <v>973</v>
      </c>
      <c r="B388" s="35" t="s">
        <v>4182</v>
      </c>
      <c r="C388" s="35" t="s">
        <v>1410</v>
      </c>
      <c r="D388" s="35" t="s">
        <v>1410</v>
      </c>
      <c r="E388" s="2" t="str">
        <f t="shared" si="27"/>
        <v>h</v>
      </c>
      <c r="F388" s="2">
        <f t="shared" si="28"/>
        <v>8</v>
      </c>
      <c r="G388" s="2">
        <v>2008</v>
      </c>
      <c r="H388" s="2" t="str">
        <f t="shared" si="33"/>
        <v>hcapune</v>
      </c>
      <c r="I388" s="2" t="s">
        <v>3399</v>
      </c>
      <c r="J388" s="2" t="s">
        <v>3394</v>
      </c>
      <c r="L388" s="2" t="s">
        <v>2024</v>
      </c>
      <c r="O388" s="2" t="s">
        <v>1127</v>
      </c>
      <c r="P388" s="2" t="s">
        <v>1127</v>
      </c>
    </row>
    <row r="389" spans="1:16" ht="17.25" customHeight="1" x14ac:dyDescent="0.2">
      <c r="A389" s="35" t="s">
        <v>973</v>
      </c>
      <c r="B389" s="35" t="s">
        <v>4182</v>
      </c>
      <c r="C389" s="35" t="s">
        <v>1410</v>
      </c>
      <c r="D389" s="35" t="s">
        <v>1410</v>
      </c>
      <c r="E389" s="2" t="str">
        <f t="shared" si="27"/>
        <v>i</v>
      </c>
      <c r="F389" s="2">
        <f t="shared" si="28"/>
        <v>9</v>
      </c>
      <c r="G389" s="2">
        <v>2009</v>
      </c>
      <c r="H389" s="2" t="str">
        <f t="shared" si="33"/>
        <v>icapune</v>
      </c>
      <c r="I389" s="2" t="s">
        <v>3399</v>
      </c>
      <c r="J389" s="2" t="s">
        <v>3394</v>
      </c>
      <c r="L389" s="2" t="s">
        <v>2024</v>
      </c>
      <c r="O389" s="2" t="s">
        <v>1127</v>
      </c>
      <c r="P389" s="2" t="s">
        <v>1127</v>
      </c>
    </row>
    <row r="390" spans="1:16" ht="17.25" customHeight="1" x14ac:dyDescent="0.2">
      <c r="A390" s="35" t="s">
        <v>973</v>
      </c>
      <c r="B390" s="35" t="s">
        <v>4182</v>
      </c>
      <c r="C390" s="35" t="s">
        <v>1410</v>
      </c>
      <c r="D390" s="35" t="s">
        <v>1410</v>
      </c>
      <c r="E390" s="2" t="str">
        <f t="shared" si="27"/>
        <v>j</v>
      </c>
      <c r="F390" s="2">
        <f t="shared" si="28"/>
        <v>10</v>
      </c>
      <c r="G390" s="2">
        <v>2010</v>
      </c>
      <c r="H390" s="2" t="str">
        <f t="shared" si="33"/>
        <v>jcapune</v>
      </c>
      <c r="I390" s="2" t="s">
        <v>3399</v>
      </c>
      <c r="J390" s="2" t="s">
        <v>3394</v>
      </c>
      <c r="L390" s="2" t="s">
        <v>2024</v>
      </c>
      <c r="O390" s="2" t="s">
        <v>1127</v>
      </c>
      <c r="P390" s="2" t="s">
        <v>1127</v>
      </c>
    </row>
    <row r="391" spans="1:16" ht="17.25" customHeight="1" x14ac:dyDescent="0.2">
      <c r="A391" s="35" t="s">
        <v>973</v>
      </c>
      <c r="B391" s="35" t="s">
        <v>4182</v>
      </c>
      <c r="C391" s="35" t="s">
        <v>1410</v>
      </c>
      <c r="D391" s="35" t="s">
        <v>1410</v>
      </c>
      <c r="E391" s="2" t="str">
        <f t="shared" si="27"/>
        <v>k</v>
      </c>
      <c r="F391" s="2">
        <f t="shared" si="28"/>
        <v>11</v>
      </c>
      <c r="G391" s="2">
        <v>2011</v>
      </c>
      <c r="H391" s="2" t="str">
        <f t="shared" si="33"/>
        <v>kcapune</v>
      </c>
      <c r="I391" s="2" t="s">
        <v>3399</v>
      </c>
      <c r="J391" s="2" t="s">
        <v>3394</v>
      </c>
      <c r="L391" s="2" t="s">
        <v>2024</v>
      </c>
      <c r="O391" s="2" t="s">
        <v>1127</v>
      </c>
      <c r="P391" s="2" t="s">
        <v>1127</v>
      </c>
    </row>
    <row r="392" spans="1:16" ht="17.25" customHeight="1" x14ac:dyDescent="0.2">
      <c r="A392" s="35" t="s">
        <v>973</v>
      </c>
      <c r="B392" s="35" t="s">
        <v>4182</v>
      </c>
      <c r="C392" s="35" t="s">
        <v>1410</v>
      </c>
      <c r="D392" s="35" t="s">
        <v>1410</v>
      </c>
      <c r="E392" s="2" t="str">
        <f t="shared" si="27"/>
        <v>l</v>
      </c>
      <c r="F392" s="2">
        <f t="shared" si="28"/>
        <v>12</v>
      </c>
      <c r="G392" s="2">
        <v>2012</v>
      </c>
      <c r="H392" s="2" t="str">
        <f t="shared" si="33"/>
        <v>lcapune</v>
      </c>
      <c r="I392" s="2" t="s">
        <v>3399</v>
      </c>
      <c r="J392" s="2" t="s">
        <v>3394</v>
      </c>
      <c r="L392" s="2" t="s">
        <v>2024</v>
      </c>
      <c r="O392" s="2" t="s">
        <v>1127</v>
      </c>
      <c r="P392" s="2" t="s">
        <v>1127</v>
      </c>
    </row>
    <row r="393" spans="1:16" ht="17.25" customHeight="1" x14ac:dyDescent="0.2">
      <c r="A393" s="35" t="s">
        <v>973</v>
      </c>
      <c r="B393" s="35" t="s">
        <v>4182</v>
      </c>
      <c r="C393" s="35" t="s">
        <v>1410</v>
      </c>
      <c r="D393" s="35" t="s">
        <v>1410</v>
      </c>
      <c r="E393" s="2" t="str">
        <f t="shared" si="27"/>
        <v>m</v>
      </c>
      <c r="F393" s="2">
        <f t="shared" si="28"/>
        <v>13</v>
      </c>
      <c r="G393" s="2">
        <v>2013</v>
      </c>
      <c r="H393" s="2" t="str">
        <f t="shared" si="33"/>
        <v>mcapune</v>
      </c>
      <c r="I393" s="2" t="s">
        <v>3399</v>
      </c>
      <c r="J393" s="2" t="s">
        <v>3394</v>
      </c>
      <c r="L393" s="2" t="s">
        <v>2024</v>
      </c>
      <c r="O393" s="2" t="s">
        <v>1127</v>
      </c>
      <c r="P393" s="2" t="s">
        <v>1127</v>
      </c>
    </row>
    <row r="394" spans="1:16" ht="17.25" customHeight="1" x14ac:dyDescent="0.2">
      <c r="A394" s="35" t="s">
        <v>973</v>
      </c>
      <c r="B394" s="35" t="s">
        <v>4182</v>
      </c>
      <c r="C394" s="35" t="s">
        <v>1410</v>
      </c>
      <c r="D394" s="35" t="s">
        <v>1410</v>
      </c>
      <c r="E394" s="2" t="str">
        <f t="shared" si="27"/>
        <v>n</v>
      </c>
      <c r="F394" s="2">
        <f t="shared" si="28"/>
        <v>14</v>
      </c>
      <c r="G394" s="2">
        <v>2014</v>
      </c>
      <c r="H394" s="2" t="str">
        <f t="shared" si="33"/>
        <v>ncapune</v>
      </c>
      <c r="I394" s="2" t="s">
        <v>3399</v>
      </c>
      <c r="J394" s="2" t="s">
        <v>3394</v>
      </c>
      <c r="L394" s="2" t="s">
        <v>2024</v>
      </c>
      <c r="O394" s="2" t="s">
        <v>1127</v>
      </c>
      <c r="P394" s="2" t="s">
        <v>1127</v>
      </c>
    </row>
    <row r="395" spans="1:16" ht="17.25" customHeight="1" x14ac:dyDescent="0.2">
      <c r="A395" s="35" t="s">
        <v>973</v>
      </c>
      <c r="B395" s="35" t="s">
        <v>4182</v>
      </c>
      <c r="C395" s="35" t="s">
        <v>1410</v>
      </c>
      <c r="D395" s="35" t="s">
        <v>1410</v>
      </c>
      <c r="E395" s="2" t="str">
        <f t="shared" si="27"/>
        <v>o</v>
      </c>
      <c r="F395" s="2">
        <f t="shared" si="28"/>
        <v>15</v>
      </c>
      <c r="G395" s="2">
        <v>2015</v>
      </c>
      <c r="H395" s="2" t="str">
        <f t="shared" si="33"/>
        <v>ocapune</v>
      </c>
      <c r="I395" s="2" t="s">
        <v>3399</v>
      </c>
      <c r="J395" s="2" t="s">
        <v>3394</v>
      </c>
      <c r="L395" s="2" t="s">
        <v>2024</v>
      </c>
      <c r="O395" s="2" t="s">
        <v>1127</v>
      </c>
      <c r="P395" s="2" t="s">
        <v>1127</v>
      </c>
    </row>
    <row r="396" spans="1:16" ht="17.25" customHeight="1" x14ac:dyDescent="0.2">
      <c r="A396" s="35" t="s">
        <v>973</v>
      </c>
      <c r="B396" s="35" t="s">
        <v>4182</v>
      </c>
      <c r="C396" s="35" t="s">
        <v>1410</v>
      </c>
      <c r="D396" s="35" t="s">
        <v>1410</v>
      </c>
      <c r="E396" s="2" t="str">
        <f t="shared" si="27"/>
        <v>p</v>
      </c>
      <c r="F396" s="2">
        <f t="shared" si="28"/>
        <v>16</v>
      </c>
      <c r="G396" s="2">
        <v>2016</v>
      </c>
      <c r="H396" s="2" t="str">
        <f t="shared" si="33"/>
        <v>pcapune</v>
      </c>
      <c r="I396" s="2" t="s">
        <v>3399</v>
      </c>
      <c r="J396" s="2" t="s">
        <v>3394</v>
      </c>
      <c r="L396" s="2" t="s">
        <v>2024</v>
      </c>
      <c r="O396" s="2" t="s">
        <v>1127</v>
      </c>
      <c r="P396" s="2" t="s">
        <v>1127</v>
      </c>
    </row>
    <row r="397" spans="1:16" ht="17.25" customHeight="1" x14ac:dyDescent="0.2">
      <c r="A397" s="35" t="s">
        <v>973</v>
      </c>
      <c r="B397" s="35" t="s">
        <v>4182</v>
      </c>
      <c r="C397" s="35" t="s">
        <v>1410</v>
      </c>
      <c r="D397" s="35" t="s">
        <v>1410</v>
      </c>
      <c r="E397" s="2" t="str">
        <f t="shared" si="27"/>
        <v>q</v>
      </c>
      <c r="F397" s="2">
        <f t="shared" si="28"/>
        <v>17</v>
      </c>
      <c r="G397" s="2">
        <v>2017</v>
      </c>
      <c r="H397" s="2" t="str">
        <f t="shared" ref="H397" si="34">_xlfn.CONCAT(E397,"capune")</f>
        <v>qcapune</v>
      </c>
      <c r="I397" s="2" t="s">
        <v>3399</v>
      </c>
      <c r="J397" s="2" t="s">
        <v>3394</v>
      </c>
      <c r="L397" s="2" t="s">
        <v>2024</v>
      </c>
      <c r="O397" s="2" t="s">
        <v>1127</v>
      </c>
      <c r="P397" s="2" t="s">
        <v>1127</v>
      </c>
    </row>
    <row r="398" spans="1:16" ht="17.25" customHeight="1" x14ac:dyDescent="0.2">
      <c r="A398" s="35" t="s">
        <v>973</v>
      </c>
      <c r="B398" s="35" t="s">
        <v>4182</v>
      </c>
      <c r="C398" s="35" t="s">
        <v>1410</v>
      </c>
      <c r="D398" s="35" t="s">
        <v>1410</v>
      </c>
      <c r="E398" s="2" t="str">
        <f t="shared" si="27"/>
        <v>r</v>
      </c>
      <c r="F398" s="2">
        <f t="shared" si="28"/>
        <v>18</v>
      </c>
      <c r="G398" s="2">
        <v>2018</v>
      </c>
      <c r="H398" s="2" t="str">
        <f t="shared" si="33"/>
        <v>rcapune</v>
      </c>
      <c r="I398" s="2" t="s">
        <v>3399</v>
      </c>
      <c r="J398" s="2" t="s">
        <v>3394</v>
      </c>
      <c r="L398" s="2" t="s">
        <v>2024</v>
      </c>
      <c r="O398" s="2" t="s">
        <v>1127</v>
      </c>
      <c r="P398" s="2" t="s">
        <v>1127</v>
      </c>
    </row>
    <row r="399" spans="1:16" ht="17.25" customHeight="1" x14ac:dyDescent="0.2">
      <c r="A399" s="28" t="s">
        <v>973</v>
      </c>
      <c r="B399" s="28" t="s">
        <v>4182</v>
      </c>
      <c r="C399" s="28" t="s">
        <v>1629</v>
      </c>
      <c r="D399" s="28" t="s">
        <v>1629</v>
      </c>
      <c r="E399" s="2" t="str">
        <f t="shared" si="27"/>
        <v>c</v>
      </c>
      <c r="F399" s="2">
        <f t="shared" si="28"/>
        <v>3</v>
      </c>
      <c r="G399" s="2">
        <v>2003</v>
      </c>
      <c r="H399" s="2" t="s">
        <v>3400</v>
      </c>
      <c r="I399" s="2" t="s">
        <v>3401</v>
      </c>
      <c r="J399" s="2" t="s">
        <v>3402</v>
      </c>
      <c r="L399" s="2" t="s">
        <v>8</v>
      </c>
      <c r="O399" s="2" t="s">
        <v>2175</v>
      </c>
      <c r="P399" s="2" t="s">
        <v>1127</v>
      </c>
    </row>
    <row r="400" spans="1:16" ht="17.25" customHeight="1" x14ac:dyDescent="0.2">
      <c r="A400" s="28" t="s">
        <v>973</v>
      </c>
      <c r="B400" s="28" t="s">
        <v>4182</v>
      </c>
      <c r="C400" s="28" t="s">
        <v>1629</v>
      </c>
      <c r="D400" s="28" t="s">
        <v>1629</v>
      </c>
      <c r="E400" s="2" t="str">
        <f t="shared" si="27"/>
        <v>d</v>
      </c>
      <c r="F400" s="2">
        <f t="shared" si="28"/>
        <v>4</v>
      </c>
      <c r="G400" s="2">
        <v>2004</v>
      </c>
      <c r="H400" s="2" t="s">
        <v>3403</v>
      </c>
      <c r="I400" s="2" t="s">
        <v>3401</v>
      </c>
      <c r="J400" s="2" t="s">
        <v>3402</v>
      </c>
      <c r="L400" s="2" t="s">
        <v>8</v>
      </c>
      <c r="O400" s="2" t="s">
        <v>2175</v>
      </c>
      <c r="P400" s="2" t="s">
        <v>1127</v>
      </c>
    </row>
    <row r="401" spans="1:16" ht="17.25" customHeight="1" x14ac:dyDescent="0.2">
      <c r="A401" s="28" t="s">
        <v>973</v>
      </c>
      <c r="B401" s="28" t="s">
        <v>4182</v>
      </c>
      <c r="C401" s="28" t="s">
        <v>1629</v>
      </c>
      <c r="D401" s="28" t="s">
        <v>1629</v>
      </c>
      <c r="E401" s="2" t="str">
        <f t="shared" si="27"/>
        <v>e</v>
      </c>
      <c r="F401" s="2">
        <f t="shared" si="28"/>
        <v>5</v>
      </c>
      <c r="G401" s="2">
        <v>2005</v>
      </c>
      <c r="H401" s="2" t="s">
        <v>3404</v>
      </c>
      <c r="I401" s="2" t="s">
        <v>3401</v>
      </c>
      <c r="J401" s="2" t="s">
        <v>3402</v>
      </c>
      <c r="L401" s="2" t="s">
        <v>8</v>
      </c>
      <c r="O401" s="2" t="s">
        <v>2175</v>
      </c>
      <c r="P401" s="2" t="s">
        <v>1127</v>
      </c>
    </row>
    <row r="402" spans="1:16" ht="17.25" customHeight="1" x14ac:dyDescent="0.2">
      <c r="A402" s="28" t="s">
        <v>973</v>
      </c>
      <c r="B402" s="28" t="s">
        <v>4182</v>
      </c>
      <c r="C402" s="28" t="s">
        <v>1629</v>
      </c>
      <c r="D402" s="28" t="s">
        <v>1629</v>
      </c>
      <c r="E402" s="2" t="str">
        <f t="shared" si="27"/>
        <v>f</v>
      </c>
      <c r="F402" s="2">
        <f t="shared" si="28"/>
        <v>6</v>
      </c>
      <c r="G402" s="2">
        <v>2006</v>
      </c>
      <c r="H402" s="2" t="s">
        <v>3405</v>
      </c>
      <c r="I402" s="2" t="s">
        <v>3401</v>
      </c>
      <c r="J402" s="2" t="s">
        <v>3402</v>
      </c>
      <c r="L402" s="2" t="s">
        <v>8</v>
      </c>
      <c r="O402" s="2" t="s">
        <v>2175</v>
      </c>
      <c r="P402" s="2" t="s">
        <v>1127</v>
      </c>
    </row>
    <row r="403" spans="1:16" ht="17.25" customHeight="1" x14ac:dyDescent="0.2">
      <c r="A403" s="28" t="s">
        <v>973</v>
      </c>
      <c r="B403" s="28" t="s">
        <v>4182</v>
      </c>
      <c r="C403" s="28" t="s">
        <v>1629</v>
      </c>
      <c r="D403" s="28" t="s">
        <v>1629</v>
      </c>
      <c r="E403" s="2" t="str">
        <f t="shared" si="27"/>
        <v>g</v>
      </c>
      <c r="F403" s="2">
        <f t="shared" si="28"/>
        <v>7</v>
      </c>
      <c r="G403" s="2">
        <v>2007</v>
      </c>
      <c r="H403" s="2" t="s">
        <v>3406</v>
      </c>
      <c r="I403" s="2" t="s">
        <v>3401</v>
      </c>
      <c r="J403" s="2" t="s">
        <v>3402</v>
      </c>
      <c r="L403" s="2" t="s">
        <v>8</v>
      </c>
      <c r="O403" s="2" t="s">
        <v>2175</v>
      </c>
      <c r="P403" s="2" t="s">
        <v>1127</v>
      </c>
    </row>
    <row r="404" spans="1:16" ht="17.25" customHeight="1" x14ac:dyDescent="0.2">
      <c r="A404" s="28" t="s">
        <v>973</v>
      </c>
      <c r="B404" s="28" t="s">
        <v>4182</v>
      </c>
      <c r="C404" s="28" t="s">
        <v>1629</v>
      </c>
      <c r="D404" s="28" t="s">
        <v>1629</v>
      </c>
      <c r="E404" s="2" t="str">
        <f t="shared" ref="E404:E467" si="35">MID("abcdefghijklmnopqrstuvwxyz",F404,1)</f>
        <v>h</v>
      </c>
      <c r="F404" s="2">
        <f t="shared" ref="F404:F467" si="36">G404-2000</f>
        <v>8</v>
      </c>
      <c r="G404" s="2">
        <v>2008</v>
      </c>
      <c r="H404" s="2" t="s">
        <v>3407</v>
      </c>
      <c r="I404" s="2" t="s">
        <v>3401</v>
      </c>
      <c r="J404" s="2" t="s">
        <v>3402</v>
      </c>
      <c r="L404" s="2" t="s">
        <v>8</v>
      </c>
      <c r="O404" s="2" t="s">
        <v>2175</v>
      </c>
      <c r="P404" s="2" t="s">
        <v>1127</v>
      </c>
    </row>
    <row r="405" spans="1:16" ht="17.25" customHeight="1" x14ac:dyDescent="0.2">
      <c r="A405" s="28" t="s">
        <v>973</v>
      </c>
      <c r="B405" s="28" t="s">
        <v>4182</v>
      </c>
      <c r="C405" s="28" t="s">
        <v>1629</v>
      </c>
      <c r="D405" s="28" t="s">
        <v>1629</v>
      </c>
      <c r="E405" s="2" t="str">
        <f t="shared" si="35"/>
        <v>i</v>
      </c>
      <c r="F405" s="2">
        <f t="shared" si="36"/>
        <v>9</v>
      </c>
      <c r="G405" s="2">
        <v>2009</v>
      </c>
      <c r="H405" s="2" t="s">
        <v>3408</v>
      </c>
      <c r="I405" s="2" t="s">
        <v>3401</v>
      </c>
      <c r="J405" s="2" t="s">
        <v>3402</v>
      </c>
      <c r="L405" s="2" t="s">
        <v>8</v>
      </c>
      <c r="O405" s="2" t="s">
        <v>2175</v>
      </c>
      <c r="P405" s="2" t="s">
        <v>1127</v>
      </c>
    </row>
    <row r="406" spans="1:16" ht="17.25" customHeight="1" x14ac:dyDescent="0.2">
      <c r="A406" s="28" t="s">
        <v>973</v>
      </c>
      <c r="B406" s="28" t="s">
        <v>4182</v>
      </c>
      <c r="C406" s="28" t="s">
        <v>1629</v>
      </c>
      <c r="D406" s="28" t="s">
        <v>1629</v>
      </c>
      <c r="E406" s="2" t="str">
        <f t="shared" si="35"/>
        <v>j</v>
      </c>
      <c r="F406" s="2">
        <f t="shared" si="36"/>
        <v>10</v>
      </c>
      <c r="G406" s="2">
        <v>2010</v>
      </c>
      <c r="H406" s="2" t="s">
        <v>3409</v>
      </c>
      <c r="I406" s="2" t="s">
        <v>3401</v>
      </c>
      <c r="J406" s="2" t="s">
        <v>3402</v>
      </c>
      <c r="L406" s="2" t="s">
        <v>8</v>
      </c>
      <c r="O406" s="2" t="s">
        <v>2175</v>
      </c>
      <c r="P406" s="2" t="s">
        <v>1127</v>
      </c>
    </row>
    <row r="407" spans="1:16" ht="17.25" customHeight="1" x14ac:dyDescent="0.2">
      <c r="A407" s="28" t="s">
        <v>973</v>
      </c>
      <c r="B407" s="28" t="s">
        <v>4182</v>
      </c>
      <c r="C407" s="28" t="s">
        <v>1629</v>
      </c>
      <c r="D407" s="28" t="s">
        <v>1629</v>
      </c>
      <c r="E407" s="2" t="str">
        <f t="shared" si="35"/>
        <v>k</v>
      </c>
      <c r="F407" s="2">
        <f t="shared" si="36"/>
        <v>11</v>
      </c>
      <c r="G407" s="2">
        <v>2011</v>
      </c>
      <c r="H407" s="2" t="s">
        <v>3410</v>
      </c>
      <c r="I407" s="2" t="s">
        <v>3401</v>
      </c>
      <c r="J407" s="2" t="s">
        <v>3402</v>
      </c>
      <c r="L407" s="2" t="s">
        <v>8</v>
      </c>
      <c r="O407" s="2" t="s">
        <v>2175</v>
      </c>
      <c r="P407" s="2" t="s">
        <v>1127</v>
      </c>
    </row>
    <row r="408" spans="1:16" ht="17.25" customHeight="1" x14ac:dyDescent="0.2">
      <c r="A408" s="28" t="s">
        <v>973</v>
      </c>
      <c r="B408" s="28" t="s">
        <v>4182</v>
      </c>
      <c r="C408" s="28" t="s">
        <v>1629</v>
      </c>
      <c r="D408" s="28" t="s">
        <v>1629</v>
      </c>
      <c r="E408" s="2" t="str">
        <f t="shared" si="35"/>
        <v>l</v>
      </c>
      <c r="F408" s="2">
        <f t="shared" si="36"/>
        <v>12</v>
      </c>
      <c r="G408" s="2">
        <v>2012</v>
      </c>
      <c r="H408" s="2" t="s">
        <v>3411</v>
      </c>
      <c r="I408" s="2" t="s">
        <v>3401</v>
      </c>
      <c r="J408" s="2" t="s">
        <v>3402</v>
      </c>
      <c r="L408" s="2" t="s">
        <v>8</v>
      </c>
      <c r="O408" s="2" t="s">
        <v>2175</v>
      </c>
      <c r="P408" s="2" t="s">
        <v>1127</v>
      </c>
    </row>
    <row r="409" spans="1:16" ht="17.25" customHeight="1" x14ac:dyDescent="0.2">
      <c r="A409" s="28" t="s">
        <v>973</v>
      </c>
      <c r="B409" s="28" t="s">
        <v>4182</v>
      </c>
      <c r="C409" s="28" t="s">
        <v>1629</v>
      </c>
      <c r="D409" s="28" t="s">
        <v>1629</v>
      </c>
      <c r="E409" s="2" t="str">
        <f t="shared" si="35"/>
        <v>m</v>
      </c>
      <c r="F409" s="2">
        <f t="shared" si="36"/>
        <v>13</v>
      </c>
      <c r="G409" s="2">
        <v>2013</v>
      </c>
      <c r="H409" s="2" t="s">
        <v>3412</v>
      </c>
      <c r="I409" s="2" t="s">
        <v>3401</v>
      </c>
      <c r="J409" s="2" t="s">
        <v>3402</v>
      </c>
      <c r="L409" s="2" t="s">
        <v>8</v>
      </c>
      <c r="O409" s="2" t="s">
        <v>2175</v>
      </c>
      <c r="P409" s="2" t="s">
        <v>1127</v>
      </c>
    </row>
    <row r="410" spans="1:16" ht="17.25" customHeight="1" x14ac:dyDescent="0.2">
      <c r="A410" s="28" t="s">
        <v>973</v>
      </c>
      <c r="B410" s="28" t="s">
        <v>4182</v>
      </c>
      <c r="C410" s="28" t="s">
        <v>1629</v>
      </c>
      <c r="D410" s="28" t="s">
        <v>1629</v>
      </c>
      <c r="E410" s="2" t="str">
        <f t="shared" si="35"/>
        <v>n</v>
      </c>
      <c r="F410" s="2">
        <f t="shared" si="36"/>
        <v>14</v>
      </c>
      <c r="G410" s="2">
        <v>2014</v>
      </c>
      <c r="H410" s="2" t="s">
        <v>3413</v>
      </c>
      <c r="I410" s="2" t="s">
        <v>3401</v>
      </c>
      <c r="J410" s="2" t="s">
        <v>3402</v>
      </c>
      <c r="L410" s="2" t="s">
        <v>8</v>
      </c>
      <c r="O410" s="2" t="s">
        <v>2175</v>
      </c>
      <c r="P410" s="2" t="s">
        <v>1127</v>
      </c>
    </row>
    <row r="411" spans="1:16" ht="17.25" customHeight="1" x14ac:dyDescent="0.2">
      <c r="A411" s="28" t="s">
        <v>973</v>
      </c>
      <c r="B411" s="28" t="s">
        <v>4182</v>
      </c>
      <c r="C411" s="28" t="s">
        <v>1629</v>
      </c>
      <c r="D411" s="28" t="s">
        <v>1629</v>
      </c>
      <c r="E411" s="2" t="str">
        <f t="shared" si="35"/>
        <v>o</v>
      </c>
      <c r="F411" s="2">
        <f t="shared" si="36"/>
        <v>15</v>
      </c>
      <c r="G411" s="2">
        <v>2015</v>
      </c>
      <c r="H411" s="2" t="s">
        <v>3414</v>
      </c>
      <c r="I411" s="2" t="s">
        <v>3401</v>
      </c>
      <c r="J411" s="2" t="s">
        <v>3402</v>
      </c>
      <c r="L411" s="2" t="s">
        <v>8</v>
      </c>
      <c r="O411" s="2" t="s">
        <v>2175</v>
      </c>
      <c r="P411" s="2" t="s">
        <v>1127</v>
      </c>
    </row>
    <row r="412" spans="1:16" ht="17.25" customHeight="1" x14ac:dyDescent="0.2">
      <c r="A412" s="28" t="s">
        <v>973</v>
      </c>
      <c r="B412" s="28" t="s">
        <v>4182</v>
      </c>
      <c r="C412" s="28" t="s">
        <v>1629</v>
      </c>
      <c r="D412" s="28" t="s">
        <v>1629</v>
      </c>
      <c r="E412" s="2" t="str">
        <f t="shared" si="35"/>
        <v>p</v>
      </c>
      <c r="F412" s="2">
        <f t="shared" si="36"/>
        <v>16</v>
      </c>
      <c r="G412" s="2">
        <v>2016</v>
      </c>
      <c r="H412" s="2" t="s">
        <v>3415</v>
      </c>
      <c r="I412" s="2" t="s">
        <v>3401</v>
      </c>
      <c r="J412" s="2" t="s">
        <v>3402</v>
      </c>
      <c r="L412" s="2" t="s">
        <v>8</v>
      </c>
      <c r="O412" s="2" t="s">
        <v>2175</v>
      </c>
      <c r="P412" s="2" t="s">
        <v>1127</v>
      </c>
    </row>
    <row r="413" spans="1:16" ht="17.25" customHeight="1" x14ac:dyDescent="0.2">
      <c r="A413" s="28" t="s">
        <v>973</v>
      </c>
      <c r="B413" s="28" t="s">
        <v>4182</v>
      </c>
      <c r="C413" s="28" t="s">
        <v>1629</v>
      </c>
      <c r="D413" s="28" t="s">
        <v>1629</v>
      </c>
      <c r="E413" s="2" t="str">
        <f t="shared" si="35"/>
        <v>q</v>
      </c>
      <c r="F413" s="2">
        <f t="shared" si="36"/>
        <v>17</v>
      </c>
      <c r="G413" s="2">
        <v>2017</v>
      </c>
      <c r="H413" s="2" t="s">
        <v>3416</v>
      </c>
      <c r="I413" s="2" t="s">
        <v>3401</v>
      </c>
      <c r="J413" s="2" t="s">
        <v>3402</v>
      </c>
      <c r="L413" s="2" t="s">
        <v>8</v>
      </c>
      <c r="O413" s="2" t="s">
        <v>2175</v>
      </c>
      <c r="P413" s="2" t="s">
        <v>1127</v>
      </c>
    </row>
    <row r="414" spans="1:16" ht="17.25" customHeight="1" x14ac:dyDescent="0.2">
      <c r="A414" s="28" t="s">
        <v>973</v>
      </c>
      <c r="B414" s="28" t="s">
        <v>4182</v>
      </c>
      <c r="C414" s="28" t="s">
        <v>1629</v>
      </c>
      <c r="D414" s="28" t="s">
        <v>1629</v>
      </c>
      <c r="E414" s="2" t="str">
        <f t="shared" si="35"/>
        <v>r</v>
      </c>
      <c r="F414" s="2">
        <f t="shared" si="36"/>
        <v>18</v>
      </c>
      <c r="G414" s="2">
        <v>2018</v>
      </c>
      <c r="H414" s="2" t="s">
        <v>3418</v>
      </c>
      <c r="I414" s="2" t="s">
        <v>3401</v>
      </c>
      <c r="J414" s="2" t="s">
        <v>3402</v>
      </c>
      <c r="L414" s="2" t="s">
        <v>8</v>
      </c>
      <c r="O414" s="2" t="s">
        <v>2175</v>
      </c>
      <c r="P414" s="2" t="s">
        <v>1127</v>
      </c>
    </row>
    <row r="415" spans="1:16" ht="17.25" customHeight="1" x14ac:dyDescent="0.2">
      <c r="A415" s="28" t="s">
        <v>973</v>
      </c>
      <c r="B415" s="28" t="s">
        <v>4182</v>
      </c>
      <c r="C415" s="28" t="s">
        <v>1389</v>
      </c>
      <c r="D415" s="28" t="s">
        <v>3419</v>
      </c>
      <c r="E415" s="2" t="str">
        <f t="shared" si="35"/>
        <v>b</v>
      </c>
      <c r="F415" s="2">
        <f t="shared" si="36"/>
        <v>2</v>
      </c>
      <c r="G415" s="2">
        <v>2002</v>
      </c>
      <c r="H415" s="2" t="s">
        <v>3420</v>
      </c>
      <c r="I415" s="2" t="s">
        <v>3421</v>
      </c>
      <c r="J415" s="2" t="s">
        <v>3422</v>
      </c>
      <c r="L415" s="2" t="s">
        <v>606</v>
      </c>
      <c r="O415" s="2" t="s">
        <v>2175</v>
      </c>
      <c r="P415" s="2" t="s">
        <v>1127</v>
      </c>
    </row>
    <row r="416" spans="1:16" ht="17.25" customHeight="1" x14ac:dyDescent="0.2">
      <c r="A416" s="28" t="s">
        <v>973</v>
      </c>
      <c r="B416" s="28" t="s">
        <v>4182</v>
      </c>
      <c r="C416" s="28" t="s">
        <v>1389</v>
      </c>
      <c r="D416" s="28" t="s">
        <v>3419</v>
      </c>
      <c r="E416" s="2" t="str">
        <f t="shared" si="35"/>
        <v>c</v>
      </c>
      <c r="F416" s="2">
        <f t="shared" si="36"/>
        <v>3</v>
      </c>
      <c r="G416" s="2">
        <v>2003</v>
      </c>
      <c r="H416" s="2" t="s">
        <v>3423</v>
      </c>
      <c r="I416" s="2" t="s">
        <v>3421</v>
      </c>
      <c r="J416" s="2" t="s">
        <v>3422</v>
      </c>
      <c r="L416" s="2" t="s">
        <v>606</v>
      </c>
      <c r="O416" s="2" t="s">
        <v>2175</v>
      </c>
      <c r="P416" s="2" t="s">
        <v>1127</v>
      </c>
    </row>
    <row r="417" spans="1:16" ht="17.25" customHeight="1" x14ac:dyDescent="0.2">
      <c r="A417" s="28" t="s">
        <v>973</v>
      </c>
      <c r="B417" s="28" t="s">
        <v>4182</v>
      </c>
      <c r="C417" s="28" t="s">
        <v>1389</v>
      </c>
      <c r="D417" s="28" t="s">
        <v>3419</v>
      </c>
      <c r="E417" s="2" t="str">
        <f t="shared" si="35"/>
        <v>d</v>
      </c>
      <c r="F417" s="2">
        <f t="shared" si="36"/>
        <v>4</v>
      </c>
      <c r="G417" s="2">
        <v>2004</v>
      </c>
      <c r="H417" s="2" t="s">
        <v>3424</v>
      </c>
      <c r="I417" s="2" t="s">
        <v>3421</v>
      </c>
      <c r="J417" s="2" t="s">
        <v>3422</v>
      </c>
      <c r="L417" s="2" t="s">
        <v>606</v>
      </c>
      <c r="O417" s="2" t="s">
        <v>2175</v>
      </c>
      <c r="P417" s="2" t="s">
        <v>1127</v>
      </c>
    </row>
    <row r="418" spans="1:16" ht="17.25" customHeight="1" x14ac:dyDescent="0.2">
      <c r="A418" s="28" t="s">
        <v>973</v>
      </c>
      <c r="B418" s="28" t="s">
        <v>4182</v>
      </c>
      <c r="C418" s="28" t="s">
        <v>1389</v>
      </c>
      <c r="D418" s="28" t="s">
        <v>3419</v>
      </c>
      <c r="E418" s="2" t="str">
        <f t="shared" si="35"/>
        <v>e</v>
      </c>
      <c r="F418" s="2">
        <f t="shared" si="36"/>
        <v>5</v>
      </c>
      <c r="G418" s="2">
        <v>2005</v>
      </c>
      <c r="H418" s="2" t="s">
        <v>3425</v>
      </c>
      <c r="I418" s="2" t="s">
        <v>3421</v>
      </c>
      <c r="J418" s="2" t="s">
        <v>3422</v>
      </c>
      <c r="L418" s="2" t="s">
        <v>606</v>
      </c>
      <c r="O418" s="2" t="s">
        <v>2175</v>
      </c>
      <c r="P418" s="2" t="s">
        <v>1127</v>
      </c>
    </row>
    <row r="419" spans="1:16" ht="17.25" customHeight="1" x14ac:dyDescent="0.2">
      <c r="A419" s="28" t="s">
        <v>973</v>
      </c>
      <c r="B419" s="28" t="s">
        <v>4182</v>
      </c>
      <c r="C419" s="28" t="s">
        <v>1389</v>
      </c>
      <c r="D419" s="28" t="s">
        <v>3419</v>
      </c>
      <c r="E419" s="2" t="str">
        <f t="shared" si="35"/>
        <v>f</v>
      </c>
      <c r="F419" s="2">
        <f t="shared" si="36"/>
        <v>6</v>
      </c>
      <c r="G419" s="2">
        <v>2006</v>
      </c>
      <c r="H419" s="2" t="s">
        <v>3426</v>
      </c>
      <c r="I419" s="2" t="s">
        <v>3421</v>
      </c>
      <c r="J419" s="2" t="s">
        <v>3422</v>
      </c>
      <c r="L419" s="2" t="s">
        <v>606</v>
      </c>
      <c r="O419" s="2" t="s">
        <v>2175</v>
      </c>
      <c r="P419" s="2" t="s">
        <v>1127</v>
      </c>
    </row>
    <row r="420" spans="1:16" ht="17.25" customHeight="1" x14ac:dyDescent="0.2">
      <c r="A420" s="28" t="s">
        <v>973</v>
      </c>
      <c r="B420" s="28" t="s">
        <v>4182</v>
      </c>
      <c r="C420" s="28" t="s">
        <v>1389</v>
      </c>
      <c r="D420" s="28" t="s">
        <v>3419</v>
      </c>
      <c r="E420" s="2" t="str">
        <f t="shared" si="35"/>
        <v>g</v>
      </c>
      <c r="F420" s="2">
        <f t="shared" si="36"/>
        <v>7</v>
      </c>
      <c r="G420" s="2">
        <v>2007</v>
      </c>
      <c r="H420" s="2" t="s">
        <v>3427</v>
      </c>
      <c r="I420" s="2" t="s">
        <v>3421</v>
      </c>
      <c r="J420" s="2" t="s">
        <v>3422</v>
      </c>
      <c r="L420" s="2" t="s">
        <v>606</v>
      </c>
      <c r="O420" s="2" t="s">
        <v>2175</v>
      </c>
      <c r="P420" s="2" t="s">
        <v>1127</v>
      </c>
    </row>
    <row r="421" spans="1:16" ht="17.25" customHeight="1" x14ac:dyDescent="0.2">
      <c r="A421" s="28" t="s">
        <v>973</v>
      </c>
      <c r="B421" s="28" t="s">
        <v>4182</v>
      </c>
      <c r="C421" s="28" t="s">
        <v>1389</v>
      </c>
      <c r="D421" s="28" t="s">
        <v>3419</v>
      </c>
      <c r="E421" s="2" t="str">
        <f t="shared" si="35"/>
        <v>h</v>
      </c>
      <c r="F421" s="2">
        <f t="shared" si="36"/>
        <v>8</v>
      </c>
      <c r="G421" s="2">
        <v>2008</v>
      </c>
      <c r="H421" s="2" t="s">
        <v>3428</v>
      </c>
      <c r="I421" s="2" t="s">
        <v>3421</v>
      </c>
      <c r="J421" s="2" t="s">
        <v>3422</v>
      </c>
      <c r="L421" s="2" t="s">
        <v>606</v>
      </c>
      <c r="O421" s="2" t="s">
        <v>2175</v>
      </c>
      <c r="P421" s="2" t="s">
        <v>1127</v>
      </c>
    </row>
    <row r="422" spans="1:16" ht="17.25" customHeight="1" x14ac:dyDescent="0.2">
      <c r="A422" s="28" t="s">
        <v>973</v>
      </c>
      <c r="B422" s="28" t="s">
        <v>4182</v>
      </c>
      <c r="C422" s="28" t="s">
        <v>1389</v>
      </c>
      <c r="D422" s="28" t="s">
        <v>3419</v>
      </c>
      <c r="E422" s="2" t="str">
        <f t="shared" si="35"/>
        <v>i</v>
      </c>
      <c r="F422" s="2">
        <f t="shared" si="36"/>
        <v>9</v>
      </c>
      <c r="G422" s="2">
        <v>2009</v>
      </c>
      <c r="H422" s="2" t="s">
        <v>3429</v>
      </c>
      <c r="I422" s="2" t="s">
        <v>3421</v>
      </c>
      <c r="J422" s="2" t="s">
        <v>3422</v>
      </c>
      <c r="L422" s="2" t="s">
        <v>606</v>
      </c>
      <c r="O422" s="2" t="s">
        <v>2175</v>
      </c>
      <c r="P422" s="2" t="s">
        <v>1127</v>
      </c>
    </row>
    <row r="423" spans="1:16" ht="17.25" customHeight="1" x14ac:dyDescent="0.2">
      <c r="A423" s="28" t="s">
        <v>973</v>
      </c>
      <c r="B423" s="28" t="s">
        <v>4182</v>
      </c>
      <c r="C423" s="28" t="s">
        <v>1389</v>
      </c>
      <c r="D423" s="28" t="s">
        <v>3419</v>
      </c>
      <c r="E423" s="2" t="str">
        <f t="shared" si="35"/>
        <v>j</v>
      </c>
      <c r="F423" s="2">
        <f t="shared" si="36"/>
        <v>10</v>
      </c>
      <c r="G423" s="2">
        <v>2010</v>
      </c>
      <c r="H423" s="2" t="s">
        <v>3430</v>
      </c>
      <c r="I423" s="2" t="s">
        <v>3421</v>
      </c>
      <c r="J423" s="2" t="s">
        <v>3422</v>
      </c>
      <c r="L423" s="2" t="s">
        <v>606</v>
      </c>
      <c r="O423" s="2" t="s">
        <v>2175</v>
      </c>
      <c r="P423" s="2" t="s">
        <v>1127</v>
      </c>
    </row>
    <row r="424" spans="1:16" ht="17.25" customHeight="1" x14ac:dyDescent="0.2">
      <c r="A424" s="28" t="s">
        <v>973</v>
      </c>
      <c r="B424" s="28" t="s">
        <v>4182</v>
      </c>
      <c r="C424" s="28" t="s">
        <v>1389</v>
      </c>
      <c r="D424" s="28" t="s">
        <v>3419</v>
      </c>
      <c r="E424" s="2" t="str">
        <f t="shared" si="35"/>
        <v>k</v>
      </c>
      <c r="F424" s="2">
        <f t="shared" si="36"/>
        <v>11</v>
      </c>
      <c r="G424" s="2">
        <v>2011</v>
      </c>
      <c r="H424" s="2" t="s">
        <v>3431</v>
      </c>
      <c r="I424" s="2" t="s">
        <v>3421</v>
      </c>
      <c r="J424" s="2" t="s">
        <v>3422</v>
      </c>
      <c r="L424" s="2" t="s">
        <v>606</v>
      </c>
      <c r="O424" s="2" t="s">
        <v>2175</v>
      </c>
      <c r="P424" s="2" t="s">
        <v>1127</v>
      </c>
    </row>
    <row r="425" spans="1:16" ht="17.25" customHeight="1" x14ac:dyDescent="0.2">
      <c r="A425" s="28" t="s">
        <v>973</v>
      </c>
      <c r="B425" s="28" t="s">
        <v>4182</v>
      </c>
      <c r="C425" s="28" t="s">
        <v>1389</v>
      </c>
      <c r="D425" s="28" t="s">
        <v>3419</v>
      </c>
      <c r="E425" s="2" t="str">
        <f t="shared" si="35"/>
        <v>l</v>
      </c>
      <c r="F425" s="2">
        <f t="shared" si="36"/>
        <v>12</v>
      </c>
      <c r="G425" s="2">
        <v>2012</v>
      </c>
      <c r="H425" s="2" t="s">
        <v>3432</v>
      </c>
      <c r="I425" s="2" t="s">
        <v>3421</v>
      </c>
      <c r="J425" s="2" t="s">
        <v>3422</v>
      </c>
      <c r="L425" s="2" t="s">
        <v>606</v>
      </c>
      <c r="O425" s="2" t="s">
        <v>2175</v>
      </c>
      <c r="P425" s="2" t="s">
        <v>1127</v>
      </c>
    </row>
    <row r="426" spans="1:16" ht="17.25" customHeight="1" x14ac:dyDescent="0.2">
      <c r="A426" s="28" t="s">
        <v>973</v>
      </c>
      <c r="B426" s="28" t="s">
        <v>4182</v>
      </c>
      <c r="C426" s="28" t="s">
        <v>1389</v>
      </c>
      <c r="D426" s="28" t="s">
        <v>3419</v>
      </c>
      <c r="E426" s="2" t="str">
        <f t="shared" si="35"/>
        <v>m</v>
      </c>
      <c r="F426" s="2">
        <f t="shared" si="36"/>
        <v>13</v>
      </c>
      <c r="G426" s="2">
        <v>2013</v>
      </c>
      <c r="H426" s="2" t="s">
        <v>3433</v>
      </c>
      <c r="I426" s="2" t="s">
        <v>3421</v>
      </c>
      <c r="J426" s="2" t="s">
        <v>3422</v>
      </c>
      <c r="L426" s="2" t="s">
        <v>606</v>
      </c>
      <c r="O426" s="2" t="s">
        <v>2175</v>
      </c>
      <c r="P426" s="2" t="s">
        <v>1127</v>
      </c>
    </row>
    <row r="427" spans="1:16" ht="17.25" customHeight="1" x14ac:dyDescent="0.2">
      <c r="A427" s="28" t="s">
        <v>973</v>
      </c>
      <c r="B427" s="28" t="s">
        <v>4182</v>
      </c>
      <c r="C427" s="28" t="s">
        <v>1389</v>
      </c>
      <c r="D427" s="28" t="s">
        <v>3419</v>
      </c>
      <c r="E427" s="2" t="str">
        <f t="shared" si="35"/>
        <v>n</v>
      </c>
      <c r="F427" s="2">
        <f t="shared" si="36"/>
        <v>14</v>
      </c>
      <c r="G427" s="2">
        <v>2014</v>
      </c>
      <c r="H427" s="2" t="s">
        <v>3434</v>
      </c>
      <c r="I427" s="2" t="s">
        <v>3421</v>
      </c>
      <c r="J427" s="2" t="s">
        <v>3422</v>
      </c>
      <c r="L427" s="2" t="s">
        <v>606</v>
      </c>
      <c r="O427" s="2" t="s">
        <v>2175</v>
      </c>
      <c r="P427" s="2" t="s">
        <v>1127</v>
      </c>
    </row>
    <row r="428" spans="1:16" ht="17.25" customHeight="1" x14ac:dyDescent="0.2">
      <c r="A428" s="28" t="s">
        <v>973</v>
      </c>
      <c r="B428" s="28" t="s">
        <v>4182</v>
      </c>
      <c r="C428" s="28" t="s">
        <v>1389</v>
      </c>
      <c r="D428" s="28" t="s">
        <v>3419</v>
      </c>
      <c r="E428" s="2" t="str">
        <f t="shared" si="35"/>
        <v>o</v>
      </c>
      <c r="F428" s="2">
        <f t="shared" si="36"/>
        <v>15</v>
      </c>
      <c r="G428" s="2">
        <v>2015</v>
      </c>
      <c r="H428" s="2" t="s">
        <v>3435</v>
      </c>
      <c r="I428" s="2" t="s">
        <v>3421</v>
      </c>
      <c r="J428" s="2" t="s">
        <v>3422</v>
      </c>
      <c r="L428" s="2" t="s">
        <v>606</v>
      </c>
      <c r="O428" s="2" t="s">
        <v>2175</v>
      </c>
      <c r="P428" s="2" t="s">
        <v>1127</v>
      </c>
    </row>
    <row r="429" spans="1:16" ht="17.25" customHeight="1" x14ac:dyDescent="0.2">
      <c r="A429" s="28" t="s">
        <v>973</v>
      </c>
      <c r="B429" s="28" t="s">
        <v>4182</v>
      </c>
      <c r="C429" s="28" t="s">
        <v>1389</v>
      </c>
      <c r="D429" s="28" t="s">
        <v>3419</v>
      </c>
      <c r="E429" s="2" t="str">
        <f t="shared" si="35"/>
        <v>p</v>
      </c>
      <c r="F429" s="2">
        <f t="shared" si="36"/>
        <v>16</v>
      </c>
      <c r="G429" s="2">
        <v>2016</v>
      </c>
      <c r="H429" s="2" t="s">
        <v>3436</v>
      </c>
      <c r="I429" s="2" t="s">
        <v>3421</v>
      </c>
      <c r="J429" s="2" t="s">
        <v>3422</v>
      </c>
      <c r="L429" s="2" t="s">
        <v>606</v>
      </c>
      <c r="O429" s="2" t="s">
        <v>2175</v>
      </c>
      <c r="P429" s="2" t="s">
        <v>1127</v>
      </c>
    </row>
    <row r="430" spans="1:16" ht="17.25" customHeight="1" x14ac:dyDescent="0.2">
      <c r="A430" s="28" t="s">
        <v>973</v>
      </c>
      <c r="B430" s="28" t="s">
        <v>4182</v>
      </c>
      <c r="C430" s="28" t="s">
        <v>1389</v>
      </c>
      <c r="D430" s="28" t="s">
        <v>3419</v>
      </c>
      <c r="E430" s="2" t="str">
        <f t="shared" si="35"/>
        <v>q</v>
      </c>
      <c r="F430" s="2">
        <f t="shared" si="36"/>
        <v>17</v>
      </c>
      <c r="G430" s="2">
        <v>2017</v>
      </c>
      <c r="H430" s="2" t="s">
        <v>3437</v>
      </c>
      <c r="I430" s="2" t="s">
        <v>3421</v>
      </c>
      <c r="J430" s="2" t="s">
        <v>3422</v>
      </c>
      <c r="L430" s="2" t="s">
        <v>606</v>
      </c>
      <c r="O430" s="2" t="s">
        <v>2175</v>
      </c>
      <c r="P430" s="2" t="s">
        <v>1127</v>
      </c>
    </row>
    <row r="431" spans="1:16" ht="17.25" customHeight="1" x14ac:dyDescent="0.2">
      <c r="A431" s="28" t="s">
        <v>973</v>
      </c>
      <c r="B431" s="28" t="s">
        <v>4182</v>
      </c>
      <c r="C431" s="28" t="s">
        <v>1389</v>
      </c>
      <c r="D431" s="28" t="s">
        <v>3419</v>
      </c>
      <c r="E431" s="2" t="str">
        <f t="shared" si="35"/>
        <v>r</v>
      </c>
      <c r="F431" s="2">
        <f t="shared" si="36"/>
        <v>18</v>
      </c>
      <c r="G431" s="2">
        <v>2018</v>
      </c>
      <c r="H431" s="2" t="s">
        <v>3438</v>
      </c>
      <c r="I431" s="2" t="s">
        <v>3421</v>
      </c>
      <c r="J431" s="2" t="s">
        <v>3422</v>
      </c>
      <c r="L431" s="2" t="s">
        <v>606</v>
      </c>
      <c r="O431" s="2" t="s">
        <v>2175</v>
      </c>
      <c r="P431" s="2" t="s">
        <v>1127</v>
      </c>
    </row>
    <row r="432" spans="1:16" ht="17.25" customHeight="1" x14ac:dyDescent="0.2">
      <c r="A432" s="17" t="s">
        <v>973</v>
      </c>
      <c r="B432" s="17" t="s">
        <v>4182</v>
      </c>
      <c r="C432" s="17" t="s">
        <v>1631</v>
      </c>
      <c r="D432" s="17" t="s">
        <v>3453</v>
      </c>
      <c r="E432" s="2" t="str">
        <f t="shared" si="35"/>
        <v>a</v>
      </c>
      <c r="F432" s="2">
        <f t="shared" si="36"/>
        <v>1</v>
      </c>
      <c r="G432" s="2">
        <v>2001</v>
      </c>
      <c r="H432" s="2" t="str">
        <f>_xlfn.CONCAT(E432,"lssupvl")</f>
        <v>alssupvl</v>
      </c>
      <c r="I432" s="2" t="s">
        <v>3454</v>
      </c>
      <c r="J432" s="34" t="s">
        <v>3455</v>
      </c>
      <c r="K432" s="2" t="s">
        <v>1520</v>
      </c>
      <c r="L432" s="2" t="s">
        <v>8</v>
      </c>
      <c r="M432" s="2">
        <v>1</v>
      </c>
      <c r="N432" s="2">
        <v>7</v>
      </c>
      <c r="O432" s="2" t="s">
        <v>2175</v>
      </c>
      <c r="P432" s="2" t="s">
        <v>3462</v>
      </c>
    </row>
    <row r="433" spans="1:16" ht="17.25" customHeight="1" x14ac:dyDescent="0.2">
      <c r="A433" s="17" t="s">
        <v>973</v>
      </c>
      <c r="B433" s="17" t="s">
        <v>4182</v>
      </c>
      <c r="C433" s="17" t="s">
        <v>1631</v>
      </c>
      <c r="D433" s="17" t="s">
        <v>3453</v>
      </c>
      <c r="E433" s="2" t="str">
        <f t="shared" si="35"/>
        <v>b</v>
      </c>
      <c r="F433" s="2">
        <f t="shared" si="36"/>
        <v>2</v>
      </c>
      <c r="G433" s="2">
        <v>2002</v>
      </c>
      <c r="H433" s="2" t="str">
        <f t="shared" ref="H433:H448" si="37">_xlfn.CONCAT(E433,"lssupvl")</f>
        <v>blssupvl</v>
      </c>
      <c r="I433" s="2" t="s">
        <v>3454</v>
      </c>
      <c r="J433" s="34" t="s">
        <v>3455</v>
      </c>
      <c r="K433" s="2" t="s">
        <v>1520</v>
      </c>
      <c r="L433" s="2" t="s">
        <v>8</v>
      </c>
      <c r="M433" s="2">
        <v>1</v>
      </c>
      <c r="N433" s="2">
        <v>7</v>
      </c>
      <c r="O433" s="2" t="s">
        <v>2175</v>
      </c>
      <c r="P433" s="2" t="s">
        <v>3462</v>
      </c>
    </row>
    <row r="434" spans="1:16" ht="17.25" customHeight="1" x14ac:dyDescent="0.2">
      <c r="A434" s="17" t="s">
        <v>973</v>
      </c>
      <c r="B434" s="17" t="s">
        <v>4182</v>
      </c>
      <c r="C434" s="17" t="s">
        <v>1631</v>
      </c>
      <c r="D434" s="17" t="s">
        <v>3453</v>
      </c>
      <c r="E434" s="2" t="str">
        <f t="shared" si="35"/>
        <v>c</v>
      </c>
      <c r="F434" s="2">
        <f t="shared" si="36"/>
        <v>3</v>
      </c>
      <c r="G434" s="2">
        <v>2003</v>
      </c>
      <c r="H434" s="2" t="str">
        <f t="shared" si="37"/>
        <v>clssupvl</v>
      </c>
      <c r="I434" s="2" t="s">
        <v>3454</v>
      </c>
      <c r="J434" s="34" t="s">
        <v>3455</v>
      </c>
      <c r="K434" s="2" t="s">
        <v>1520</v>
      </c>
      <c r="L434" s="2" t="s">
        <v>8</v>
      </c>
      <c r="M434" s="2">
        <v>1</v>
      </c>
      <c r="N434" s="2">
        <v>7</v>
      </c>
      <c r="O434" s="2" t="s">
        <v>2175</v>
      </c>
      <c r="P434" s="2" t="s">
        <v>3462</v>
      </c>
    </row>
    <row r="435" spans="1:16" ht="17.25" customHeight="1" x14ac:dyDescent="0.2">
      <c r="A435" s="17" t="s">
        <v>973</v>
      </c>
      <c r="B435" s="17" t="s">
        <v>4182</v>
      </c>
      <c r="C435" s="17" t="s">
        <v>1631</v>
      </c>
      <c r="D435" s="17" t="s">
        <v>3453</v>
      </c>
      <c r="E435" s="2" t="str">
        <f t="shared" si="35"/>
        <v>d</v>
      </c>
      <c r="F435" s="2">
        <f t="shared" si="36"/>
        <v>4</v>
      </c>
      <c r="G435" s="2">
        <v>2004</v>
      </c>
      <c r="H435" s="2" t="str">
        <f t="shared" si="37"/>
        <v>dlssupvl</v>
      </c>
      <c r="I435" s="2" t="s">
        <v>3454</v>
      </c>
      <c r="J435" s="34" t="s">
        <v>3455</v>
      </c>
      <c r="K435" s="2" t="s">
        <v>1520</v>
      </c>
      <c r="L435" s="2" t="s">
        <v>8</v>
      </c>
      <c r="M435" s="2">
        <v>1</v>
      </c>
      <c r="N435" s="2">
        <v>7</v>
      </c>
      <c r="O435" s="2" t="s">
        <v>2175</v>
      </c>
      <c r="P435" s="2" t="s">
        <v>3462</v>
      </c>
    </row>
    <row r="436" spans="1:16" ht="17.25" customHeight="1" x14ac:dyDescent="0.2">
      <c r="A436" s="17" t="s">
        <v>973</v>
      </c>
      <c r="B436" s="17" t="s">
        <v>4182</v>
      </c>
      <c r="C436" s="17" t="s">
        <v>1631</v>
      </c>
      <c r="D436" s="17" t="s">
        <v>3453</v>
      </c>
      <c r="E436" s="2" t="str">
        <f t="shared" si="35"/>
        <v>e</v>
      </c>
      <c r="F436" s="2">
        <f t="shared" si="36"/>
        <v>5</v>
      </c>
      <c r="G436" s="2">
        <v>2005</v>
      </c>
      <c r="H436" s="2" t="str">
        <f t="shared" si="37"/>
        <v>elssupvl</v>
      </c>
      <c r="I436" s="2" t="s">
        <v>3454</v>
      </c>
      <c r="J436" s="34" t="s">
        <v>3455</v>
      </c>
      <c r="K436" s="2" t="s">
        <v>1520</v>
      </c>
      <c r="L436" s="2" t="s">
        <v>8</v>
      </c>
      <c r="M436" s="2">
        <v>1</v>
      </c>
      <c r="N436" s="2">
        <v>7</v>
      </c>
      <c r="O436" s="2" t="s">
        <v>2175</v>
      </c>
      <c r="P436" s="2" t="s">
        <v>3462</v>
      </c>
    </row>
    <row r="437" spans="1:16" ht="17.25" customHeight="1" x14ac:dyDescent="0.2">
      <c r="A437" s="17" t="s">
        <v>973</v>
      </c>
      <c r="B437" s="17" t="s">
        <v>4182</v>
      </c>
      <c r="C437" s="17" t="s">
        <v>1631</v>
      </c>
      <c r="D437" s="17" t="s">
        <v>3453</v>
      </c>
      <c r="E437" s="2" t="str">
        <f t="shared" si="35"/>
        <v>f</v>
      </c>
      <c r="F437" s="2">
        <f t="shared" si="36"/>
        <v>6</v>
      </c>
      <c r="G437" s="2">
        <v>2006</v>
      </c>
      <c r="H437" s="2" t="str">
        <f t="shared" si="37"/>
        <v>flssupvl</v>
      </c>
      <c r="I437" s="2" t="s">
        <v>3454</v>
      </c>
      <c r="J437" s="34" t="s">
        <v>3455</v>
      </c>
      <c r="K437" s="2" t="s">
        <v>1520</v>
      </c>
      <c r="L437" s="2" t="s">
        <v>8</v>
      </c>
      <c r="M437" s="2">
        <v>1</v>
      </c>
      <c r="N437" s="2">
        <v>7</v>
      </c>
      <c r="O437" s="2" t="s">
        <v>2175</v>
      </c>
      <c r="P437" s="2" t="s">
        <v>3462</v>
      </c>
    </row>
    <row r="438" spans="1:16" ht="17.25" customHeight="1" x14ac:dyDescent="0.2">
      <c r="A438" s="17" t="s">
        <v>973</v>
      </c>
      <c r="B438" s="17" t="s">
        <v>4182</v>
      </c>
      <c r="C438" s="17" t="s">
        <v>1631</v>
      </c>
      <c r="D438" s="17" t="s">
        <v>3453</v>
      </c>
      <c r="E438" s="2" t="str">
        <f t="shared" si="35"/>
        <v>g</v>
      </c>
      <c r="F438" s="2">
        <f t="shared" si="36"/>
        <v>7</v>
      </c>
      <c r="G438" s="2">
        <v>2007</v>
      </c>
      <c r="H438" s="2" t="str">
        <f t="shared" si="37"/>
        <v>glssupvl</v>
      </c>
      <c r="I438" s="2" t="s">
        <v>3454</v>
      </c>
      <c r="J438" s="34" t="s">
        <v>3455</v>
      </c>
      <c r="K438" s="2" t="s">
        <v>1520</v>
      </c>
      <c r="L438" s="2" t="s">
        <v>8</v>
      </c>
      <c r="M438" s="2">
        <v>1</v>
      </c>
      <c r="N438" s="2">
        <v>7</v>
      </c>
      <c r="O438" s="2" t="s">
        <v>2175</v>
      </c>
      <c r="P438" s="2" t="s">
        <v>3462</v>
      </c>
    </row>
    <row r="439" spans="1:16" ht="17.25" customHeight="1" x14ac:dyDescent="0.2">
      <c r="A439" s="17" t="s">
        <v>973</v>
      </c>
      <c r="B439" s="17" t="s">
        <v>4182</v>
      </c>
      <c r="C439" s="17" t="s">
        <v>1631</v>
      </c>
      <c r="D439" s="17" t="s">
        <v>3453</v>
      </c>
      <c r="E439" s="2" t="str">
        <f t="shared" si="35"/>
        <v>h</v>
      </c>
      <c r="F439" s="2">
        <f t="shared" si="36"/>
        <v>8</v>
      </c>
      <c r="G439" s="2">
        <v>2008</v>
      </c>
      <c r="H439" s="2" t="str">
        <f t="shared" si="37"/>
        <v>hlssupvl</v>
      </c>
      <c r="I439" s="2" t="s">
        <v>3454</v>
      </c>
      <c r="J439" s="34" t="s">
        <v>3455</v>
      </c>
      <c r="K439" s="2" t="s">
        <v>1520</v>
      </c>
      <c r="L439" s="2" t="s">
        <v>8</v>
      </c>
      <c r="M439" s="2">
        <v>1</v>
      </c>
      <c r="N439" s="2">
        <v>7</v>
      </c>
      <c r="O439" s="2" t="s">
        <v>2175</v>
      </c>
      <c r="P439" s="2" t="s">
        <v>3462</v>
      </c>
    </row>
    <row r="440" spans="1:16" ht="17.25" customHeight="1" x14ac:dyDescent="0.2">
      <c r="A440" s="17" t="s">
        <v>973</v>
      </c>
      <c r="B440" s="17" t="s">
        <v>4182</v>
      </c>
      <c r="C440" s="17" t="s">
        <v>1631</v>
      </c>
      <c r="D440" s="17" t="s">
        <v>3453</v>
      </c>
      <c r="E440" s="2" t="str">
        <f t="shared" si="35"/>
        <v>i</v>
      </c>
      <c r="F440" s="2">
        <f t="shared" si="36"/>
        <v>9</v>
      </c>
      <c r="G440" s="2">
        <v>2009</v>
      </c>
      <c r="H440" s="2" t="str">
        <f t="shared" si="37"/>
        <v>ilssupvl</v>
      </c>
      <c r="I440" s="2" t="s">
        <v>3454</v>
      </c>
      <c r="J440" s="34" t="s">
        <v>3455</v>
      </c>
      <c r="K440" s="2" t="s">
        <v>1520</v>
      </c>
      <c r="L440" s="2" t="s">
        <v>8</v>
      </c>
      <c r="M440" s="2">
        <v>1</v>
      </c>
      <c r="N440" s="2">
        <v>7</v>
      </c>
      <c r="O440" s="2" t="s">
        <v>2175</v>
      </c>
      <c r="P440" s="2" t="s">
        <v>3462</v>
      </c>
    </row>
    <row r="441" spans="1:16" ht="17.25" customHeight="1" x14ac:dyDescent="0.2">
      <c r="A441" s="17" t="s">
        <v>973</v>
      </c>
      <c r="B441" s="17" t="s">
        <v>4182</v>
      </c>
      <c r="C441" s="17" t="s">
        <v>1631</v>
      </c>
      <c r="D441" s="17" t="s">
        <v>3453</v>
      </c>
      <c r="E441" s="2" t="str">
        <f t="shared" si="35"/>
        <v>j</v>
      </c>
      <c r="F441" s="2">
        <f t="shared" si="36"/>
        <v>10</v>
      </c>
      <c r="G441" s="2">
        <v>2010</v>
      </c>
      <c r="H441" s="2" t="str">
        <f t="shared" si="37"/>
        <v>jlssupvl</v>
      </c>
      <c r="I441" s="2" t="s">
        <v>3454</v>
      </c>
      <c r="J441" s="34" t="s">
        <v>3455</v>
      </c>
      <c r="K441" s="2" t="s">
        <v>1520</v>
      </c>
      <c r="L441" s="2" t="s">
        <v>8</v>
      </c>
      <c r="M441" s="2">
        <v>1</v>
      </c>
      <c r="N441" s="2">
        <v>7</v>
      </c>
      <c r="O441" s="2" t="s">
        <v>2175</v>
      </c>
      <c r="P441" s="2" t="s">
        <v>3462</v>
      </c>
    </row>
    <row r="442" spans="1:16" ht="17.25" customHeight="1" x14ac:dyDescent="0.2">
      <c r="A442" s="17" t="s">
        <v>973</v>
      </c>
      <c r="B442" s="17" t="s">
        <v>4182</v>
      </c>
      <c r="C442" s="17" t="s">
        <v>1631</v>
      </c>
      <c r="D442" s="17" t="s">
        <v>3453</v>
      </c>
      <c r="E442" s="2" t="str">
        <f t="shared" si="35"/>
        <v>k</v>
      </c>
      <c r="F442" s="2">
        <f t="shared" si="36"/>
        <v>11</v>
      </c>
      <c r="G442" s="2">
        <v>2011</v>
      </c>
      <c r="H442" s="2" t="str">
        <f t="shared" si="37"/>
        <v>klssupvl</v>
      </c>
      <c r="I442" s="2" t="s">
        <v>3454</v>
      </c>
      <c r="J442" s="34" t="s">
        <v>3455</v>
      </c>
      <c r="K442" s="2" t="s">
        <v>1520</v>
      </c>
      <c r="L442" s="2" t="s">
        <v>8</v>
      </c>
      <c r="M442" s="2">
        <v>1</v>
      </c>
      <c r="N442" s="2">
        <v>7</v>
      </c>
      <c r="O442" s="2" t="s">
        <v>2175</v>
      </c>
      <c r="P442" s="2" t="s">
        <v>3462</v>
      </c>
    </row>
    <row r="443" spans="1:16" ht="17.25" customHeight="1" x14ac:dyDescent="0.2">
      <c r="A443" s="17" t="s">
        <v>973</v>
      </c>
      <c r="B443" s="17" t="s">
        <v>4182</v>
      </c>
      <c r="C443" s="17" t="s">
        <v>1631</v>
      </c>
      <c r="D443" s="17" t="s">
        <v>3453</v>
      </c>
      <c r="E443" s="2" t="str">
        <f t="shared" si="35"/>
        <v>l</v>
      </c>
      <c r="F443" s="2">
        <f t="shared" si="36"/>
        <v>12</v>
      </c>
      <c r="G443" s="2">
        <v>2012</v>
      </c>
      <c r="H443" s="2" t="str">
        <f t="shared" si="37"/>
        <v>llssupvl</v>
      </c>
      <c r="I443" s="2" t="s">
        <v>3454</v>
      </c>
      <c r="J443" s="34" t="s">
        <v>3455</v>
      </c>
      <c r="K443" s="2" t="s">
        <v>1520</v>
      </c>
      <c r="L443" s="2" t="s">
        <v>8</v>
      </c>
      <c r="M443" s="2">
        <v>1</v>
      </c>
      <c r="N443" s="2">
        <v>7</v>
      </c>
      <c r="O443" s="2" t="s">
        <v>2175</v>
      </c>
      <c r="P443" s="2" t="s">
        <v>3462</v>
      </c>
    </row>
    <row r="444" spans="1:16" ht="17.25" customHeight="1" x14ac:dyDescent="0.2">
      <c r="A444" s="17" t="s">
        <v>973</v>
      </c>
      <c r="B444" s="17" t="s">
        <v>4182</v>
      </c>
      <c r="C444" s="17" t="s">
        <v>1631</v>
      </c>
      <c r="D444" s="17" t="s">
        <v>3453</v>
      </c>
      <c r="E444" s="2" t="str">
        <f t="shared" si="35"/>
        <v>m</v>
      </c>
      <c r="F444" s="2">
        <f t="shared" si="36"/>
        <v>13</v>
      </c>
      <c r="G444" s="2">
        <v>2013</v>
      </c>
      <c r="H444" s="2" t="str">
        <f t="shared" si="37"/>
        <v>mlssupvl</v>
      </c>
      <c r="I444" s="2" t="s">
        <v>3454</v>
      </c>
      <c r="J444" s="34" t="s">
        <v>3455</v>
      </c>
      <c r="K444" s="2" t="s">
        <v>1520</v>
      </c>
      <c r="L444" s="2" t="s">
        <v>8</v>
      </c>
      <c r="M444" s="2">
        <v>1</v>
      </c>
      <c r="N444" s="2">
        <v>7</v>
      </c>
      <c r="O444" s="2" t="s">
        <v>2175</v>
      </c>
      <c r="P444" s="2" t="s">
        <v>3462</v>
      </c>
    </row>
    <row r="445" spans="1:16" ht="17.25" customHeight="1" x14ac:dyDescent="0.2">
      <c r="A445" s="17" t="s">
        <v>973</v>
      </c>
      <c r="B445" s="17" t="s">
        <v>4182</v>
      </c>
      <c r="C445" s="17" t="s">
        <v>1631</v>
      </c>
      <c r="D445" s="17" t="s">
        <v>3453</v>
      </c>
      <c r="E445" s="2" t="str">
        <f t="shared" si="35"/>
        <v>n</v>
      </c>
      <c r="F445" s="2">
        <f t="shared" si="36"/>
        <v>14</v>
      </c>
      <c r="G445" s="2">
        <v>2014</v>
      </c>
      <c r="H445" s="2" t="str">
        <f t="shared" si="37"/>
        <v>nlssupvl</v>
      </c>
      <c r="I445" s="2" t="s">
        <v>3454</v>
      </c>
      <c r="J445" s="34" t="s">
        <v>3455</v>
      </c>
      <c r="K445" s="2" t="s">
        <v>1520</v>
      </c>
      <c r="L445" s="2" t="s">
        <v>8</v>
      </c>
      <c r="M445" s="2">
        <v>1</v>
      </c>
      <c r="N445" s="2">
        <v>7</v>
      </c>
      <c r="O445" s="2" t="s">
        <v>2175</v>
      </c>
      <c r="P445" s="2" t="s">
        <v>3462</v>
      </c>
    </row>
    <row r="446" spans="1:16" ht="17.25" customHeight="1" x14ac:dyDescent="0.2">
      <c r="A446" s="17" t="s">
        <v>973</v>
      </c>
      <c r="B446" s="17" t="s">
        <v>4182</v>
      </c>
      <c r="C446" s="17" t="s">
        <v>1631</v>
      </c>
      <c r="D446" s="17" t="s">
        <v>3453</v>
      </c>
      <c r="E446" s="2" t="str">
        <f t="shared" si="35"/>
        <v>o</v>
      </c>
      <c r="F446" s="2">
        <f t="shared" si="36"/>
        <v>15</v>
      </c>
      <c r="G446" s="2">
        <v>2015</v>
      </c>
      <c r="H446" s="2" t="str">
        <f t="shared" si="37"/>
        <v>olssupvl</v>
      </c>
      <c r="I446" s="2" t="s">
        <v>3454</v>
      </c>
      <c r="J446" s="34" t="s">
        <v>3455</v>
      </c>
      <c r="K446" s="2" t="s">
        <v>1520</v>
      </c>
      <c r="L446" s="2" t="s">
        <v>8</v>
      </c>
      <c r="M446" s="2">
        <v>1</v>
      </c>
      <c r="N446" s="2">
        <v>7</v>
      </c>
      <c r="O446" s="2" t="s">
        <v>2175</v>
      </c>
      <c r="P446" s="2" t="s">
        <v>3462</v>
      </c>
    </row>
    <row r="447" spans="1:16" ht="17.25" customHeight="1" x14ac:dyDescent="0.2">
      <c r="A447" s="17" t="s">
        <v>973</v>
      </c>
      <c r="B447" s="17" t="s">
        <v>4182</v>
      </c>
      <c r="C447" s="17" t="s">
        <v>1631</v>
      </c>
      <c r="D447" s="17" t="s">
        <v>3453</v>
      </c>
      <c r="E447" s="2" t="str">
        <f t="shared" si="35"/>
        <v>p</v>
      </c>
      <c r="F447" s="2">
        <f t="shared" si="36"/>
        <v>16</v>
      </c>
      <c r="G447" s="2">
        <v>2016</v>
      </c>
      <c r="H447" s="2" t="str">
        <f t="shared" si="37"/>
        <v>plssupvl</v>
      </c>
      <c r="I447" s="2" t="s">
        <v>3454</v>
      </c>
      <c r="J447" s="34" t="s">
        <v>3455</v>
      </c>
      <c r="K447" s="2" t="s">
        <v>1520</v>
      </c>
      <c r="L447" s="2" t="s">
        <v>8</v>
      </c>
      <c r="M447" s="2">
        <v>1</v>
      </c>
      <c r="N447" s="2">
        <v>7</v>
      </c>
      <c r="O447" s="2" t="s">
        <v>2175</v>
      </c>
      <c r="P447" s="2" t="s">
        <v>3462</v>
      </c>
    </row>
    <row r="448" spans="1:16" ht="17.25" customHeight="1" x14ac:dyDescent="0.2">
      <c r="A448" s="17" t="s">
        <v>973</v>
      </c>
      <c r="B448" s="17" t="s">
        <v>4182</v>
      </c>
      <c r="C448" s="17" t="s">
        <v>1631</v>
      </c>
      <c r="D448" s="17" t="s">
        <v>3453</v>
      </c>
      <c r="E448" s="2" t="str">
        <f t="shared" si="35"/>
        <v>q</v>
      </c>
      <c r="F448" s="2">
        <f t="shared" si="36"/>
        <v>17</v>
      </c>
      <c r="G448" s="2">
        <v>2017</v>
      </c>
      <c r="H448" s="2" t="str">
        <f t="shared" si="37"/>
        <v>qlssupvl</v>
      </c>
      <c r="I448" s="2" t="s">
        <v>3454</v>
      </c>
      <c r="J448" s="34" t="s">
        <v>3455</v>
      </c>
      <c r="K448" s="2" t="s">
        <v>1520</v>
      </c>
      <c r="L448" s="2" t="s">
        <v>8</v>
      </c>
      <c r="M448" s="2">
        <v>1</v>
      </c>
      <c r="N448" s="2">
        <v>7</v>
      </c>
      <c r="O448" s="2" t="s">
        <v>2175</v>
      </c>
      <c r="P448" s="2" t="s">
        <v>3462</v>
      </c>
    </row>
    <row r="449" spans="1:16" ht="17.25" customHeight="1" x14ac:dyDescent="0.2">
      <c r="A449" s="17" t="s">
        <v>973</v>
      </c>
      <c r="B449" s="17" t="s">
        <v>4182</v>
      </c>
      <c r="C449" s="17" t="s">
        <v>1631</v>
      </c>
      <c r="D449" s="17" t="s">
        <v>3453</v>
      </c>
      <c r="E449" s="2" t="str">
        <f t="shared" si="35"/>
        <v>r</v>
      </c>
      <c r="F449" s="2">
        <f t="shared" si="36"/>
        <v>18</v>
      </c>
      <c r="G449" s="2">
        <v>2018</v>
      </c>
      <c r="H449" s="2" t="str">
        <f t="shared" ref="H449" si="38">_xlfn.CONCAT(E449,"lssupvl")</f>
        <v>rlssupvl</v>
      </c>
      <c r="I449" s="2" t="s">
        <v>3454</v>
      </c>
      <c r="J449" s="34" t="s">
        <v>3455</v>
      </c>
      <c r="K449" s="2" t="s">
        <v>1520</v>
      </c>
      <c r="L449" s="2" t="s">
        <v>8</v>
      </c>
      <c r="M449" s="2">
        <v>1</v>
      </c>
      <c r="N449" s="2">
        <v>7</v>
      </c>
      <c r="O449" s="2" t="s">
        <v>2175</v>
      </c>
      <c r="P449" s="2" t="s">
        <v>3462</v>
      </c>
    </row>
    <row r="450" spans="1:16" ht="17.25" customHeight="1" x14ac:dyDescent="0.2">
      <c r="A450" s="35" t="s">
        <v>973</v>
      </c>
      <c r="B450" s="35" t="s">
        <v>4182</v>
      </c>
      <c r="C450" s="35" t="s">
        <v>1128</v>
      </c>
      <c r="D450" s="35" t="s">
        <v>3456</v>
      </c>
      <c r="E450" s="2" t="str">
        <f t="shared" si="35"/>
        <v>a</v>
      </c>
      <c r="F450" s="2">
        <f t="shared" si="36"/>
        <v>1</v>
      </c>
      <c r="G450" s="2">
        <v>2001</v>
      </c>
      <c r="H450" s="2" t="str">
        <f>E450&amp;"helth"</f>
        <v>ahelth</v>
      </c>
      <c r="I450" s="2" t="s">
        <v>3457</v>
      </c>
      <c r="J450" s="2" t="s">
        <v>3458</v>
      </c>
      <c r="L450" s="2" t="s">
        <v>3459</v>
      </c>
      <c r="O450" s="2" t="s">
        <v>2175</v>
      </c>
      <c r="P450" s="2" t="s">
        <v>1127</v>
      </c>
    </row>
    <row r="451" spans="1:16" ht="17.25" customHeight="1" x14ac:dyDescent="0.2">
      <c r="A451" s="35" t="s">
        <v>973</v>
      </c>
      <c r="B451" s="35" t="s">
        <v>4182</v>
      </c>
      <c r="C451" s="35" t="s">
        <v>1128</v>
      </c>
      <c r="D451" s="35" t="s">
        <v>3456</v>
      </c>
      <c r="E451" s="2" t="str">
        <f t="shared" si="35"/>
        <v>b</v>
      </c>
      <c r="F451" s="2">
        <f t="shared" si="36"/>
        <v>2</v>
      </c>
      <c r="G451" s="2">
        <v>2002</v>
      </c>
      <c r="H451" s="2" t="str">
        <f t="shared" ref="H451:H466" si="39">E451&amp;"helth"</f>
        <v>bhelth</v>
      </c>
      <c r="I451" s="2" t="s">
        <v>3457</v>
      </c>
      <c r="J451" s="2" t="s">
        <v>3458</v>
      </c>
      <c r="L451" s="2" t="s">
        <v>3459</v>
      </c>
      <c r="O451" s="2" t="s">
        <v>2175</v>
      </c>
      <c r="P451" s="2" t="s">
        <v>1127</v>
      </c>
    </row>
    <row r="452" spans="1:16" ht="17.25" customHeight="1" x14ac:dyDescent="0.2">
      <c r="A452" s="35" t="s">
        <v>973</v>
      </c>
      <c r="B452" s="35" t="s">
        <v>4182</v>
      </c>
      <c r="C452" s="35" t="s">
        <v>1128</v>
      </c>
      <c r="D452" s="35" t="s">
        <v>3456</v>
      </c>
      <c r="E452" s="2" t="str">
        <f t="shared" si="35"/>
        <v>c</v>
      </c>
      <c r="F452" s="2">
        <f t="shared" si="36"/>
        <v>3</v>
      </c>
      <c r="G452" s="2">
        <v>2003</v>
      </c>
      <c r="H452" s="2" t="str">
        <f t="shared" si="39"/>
        <v>chelth</v>
      </c>
      <c r="I452" s="2" t="s">
        <v>3457</v>
      </c>
      <c r="J452" s="2" t="s">
        <v>3458</v>
      </c>
      <c r="L452" s="2" t="s">
        <v>3459</v>
      </c>
      <c r="O452" s="2" t="s">
        <v>2175</v>
      </c>
      <c r="P452" s="2" t="s">
        <v>1127</v>
      </c>
    </row>
    <row r="453" spans="1:16" ht="17.25" customHeight="1" x14ac:dyDescent="0.2">
      <c r="A453" s="35" t="s">
        <v>973</v>
      </c>
      <c r="B453" s="35" t="s">
        <v>4182</v>
      </c>
      <c r="C453" s="35" t="s">
        <v>1128</v>
      </c>
      <c r="D453" s="35" t="s">
        <v>3456</v>
      </c>
      <c r="E453" s="2" t="str">
        <f t="shared" si="35"/>
        <v>d</v>
      </c>
      <c r="F453" s="2">
        <f t="shared" si="36"/>
        <v>4</v>
      </c>
      <c r="G453" s="2">
        <v>2004</v>
      </c>
      <c r="H453" s="2" t="str">
        <f t="shared" si="39"/>
        <v>dhelth</v>
      </c>
      <c r="I453" s="2" t="s">
        <v>3457</v>
      </c>
      <c r="J453" s="2" t="s">
        <v>3458</v>
      </c>
      <c r="L453" s="2" t="s">
        <v>3459</v>
      </c>
      <c r="O453" s="2" t="s">
        <v>2175</v>
      </c>
      <c r="P453" s="2" t="s">
        <v>1127</v>
      </c>
    </row>
    <row r="454" spans="1:16" ht="17.25" customHeight="1" x14ac:dyDescent="0.2">
      <c r="A454" s="35" t="s">
        <v>973</v>
      </c>
      <c r="B454" s="35" t="s">
        <v>4182</v>
      </c>
      <c r="C454" s="35" t="s">
        <v>1128</v>
      </c>
      <c r="D454" s="35" t="s">
        <v>3456</v>
      </c>
      <c r="E454" s="2" t="str">
        <f t="shared" si="35"/>
        <v>e</v>
      </c>
      <c r="F454" s="2">
        <f t="shared" si="36"/>
        <v>5</v>
      </c>
      <c r="G454" s="2">
        <v>2005</v>
      </c>
      <c r="H454" s="2" t="str">
        <f t="shared" si="39"/>
        <v>ehelth</v>
      </c>
      <c r="I454" s="2" t="s">
        <v>3457</v>
      </c>
      <c r="J454" s="2" t="s">
        <v>3458</v>
      </c>
      <c r="L454" s="2" t="s">
        <v>3459</v>
      </c>
      <c r="O454" s="2" t="s">
        <v>2175</v>
      </c>
      <c r="P454" s="2" t="s">
        <v>1127</v>
      </c>
    </row>
    <row r="455" spans="1:16" ht="17.25" customHeight="1" x14ac:dyDescent="0.2">
      <c r="A455" s="35" t="s">
        <v>973</v>
      </c>
      <c r="B455" s="35" t="s">
        <v>4182</v>
      </c>
      <c r="C455" s="35" t="s">
        <v>1128</v>
      </c>
      <c r="D455" s="35" t="s">
        <v>3456</v>
      </c>
      <c r="E455" s="2" t="str">
        <f t="shared" si="35"/>
        <v>f</v>
      </c>
      <c r="F455" s="2">
        <f t="shared" si="36"/>
        <v>6</v>
      </c>
      <c r="G455" s="2">
        <v>2006</v>
      </c>
      <c r="H455" s="2" t="str">
        <f t="shared" si="39"/>
        <v>fhelth</v>
      </c>
      <c r="I455" s="2" t="s">
        <v>3457</v>
      </c>
      <c r="J455" s="2" t="s">
        <v>3458</v>
      </c>
      <c r="L455" s="2" t="s">
        <v>3459</v>
      </c>
      <c r="O455" s="2" t="s">
        <v>2175</v>
      </c>
      <c r="P455" s="2" t="s">
        <v>1127</v>
      </c>
    </row>
    <row r="456" spans="1:16" ht="17.25" customHeight="1" x14ac:dyDescent="0.2">
      <c r="A456" s="35" t="s">
        <v>973</v>
      </c>
      <c r="B456" s="35" t="s">
        <v>4182</v>
      </c>
      <c r="C456" s="35" t="s">
        <v>1128</v>
      </c>
      <c r="D456" s="35" t="s">
        <v>3456</v>
      </c>
      <c r="E456" s="2" t="str">
        <f t="shared" si="35"/>
        <v>g</v>
      </c>
      <c r="F456" s="2">
        <f t="shared" si="36"/>
        <v>7</v>
      </c>
      <c r="G456" s="2">
        <v>2007</v>
      </c>
      <c r="H456" s="2" t="str">
        <f t="shared" si="39"/>
        <v>ghelth</v>
      </c>
      <c r="I456" s="2" t="s">
        <v>3457</v>
      </c>
      <c r="J456" s="2" t="s">
        <v>3458</v>
      </c>
      <c r="L456" s="2" t="s">
        <v>3459</v>
      </c>
      <c r="O456" s="2" t="s">
        <v>2175</v>
      </c>
      <c r="P456" s="2" t="s">
        <v>1127</v>
      </c>
    </row>
    <row r="457" spans="1:16" ht="17.25" customHeight="1" x14ac:dyDescent="0.2">
      <c r="A457" s="35" t="s">
        <v>973</v>
      </c>
      <c r="B457" s="35" t="s">
        <v>4182</v>
      </c>
      <c r="C457" s="35" t="s">
        <v>1128</v>
      </c>
      <c r="D457" s="35" t="s">
        <v>3456</v>
      </c>
      <c r="E457" s="2" t="str">
        <f t="shared" si="35"/>
        <v>h</v>
      </c>
      <c r="F457" s="2">
        <f t="shared" si="36"/>
        <v>8</v>
      </c>
      <c r="G457" s="2">
        <v>2008</v>
      </c>
      <c r="H457" s="2" t="str">
        <f t="shared" si="39"/>
        <v>hhelth</v>
      </c>
      <c r="I457" s="2" t="s">
        <v>3457</v>
      </c>
      <c r="J457" s="2" t="s">
        <v>3458</v>
      </c>
      <c r="L457" s="2" t="s">
        <v>3459</v>
      </c>
      <c r="O457" s="2" t="s">
        <v>2175</v>
      </c>
      <c r="P457" s="2" t="s">
        <v>1127</v>
      </c>
    </row>
    <row r="458" spans="1:16" ht="17.25" customHeight="1" x14ac:dyDescent="0.2">
      <c r="A458" s="35" t="s">
        <v>973</v>
      </c>
      <c r="B458" s="35" t="s">
        <v>4182</v>
      </c>
      <c r="C458" s="35" t="s">
        <v>1128</v>
      </c>
      <c r="D458" s="35" t="s">
        <v>3456</v>
      </c>
      <c r="E458" s="2" t="str">
        <f t="shared" si="35"/>
        <v>i</v>
      </c>
      <c r="F458" s="2">
        <f t="shared" si="36"/>
        <v>9</v>
      </c>
      <c r="G458" s="2">
        <v>2009</v>
      </c>
      <c r="H458" s="2" t="str">
        <f t="shared" si="39"/>
        <v>ihelth</v>
      </c>
      <c r="I458" s="2" t="s">
        <v>3457</v>
      </c>
      <c r="J458" s="2" t="s">
        <v>3458</v>
      </c>
      <c r="L458" s="2" t="s">
        <v>3459</v>
      </c>
      <c r="O458" s="2" t="s">
        <v>2175</v>
      </c>
      <c r="P458" s="2" t="s">
        <v>1127</v>
      </c>
    </row>
    <row r="459" spans="1:16" ht="17.25" customHeight="1" x14ac:dyDescent="0.2">
      <c r="A459" s="35" t="s">
        <v>973</v>
      </c>
      <c r="B459" s="35" t="s">
        <v>4182</v>
      </c>
      <c r="C459" s="35" t="s">
        <v>1128</v>
      </c>
      <c r="D459" s="35" t="s">
        <v>3456</v>
      </c>
      <c r="E459" s="2" t="str">
        <f t="shared" si="35"/>
        <v>j</v>
      </c>
      <c r="F459" s="2">
        <f t="shared" si="36"/>
        <v>10</v>
      </c>
      <c r="G459" s="2">
        <v>2010</v>
      </c>
      <c r="H459" s="2" t="str">
        <f t="shared" si="39"/>
        <v>jhelth</v>
      </c>
      <c r="I459" s="2" t="s">
        <v>3457</v>
      </c>
      <c r="J459" s="2" t="s">
        <v>3458</v>
      </c>
      <c r="L459" s="2" t="s">
        <v>3459</v>
      </c>
      <c r="O459" s="2" t="s">
        <v>2175</v>
      </c>
      <c r="P459" s="2" t="s">
        <v>1127</v>
      </c>
    </row>
    <row r="460" spans="1:16" ht="17.25" customHeight="1" x14ac:dyDescent="0.2">
      <c r="A460" s="35" t="s">
        <v>973</v>
      </c>
      <c r="B460" s="35" t="s">
        <v>4182</v>
      </c>
      <c r="C460" s="35" t="s">
        <v>1128</v>
      </c>
      <c r="D460" s="35" t="s">
        <v>3456</v>
      </c>
      <c r="E460" s="2" t="str">
        <f t="shared" si="35"/>
        <v>k</v>
      </c>
      <c r="F460" s="2">
        <f t="shared" si="36"/>
        <v>11</v>
      </c>
      <c r="G460" s="2">
        <v>2011</v>
      </c>
      <c r="H460" s="2" t="str">
        <f t="shared" si="39"/>
        <v>khelth</v>
      </c>
      <c r="I460" s="2" t="s">
        <v>3457</v>
      </c>
      <c r="J460" s="2" t="s">
        <v>3458</v>
      </c>
      <c r="L460" s="2" t="s">
        <v>3459</v>
      </c>
      <c r="O460" s="2" t="s">
        <v>2175</v>
      </c>
      <c r="P460" s="2" t="s">
        <v>1127</v>
      </c>
    </row>
    <row r="461" spans="1:16" ht="17.25" customHeight="1" x14ac:dyDescent="0.2">
      <c r="A461" s="35" t="s">
        <v>973</v>
      </c>
      <c r="B461" s="35" t="s">
        <v>4182</v>
      </c>
      <c r="C461" s="35" t="s">
        <v>1128</v>
      </c>
      <c r="D461" s="35" t="s">
        <v>3456</v>
      </c>
      <c r="E461" s="2" t="str">
        <f t="shared" si="35"/>
        <v>l</v>
      </c>
      <c r="F461" s="2">
        <f t="shared" si="36"/>
        <v>12</v>
      </c>
      <c r="G461" s="2">
        <v>2012</v>
      </c>
      <c r="H461" s="2" t="str">
        <f t="shared" si="39"/>
        <v>lhelth</v>
      </c>
      <c r="I461" s="2" t="s">
        <v>3457</v>
      </c>
      <c r="J461" s="2" t="s">
        <v>3458</v>
      </c>
      <c r="L461" s="2" t="s">
        <v>3459</v>
      </c>
      <c r="O461" s="2" t="s">
        <v>2175</v>
      </c>
      <c r="P461" s="2" t="s">
        <v>1127</v>
      </c>
    </row>
    <row r="462" spans="1:16" ht="17.25" customHeight="1" x14ac:dyDescent="0.2">
      <c r="A462" s="35" t="s">
        <v>973</v>
      </c>
      <c r="B462" s="35" t="s">
        <v>4182</v>
      </c>
      <c r="C462" s="35" t="s">
        <v>1128</v>
      </c>
      <c r="D462" s="35" t="s">
        <v>3456</v>
      </c>
      <c r="E462" s="2" t="str">
        <f t="shared" si="35"/>
        <v>m</v>
      </c>
      <c r="F462" s="2">
        <f t="shared" si="36"/>
        <v>13</v>
      </c>
      <c r="G462" s="2">
        <v>2013</v>
      </c>
      <c r="H462" s="2" t="str">
        <f t="shared" si="39"/>
        <v>mhelth</v>
      </c>
      <c r="I462" s="2" t="s">
        <v>3457</v>
      </c>
      <c r="J462" s="2" t="s">
        <v>3458</v>
      </c>
      <c r="L462" s="2" t="s">
        <v>3459</v>
      </c>
      <c r="O462" s="2" t="s">
        <v>2175</v>
      </c>
      <c r="P462" s="2" t="s">
        <v>1127</v>
      </c>
    </row>
    <row r="463" spans="1:16" ht="17.25" customHeight="1" x14ac:dyDescent="0.2">
      <c r="A463" s="35" t="s">
        <v>973</v>
      </c>
      <c r="B463" s="35" t="s">
        <v>4182</v>
      </c>
      <c r="C463" s="35" t="s">
        <v>1128</v>
      </c>
      <c r="D463" s="35" t="s">
        <v>3456</v>
      </c>
      <c r="E463" s="2" t="str">
        <f t="shared" si="35"/>
        <v>n</v>
      </c>
      <c r="F463" s="2">
        <f t="shared" si="36"/>
        <v>14</v>
      </c>
      <c r="G463" s="2">
        <v>2014</v>
      </c>
      <c r="H463" s="2" t="str">
        <f t="shared" si="39"/>
        <v>nhelth</v>
      </c>
      <c r="I463" s="2" t="s">
        <v>3457</v>
      </c>
      <c r="J463" s="2" t="s">
        <v>3458</v>
      </c>
      <c r="L463" s="2" t="s">
        <v>3459</v>
      </c>
      <c r="O463" s="2" t="s">
        <v>2175</v>
      </c>
      <c r="P463" s="2" t="s">
        <v>1127</v>
      </c>
    </row>
    <row r="464" spans="1:16" ht="17.25" customHeight="1" x14ac:dyDescent="0.2">
      <c r="A464" s="35" t="s">
        <v>973</v>
      </c>
      <c r="B464" s="35" t="s">
        <v>4182</v>
      </c>
      <c r="C464" s="35" t="s">
        <v>1128</v>
      </c>
      <c r="D464" s="35" t="s">
        <v>3456</v>
      </c>
      <c r="E464" s="2" t="str">
        <f t="shared" si="35"/>
        <v>o</v>
      </c>
      <c r="F464" s="2">
        <f t="shared" si="36"/>
        <v>15</v>
      </c>
      <c r="G464" s="2">
        <v>2015</v>
      </c>
      <c r="H464" s="2" t="str">
        <f t="shared" si="39"/>
        <v>ohelth</v>
      </c>
      <c r="I464" s="2" t="s">
        <v>3457</v>
      </c>
      <c r="J464" s="2" t="s">
        <v>3458</v>
      </c>
      <c r="L464" s="2" t="s">
        <v>3459</v>
      </c>
      <c r="O464" s="2" t="s">
        <v>2175</v>
      </c>
      <c r="P464" s="2" t="s">
        <v>1127</v>
      </c>
    </row>
    <row r="465" spans="1:16" ht="17.25" customHeight="1" x14ac:dyDescent="0.2">
      <c r="A465" s="35" t="s">
        <v>973</v>
      </c>
      <c r="B465" s="35" t="s">
        <v>4182</v>
      </c>
      <c r="C465" s="35" t="s">
        <v>1128</v>
      </c>
      <c r="D465" s="35" t="s">
        <v>3456</v>
      </c>
      <c r="E465" s="2" t="str">
        <f t="shared" si="35"/>
        <v>p</v>
      </c>
      <c r="F465" s="2">
        <f t="shared" si="36"/>
        <v>16</v>
      </c>
      <c r="G465" s="2">
        <v>2016</v>
      </c>
      <c r="H465" s="2" t="str">
        <f t="shared" si="39"/>
        <v>phelth</v>
      </c>
      <c r="I465" s="2" t="s">
        <v>3457</v>
      </c>
      <c r="J465" s="2" t="s">
        <v>3458</v>
      </c>
      <c r="L465" s="2" t="s">
        <v>3459</v>
      </c>
      <c r="O465" s="2" t="s">
        <v>2175</v>
      </c>
      <c r="P465" s="2" t="s">
        <v>1127</v>
      </c>
    </row>
    <row r="466" spans="1:16" ht="17.25" customHeight="1" x14ac:dyDescent="0.2">
      <c r="A466" s="35" t="s">
        <v>973</v>
      </c>
      <c r="B466" s="35" t="s">
        <v>4182</v>
      </c>
      <c r="C466" s="35" t="s">
        <v>1128</v>
      </c>
      <c r="D466" s="35" t="s">
        <v>3456</v>
      </c>
      <c r="E466" s="2" t="str">
        <f t="shared" si="35"/>
        <v>q</v>
      </c>
      <c r="F466" s="2">
        <f t="shared" si="36"/>
        <v>17</v>
      </c>
      <c r="G466" s="2">
        <v>2017</v>
      </c>
      <c r="H466" s="2" t="str">
        <f t="shared" si="39"/>
        <v>qhelth</v>
      </c>
      <c r="I466" s="2" t="s">
        <v>3457</v>
      </c>
      <c r="J466" s="2" t="s">
        <v>3458</v>
      </c>
      <c r="L466" s="2" t="s">
        <v>3459</v>
      </c>
      <c r="O466" s="2" t="s">
        <v>2175</v>
      </c>
      <c r="P466" s="2" t="s">
        <v>1127</v>
      </c>
    </row>
    <row r="467" spans="1:16" ht="17.25" customHeight="1" x14ac:dyDescent="0.2">
      <c r="A467" s="35" t="s">
        <v>973</v>
      </c>
      <c r="B467" s="35" t="s">
        <v>4182</v>
      </c>
      <c r="C467" s="35" t="s">
        <v>1128</v>
      </c>
      <c r="D467" s="35" t="s">
        <v>3456</v>
      </c>
      <c r="E467" s="2" t="str">
        <f t="shared" si="35"/>
        <v>r</v>
      </c>
      <c r="F467" s="2">
        <f t="shared" si="36"/>
        <v>18</v>
      </c>
      <c r="G467" s="2">
        <v>2018</v>
      </c>
      <c r="H467" s="2" t="str">
        <f t="shared" ref="H467" si="40">E467&amp;"helth"</f>
        <v>rhelth</v>
      </c>
      <c r="I467" s="2" t="s">
        <v>3457</v>
      </c>
      <c r="J467" s="2" t="s">
        <v>3458</v>
      </c>
      <c r="L467" s="2" t="s">
        <v>3459</v>
      </c>
      <c r="O467" s="2" t="s">
        <v>2175</v>
      </c>
      <c r="P467" s="2" t="s">
        <v>1127</v>
      </c>
    </row>
    <row r="468" spans="1:16" s="55" customFormat="1" ht="17.25" customHeight="1" x14ac:dyDescent="0.2">
      <c r="A468" s="53" t="s">
        <v>973</v>
      </c>
      <c r="B468" s="53" t="s">
        <v>4182</v>
      </c>
      <c r="C468" s="53" t="s">
        <v>1636</v>
      </c>
      <c r="D468" s="53" t="s">
        <v>1232</v>
      </c>
      <c r="E468" s="2" t="str">
        <f t="shared" ref="E468:E531" si="41">MID("abcdefghijklmnopqrstuvwxyz",F468,1)</f>
        <v>c</v>
      </c>
      <c r="F468" s="2">
        <f t="shared" ref="F468:F531" si="42">G468-2000</f>
        <v>3</v>
      </c>
      <c r="G468" s="54">
        <v>2003</v>
      </c>
      <c r="H468" s="54" t="str">
        <f>E468&amp;"lshedia"</f>
        <v>clshedia</v>
      </c>
      <c r="I468" s="54" t="s">
        <v>3460</v>
      </c>
      <c r="J468" s="54" t="s">
        <v>3461</v>
      </c>
      <c r="L468" s="54" t="s">
        <v>1414</v>
      </c>
      <c r="O468" s="54" t="s">
        <v>1843</v>
      </c>
      <c r="P468" s="55" t="s">
        <v>3462</v>
      </c>
    </row>
    <row r="469" spans="1:16" s="55" customFormat="1" ht="17.25" customHeight="1" x14ac:dyDescent="0.2">
      <c r="A469" s="53" t="s">
        <v>973</v>
      </c>
      <c r="B469" s="53" t="s">
        <v>4182</v>
      </c>
      <c r="C469" s="53" t="s">
        <v>1636</v>
      </c>
      <c r="D469" s="53" t="s">
        <v>1232</v>
      </c>
      <c r="E469" s="2" t="str">
        <f t="shared" si="41"/>
        <v>g</v>
      </c>
      <c r="F469" s="2">
        <f t="shared" si="42"/>
        <v>7</v>
      </c>
      <c r="G469" s="54">
        <v>2007</v>
      </c>
      <c r="H469" s="54" t="str">
        <f>E469&amp;"lshedi1"</f>
        <v>glshedi1</v>
      </c>
      <c r="I469" s="54" t="s">
        <v>3463</v>
      </c>
      <c r="J469" s="54" t="s">
        <v>3461</v>
      </c>
      <c r="L469" s="54" t="s">
        <v>1414</v>
      </c>
      <c r="O469" s="54" t="s">
        <v>1843</v>
      </c>
      <c r="P469" s="55" t="s">
        <v>3462</v>
      </c>
    </row>
    <row r="470" spans="1:16" s="55" customFormat="1" ht="17.25" customHeight="1" x14ac:dyDescent="0.2">
      <c r="A470" s="53" t="s">
        <v>973</v>
      </c>
      <c r="B470" s="53" t="s">
        <v>4182</v>
      </c>
      <c r="C470" s="53" t="s">
        <v>1636</v>
      </c>
      <c r="D470" s="53" t="s">
        <v>1232</v>
      </c>
      <c r="E470" s="2" t="str">
        <f t="shared" si="41"/>
        <v>i</v>
      </c>
      <c r="F470" s="2">
        <f t="shared" si="42"/>
        <v>9</v>
      </c>
      <c r="G470" s="54">
        <v>2009</v>
      </c>
      <c r="H470" s="54" t="str">
        <f>E470&amp;"lshedi1"</f>
        <v>ilshedi1</v>
      </c>
      <c r="I470" s="54" t="s">
        <v>3463</v>
      </c>
      <c r="J470" s="54" t="s">
        <v>3461</v>
      </c>
      <c r="L470" s="54" t="s">
        <v>1414</v>
      </c>
      <c r="O470" s="54" t="s">
        <v>1843</v>
      </c>
      <c r="P470" s="55" t="s">
        <v>3462</v>
      </c>
    </row>
    <row r="471" spans="1:16" s="55" customFormat="1" ht="17.25" customHeight="1" x14ac:dyDescent="0.2">
      <c r="A471" s="53" t="s">
        <v>973</v>
      </c>
      <c r="B471" s="53" t="s">
        <v>4182</v>
      </c>
      <c r="C471" s="53" t="s">
        <v>1636</v>
      </c>
      <c r="D471" s="53" t="s">
        <v>1232</v>
      </c>
      <c r="E471" s="2" t="str">
        <f t="shared" si="41"/>
        <v>g</v>
      </c>
      <c r="F471" s="2">
        <f t="shared" si="42"/>
        <v>7</v>
      </c>
      <c r="G471" s="54">
        <v>2007</v>
      </c>
      <c r="H471" s="54" t="str">
        <f>E471&amp;"lshedi2"</f>
        <v>glshedi2</v>
      </c>
      <c r="I471" s="54" t="s">
        <v>3464</v>
      </c>
      <c r="J471" s="54" t="s">
        <v>3461</v>
      </c>
      <c r="L471" s="54" t="s">
        <v>1414</v>
      </c>
      <c r="O471" s="54" t="s">
        <v>1843</v>
      </c>
      <c r="P471" s="55" t="s">
        <v>3462</v>
      </c>
    </row>
    <row r="472" spans="1:16" s="55" customFormat="1" ht="17.25" customHeight="1" x14ac:dyDescent="0.2">
      <c r="A472" s="53" t="s">
        <v>973</v>
      </c>
      <c r="B472" s="53" t="s">
        <v>4182</v>
      </c>
      <c r="C472" s="53" t="s">
        <v>1636</v>
      </c>
      <c r="D472" s="53" t="s">
        <v>1232</v>
      </c>
      <c r="E472" s="2" t="str">
        <f t="shared" si="41"/>
        <v>i</v>
      </c>
      <c r="F472" s="2">
        <f t="shared" si="42"/>
        <v>9</v>
      </c>
      <c r="G472" s="54">
        <v>2009</v>
      </c>
      <c r="H472" s="54" t="str">
        <f>E472&amp;"lshedi2"</f>
        <v>ilshedi2</v>
      </c>
      <c r="I472" s="54" t="s">
        <v>3464</v>
      </c>
      <c r="J472" s="54" t="s">
        <v>3461</v>
      </c>
      <c r="L472" s="54" t="s">
        <v>1414</v>
      </c>
      <c r="O472" s="54" t="s">
        <v>1843</v>
      </c>
      <c r="P472" s="55" t="s">
        <v>3462</v>
      </c>
    </row>
    <row r="473" spans="1:16" s="55" customFormat="1" ht="17.25" customHeight="1" x14ac:dyDescent="0.2">
      <c r="A473" s="53" t="s">
        <v>973</v>
      </c>
      <c r="B473" s="53" t="s">
        <v>4182</v>
      </c>
      <c r="C473" s="53" t="s">
        <v>1636</v>
      </c>
      <c r="D473" s="53" t="s">
        <v>3465</v>
      </c>
      <c r="E473" s="2" t="str">
        <f t="shared" si="41"/>
        <v>c</v>
      </c>
      <c r="F473" s="2">
        <f t="shared" si="42"/>
        <v>3</v>
      </c>
      <c r="G473" s="54">
        <v>2003</v>
      </c>
      <c r="H473" s="54" t="str">
        <f>E473&amp;"lshehcd"</f>
        <v>clshehcd</v>
      </c>
      <c r="I473" s="54" t="s">
        <v>3466</v>
      </c>
      <c r="J473" s="54" t="s">
        <v>3461</v>
      </c>
      <c r="L473" s="54" t="s">
        <v>1414</v>
      </c>
      <c r="O473" s="54" t="s">
        <v>1843</v>
      </c>
      <c r="P473" s="55" t="s">
        <v>3462</v>
      </c>
    </row>
    <row r="474" spans="1:16" s="55" customFormat="1" ht="17.25" customHeight="1" x14ac:dyDescent="0.2">
      <c r="A474" s="53" t="s">
        <v>973</v>
      </c>
      <c r="B474" s="53" t="s">
        <v>4182</v>
      </c>
      <c r="C474" s="53" t="s">
        <v>1636</v>
      </c>
      <c r="D474" s="53" t="s">
        <v>3465</v>
      </c>
      <c r="E474" s="2" t="str">
        <f t="shared" si="41"/>
        <v>g</v>
      </c>
      <c r="F474" s="2">
        <f t="shared" si="42"/>
        <v>7</v>
      </c>
      <c r="G474" s="54">
        <v>2007</v>
      </c>
      <c r="H474" s="54" t="str">
        <f>E474&amp;"lshehcd"</f>
        <v>glshehcd</v>
      </c>
      <c r="I474" s="54" t="s">
        <v>3466</v>
      </c>
      <c r="J474" s="54" t="s">
        <v>3461</v>
      </c>
      <c r="L474" s="54" t="s">
        <v>1414</v>
      </c>
      <c r="O474" s="54" t="s">
        <v>1843</v>
      </c>
      <c r="P474" s="55" t="s">
        <v>3462</v>
      </c>
    </row>
    <row r="475" spans="1:16" s="55" customFormat="1" ht="17.25" customHeight="1" x14ac:dyDescent="0.2">
      <c r="A475" s="53" t="s">
        <v>973</v>
      </c>
      <c r="B475" s="53" t="s">
        <v>4182</v>
      </c>
      <c r="C475" s="53" t="s">
        <v>1636</v>
      </c>
      <c r="D475" s="53" t="s">
        <v>3465</v>
      </c>
      <c r="E475" s="2" t="str">
        <f t="shared" si="41"/>
        <v>i</v>
      </c>
      <c r="F475" s="2">
        <f t="shared" si="42"/>
        <v>9</v>
      </c>
      <c r="G475" s="54">
        <v>2009</v>
      </c>
      <c r="H475" s="54" t="str">
        <f>E475&amp;"lshehcd"</f>
        <v>ilshehcd</v>
      </c>
      <c r="I475" s="54" t="s">
        <v>3466</v>
      </c>
      <c r="J475" s="54" t="s">
        <v>3461</v>
      </c>
      <c r="L475" s="54" t="s">
        <v>1414</v>
      </c>
      <c r="O475" s="54" t="s">
        <v>1843</v>
      </c>
      <c r="P475" s="55" t="s">
        <v>3462</v>
      </c>
    </row>
    <row r="476" spans="1:16" s="55" customFormat="1" ht="17.25" customHeight="1" x14ac:dyDescent="0.2">
      <c r="A476" s="53" t="s">
        <v>973</v>
      </c>
      <c r="B476" s="53" t="s">
        <v>4182</v>
      </c>
      <c r="C476" s="53" t="s">
        <v>1636</v>
      </c>
      <c r="D476" s="53" t="s">
        <v>1272</v>
      </c>
      <c r="E476" s="2" t="str">
        <f t="shared" si="41"/>
        <v>c</v>
      </c>
      <c r="F476" s="2">
        <f t="shared" si="42"/>
        <v>3</v>
      </c>
      <c r="G476" s="54">
        <v>2003</v>
      </c>
      <c r="H476" s="54" t="str">
        <f>E476&amp;"lshehbp"</f>
        <v>clshehbp</v>
      </c>
      <c r="I476" s="54" t="s">
        <v>3467</v>
      </c>
      <c r="J476" s="54" t="s">
        <v>3461</v>
      </c>
      <c r="L476" s="54" t="s">
        <v>1414</v>
      </c>
      <c r="O476" s="54" t="s">
        <v>1843</v>
      </c>
      <c r="P476" s="55" t="s">
        <v>3462</v>
      </c>
    </row>
    <row r="477" spans="1:16" s="55" customFormat="1" ht="17.25" customHeight="1" x14ac:dyDescent="0.2">
      <c r="A477" s="53" t="s">
        <v>973</v>
      </c>
      <c r="B477" s="53" t="s">
        <v>4182</v>
      </c>
      <c r="C477" s="53" t="s">
        <v>1636</v>
      </c>
      <c r="D477" s="53" t="s">
        <v>1272</v>
      </c>
      <c r="E477" s="2" t="str">
        <f t="shared" si="41"/>
        <v>g</v>
      </c>
      <c r="F477" s="2">
        <f t="shared" si="42"/>
        <v>7</v>
      </c>
      <c r="G477" s="54">
        <v>2007</v>
      </c>
      <c r="H477" s="54" t="str">
        <f>E477&amp;"lshehbp"</f>
        <v>glshehbp</v>
      </c>
      <c r="I477" s="54" t="s">
        <v>3467</v>
      </c>
      <c r="J477" s="54" t="s">
        <v>3461</v>
      </c>
      <c r="L477" s="54" t="s">
        <v>1414</v>
      </c>
      <c r="O477" s="54" t="s">
        <v>1843</v>
      </c>
      <c r="P477" s="55" t="s">
        <v>3462</v>
      </c>
    </row>
    <row r="478" spans="1:16" s="55" customFormat="1" ht="17.25" customHeight="1" x14ac:dyDescent="0.2">
      <c r="A478" s="53" t="s">
        <v>973</v>
      </c>
      <c r="B478" s="53" t="s">
        <v>4182</v>
      </c>
      <c r="C478" s="53" t="s">
        <v>1636</v>
      </c>
      <c r="D478" s="53" t="s">
        <v>1272</v>
      </c>
      <c r="E478" s="2" t="str">
        <f t="shared" si="41"/>
        <v>i</v>
      </c>
      <c r="F478" s="2">
        <f t="shared" si="42"/>
        <v>9</v>
      </c>
      <c r="G478" s="54">
        <v>2009</v>
      </c>
      <c r="H478" s="54" t="str">
        <f>E478&amp;"lshehbp"</f>
        <v>ilshehbp</v>
      </c>
      <c r="I478" s="54" t="s">
        <v>3467</v>
      </c>
      <c r="J478" s="54" t="s">
        <v>3461</v>
      </c>
      <c r="L478" s="54" t="s">
        <v>1414</v>
      </c>
      <c r="O478" s="54" t="s">
        <v>1843</v>
      </c>
      <c r="P478" s="55" t="s">
        <v>3462</v>
      </c>
    </row>
    <row r="479" spans="1:16" ht="17.25" customHeight="1" x14ac:dyDescent="0.2">
      <c r="A479" s="18" t="s">
        <v>973</v>
      </c>
      <c r="B479" s="18" t="s">
        <v>4182</v>
      </c>
      <c r="C479" s="18" t="s">
        <v>1630</v>
      </c>
      <c r="D479" s="18" t="s">
        <v>1630</v>
      </c>
      <c r="E479" s="2" t="str">
        <f t="shared" si="41"/>
        <v>b</v>
      </c>
      <c r="F479" s="2">
        <f t="shared" si="42"/>
        <v>2</v>
      </c>
      <c r="G479" s="2">
        <v>2002</v>
      </c>
      <c r="H479" s="2" t="s">
        <v>3439</v>
      </c>
      <c r="I479" s="2" t="s">
        <v>3440</v>
      </c>
      <c r="J479" s="2" t="s">
        <v>1105</v>
      </c>
      <c r="L479" s="2" t="s">
        <v>8</v>
      </c>
      <c r="O479" s="2" t="s">
        <v>1127</v>
      </c>
      <c r="P479" s="2" t="s">
        <v>1127</v>
      </c>
    </row>
    <row r="480" spans="1:16" ht="17.25" customHeight="1" x14ac:dyDescent="0.2">
      <c r="A480" s="18" t="s">
        <v>973</v>
      </c>
      <c r="B480" s="18" t="s">
        <v>4182</v>
      </c>
      <c r="C480" s="18" t="s">
        <v>1630</v>
      </c>
      <c r="D480" s="18" t="s">
        <v>1630</v>
      </c>
      <c r="E480" s="2" t="str">
        <f t="shared" si="41"/>
        <v>c</v>
      </c>
      <c r="F480" s="2">
        <f t="shared" si="42"/>
        <v>3</v>
      </c>
      <c r="G480" s="2">
        <v>2003</v>
      </c>
      <c r="H480" s="2" t="s">
        <v>3441</v>
      </c>
      <c r="I480" s="2" t="s">
        <v>3440</v>
      </c>
      <c r="J480" s="2" t="s">
        <v>1105</v>
      </c>
      <c r="L480" s="2" t="s">
        <v>8</v>
      </c>
      <c r="O480" s="2" t="s">
        <v>1127</v>
      </c>
      <c r="P480" s="2" t="s">
        <v>1127</v>
      </c>
    </row>
    <row r="481" spans="1:16" ht="17.25" customHeight="1" x14ac:dyDescent="0.2">
      <c r="A481" s="18" t="s">
        <v>973</v>
      </c>
      <c r="B481" s="18" t="s">
        <v>4182</v>
      </c>
      <c r="C481" s="18" t="s">
        <v>1630</v>
      </c>
      <c r="D481" s="18" t="s">
        <v>1630</v>
      </c>
      <c r="E481" s="2" t="str">
        <f t="shared" si="41"/>
        <v>d</v>
      </c>
      <c r="F481" s="2">
        <f t="shared" si="42"/>
        <v>4</v>
      </c>
      <c r="G481" s="2">
        <v>2004</v>
      </c>
      <c r="H481" s="2" t="s">
        <v>3442</v>
      </c>
      <c r="I481" s="2" t="s">
        <v>3440</v>
      </c>
      <c r="J481" s="2" t="s">
        <v>1105</v>
      </c>
      <c r="L481" s="2" t="s">
        <v>8</v>
      </c>
      <c r="O481" s="2" t="s">
        <v>1127</v>
      </c>
      <c r="P481" s="2" t="s">
        <v>1127</v>
      </c>
    </row>
    <row r="482" spans="1:16" ht="17.25" customHeight="1" x14ac:dyDescent="0.2">
      <c r="A482" s="18" t="s">
        <v>973</v>
      </c>
      <c r="B482" s="18" t="s">
        <v>4182</v>
      </c>
      <c r="C482" s="18" t="s">
        <v>1630</v>
      </c>
      <c r="D482" s="18" t="s">
        <v>1630</v>
      </c>
      <c r="E482" s="2" t="str">
        <f t="shared" si="41"/>
        <v>f</v>
      </c>
      <c r="F482" s="2">
        <f t="shared" si="42"/>
        <v>6</v>
      </c>
      <c r="G482" s="2">
        <v>2006</v>
      </c>
      <c r="H482" s="2" t="s">
        <v>3443</v>
      </c>
      <c r="I482" s="2" t="s">
        <v>3440</v>
      </c>
      <c r="J482" s="2" t="s">
        <v>1105</v>
      </c>
      <c r="L482" s="2" t="s">
        <v>8</v>
      </c>
      <c r="O482" s="2" t="s">
        <v>1127</v>
      </c>
      <c r="P482" s="2" t="s">
        <v>1127</v>
      </c>
    </row>
    <row r="483" spans="1:16" ht="17.25" customHeight="1" x14ac:dyDescent="0.2">
      <c r="A483" s="18" t="s">
        <v>973</v>
      </c>
      <c r="B483" s="18" t="s">
        <v>4182</v>
      </c>
      <c r="C483" s="18" t="s">
        <v>1630</v>
      </c>
      <c r="D483" s="18" t="s">
        <v>1630</v>
      </c>
      <c r="E483" s="2" t="str">
        <f t="shared" si="41"/>
        <v>g</v>
      </c>
      <c r="F483" s="2">
        <f t="shared" si="42"/>
        <v>7</v>
      </c>
      <c r="G483" s="2">
        <v>2007</v>
      </c>
      <c r="H483" s="2" t="s">
        <v>3444</v>
      </c>
      <c r="I483" s="2" t="s">
        <v>3440</v>
      </c>
      <c r="J483" s="2" t="s">
        <v>1105</v>
      </c>
      <c r="L483" s="2" t="s">
        <v>8</v>
      </c>
      <c r="O483" s="2" t="s">
        <v>1127</v>
      </c>
      <c r="P483" s="2" t="s">
        <v>1127</v>
      </c>
    </row>
    <row r="484" spans="1:16" ht="17.25" customHeight="1" x14ac:dyDescent="0.2">
      <c r="A484" s="18" t="s">
        <v>973</v>
      </c>
      <c r="B484" s="18" t="s">
        <v>4182</v>
      </c>
      <c r="C484" s="18" t="s">
        <v>1630</v>
      </c>
      <c r="D484" s="18" t="s">
        <v>1630</v>
      </c>
      <c r="E484" s="2" t="str">
        <f t="shared" si="41"/>
        <v>i</v>
      </c>
      <c r="F484" s="2">
        <f t="shared" si="42"/>
        <v>9</v>
      </c>
      <c r="G484" s="2">
        <v>2009</v>
      </c>
      <c r="H484" s="2" t="s">
        <v>3445</v>
      </c>
      <c r="I484" s="2" t="s">
        <v>3440</v>
      </c>
      <c r="J484" s="2" t="s">
        <v>1105</v>
      </c>
      <c r="L484" s="2" t="s">
        <v>8</v>
      </c>
      <c r="O484" s="2" t="s">
        <v>1127</v>
      </c>
      <c r="P484" s="2" t="s">
        <v>1127</v>
      </c>
    </row>
    <row r="485" spans="1:16" ht="17.25" customHeight="1" x14ac:dyDescent="0.2">
      <c r="A485" s="18" t="s">
        <v>973</v>
      </c>
      <c r="B485" s="18" t="s">
        <v>4182</v>
      </c>
      <c r="C485" s="18" t="s">
        <v>1630</v>
      </c>
      <c r="D485" s="18" t="s">
        <v>1630</v>
      </c>
      <c r="E485" s="2" t="str">
        <f t="shared" si="41"/>
        <v>j</v>
      </c>
      <c r="F485" s="2">
        <f t="shared" si="42"/>
        <v>10</v>
      </c>
      <c r="G485" s="2">
        <v>2010</v>
      </c>
      <c r="H485" s="2" t="s">
        <v>3446</v>
      </c>
      <c r="I485" s="2" t="s">
        <v>3440</v>
      </c>
      <c r="J485" s="2" t="s">
        <v>1105</v>
      </c>
      <c r="L485" s="2" t="s">
        <v>8</v>
      </c>
      <c r="O485" s="2" t="s">
        <v>1127</v>
      </c>
      <c r="P485" s="2" t="s">
        <v>1127</v>
      </c>
    </row>
    <row r="486" spans="1:16" ht="17.25" customHeight="1" x14ac:dyDescent="0.2">
      <c r="A486" s="18" t="s">
        <v>973</v>
      </c>
      <c r="B486" s="18" t="s">
        <v>4182</v>
      </c>
      <c r="C486" s="18" t="s">
        <v>1630</v>
      </c>
      <c r="D486" s="18" t="s">
        <v>1630</v>
      </c>
      <c r="E486" s="2" t="str">
        <f t="shared" si="41"/>
        <v>l</v>
      </c>
      <c r="F486" s="2">
        <f t="shared" si="42"/>
        <v>12</v>
      </c>
      <c r="G486" s="2">
        <v>2012</v>
      </c>
      <c r="H486" s="2" t="s">
        <v>3447</v>
      </c>
      <c r="I486" s="2" t="s">
        <v>3440</v>
      </c>
      <c r="J486" s="2" t="s">
        <v>1105</v>
      </c>
      <c r="L486" s="2" t="s">
        <v>8</v>
      </c>
      <c r="O486" s="2" t="s">
        <v>1127</v>
      </c>
      <c r="P486" s="2" t="s">
        <v>1127</v>
      </c>
    </row>
    <row r="487" spans="1:16" ht="17.25" customHeight="1" x14ac:dyDescent="0.2">
      <c r="A487" s="18" t="s">
        <v>973</v>
      </c>
      <c r="B487" s="18" t="s">
        <v>4182</v>
      </c>
      <c r="C487" s="18" t="s">
        <v>1630</v>
      </c>
      <c r="D487" s="18" t="s">
        <v>1630</v>
      </c>
      <c r="E487" s="2" t="str">
        <f t="shared" si="41"/>
        <v>m</v>
      </c>
      <c r="F487" s="2">
        <f t="shared" si="42"/>
        <v>13</v>
      </c>
      <c r="G487" s="2">
        <v>2013</v>
      </c>
      <c r="H487" s="2" t="s">
        <v>3448</v>
      </c>
      <c r="I487" s="2" t="s">
        <v>3440</v>
      </c>
      <c r="J487" s="2" t="s">
        <v>1105</v>
      </c>
      <c r="L487" s="2" t="s">
        <v>8</v>
      </c>
      <c r="O487" s="2" t="s">
        <v>1127</v>
      </c>
      <c r="P487" s="2" t="s">
        <v>1127</v>
      </c>
    </row>
    <row r="488" spans="1:16" ht="17.25" customHeight="1" x14ac:dyDescent="0.2">
      <c r="A488" s="18" t="s">
        <v>973</v>
      </c>
      <c r="B488" s="18" t="s">
        <v>4182</v>
      </c>
      <c r="C488" s="18" t="s">
        <v>1630</v>
      </c>
      <c r="D488" s="18" t="s">
        <v>1630</v>
      </c>
      <c r="E488" s="2" t="str">
        <f t="shared" si="41"/>
        <v>n</v>
      </c>
      <c r="F488" s="2">
        <f t="shared" si="42"/>
        <v>14</v>
      </c>
      <c r="G488" s="2">
        <v>2014</v>
      </c>
      <c r="H488" s="2" t="s">
        <v>3449</v>
      </c>
      <c r="I488" s="2" t="s">
        <v>3440</v>
      </c>
      <c r="J488" s="2" t="s">
        <v>1105</v>
      </c>
      <c r="L488" s="2" t="s">
        <v>8</v>
      </c>
      <c r="O488" s="2" t="s">
        <v>1127</v>
      </c>
      <c r="P488" s="2" t="s">
        <v>1127</v>
      </c>
    </row>
    <row r="489" spans="1:16" ht="17.25" customHeight="1" x14ac:dyDescent="0.2">
      <c r="A489" s="18" t="s">
        <v>973</v>
      </c>
      <c r="B489" s="18" t="s">
        <v>4182</v>
      </c>
      <c r="C489" s="18" t="s">
        <v>1630</v>
      </c>
      <c r="D489" s="18" t="s">
        <v>1630</v>
      </c>
      <c r="E489" s="2" t="str">
        <f t="shared" si="41"/>
        <v>p</v>
      </c>
      <c r="F489" s="2">
        <f t="shared" si="42"/>
        <v>16</v>
      </c>
      <c r="G489" s="2">
        <v>2016</v>
      </c>
      <c r="H489" s="2" t="s">
        <v>3450</v>
      </c>
      <c r="I489" s="2" t="s">
        <v>3440</v>
      </c>
      <c r="J489" s="2" t="s">
        <v>1105</v>
      </c>
      <c r="L489" s="2" t="s">
        <v>8</v>
      </c>
      <c r="O489" s="2" t="s">
        <v>1127</v>
      </c>
      <c r="P489" s="2" t="s">
        <v>1127</v>
      </c>
    </row>
    <row r="490" spans="1:16" ht="17.25" customHeight="1" x14ac:dyDescent="0.2">
      <c r="A490" s="18" t="s">
        <v>973</v>
      </c>
      <c r="B490" s="18" t="s">
        <v>4182</v>
      </c>
      <c r="C490" s="18" t="s">
        <v>1630</v>
      </c>
      <c r="D490" s="18" t="s">
        <v>1630</v>
      </c>
      <c r="E490" s="2" t="str">
        <f t="shared" si="41"/>
        <v>q</v>
      </c>
      <c r="F490" s="2">
        <f t="shared" si="42"/>
        <v>17</v>
      </c>
      <c r="G490" s="2">
        <v>2017</v>
      </c>
      <c r="H490" s="2" t="s">
        <v>3451</v>
      </c>
      <c r="I490" s="2" t="s">
        <v>3440</v>
      </c>
      <c r="J490" s="2" t="s">
        <v>1105</v>
      </c>
      <c r="L490" s="2" t="s">
        <v>8</v>
      </c>
      <c r="O490" s="2" t="s">
        <v>1127</v>
      </c>
      <c r="P490" s="2" t="s">
        <v>1127</v>
      </c>
    </row>
    <row r="491" spans="1:16" ht="17.25" customHeight="1" x14ac:dyDescent="0.2">
      <c r="A491" s="18" t="s">
        <v>973</v>
      </c>
      <c r="B491" s="18" t="s">
        <v>4182</v>
      </c>
      <c r="C491" s="18" t="s">
        <v>1630</v>
      </c>
      <c r="D491" s="18" t="s">
        <v>1630</v>
      </c>
      <c r="E491" s="2" t="str">
        <f t="shared" si="41"/>
        <v>r</v>
      </c>
      <c r="F491" s="2">
        <f t="shared" si="42"/>
        <v>18</v>
      </c>
      <c r="G491" s="2">
        <v>2018</v>
      </c>
      <c r="H491" s="2" t="s">
        <v>3452</v>
      </c>
      <c r="I491" s="2" t="s">
        <v>3440</v>
      </c>
      <c r="J491" s="2" t="s">
        <v>1105</v>
      </c>
      <c r="L491" s="2" t="s">
        <v>8</v>
      </c>
      <c r="O491" s="2" t="s">
        <v>1127</v>
      </c>
      <c r="P491" s="2" t="s">
        <v>1127</v>
      </c>
    </row>
    <row r="492" spans="1:16" x14ac:dyDescent="0.2">
      <c r="A492" s="18" t="s">
        <v>973</v>
      </c>
      <c r="B492" s="18" t="s">
        <v>4182</v>
      </c>
      <c r="C492" s="28" t="s">
        <v>1353</v>
      </c>
      <c r="D492" s="28" t="s">
        <v>3471</v>
      </c>
      <c r="E492" s="2" t="str">
        <f t="shared" si="41"/>
        <v>c</v>
      </c>
      <c r="F492" s="2">
        <f t="shared" si="42"/>
        <v>3</v>
      </c>
      <c r="G492" s="2">
        <v>2003</v>
      </c>
      <c r="H492" t="str">
        <f>E492&amp;"henec"</f>
        <v>chenec</v>
      </c>
      <c r="I492" s="2" t="s">
        <v>3470</v>
      </c>
      <c r="J492" s="7" t="s">
        <v>3469</v>
      </c>
      <c r="L492" t="s">
        <v>1601</v>
      </c>
      <c r="O492" t="s">
        <v>1127</v>
      </c>
      <c r="P492" s="2" t="s">
        <v>1127</v>
      </c>
    </row>
    <row r="493" spans="1:16" x14ac:dyDescent="0.2">
      <c r="A493" s="18" t="s">
        <v>973</v>
      </c>
      <c r="B493" s="18" t="s">
        <v>4182</v>
      </c>
      <c r="C493" s="28" t="s">
        <v>1353</v>
      </c>
      <c r="D493" s="28" t="s">
        <v>3471</v>
      </c>
      <c r="E493" s="2" t="str">
        <f t="shared" si="41"/>
        <v>d</v>
      </c>
      <c r="F493" s="2">
        <f t="shared" si="42"/>
        <v>4</v>
      </c>
      <c r="G493" s="2">
        <v>2004</v>
      </c>
      <c r="H493" t="str">
        <f t="shared" ref="H493:H507" si="43">E493&amp;"henec"</f>
        <v>dhenec</v>
      </c>
      <c r="I493" s="2" t="s">
        <v>3470</v>
      </c>
      <c r="J493" s="7" t="s">
        <v>3469</v>
      </c>
      <c r="L493" t="s">
        <v>1601</v>
      </c>
      <c r="O493" t="s">
        <v>1127</v>
      </c>
      <c r="P493" s="2" t="s">
        <v>1127</v>
      </c>
    </row>
    <row r="494" spans="1:16" x14ac:dyDescent="0.2">
      <c r="A494" s="18" t="s">
        <v>973</v>
      </c>
      <c r="B494" s="18" t="s">
        <v>4182</v>
      </c>
      <c r="C494" s="28" t="s">
        <v>1353</v>
      </c>
      <c r="D494" s="28" t="s">
        <v>3471</v>
      </c>
      <c r="E494" s="2" t="str">
        <f t="shared" si="41"/>
        <v>e</v>
      </c>
      <c r="F494" s="2">
        <f t="shared" si="42"/>
        <v>5</v>
      </c>
      <c r="G494" s="2">
        <v>2005</v>
      </c>
      <c r="H494" t="str">
        <f t="shared" si="43"/>
        <v>ehenec</v>
      </c>
      <c r="I494" s="2" t="s">
        <v>3470</v>
      </c>
      <c r="J494" s="7" t="s">
        <v>3469</v>
      </c>
      <c r="L494" t="s">
        <v>1601</v>
      </c>
      <c r="O494" t="s">
        <v>1127</v>
      </c>
      <c r="P494" s="2" t="s">
        <v>1127</v>
      </c>
    </row>
    <row r="495" spans="1:16" x14ac:dyDescent="0.2">
      <c r="A495" s="18" t="s">
        <v>973</v>
      </c>
      <c r="B495" s="18" t="s">
        <v>4182</v>
      </c>
      <c r="C495" s="28" t="s">
        <v>1353</v>
      </c>
      <c r="D495" s="28" t="s">
        <v>3471</v>
      </c>
      <c r="E495" s="2" t="str">
        <f t="shared" si="41"/>
        <v>f</v>
      </c>
      <c r="F495" s="2">
        <f t="shared" si="42"/>
        <v>6</v>
      </c>
      <c r="G495" s="2">
        <v>2006</v>
      </c>
      <c r="H495" t="str">
        <f t="shared" si="43"/>
        <v>fhenec</v>
      </c>
      <c r="I495" s="2" t="s">
        <v>3470</v>
      </c>
      <c r="J495" s="7" t="s">
        <v>3469</v>
      </c>
      <c r="L495" t="s">
        <v>1601</v>
      </c>
      <c r="O495" t="s">
        <v>1127</v>
      </c>
      <c r="P495" s="2" t="s">
        <v>1127</v>
      </c>
    </row>
    <row r="496" spans="1:16" x14ac:dyDescent="0.2">
      <c r="A496" s="18" t="s">
        <v>973</v>
      </c>
      <c r="B496" s="18" t="s">
        <v>4182</v>
      </c>
      <c r="C496" s="28" t="s">
        <v>1353</v>
      </c>
      <c r="D496" s="28" t="s">
        <v>3471</v>
      </c>
      <c r="E496" s="2" t="str">
        <f t="shared" si="41"/>
        <v>g</v>
      </c>
      <c r="F496" s="2">
        <f t="shared" si="42"/>
        <v>7</v>
      </c>
      <c r="G496" s="2">
        <v>2007</v>
      </c>
      <c r="H496" t="str">
        <f t="shared" si="43"/>
        <v>ghenec</v>
      </c>
      <c r="I496" s="2" t="s">
        <v>3470</v>
      </c>
      <c r="J496" s="7" t="s">
        <v>3469</v>
      </c>
      <c r="L496" t="s">
        <v>1601</v>
      </c>
      <c r="O496" t="s">
        <v>1127</v>
      </c>
      <c r="P496" s="2" t="s">
        <v>1127</v>
      </c>
    </row>
    <row r="497" spans="1:16" x14ac:dyDescent="0.2">
      <c r="A497" s="18" t="s">
        <v>973</v>
      </c>
      <c r="B497" s="18" t="s">
        <v>4182</v>
      </c>
      <c r="C497" s="28" t="s">
        <v>1353</v>
      </c>
      <c r="D497" s="28" t="s">
        <v>3471</v>
      </c>
      <c r="E497" s="2" t="str">
        <f t="shared" si="41"/>
        <v>h</v>
      </c>
      <c r="F497" s="2">
        <f t="shared" si="42"/>
        <v>8</v>
      </c>
      <c r="G497" s="2">
        <v>2008</v>
      </c>
      <c r="H497" t="str">
        <f t="shared" si="43"/>
        <v>hhenec</v>
      </c>
      <c r="I497" s="2" t="s">
        <v>3470</v>
      </c>
      <c r="J497" s="7" t="s">
        <v>3469</v>
      </c>
      <c r="L497" t="s">
        <v>1601</v>
      </c>
      <c r="O497" t="s">
        <v>1127</v>
      </c>
      <c r="P497" s="2" t="s">
        <v>1127</v>
      </c>
    </row>
    <row r="498" spans="1:16" x14ac:dyDescent="0.2">
      <c r="A498" s="18" t="s">
        <v>973</v>
      </c>
      <c r="B498" s="18" t="s">
        <v>4182</v>
      </c>
      <c r="C498" s="28" t="s">
        <v>1353</v>
      </c>
      <c r="D498" s="28" t="s">
        <v>3471</v>
      </c>
      <c r="E498" s="2" t="str">
        <f t="shared" si="41"/>
        <v>i</v>
      </c>
      <c r="F498" s="2">
        <f t="shared" si="42"/>
        <v>9</v>
      </c>
      <c r="G498" s="2">
        <v>2009</v>
      </c>
      <c r="H498" t="str">
        <f t="shared" si="43"/>
        <v>ihenec</v>
      </c>
      <c r="I498" s="2" t="s">
        <v>3470</v>
      </c>
      <c r="J498" s="7" t="s">
        <v>3469</v>
      </c>
      <c r="L498" t="s">
        <v>1601</v>
      </c>
      <c r="O498" t="s">
        <v>1127</v>
      </c>
      <c r="P498" s="2" t="s">
        <v>1127</v>
      </c>
    </row>
    <row r="499" spans="1:16" x14ac:dyDescent="0.2">
      <c r="A499" s="18" t="s">
        <v>973</v>
      </c>
      <c r="B499" s="18" t="s">
        <v>4182</v>
      </c>
      <c r="C499" s="28" t="s">
        <v>1353</v>
      </c>
      <c r="D499" s="28" t="s">
        <v>3471</v>
      </c>
      <c r="E499" s="2" t="str">
        <f t="shared" si="41"/>
        <v>j</v>
      </c>
      <c r="F499" s="2">
        <f t="shared" si="42"/>
        <v>10</v>
      </c>
      <c r="G499" s="2">
        <v>2010</v>
      </c>
      <c r="H499" t="str">
        <f t="shared" si="43"/>
        <v>jhenec</v>
      </c>
      <c r="I499" s="2" t="s">
        <v>3470</v>
      </c>
      <c r="J499" s="7" t="s">
        <v>3469</v>
      </c>
      <c r="L499" t="s">
        <v>1601</v>
      </c>
      <c r="O499" t="s">
        <v>1127</v>
      </c>
      <c r="P499" s="2" t="s">
        <v>1127</v>
      </c>
    </row>
    <row r="500" spans="1:16" x14ac:dyDescent="0.2">
      <c r="A500" s="18" t="s">
        <v>973</v>
      </c>
      <c r="B500" s="18" t="s">
        <v>4182</v>
      </c>
      <c r="C500" s="28" t="s">
        <v>1353</v>
      </c>
      <c r="D500" s="28" t="s">
        <v>3471</v>
      </c>
      <c r="E500" s="2" t="str">
        <f t="shared" si="41"/>
        <v>k</v>
      </c>
      <c r="F500" s="2">
        <f t="shared" si="42"/>
        <v>11</v>
      </c>
      <c r="G500" s="2">
        <v>2011</v>
      </c>
      <c r="H500" t="str">
        <f t="shared" si="43"/>
        <v>khenec</v>
      </c>
      <c r="I500" s="2" t="s">
        <v>3470</v>
      </c>
      <c r="J500" s="7" t="s">
        <v>3469</v>
      </c>
      <c r="L500" t="s">
        <v>1601</v>
      </c>
      <c r="O500" t="s">
        <v>1127</v>
      </c>
      <c r="P500" s="2" t="s">
        <v>1127</v>
      </c>
    </row>
    <row r="501" spans="1:16" x14ac:dyDescent="0.2">
      <c r="A501" s="18" t="s">
        <v>973</v>
      </c>
      <c r="B501" s="18" t="s">
        <v>4182</v>
      </c>
      <c r="C501" s="28" t="s">
        <v>1353</v>
      </c>
      <c r="D501" s="28" t="s">
        <v>3471</v>
      </c>
      <c r="E501" s="2" t="str">
        <f t="shared" si="41"/>
        <v>l</v>
      </c>
      <c r="F501" s="2">
        <f t="shared" si="42"/>
        <v>12</v>
      </c>
      <c r="G501" s="2">
        <v>2012</v>
      </c>
      <c r="H501" t="str">
        <f t="shared" si="43"/>
        <v>lhenec</v>
      </c>
      <c r="I501" s="2" t="s">
        <v>3470</v>
      </c>
      <c r="J501" s="7" t="s">
        <v>3469</v>
      </c>
      <c r="L501" t="s">
        <v>1601</v>
      </c>
      <c r="O501" t="s">
        <v>1127</v>
      </c>
      <c r="P501" s="2" t="s">
        <v>1127</v>
      </c>
    </row>
    <row r="502" spans="1:16" x14ac:dyDescent="0.2">
      <c r="A502" s="18" t="s">
        <v>973</v>
      </c>
      <c r="B502" s="18" t="s">
        <v>4182</v>
      </c>
      <c r="C502" s="28" t="s">
        <v>1353</v>
      </c>
      <c r="D502" s="28" t="s">
        <v>3471</v>
      </c>
      <c r="E502" s="2" t="str">
        <f t="shared" si="41"/>
        <v>m</v>
      </c>
      <c r="F502" s="2">
        <f t="shared" si="42"/>
        <v>13</v>
      </c>
      <c r="G502" s="2">
        <v>2013</v>
      </c>
      <c r="H502" t="str">
        <f t="shared" si="43"/>
        <v>mhenec</v>
      </c>
      <c r="I502" s="2" t="s">
        <v>3470</v>
      </c>
      <c r="J502" s="7" t="s">
        <v>3469</v>
      </c>
      <c r="L502" t="s">
        <v>1601</v>
      </c>
      <c r="O502" t="s">
        <v>1127</v>
      </c>
      <c r="P502" s="2" t="s">
        <v>1127</v>
      </c>
    </row>
    <row r="503" spans="1:16" x14ac:dyDescent="0.2">
      <c r="A503" s="18" t="s">
        <v>973</v>
      </c>
      <c r="B503" s="18" t="s">
        <v>4182</v>
      </c>
      <c r="C503" s="28" t="s">
        <v>1353</v>
      </c>
      <c r="D503" s="28" t="s">
        <v>3471</v>
      </c>
      <c r="E503" s="2" t="str">
        <f t="shared" si="41"/>
        <v>n</v>
      </c>
      <c r="F503" s="2">
        <f t="shared" si="42"/>
        <v>14</v>
      </c>
      <c r="G503" s="2">
        <v>2014</v>
      </c>
      <c r="H503" t="str">
        <f t="shared" si="43"/>
        <v>nhenec</v>
      </c>
      <c r="I503" s="2" t="s">
        <v>3470</v>
      </c>
      <c r="J503" s="7" t="s">
        <v>3469</v>
      </c>
      <c r="L503" t="s">
        <v>1601</v>
      </c>
      <c r="O503" t="s">
        <v>1127</v>
      </c>
      <c r="P503" s="2" t="s">
        <v>1127</v>
      </c>
    </row>
    <row r="504" spans="1:16" x14ac:dyDescent="0.2">
      <c r="A504" s="18" t="s">
        <v>973</v>
      </c>
      <c r="B504" s="18" t="s">
        <v>4182</v>
      </c>
      <c r="C504" s="28" t="s">
        <v>1353</v>
      </c>
      <c r="D504" s="28" t="s">
        <v>3471</v>
      </c>
      <c r="E504" s="2" t="str">
        <f t="shared" si="41"/>
        <v>o</v>
      </c>
      <c r="F504" s="2">
        <f t="shared" si="42"/>
        <v>15</v>
      </c>
      <c r="G504" s="2">
        <v>2015</v>
      </c>
      <c r="H504" t="str">
        <f t="shared" si="43"/>
        <v>ohenec</v>
      </c>
      <c r="I504" s="2" t="s">
        <v>3470</v>
      </c>
      <c r="J504" s="7" t="s">
        <v>3469</v>
      </c>
      <c r="L504" t="s">
        <v>1601</v>
      </c>
      <c r="O504" t="s">
        <v>1127</v>
      </c>
      <c r="P504" s="2" t="s">
        <v>1127</v>
      </c>
    </row>
    <row r="505" spans="1:16" x14ac:dyDescent="0.2">
      <c r="A505" s="18" t="s">
        <v>973</v>
      </c>
      <c r="B505" s="18" t="s">
        <v>4182</v>
      </c>
      <c r="C505" s="28" t="s">
        <v>1353</v>
      </c>
      <c r="D505" s="28" t="s">
        <v>3471</v>
      </c>
      <c r="E505" s="2" t="str">
        <f t="shared" si="41"/>
        <v>p</v>
      </c>
      <c r="F505" s="2">
        <f t="shared" si="42"/>
        <v>16</v>
      </c>
      <c r="G505" s="2">
        <v>2016</v>
      </c>
      <c r="H505" t="str">
        <f t="shared" si="43"/>
        <v>phenec</v>
      </c>
      <c r="I505" s="2" t="s">
        <v>3470</v>
      </c>
      <c r="J505" s="7" t="s">
        <v>3469</v>
      </c>
      <c r="L505" t="s">
        <v>1601</v>
      </c>
      <c r="O505" t="s">
        <v>1127</v>
      </c>
      <c r="P505" s="2" t="s">
        <v>1127</v>
      </c>
    </row>
    <row r="506" spans="1:16" x14ac:dyDescent="0.2">
      <c r="A506" s="18" t="s">
        <v>973</v>
      </c>
      <c r="B506" s="18" t="s">
        <v>4182</v>
      </c>
      <c r="C506" s="28" t="s">
        <v>1353</v>
      </c>
      <c r="D506" s="28" t="s">
        <v>3471</v>
      </c>
      <c r="E506" s="2" t="str">
        <f t="shared" si="41"/>
        <v>q</v>
      </c>
      <c r="F506" s="2">
        <f t="shared" si="42"/>
        <v>17</v>
      </c>
      <c r="G506" s="2">
        <v>2017</v>
      </c>
      <c r="H506" t="str">
        <f t="shared" si="43"/>
        <v>qhenec</v>
      </c>
      <c r="I506" s="2" t="s">
        <v>3470</v>
      </c>
      <c r="J506" s="7" t="s">
        <v>3469</v>
      </c>
      <c r="L506" t="s">
        <v>1601</v>
      </c>
      <c r="O506" t="s">
        <v>1127</v>
      </c>
      <c r="P506" s="2" t="s">
        <v>1127</v>
      </c>
    </row>
    <row r="507" spans="1:16" x14ac:dyDescent="0.2">
      <c r="A507" s="18" t="s">
        <v>973</v>
      </c>
      <c r="B507" s="18" t="s">
        <v>4182</v>
      </c>
      <c r="C507" s="28" t="s">
        <v>1353</v>
      </c>
      <c r="D507" s="28" t="s">
        <v>3471</v>
      </c>
      <c r="E507" s="2" t="str">
        <f t="shared" si="41"/>
        <v>r</v>
      </c>
      <c r="F507" s="2">
        <f t="shared" si="42"/>
        <v>18</v>
      </c>
      <c r="G507" s="2">
        <v>2018</v>
      </c>
      <c r="H507" t="str">
        <f t="shared" si="43"/>
        <v>rhenec</v>
      </c>
      <c r="I507" s="2" t="s">
        <v>3470</v>
      </c>
      <c r="J507" s="7" t="s">
        <v>3469</v>
      </c>
      <c r="L507" t="s">
        <v>1601</v>
      </c>
      <c r="O507" t="s">
        <v>1127</v>
      </c>
      <c r="P507" s="2" t="s">
        <v>1127</v>
      </c>
    </row>
    <row r="508" spans="1:16" x14ac:dyDescent="0.2">
      <c r="A508" s="18" t="s">
        <v>973</v>
      </c>
      <c r="B508" s="18" t="s">
        <v>4182</v>
      </c>
      <c r="C508" s="28" t="s">
        <v>1353</v>
      </c>
      <c r="D508" s="28" t="s">
        <v>3472</v>
      </c>
      <c r="E508" s="2" t="str">
        <f t="shared" si="41"/>
        <v>d</v>
      </c>
      <c r="F508" s="2">
        <f t="shared" si="42"/>
        <v>4</v>
      </c>
      <c r="G508" s="2">
        <v>2004</v>
      </c>
      <c r="H508" t="str">
        <f>E508&amp;"hemirhn"</f>
        <v>dhemirhn</v>
      </c>
      <c r="I508" t="s">
        <v>3468</v>
      </c>
      <c r="J508" s="7" t="s">
        <v>3469</v>
      </c>
      <c r="L508" t="s">
        <v>1601</v>
      </c>
      <c r="O508" t="s">
        <v>1127</v>
      </c>
      <c r="P508" s="2" t="s">
        <v>1127</v>
      </c>
    </row>
    <row r="509" spans="1:16" x14ac:dyDescent="0.2">
      <c r="A509" s="18" t="s">
        <v>973</v>
      </c>
      <c r="B509" s="18" t="s">
        <v>4182</v>
      </c>
      <c r="C509" s="28" t="s">
        <v>1353</v>
      </c>
      <c r="D509" s="28" t="s">
        <v>3472</v>
      </c>
      <c r="E509" s="2" t="str">
        <f t="shared" si="41"/>
        <v>e</v>
      </c>
      <c r="F509" s="2">
        <f t="shared" si="42"/>
        <v>5</v>
      </c>
      <c r="G509" s="2">
        <v>2005</v>
      </c>
      <c r="H509" t="str">
        <f t="shared" ref="H509:H522" si="44">E509&amp;"hemirhn"</f>
        <v>ehemirhn</v>
      </c>
      <c r="I509" t="s">
        <v>3468</v>
      </c>
      <c r="J509" s="7" t="s">
        <v>3469</v>
      </c>
      <c r="L509" t="s">
        <v>1601</v>
      </c>
      <c r="O509" t="s">
        <v>1127</v>
      </c>
      <c r="P509" s="2" t="s">
        <v>1127</v>
      </c>
    </row>
    <row r="510" spans="1:16" x14ac:dyDescent="0.2">
      <c r="A510" s="18" t="s">
        <v>973</v>
      </c>
      <c r="B510" s="18" t="s">
        <v>4182</v>
      </c>
      <c r="C510" s="28" t="s">
        <v>1353</v>
      </c>
      <c r="D510" s="28" t="s">
        <v>3472</v>
      </c>
      <c r="E510" s="2" t="str">
        <f t="shared" si="41"/>
        <v>f</v>
      </c>
      <c r="F510" s="2">
        <f t="shared" si="42"/>
        <v>6</v>
      </c>
      <c r="G510" s="2">
        <v>2006</v>
      </c>
      <c r="H510" t="str">
        <f t="shared" si="44"/>
        <v>fhemirhn</v>
      </c>
      <c r="I510" t="s">
        <v>3468</v>
      </c>
      <c r="J510" s="7" t="s">
        <v>3469</v>
      </c>
      <c r="L510" t="s">
        <v>1601</v>
      </c>
      <c r="O510" t="s">
        <v>1127</v>
      </c>
      <c r="P510" s="2" t="s">
        <v>1127</v>
      </c>
    </row>
    <row r="511" spans="1:16" ht="68" x14ac:dyDescent="0.2">
      <c r="A511" s="18" t="s">
        <v>973</v>
      </c>
      <c r="B511" s="18" t="s">
        <v>4182</v>
      </c>
      <c r="C511" s="28" t="s">
        <v>1353</v>
      </c>
      <c r="D511" s="28" t="s">
        <v>3472</v>
      </c>
      <c r="E511" s="2" t="str">
        <f t="shared" si="41"/>
        <v>g</v>
      </c>
      <c r="F511" s="2">
        <f t="shared" si="42"/>
        <v>7</v>
      </c>
      <c r="G511" s="2">
        <v>2007</v>
      </c>
      <c r="H511" t="str">
        <f t="shared" si="44"/>
        <v>ghemirhn</v>
      </c>
      <c r="I511" t="s">
        <v>3468</v>
      </c>
      <c r="J511" s="56" t="s">
        <v>3469</v>
      </c>
      <c r="L511" t="s">
        <v>1601</v>
      </c>
      <c r="O511" t="s">
        <v>1127</v>
      </c>
      <c r="P511" s="2" t="s">
        <v>1127</v>
      </c>
    </row>
    <row r="512" spans="1:16" x14ac:dyDescent="0.2">
      <c r="A512" s="18" t="s">
        <v>973</v>
      </c>
      <c r="B512" s="18" t="s">
        <v>4182</v>
      </c>
      <c r="C512" s="28" t="s">
        <v>1353</v>
      </c>
      <c r="D512" s="28" t="s">
        <v>3472</v>
      </c>
      <c r="E512" s="2" t="str">
        <f t="shared" si="41"/>
        <v>h</v>
      </c>
      <c r="F512" s="2">
        <f t="shared" si="42"/>
        <v>8</v>
      </c>
      <c r="G512" s="2">
        <v>2008</v>
      </c>
      <c r="H512" t="str">
        <f t="shared" si="44"/>
        <v>hhemirhn</v>
      </c>
      <c r="I512" t="s">
        <v>3468</v>
      </c>
      <c r="J512" s="7" t="s">
        <v>3469</v>
      </c>
      <c r="L512" t="s">
        <v>1601</v>
      </c>
      <c r="O512" t="s">
        <v>1127</v>
      </c>
      <c r="P512" s="2" t="s">
        <v>1127</v>
      </c>
    </row>
    <row r="513" spans="1:16" x14ac:dyDescent="0.2">
      <c r="A513" s="18" t="s">
        <v>973</v>
      </c>
      <c r="B513" s="18" t="s">
        <v>4182</v>
      </c>
      <c r="C513" s="28" t="s">
        <v>1353</v>
      </c>
      <c r="D513" s="28" t="s">
        <v>3472</v>
      </c>
      <c r="E513" s="2" t="str">
        <f t="shared" si="41"/>
        <v>i</v>
      </c>
      <c r="F513" s="2">
        <f t="shared" si="42"/>
        <v>9</v>
      </c>
      <c r="G513" s="2">
        <v>2009</v>
      </c>
      <c r="H513" t="str">
        <f t="shared" si="44"/>
        <v>ihemirhn</v>
      </c>
      <c r="I513" t="s">
        <v>3468</v>
      </c>
      <c r="J513" s="7" t="s">
        <v>3469</v>
      </c>
      <c r="L513" t="s">
        <v>1601</v>
      </c>
      <c r="O513" t="s">
        <v>1127</v>
      </c>
      <c r="P513" s="2" t="s">
        <v>1127</v>
      </c>
    </row>
    <row r="514" spans="1:16" x14ac:dyDescent="0.2">
      <c r="A514" s="18" t="s">
        <v>973</v>
      </c>
      <c r="B514" s="18" t="s">
        <v>4182</v>
      </c>
      <c r="C514" s="28" t="s">
        <v>1353</v>
      </c>
      <c r="D514" s="28" t="s">
        <v>3472</v>
      </c>
      <c r="E514" s="2" t="str">
        <f t="shared" si="41"/>
        <v>j</v>
      </c>
      <c r="F514" s="2">
        <f t="shared" si="42"/>
        <v>10</v>
      </c>
      <c r="G514" s="2">
        <v>2010</v>
      </c>
      <c r="H514" t="str">
        <f t="shared" si="44"/>
        <v>jhemirhn</v>
      </c>
      <c r="I514" t="s">
        <v>3468</v>
      </c>
      <c r="J514" s="7" t="s">
        <v>3469</v>
      </c>
      <c r="L514" t="s">
        <v>1601</v>
      </c>
      <c r="O514" t="s">
        <v>1127</v>
      </c>
      <c r="P514" s="2" t="s">
        <v>1127</v>
      </c>
    </row>
    <row r="515" spans="1:16" x14ac:dyDescent="0.2">
      <c r="A515" s="18" t="s">
        <v>973</v>
      </c>
      <c r="B515" s="18" t="s">
        <v>4182</v>
      </c>
      <c r="C515" s="28" t="s">
        <v>1353</v>
      </c>
      <c r="D515" s="28" t="s">
        <v>3472</v>
      </c>
      <c r="E515" s="2" t="str">
        <f t="shared" si="41"/>
        <v>k</v>
      </c>
      <c r="F515" s="2">
        <f t="shared" si="42"/>
        <v>11</v>
      </c>
      <c r="G515" s="2">
        <v>2011</v>
      </c>
      <c r="H515" t="str">
        <f t="shared" si="44"/>
        <v>khemirhn</v>
      </c>
      <c r="I515" t="s">
        <v>3468</v>
      </c>
      <c r="J515" s="7" t="s">
        <v>3469</v>
      </c>
      <c r="L515" t="s">
        <v>1601</v>
      </c>
      <c r="O515" t="s">
        <v>1127</v>
      </c>
      <c r="P515" s="2" t="s">
        <v>1127</v>
      </c>
    </row>
    <row r="516" spans="1:16" x14ac:dyDescent="0.2">
      <c r="A516" s="18" t="s">
        <v>973</v>
      </c>
      <c r="B516" s="18" t="s">
        <v>4182</v>
      </c>
      <c r="C516" s="28" t="s">
        <v>1353</v>
      </c>
      <c r="D516" s="28" t="s">
        <v>3472</v>
      </c>
      <c r="E516" s="2" t="str">
        <f t="shared" si="41"/>
        <v>l</v>
      </c>
      <c r="F516" s="2">
        <f t="shared" si="42"/>
        <v>12</v>
      </c>
      <c r="G516" s="2">
        <v>2012</v>
      </c>
      <c r="H516" t="str">
        <f t="shared" si="44"/>
        <v>lhemirhn</v>
      </c>
      <c r="I516" t="s">
        <v>3468</v>
      </c>
      <c r="J516" s="7" t="s">
        <v>3469</v>
      </c>
      <c r="L516" t="s">
        <v>1601</v>
      </c>
      <c r="O516" t="s">
        <v>1127</v>
      </c>
      <c r="P516" s="2" t="s">
        <v>1127</v>
      </c>
    </row>
    <row r="517" spans="1:16" x14ac:dyDescent="0.2">
      <c r="A517" s="18" t="s">
        <v>973</v>
      </c>
      <c r="B517" s="18" t="s">
        <v>4182</v>
      </c>
      <c r="C517" s="28" t="s">
        <v>1353</v>
      </c>
      <c r="D517" s="28" t="s">
        <v>3472</v>
      </c>
      <c r="E517" s="2" t="str">
        <f t="shared" si="41"/>
        <v>m</v>
      </c>
      <c r="F517" s="2">
        <f t="shared" si="42"/>
        <v>13</v>
      </c>
      <c r="G517" s="2">
        <v>2013</v>
      </c>
      <c r="H517" t="str">
        <f t="shared" si="44"/>
        <v>mhemirhn</v>
      </c>
      <c r="I517" t="s">
        <v>3468</v>
      </c>
      <c r="J517" s="7" t="s">
        <v>3469</v>
      </c>
      <c r="L517" t="s">
        <v>1601</v>
      </c>
      <c r="O517" t="s">
        <v>1127</v>
      </c>
      <c r="P517" s="2" t="s">
        <v>1127</v>
      </c>
    </row>
    <row r="518" spans="1:16" x14ac:dyDescent="0.2">
      <c r="A518" s="18" t="s">
        <v>973</v>
      </c>
      <c r="B518" s="18" t="s">
        <v>4182</v>
      </c>
      <c r="C518" s="28" t="s">
        <v>1353</v>
      </c>
      <c r="D518" s="28" t="s">
        <v>3472</v>
      </c>
      <c r="E518" s="2" t="str">
        <f t="shared" si="41"/>
        <v>n</v>
      </c>
      <c r="F518" s="2">
        <f t="shared" si="42"/>
        <v>14</v>
      </c>
      <c r="G518" s="2">
        <v>2014</v>
      </c>
      <c r="H518" t="str">
        <f t="shared" si="44"/>
        <v>nhemirhn</v>
      </c>
      <c r="I518" t="s">
        <v>3468</v>
      </c>
      <c r="J518" s="7" t="s">
        <v>3469</v>
      </c>
      <c r="L518" t="s">
        <v>1601</v>
      </c>
      <c r="O518" t="s">
        <v>1127</v>
      </c>
      <c r="P518" s="2" t="s">
        <v>1127</v>
      </c>
    </row>
    <row r="519" spans="1:16" x14ac:dyDescent="0.2">
      <c r="A519" s="18" t="s">
        <v>973</v>
      </c>
      <c r="B519" s="18" t="s">
        <v>4182</v>
      </c>
      <c r="C519" s="28" t="s">
        <v>1353</v>
      </c>
      <c r="D519" s="28" t="s">
        <v>3472</v>
      </c>
      <c r="E519" s="2" t="str">
        <f t="shared" si="41"/>
        <v>o</v>
      </c>
      <c r="F519" s="2">
        <f t="shared" si="42"/>
        <v>15</v>
      </c>
      <c r="G519" s="2">
        <v>2015</v>
      </c>
      <c r="H519" t="str">
        <f t="shared" si="44"/>
        <v>ohemirhn</v>
      </c>
      <c r="I519" t="s">
        <v>3468</v>
      </c>
      <c r="J519" s="7" t="s">
        <v>3469</v>
      </c>
      <c r="L519" t="s">
        <v>1601</v>
      </c>
      <c r="O519" t="s">
        <v>1127</v>
      </c>
      <c r="P519" s="2" t="s">
        <v>1127</v>
      </c>
    </row>
    <row r="520" spans="1:16" x14ac:dyDescent="0.2">
      <c r="A520" s="18" t="s">
        <v>973</v>
      </c>
      <c r="B520" s="18" t="s">
        <v>4182</v>
      </c>
      <c r="C520" s="28" t="s">
        <v>1353</v>
      </c>
      <c r="D520" s="28" t="s">
        <v>3472</v>
      </c>
      <c r="E520" s="2" t="str">
        <f t="shared" si="41"/>
        <v>p</v>
      </c>
      <c r="F520" s="2">
        <f t="shared" si="42"/>
        <v>16</v>
      </c>
      <c r="G520" s="2">
        <v>2016</v>
      </c>
      <c r="H520" t="str">
        <f t="shared" si="44"/>
        <v>phemirhn</v>
      </c>
      <c r="I520" t="s">
        <v>3468</v>
      </c>
      <c r="J520" s="7" t="s">
        <v>3469</v>
      </c>
      <c r="L520" t="s">
        <v>1601</v>
      </c>
      <c r="O520" t="s">
        <v>1127</v>
      </c>
      <c r="P520" s="2" t="s">
        <v>1127</v>
      </c>
    </row>
    <row r="521" spans="1:16" x14ac:dyDescent="0.2">
      <c r="A521" s="18" t="s">
        <v>973</v>
      </c>
      <c r="B521" s="18" t="s">
        <v>4182</v>
      </c>
      <c r="C521" s="28" t="s">
        <v>1353</v>
      </c>
      <c r="D521" s="28" t="s">
        <v>3472</v>
      </c>
      <c r="E521" s="2" t="str">
        <f t="shared" si="41"/>
        <v>q</v>
      </c>
      <c r="F521" s="2">
        <f t="shared" si="42"/>
        <v>17</v>
      </c>
      <c r="G521" s="2">
        <v>2017</v>
      </c>
      <c r="H521" t="str">
        <f t="shared" si="44"/>
        <v>qhemirhn</v>
      </c>
      <c r="I521" t="s">
        <v>3468</v>
      </c>
      <c r="J521" s="7" t="s">
        <v>3469</v>
      </c>
      <c r="L521" t="s">
        <v>1601</v>
      </c>
      <c r="O521" t="s">
        <v>1127</v>
      </c>
      <c r="P521" s="2" t="s">
        <v>1127</v>
      </c>
    </row>
    <row r="522" spans="1:16" x14ac:dyDescent="0.2">
      <c r="A522" s="18" t="s">
        <v>973</v>
      </c>
      <c r="B522" s="18" t="s">
        <v>4182</v>
      </c>
      <c r="C522" s="28" t="s">
        <v>1353</v>
      </c>
      <c r="D522" s="28" t="s">
        <v>3472</v>
      </c>
      <c r="E522" s="2" t="str">
        <f t="shared" si="41"/>
        <v>r</v>
      </c>
      <c r="F522" s="2">
        <f t="shared" si="42"/>
        <v>18</v>
      </c>
      <c r="G522" s="2">
        <v>2018</v>
      </c>
      <c r="H522" t="str">
        <f t="shared" si="44"/>
        <v>rhemirhn</v>
      </c>
      <c r="I522" t="s">
        <v>3468</v>
      </c>
      <c r="J522" s="7" t="s">
        <v>3469</v>
      </c>
      <c r="L522" t="s">
        <v>1601</v>
      </c>
      <c r="O522" t="s">
        <v>1127</v>
      </c>
      <c r="P522" s="2" t="s">
        <v>1127</v>
      </c>
    </row>
    <row r="523" spans="1:16" ht="17.25" customHeight="1" x14ac:dyDescent="0.2">
      <c r="A523" s="17" t="s">
        <v>973</v>
      </c>
      <c r="B523" s="17" t="s">
        <v>4182</v>
      </c>
      <c r="C523" s="17" t="s">
        <v>1635</v>
      </c>
      <c r="D523" s="17" t="s">
        <v>3473</v>
      </c>
      <c r="E523" s="2" t="str">
        <f t="shared" si="41"/>
        <v>a</v>
      </c>
      <c r="F523" s="2">
        <f t="shared" si="42"/>
        <v>1</v>
      </c>
      <c r="G523" s="2">
        <v>2001</v>
      </c>
      <c r="H523" s="2" t="str">
        <f t="shared" ref="H523:H540" si="45">_xlfn.CONCAT(E523,"gh5b")</f>
        <v>agh5b</v>
      </c>
      <c r="I523" s="2" t="s">
        <v>3474</v>
      </c>
      <c r="J523" s="2" t="s">
        <v>3461</v>
      </c>
      <c r="L523" s="2" t="s">
        <v>1414</v>
      </c>
      <c r="O523" s="2" t="s">
        <v>1843</v>
      </c>
      <c r="P523" s="2" t="s">
        <v>3462</v>
      </c>
    </row>
    <row r="524" spans="1:16" ht="17.25" customHeight="1" x14ac:dyDescent="0.2">
      <c r="A524" s="17" t="s">
        <v>973</v>
      </c>
      <c r="B524" s="17" t="s">
        <v>4182</v>
      </c>
      <c r="C524" s="17" t="s">
        <v>1635</v>
      </c>
      <c r="D524" s="17" t="s">
        <v>3473</v>
      </c>
      <c r="E524" s="2" t="str">
        <f t="shared" si="41"/>
        <v>b</v>
      </c>
      <c r="F524" s="2">
        <f t="shared" si="42"/>
        <v>2</v>
      </c>
      <c r="G524" s="2">
        <v>2002</v>
      </c>
      <c r="H524" s="2" t="str">
        <f t="shared" si="45"/>
        <v>bgh5b</v>
      </c>
      <c r="I524" s="2" t="s">
        <v>3474</v>
      </c>
      <c r="J524" s="2" t="s">
        <v>3461</v>
      </c>
      <c r="L524" s="2" t="s">
        <v>1414</v>
      </c>
      <c r="O524" s="2" t="s">
        <v>1843</v>
      </c>
      <c r="P524" s="2" t="s">
        <v>3462</v>
      </c>
    </row>
    <row r="525" spans="1:16" ht="17.25" customHeight="1" x14ac:dyDescent="0.2">
      <c r="A525" s="17" t="s">
        <v>973</v>
      </c>
      <c r="B525" s="17" t="s">
        <v>4182</v>
      </c>
      <c r="C525" s="17" t="s">
        <v>1635</v>
      </c>
      <c r="D525" s="17" t="s">
        <v>3473</v>
      </c>
      <c r="E525" s="2" t="str">
        <f t="shared" si="41"/>
        <v>c</v>
      </c>
      <c r="F525" s="2">
        <f t="shared" si="42"/>
        <v>3</v>
      </c>
      <c r="G525" s="2">
        <v>2003</v>
      </c>
      <c r="H525" s="2" t="str">
        <f t="shared" si="45"/>
        <v>cgh5b</v>
      </c>
      <c r="I525" s="2" t="s">
        <v>3474</v>
      </c>
      <c r="J525" s="2" t="s">
        <v>3461</v>
      </c>
      <c r="L525" s="2" t="s">
        <v>1414</v>
      </c>
      <c r="O525" s="2" t="s">
        <v>1843</v>
      </c>
      <c r="P525" s="2" t="s">
        <v>3462</v>
      </c>
    </row>
    <row r="526" spans="1:16" ht="17.25" customHeight="1" x14ac:dyDescent="0.2">
      <c r="A526" s="17" t="s">
        <v>973</v>
      </c>
      <c r="B526" s="17" t="s">
        <v>4182</v>
      </c>
      <c r="C526" s="17" t="s">
        <v>1635</v>
      </c>
      <c r="D526" s="17" t="s">
        <v>3473</v>
      </c>
      <c r="E526" s="2" t="str">
        <f t="shared" si="41"/>
        <v>d</v>
      </c>
      <c r="F526" s="2">
        <f t="shared" si="42"/>
        <v>4</v>
      </c>
      <c r="G526" s="2">
        <v>2004</v>
      </c>
      <c r="H526" s="2" t="str">
        <f t="shared" si="45"/>
        <v>dgh5b</v>
      </c>
      <c r="I526" s="2" t="s">
        <v>3474</v>
      </c>
      <c r="J526" s="2" t="s">
        <v>3461</v>
      </c>
      <c r="L526" s="2" t="s">
        <v>1414</v>
      </c>
      <c r="O526" s="2" t="s">
        <v>1843</v>
      </c>
      <c r="P526" s="2" t="s">
        <v>3462</v>
      </c>
    </row>
    <row r="527" spans="1:16" ht="17.25" customHeight="1" x14ac:dyDescent="0.2">
      <c r="A527" s="17" t="s">
        <v>973</v>
      </c>
      <c r="B527" s="17" t="s">
        <v>4182</v>
      </c>
      <c r="C527" s="17" t="s">
        <v>1635</v>
      </c>
      <c r="D527" s="17" t="s">
        <v>3473</v>
      </c>
      <c r="E527" s="2" t="str">
        <f t="shared" si="41"/>
        <v>e</v>
      </c>
      <c r="F527" s="2">
        <f t="shared" si="42"/>
        <v>5</v>
      </c>
      <c r="G527" s="2">
        <v>2005</v>
      </c>
      <c r="H527" s="2" t="str">
        <f t="shared" si="45"/>
        <v>egh5b</v>
      </c>
      <c r="I527" s="2" t="s">
        <v>3474</v>
      </c>
      <c r="J527" s="2" t="s">
        <v>3461</v>
      </c>
      <c r="L527" s="2" t="s">
        <v>1414</v>
      </c>
      <c r="O527" s="2" t="s">
        <v>1843</v>
      </c>
      <c r="P527" s="2" t="s">
        <v>3462</v>
      </c>
    </row>
    <row r="528" spans="1:16" ht="17.25" customHeight="1" x14ac:dyDescent="0.2">
      <c r="A528" s="17" t="s">
        <v>973</v>
      </c>
      <c r="B528" s="17" t="s">
        <v>4182</v>
      </c>
      <c r="C528" s="17" t="s">
        <v>1635</v>
      </c>
      <c r="D528" s="17" t="s">
        <v>3473</v>
      </c>
      <c r="E528" s="2" t="str">
        <f t="shared" si="41"/>
        <v>f</v>
      </c>
      <c r="F528" s="2">
        <f t="shared" si="42"/>
        <v>6</v>
      </c>
      <c r="G528" s="2">
        <v>2006</v>
      </c>
      <c r="H528" s="2" t="str">
        <f t="shared" si="45"/>
        <v>fgh5b</v>
      </c>
      <c r="I528" s="2" t="s">
        <v>3474</v>
      </c>
      <c r="J528" s="2" t="s">
        <v>3461</v>
      </c>
      <c r="L528" s="2" t="s">
        <v>1414</v>
      </c>
      <c r="O528" s="2" t="s">
        <v>1843</v>
      </c>
      <c r="P528" s="2" t="s">
        <v>3462</v>
      </c>
    </row>
    <row r="529" spans="1:16" ht="17.25" customHeight="1" x14ac:dyDescent="0.2">
      <c r="A529" s="17" t="s">
        <v>973</v>
      </c>
      <c r="B529" s="17" t="s">
        <v>4182</v>
      </c>
      <c r="C529" s="17" t="s">
        <v>1635</v>
      </c>
      <c r="D529" s="17" t="s">
        <v>3473</v>
      </c>
      <c r="E529" s="2" t="str">
        <f t="shared" si="41"/>
        <v>g</v>
      </c>
      <c r="F529" s="2">
        <f t="shared" si="42"/>
        <v>7</v>
      </c>
      <c r="G529" s="2">
        <v>2007</v>
      </c>
      <c r="H529" s="2" t="str">
        <f t="shared" si="45"/>
        <v>ggh5b</v>
      </c>
      <c r="I529" s="2" t="s">
        <v>3474</v>
      </c>
      <c r="J529" s="2" t="s">
        <v>3461</v>
      </c>
      <c r="L529" s="2" t="s">
        <v>1414</v>
      </c>
      <c r="O529" s="2" t="s">
        <v>1843</v>
      </c>
      <c r="P529" s="2" t="s">
        <v>3462</v>
      </c>
    </row>
    <row r="530" spans="1:16" ht="17.25" customHeight="1" x14ac:dyDescent="0.2">
      <c r="A530" s="17" t="s">
        <v>973</v>
      </c>
      <c r="B530" s="17" t="s">
        <v>4182</v>
      </c>
      <c r="C530" s="17" t="s">
        <v>1635</v>
      </c>
      <c r="D530" s="17" t="s">
        <v>3473</v>
      </c>
      <c r="E530" s="2" t="str">
        <f t="shared" si="41"/>
        <v>h</v>
      </c>
      <c r="F530" s="2">
        <f t="shared" si="42"/>
        <v>8</v>
      </c>
      <c r="G530" s="2">
        <v>2008</v>
      </c>
      <c r="H530" s="2" t="str">
        <f t="shared" si="45"/>
        <v>hgh5b</v>
      </c>
      <c r="I530" s="2" t="s">
        <v>3474</v>
      </c>
      <c r="J530" s="2" t="s">
        <v>3461</v>
      </c>
      <c r="L530" s="2" t="s">
        <v>1414</v>
      </c>
      <c r="O530" s="2" t="s">
        <v>1843</v>
      </c>
      <c r="P530" s="2" t="s">
        <v>3462</v>
      </c>
    </row>
    <row r="531" spans="1:16" ht="17.25" customHeight="1" x14ac:dyDescent="0.2">
      <c r="A531" s="17" t="s">
        <v>973</v>
      </c>
      <c r="B531" s="17" t="s">
        <v>4182</v>
      </c>
      <c r="C531" s="17" t="s">
        <v>1635</v>
      </c>
      <c r="D531" s="17" t="s">
        <v>3473</v>
      </c>
      <c r="E531" s="2" t="str">
        <f t="shared" si="41"/>
        <v>i</v>
      </c>
      <c r="F531" s="2">
        <f t="shared" si="42"/>
        <v>9</v>
      </c>
      <c r="G531" s="2">
        <v>2009</v>
      </c>
      <c r="H531" s="2" t="str">
        <f t="shared" si="45"/>
        <v>igh5b</v>
      </c>
      <c r="I531" s="2" t="s">
        <v>3474</v>
      </c>
      <c r="J531" s="2" t="s">
        <v>3461</v>
      </c>
      <c r="L531" s="2" t="s">
        <v>1414</v>
      </c>
      <c r="O531" s="2" t="s">
        <v>1843</v>
      </c>
      <c r="P531" s="2" t="s">
        <v>3462</v>
      </c>
    </row>
    <row r="532" spans="1:16" ht="17.25" customHeight="1" x14ac:dyDescent="0.2">
      <c r="A532" s="17" t="s">
        <v>973</v>
      </c>
      <c r="B532" s="17" t="s">
        <v>4182</v>
      </c>
      <c r="C532" s="17" t="s">
        <v>1635</v>
      </c>
      <c r="D532" s="17" t="s">
        <v>3473</v>
      </c>
      <c r="E532" s="2" t="str">
        <f t="shared" ref="E532:E595" si="46">MID("abcdefghijklmnopqrstuvwxyz",F532,1)</f>
        <v>j</v>
      </c>
      <c r="F532" s="2">
        <f t="shared" ref="F532:F595" si="47">G532-2000</f>
        <v>10</v>
      </c>
      <c r="G532" s="2">
        <v>2010</v>
      </c>
      <c r="H532" s="2" t="str">
        <f t="shared" si="45"/>
        <v>jgh5b</v>
      </c>
      <c r="I532" s="2" t="s">
        <v>3474</v>
      </c>
      <c r="J532" s="2" t="s">
        <v>3461</v>
      </c>
      <c r="L532" s="2" t="s">
        <v>1414</v>
      </c>
      <c r="O532" s="2" t="s">
        <v>1843</v>
      </c>
      <c r="P532" s="2" t="s">
        <v>3462</v>
      </c>
    </row>
    <row r="533" spans="1:16" ht="17.25" customHeight="1" x14ac:dyDescent="0.2">
      <c r="A533" s="17" t="s">
        <v>973</v>
      </c>
      <c r="B533" s="17" t="s">
        <v>4182</v>
      </c>
      <c r="C533" s="17" t="s">
        <v>1635</v>
      </c>
      <c r="D533" s="17" t="s">
        <v>3473</v>
      </c>
      <c r="E533" s="2" t="str">
        <f t="shared" si="46"/>
        <v>k</v>
      </c>
      <c r="F533" s="2">
        <f t="shared" si="47"/>
        <v>11</v>
      </c>
      <c r="G533" s="2">
        <v>2011</v>
      </c>
      <c r="H533" s="2" t="str">
        <f t="shared" si="45"/>
        <v>kgh5b</v>
      </c>
      <c r="I533" s="2" t="s">
        <v>3474</v>
      </c>
      <c r="J533" s="2" t="s">
        <v>3461</v>
      </c>
      <c r="L533" s="2" t="s">
        <v>1414</v>
      </c>
      <c r="O533" s="2" t="s">
        <v>1843</v>
      </c>
      <c r="P533" s="2" t="s">
        <v>3462</v>
      </c>
    </row>
    <row r="534" spans="1:16" ht="17.25" customHeight="1" x14ac:dyDescent="0.2">
      <c r="A534" s="17" t="s">
        <v>973</v>
      </c>
      <c r="B534" s="17" t="s">
        <v>4182</v>
      </c>
      <c r="C534" s="17" t="s">
        <v>1635</v>
      </c>
      <c r="D534" s="17" t="s">
        <v>3473</v>
      </c>
      <c r="E534" s="2" t="str">
        <f t="shared" si="46"/>
        <v>l</v>
      </c>
      <c r="F534" s="2">
        <f t="shared" si="47"/>
        <v>12</v>
      </c>
      <c r="G534" s="2">
        <v>2012</v>
      </c>
      <c r="H534" s="2" t="str">
        <f t="shared" si="45"/>
        <v>lgh5b</v>
      </c>
      <c r="I534" s="2" t="s">
        <v>3474</v>
      </c>
      <c r="J534" s="2" t="s">
        <v>3461</v>
      </c>
      <c r="L534" s="2" t="s">
        <v>1414</v>
      </c>
      <c r="O534" s="2" t="s">
        <v>1843</v>
      </c>
      <c r="P534" s="2" t="s">
        <v>3462</v>
      </c>
    </row>
    <row r="535" spans="1:16" ht="17.25" customHeight="1" x14ac:dyDescent="0.2">
      <c r="A535" s="17" t="s">
        <v>973</v>
      </c>
      <c r="B535" s="17" t="s">
        <v>4182</v>
      </c>
      <c r="C535" s="17" t="s">
        <v>1635</v>
      </c>
      <c r="D535" s="17" t="s">
        <v>3473</v>
      </c>
      <c r="E535" s="2" t="str">
        <f t="shared" si="46"/>
        <v>m</v>
      </c>
      <c r="F535" s="2">
        <f t="shared" si="47"/>
        <v>13</v>
      </c>
      <c r="G535" s="2">
        <v>2013</v>
      </c>
      <c r="H535" s="2" t="str">
        <f t="shared" si="45"/>
        <v>mgh5b</v>
      </c>
      <c r="I535" s="2" t="s">
        <v>3474</v>
      </c>
      <c r="J535" s="2" t="s">
        <v>3461</v>
      </c>
      <c r="L535" s="2" t="s">
        <v>1414</v>
      </c>
      <c r="O535" s="2" t="s">
        <v>1843</v>
      </c>
      <c r="P535" s="2" t="s">
        <v>3462</v>
      </c>
    </row>
    <row r="536" spans="1:16" ht="17.25" customHeight="1" x14ac:dyDescent="0.2">
      <c r="A536" s="17" t="s">
        <v>973</v>
      </c>
      <c r="B536" s="17" t="s">
        <v>4182</v>
      </c>
      <c r="C536" s="17" t="s">
        <v>1635</v>
      </c>
      <c r="D536" s="17" t="s">
        <v>3473</v>
      </c>
      <c r="E536" s="2" t="str">
        <f t="shared" si="46"/>
        <v>n</v>
      </c>
      <c r="F536" s="2">
        <f t="shared" si="47"/>
        <v>14</v>
      </c>
      <c r="G536" s="2">
        <v>2014</v>
      </c>
      <c r="H536" s="2" t="str">
        <f t="shared" si="45"/>
        <v>ngh5b</v>
      </c>
      <c r="I536" s="2" t="s">
        <v>3474</v>
      </c>
      <c r="J536" s="2" t="s">
        <v>3461</v>
      </c>
      <c r="L536" s="2" t="s">
        <v>1414</v>
      </c>
      <c r="O536" s="2" t="s">
        <v>1843</v>
      </c>
      <c r="P536" s="2" t="s">
        <v>3462</v>
      </c>
    </row>
    <row r="537" spans="1:16" ht="17.25" customHeight="1" x14ac:dyDescent="0.2">
      <c r="A537" s="17" t="s">
        <v>973</v>
      </c>
      <c r="B537" s="17" t="s">
        <v>4182</v>
      </c>
      <c r="C537" s="17" t="s">
        <v>1635</v>
      </c>
      <c r="D537" s="17" t="s">
        <v>3473</v>
      </c>
      <c r="E537" s="2" t="str">
        <f t="shared" si="46"/>
        <v>o</v>
      </c>
      <c r="F537" s="2">
        <f t="shared" si="47"/>
        <v>15</v>
      </c>
      <c r="G537" s="2">
        <v>2015</v>
      </c>
      <c r="H537" s="2" t="str">
        <f t="shared" si="45"/>
        <v>ogh5b</v>
      </c>
      <c r="I537" s="2" t="s">
        <v>3474</v>
      </c>
      <c r="J537" s="2" t="s">
        <v>3461</v>
      </c>
      <c r="L537" s="2" t="s">
        <v>1414</v>
      </c>
      <c r="O537" s="2" t="s">
        <v>1843</v>
      </c>
      <c r="P537" s="2" t="s">
        <v>3462</v>
      </c>
    </row>
    <row r="538" spans="1:16" ht="17.25" customHeight="1" x14ac:dyDescent="0.2">
      <c r="A538" s="17" t="s">
        <v>973</v>
      </c>
      <c r="B538" s="17" t="s">
        <v>4182</v>
      </c>
      <c r="C538" s="17" t="s">
        <v>1635</v>
      </c>
      <c r="D538" s="17" t="s">
        <v>3473</v>
      </c>
      <c r="E538" s="2" t="str">
        <f t="shared" si="46"/>
        <v>p</v>
      </c>
      <c r="F538" s="2">
        <f t="shared" si="47"/>
        <v>16</v>
      </c>
      <c r="G538" s="2">
        <v>2016</v>
      </c>
      <c r="H538" s="2" t="str">
        <f t="shared" si="45"/>
        <v>pgh5b</v>
      </c>
      <c r="I538" s="2" t="s">
        <v>3474</v>
      </c>
      <c r="J538" s="2" t="s">
        <v>3461</v>
      </c>
      <c r="L538" s="2" t="s">
        <v>1414</v>
      </c>
      <c r="O538" s="2" t="s">
        <v>1843</v>
      </c>
      <c r="P538" s="2" t="s">
        <v>3462</v>
      </c>
    </row>
    <row r="539" spans="1:16" ht="17.25" customHeight="1" x14ac:dyDescent="0.2">
      <c r="A539" s="17" t="s">
        <v>973</v>
      </c>
      <c r="B539" s="17" t="s">
        <v>4182</v>
      </c>
      <c r="C539" s="17" t="s">
        <v>1635</v>
      </c>
      <c r="D539" s="17" t="s">
        <v>3473</v>
      </c>
      <c r="E539" s="2" t="str">
        <f t="shared" si="46"/>
        <v>q</v>
      </c>
      <c r="F539" s="2">
        <f t="shared" si="47"/>
        <v>17</v>
      </c>
      <c r="G539" s="2">
        <v>2017</v>
      </c>
      <c r="H539" s="2" t="str">
        <f t="shared" ref="H539" si="48">_xlfn.CONCAT(E539,"gh5b")</f>
        <v>qgh5b</v>
      </c>
      <c r="I539" s="2" t="s">
        <v>3474</v>
      </c>
      <c r="J539" s="2" t="s">
        <v>3461</v>
      </c>
      <c r="L539" s="2" t="s">
        <v>1414</v>
      </c>
      <c r="O539" s="2" t="s">
        <v>1843</v>
      </c>
      <c r="P539" s="2" t="s">
        <v>3462</v>
      </c>
    </row>
    <row r="540" spans="1:16" ht="17.25" customHeight="1" x14ac:dyDescent="0.2">
      <c r="A540" s="17" t="s">
        <v>973</v>
      </c>
      <c r="B540" s="17" t="s">
        <v>4182</v>
      </c>
      <c r="C540" s="17" t="s">
        <v>1635</v>
      </c>
      <c r="D540" s="17" t="s">
        <v>3473</v>
      </c>
      <c r="E540" s="2" t="str">
        <f t="shared" si="46"/>
        <v>r</v>
      </c>
      <c r="F540" s="2">
        <f t="shared" si="47"/>
        <v>18</v>
      </c>
      <c r="G540" s="2">
        <v>2018</v>
      </c>
      <c r="H540" s="2" t="str">
        <f t="shared" si="45"/>
        <v>rgh5b</v>
      </c>
      <c r="I540" s="2" t="s">
        <v>3474</v>
      </c>
      <c r="J540" s="2" t="s">
        <v>3461</v>
      </c>
      <c r="L540" s="2" t="s">
        <v>1414</v>
      </c>
      <c r="O540" s="2" t="s">
        <v>1843</v>
      </c>
      <c r="P540" s="2" t="s">
        <v>3462</v>
      </c>
    </row>
    <row r="541" spans="1:16" ht="17.25" customHeight="1" x14ac:dyDescent="0.2">
      <c r="A541" s="17" t="s">
        <v>973</v>
      </c>
      <c r="B541" s="17" t="s">
        <v>4182</v>
      </c>
      <c r="C541" s="17" t="s">
        <v>1635</v>
      </c>
      <c r="D541" s="17" t="s">
        <v>3475</v>
      </c>
      <c r="E541" s="2" t="str">
        <f t="shared" si="46"/>
        <v>a</v>
      </c>
      <c r="F541" s="2">
        <f t="shared" si="47"/>
        <v>1</v>
      </c>
      <c r="G541" s="2">
        <v>2001</v>
      </c>
      <c r="H541" s="2" t="str">
        <f t="shared" ref="H541:H558" si="49">_xlfn.CONCAT(E541,"gh5c")</f>
        <v>agh5c</v>
      </c>
      <c r="I541" s="2" t="s">
        <v>3476</v>
      </c>
      <c r="J541" s="2" t="s">
        <v>3461</v>
      </c>
      <c r="L541" s="2" t="s">
        <v>1414</v>
      </c>
      <c r="O541" s="2" t="s">
        <v>1843</v>
      </c>
      <c r="P541" s="2" t="s">
        <v>3462</v>
      </c>
    </row>
    <row r="542" spans="1:16" ht="17.25" customHeight="1" x14ac:dyDescent="0.2">
      <c r="A542" s="17" t="s">
        <v>973</v>
      </c>
      <c r="B542" s="17" t="s">
        <v>4182</v>
      </c>
      <c r="C542" s="17" t="s">
        <v>1635</v>
      </c>
      <c r="D542" s="17" t="s">
        <v>3475</v>
      </c>
      <c r="E542" s="2" t="str">
        <f t="shared" si="46"/>
        <v>b</v>
      </c>
      <c r="F542" s="2">
        <f t="shared" si="47"/>
        <v>2</v>
      </c>
      <c r="G542" s="2">
        <v>2002</v>
      </c>
      <c r="H542" s="2" t="str">
        <f t="shared" si="49"/>
        <v>bgh5c</v>
      </c>
      <c r="I542" s="2" t="s">
        <v>3476</v>
      </c>
      <c r="J542" s="2" t="s">
        <v>3461</v>
      </c>
      <c r="L542" s="2" t="s">
        <v>1414</v>
      </c>
      <c r="O542" s="2" t="s">
        <v>1843</v>
      </c>
      <c r="P542" s="2" t="s">
        <v>3462</v>
      </c>
    </row>
    <row r="543" spans="1:16" ht="17.25" customHeight="1" x14ac:dyDescent="0.2">
      <c r="A543" s="17" t="s">
        <v>973</v>
      </c>
      <c r="B543" s="17" t="s">
        <v>4182</v>
      </c>
      <c r="C543" s="17" t="s">
        <v>1635</v>
      </c>
      <c r="D543" s="17" t="s">
        <v>3475</v>
      </c>
      <c r="E543" s="2" t="str">
        <f t="shared" si="46"/>
        <v>c</v>
      </c>
      <c r="F543" s="2">
        <f t="shared" si="47"/>
        <v>3</v>
      </c>
      <c r="G543" s="2">
        <v>2003</v>
      </c>
      <c r="H543" s="2" t="str">
        <f t="shared" si="49"/>
        <v>cgh5c</v>
      </c>
      <c r="I543" s="2" t="s">
        <v>3476</v>
      </c>
      <c r="J543" s="2" t="s">
        <v>3461</v>
      </c>
      <c r="L543" s="2" t="s">
        <v>1414</v>
      </c>
      <c r="O543" s="2" t="s">
        <v>1843</v>
      </c>
      <c r="P543" s="2" t="s">
        <v>3462</v>
      </c>
    </row>
    <row r="544" spans="1:16" ht="17.25" customHeight="1" x14ac:dyDescent="0.2">
      <c r="A544" s="17" t="s">
        <v>973</v>
      </c>
      <c r="B544" s="17" t="s">
        <v>4182</v>
      </c>
      <c r="C544" s="17" t="s">
        <v>1635</v>
      </c>
      <c r="D544" s="17" t="s">
        <v>3475</v>
      </c>
      <c r="E544" s="2" t="str">
        <f t="shared" si="46"/>
        <v>d</v>
      </c>
      <c r="F544" s="2">
        <f t="shared" si="47"/>
        <v>4</v>
      </c>
      <c r="G544" s="2">
        <v>2004</v>
      </c>
      <c r="H544" s="2" t="str">
        <f t="shared" si="49"/>
        <v>dgh5c</v>
      </c>
      <c r="I544" s="2" t="s">
        <v>3476</v>
      </c>
      <c r="J544" s="2" t="s">
        <v>3461</v>
      </c>
      <c r="L544" s="2" t="s">
        <v>1414</v>
      </c>
      <c r="O544" s="2" t="s">
        <v>1843</v>
      </c>
      <c r="P544" s="2" t="s">
        <v>3462</v>
      </c>
    </row>
    <row r="545" spans="1:16" ht="17.25" customHeight="1" x14ac:dyDescent="0.2">
      <c r="A545" s="17" t="s">
        <v>973</v>
      </c>
      <c r="B545" s="17" t="s">
        <v>4182</v>
      </c>
      <c r="C545" s="17" t="s">
        <v>1635</v>
      </c>
      <c r="D545" s="17" t="s">
        <v>3475</v>
      </c>
      <c r="E545" s="2" t="str">
        <f t="shared" si="46"/>
        <v>e</v>
      </c>
      <c r="F545" s="2">
        <f t="shared" si="47"/>
        <v>5</v>
      </c>
      <c r="G545" s="2">
        <v>2005</v>
      </c>
      <c r="H545" s="2" t="str">
        <f t="shared" si="49"/>
        <v>egh5c</v>
      </c>
      <c r="I545" s="2" t="s">
        <v>3476</v>
      </c>
      <c r="J545" s="2" t="s">
        <v>3461</v>
      </c>
      <c r="L545" s="2" t="s">
        <v>1414</v>
      </c>
      <c r="O545" s="2" t="s">
        <v>1843</v>
      </c>
      <c r="P545" s="2" t="s">
        <v>3462</v>
      </c>
    </row>
    <row r="546" spans="1:16" ht="17.25" customHeight="1" x14ac:dyDescent="0.2">
      <c r="A546" s="17" t="s">
        <v>973</v>
      </c>
      <c r="B546" s="17" t="s">
        <v>4182</v>
      </c>
      <c r="C546" s="17" t="s">
        <v>1635</v>
      </c>
      <c r="D546" s="17" t="s">
        <v>3475</v>
      </c>
      <c r="E546" s="2" t="str">
        <f t="shared" si="46"/>
        <v>f</v>
      </c>
      <c r="F546" s="2">
        <f t="shared" si="47"/>
        <v>6</v>
      </c>
      <c r="G546" s="2">
        <v>2006</v>
      </c>
      <c r="H546" s="2" t="str">
        <f t="shared" si="49"/>
        <v>fgh5c</v>
      </c>
      <c r="I546" s="2" t="s">
        <v>3476</v>
      </c>
      <c r="J546" s="2" t="s">
        <v>3461</v>
      </c>
      <c r="L546" s="2" t="s">
        <v>1414</v>
      </c>
      <c r="O546" s="2" t="s">
        <v>1843</v>
      </c>
      <c r="P546" s="2" t="s">
        <v>3462</v>
      </c>
    </row>
    <row r="547" spans="1:16" ht="17.25" customHeight="1" x14ac:dyDescent="0.2">
      <c r="A547" s="17" t="s">
        <v>973</v>
      </c>
      <c r="B547" s="17" t="s">
        <v>4182</v>
      </c>
      <c r="C547" s="17" t="s">
        <v>1635</v>
      </c>
      <c r="D547" s="17" t="s">
        <v>3475</v>
      </c>
      <c r="E547" s="2" t="str">
        <f t="shared" si="46"/>
        <v>g</v>
      </c>
      <c r="F547" s="2">
        <f t="shared" si="47"/>
        <v>7</v>
      </c>
      <c r="G547" s="2">
        <v>2007</v>
      </c>
      <c r="H547" s="2" t="str">
        <f t="shared" si="49"/>
        <v>ggh5c</v>
      </c>
      <c r="I547" s="2" t="s">
        <v>3476</v>
      </c>
      <c r="J547" s="2" t="s">
        <v>3461</v>
      </c>
      <c r="L547" s="2" t="s">
        <v>1414</v>
      </c>
      <c r="O547" s="2" t="s">
        <v>1843</v>
      </c>
      <c r="P547" s="2" t="s">
        <v>3462</v>
      </c>
    </row>
    <row r="548" spans="1:16" ht="17.25" customHeight="1" x14ac:dyDescent="0.2">
      <c r="A548" s="17" t="s">
        <v>973</v>
      </c>
      <c r="B548" s="17" t="s">
        <v>4182</v>
      </c>
      <c r="C548" s="17" t="s">
        <v>1635</v>
      </c>
      <c r="D548" s="17" t="s">
        <v>3475</v>
      </c>
      <c r="E548" s="2" t="str">
        <f t="shared" si="46"/>
        <v>h</v>
      </c>
      <c r="F548" s="2">
        <f t="shared" si="47"/>
        <v>8</v>
      </c>
      <c r="G548" s="2">
        <v>2008</v>
      </c>
      <c r="H548" s="2" t="str">
        <f t="shared" si="49"/>
        <v>hgh5c</v>
      </c>
      <c r="I548" s="2" t="s">
        <v>3476</v>
      </c>
      <c r="J548" s="2" t="s">
        <v>3461</v>
      </c>
      <c r="L548" s="2" t="s">
        <v>1414</v>
      </c>
      <c r="O548" s="2" t="s">
        <v>1843</v>
      </c>
      <c r="P548" s="2" t="s">
        <v>3462</v>
      </c>
    </row>
    <row r="549" spans="1:16" ht="17.25" customHeight="1" x14ac:dyDescent="0.2">
      <c r="A549" s="17" t="s">
        <v>973</v>
      </c>
      <c r="B549" s="17" t="s">
        <v>4182</v>
      </c>
      <c r="C549" s="17" t="s">
        <v>1635</v>
      </c>
      <c r="D549" s="17" t="s">
        <v>3475</v>
      </c>
      <c r="E549" s="2" t="str">
        <f t="shared" si="46"/>
        <v>i</v>
      </c>
      <c r="F549" s="2">
        <f t="shared" si="47"/>
        <v>9</v>
      </c>
      <c r="G549" s="2">
        <v>2009</v>
      </c>
      <c r="H549" s="2" t="str">
        <f t="shared" si="49"/>
        <v>igh5c</v>
      </c>
      <c r="I549" s="2" t="s">
        <v>3476</v>
      </c>
      <c r="J549" s="2" t="s">
        <v>3461</v>
      </c>
      <c r="L549" s="2" t="s">
        <v>1414</v>
      </c>
      <c r="O549" s="2" t="s">
        <v>1843</v>
      </c>
      <c r="P549" s="2" t="s">
        <v>3462</v>
      </c>
    </row>
    <row r="550" spans="1:16" ht="17.25" customHeight="1" x14ac:dyDescent="0.2">
      <c r="A550" s="17" t="s">
        <v>973</v>
      </c>
      <c r="B550" s="17" t="s">
        <v>4182</v>
      </c>
      <c r="C550" s="17" t="s">
        <v>1635</v>
      </c>
      <c r="D550" s="17" t="s">
        <v>3475</v>
      </c>
      <c r="E550" s="2" t="str">
        <f t="shared" si="46"/>
        <v>j</v>
      </c>
      <c r="F550" s="2">
        <f t="shared" si="47"/>
        <v>10</v>
      </c>
      <c r="G550" s="2">
        <v>2010</v>
      </c>
      <c r="H550" s="2" t="str">
        <f t="shared" si="49"/>
        <v>jgh5c</v>
      </c>
      <c r="I550" s="2" t="s">
        <v>3476</v>
      </c>
      <c r="J550" s="2" t="s">
        <v>3461</v>
      </c>
      <c r="L550" s="2" t="s">
        <v>1414</v>
      </c>
      <c r="O550" s="2" t="s">
        <v>1843</v>
      </c>
      <c r="P550" s="2" t="s">
        <v>3462</v>
      </c>
    </row>
    <row r="551" spans="1:16" ht="17.25" customHeight="1" x14ac:dyDescent="0.2">
      <c r="A551" s="17" t="s">
        <v>973</v>
      </c>
      <c r="B551" s="17" t="s">
        <v>4182</v>
      </c>
      <c r="C551" s="17" t="s">
        <v>1635</v>
      </c>
      <c r="D551" s="17" t="s">
        <v>3475</v>
      </c>
      <c r="E551" s="2" t="str">
        <f t="shared" si="46"/>
        <v>k</v>
      </c>
      <c r="F551" s="2">
        <f t="shared" si="47"/>
        <v>11</v>
      </c>
      <c r="G551" s="2">
        <v>2011</v>
      </c>
      <c r="H551" s="2" t="str">
        <f t="shared" si="49"/>
        <v>kgh5c</v>
      </c>
      <c r="I551" s="2" t="s">
        <v>3476</v>
      </c>
      <c r="J551" s="2" t="s">
        <v>3461</v>
      </c>
      <c r="L551" s="2" t="s">
        <v>1414</v>
      </c>
      <c r="O551" s="2" t="s">
        <v>1843</v>
      </c>
      <c r="P551" s="2" t="s">
        <v>3462</v>
      </c>
    </row>
    <row r="552" spans="1:16" ht="17.25" customHeight="1" x14ac:dyDescent="0.2">
      <c r="A552" s="17" t="s">
        <v>973</v>
      </c>
      <c r="B552" s="17" t="s">
        <v>4182</v>
      </c>
      <c r="C552" s="17" t="s">
        <v>1635</v>
      </c>
      <c r="D552" s="17" t="s">
        <v>3475</v>
      </c>
      <c r="E552" s="2" t="str">
        <f t="shared" si="46"/>
        <v>l</v>
      </c>
      <c r="F552" s="2">
        <f t="shared" si="47"/>
        <v>12</v>
      </c>
      <c r="G552" s="2">
        <v>2012</v>
      </c>
      <c r="H552" s="2" t="str">
        <f t="shared" si="49"/>
        <v>lgh5c</v>
      </c>
      <c r="I552" s="2" t="s">
        <v>3476</v>
      </c>
      <c r="J552" s="2" t="s">
        <v>3461</v>
      </c>
      <c r="L552" s="2" t="s">
        <v>1414</v>
      </c>
      <c r="O552" s="2" t="s">
        <v>1843</v>
      </c>
      <c r="P552" s="2" t="s">
        <v>3462</v>
      </c>
    </row>
    <row r="553" spans="1:16" ht="17.25" customHeight="1" x14ac:dyDescent="0.2">
      <c r="A553" s="17" t="s">
        <v>973</v>
      </c>
      <c r="B553" s="17" t="s">
        <v>4182</v>
      </c>
      <c r="C553" s="17" t="s">
        <v>1635</v>
      </c>
      <c r="D553" s="17" t="s">
        <v>3475</v>
      </c>
      <c r="E553" s="2" t="str">
        <f t="shared" si="46"/>
        <v>m</v>
      </c>
      <c r="F553" s="2">
        <f t="shared" si="47"/>
        <v>13</v>
      </c>
      <c r="G553" s="2">
        <v>2013</v>
      </c>
      <c r="H553" s="2" t="str">
        <f t="shared" si="49"/>
        <v>mgh5c</v>
      </c>
      <c r="I553" s="2" t="s">
        <v>3476</v>
      </c>
      <c r="J553" s="2" t="s">
        <v>3461</v>
      </c>
      <c r="L553" s="2" t="s">
        <v>1414</v>
      </c>
      <c r="O553" s="2" t="s">
        <v>1843</v>
      </c>
      <c r="P553" s="2" t="s">
        <v>3462</v>
      </c>
    </row>
    <row r="554" spans="1:16" ht="17.25" customHeight="1" x14ac:dyDescent="0.2">
      <c r="A554" s="17" t="s">
        <v>973</v>
      </c>
      <c r="B554" s="17" t="s">
        <v>4182</v>
      </c>
      <c r="C554" s="17" t="s">
        <v>1635</v>
      </c>
      <c r="D554" s="17" t="s">
        <v>3475</v>
      </c>
      <c r="E554" s="2" t="str">
        <f t="shared" si="46"/>
        <v>n</v>
      </c>
      <c r="F554" s="2">
        <f t="shared" si="47"/>
        <v>14</v>
      </c>
      <c r="G554" s="2">
        <v>2014</v>
      </c>
      <c r="H554" s="2" t="str">
        <f t="shared" si="49"/>
        <v>ngh5c</v>
      </c>
      <c r="I554" s="2" t="s">
        <v>3476</v>
      </c>
      <c r="J554" s="2" t="s">
        <v>3461</v>
      </c>
      <c r="L554" s="2" t="s">
        <v>1414</v>
      </c>
      <c r="O554" s="2" t="s">
        <v>1843</v>
      </c>
      <c r="P554" s="2" t="s">
        <v>3462</v>
      </c>
    </row>
    <row r="555" spans="1:16" ht="17.25" customHeight="1" x14ac:dyDescent="0.2">
      <c r="A555" s="17" t="s">
        <v>973</v>
      </c>
      <c r="B555" s="17" t="s">
        <v>4182</v>
      </c>
      <c r="C555" s="17" t="s">
        <v>1635</v>
      </c>
      <c r="D555" s="17" t="s">
        <v>3475</v>
      </c>
      <c r="E555" s="2" t="str">
        <f t="shared" si="46"/>
        <v>o</v>
      </c>
      <c r="F555" s="2">
        <f t="shared" si="47"/>
        <v>15</v>
      </c>
      <c r="G555" s="2">
        <v>2015</v>
      </c>
      <c r="H555" s="2" t="str">
        <f t="shared" si="49"/>
        <v>ogh5c</v>
      </c>
      <c r="I555" s="2" t="s">
        <v>3476</v>
      </c>
      <c r="J555" s="2" t="s">
        <v>3461</v>
      </c>
      <c r="L555" s="2" t="s">
        <v>1414</v>
      </c>
      <c r="O555" s="2" t="s">
        <v>1843</v>
      </c>
      <c r="P555" s="2" t="s">
        <v>3462</v>
      </c>
    </row>
    <row r="556" spans="1:16" ht="17.25" customHeight="1" x14ac:dyDescent="0.2">
      <c r="A556" s="17" t="s">
        <v>973</v>
      </c>
      <c r="B556" s="17" t="s">
        <v>4182</v>
      </c>
      <c r="C556" s="17" t="s">
        <v>1635</v>
      </c>
      <c r="D556" s="17" t="s">
        <v>3475</v>
      </c>
      <c r="E556" s="2" t="str">
        <f t="shared" si="46"/>
        <v>p</v>
      </c>
      <c r="F556" s="2">
        <f t="shared" si="47"/>
        <v>16</v>
      </c>
      <c r="G556" s="2">
        <v>2016</v>
      </c>
      <c r="H556" s="2" t="str">
        <f t="shared" si="49"/>
        <v>pgh5c</v>
      </c>
      <c r="I556" s="2" t="s">
        <v>3476</v>
      </c>
      <c r="J556" s="2" t="s">
        <v>3461</v>
      </c>
      <c r="L556" s="2" t="s">
        <v>1414</v>
      </c>
      <c r="O556" s="2" t="s">
        <v>1843</v>
      </c>
      <c r="P556" s="2" t="s">
        <v>3462</v>
      </c>
    </row>
    <row r="557" spans="1:16" ht="17.25" customHeight="1" x14ac:dyDescent="0.2">
      <c r="A557" s="17" t="s">
        <v>973</v>
      </c>
      <c r="B557" s="17" t="s">
        <v>4182</v>
      </c>
      <c r="C557" s="17" t="s">
        <v>1635</v>
      </c>
      <c r="D557" s="17" t="s">
        <v>3475</v>
      </c>
      <c r="E557" s="2" t="str">
        <f t="shared" si="46"/>
        <v>q</v>
      </c>
      <c r="F557" s="2">
        <f t="shared" si="47"/>
        <v>17</v>
      </c>
      <c r="G557" s="2">
        <v>2017</v>
      </c>
      <c r="H557" s="2" t="str">
        <f t="shared" ref="H557" si="50">_xlfn.CONCAT(E557,"gh5c")</f>
        <v>qgh5c</v>
      </c>
      <c r="I557" s="2" t="s">
        <v>3476</v>
      </c>
      <c r="J557" s="2" t="s">
        <v>3461</v>
      </c>
      <c r="L557" s="2" t="s">
        <v>1414</v>
      </c>
      <c r="O557" s="2" t="s">
        <v>1843</v>
      </c>
      <c r="P557" s="2" t="s">
        <v>3462</v>
      </c>
    </row>
    <row r="558" spans="1:16" ht="17.25" customHeight="1" x14ac:dyDescent="0.2">
      <c r="A558" s="17" t="s">
        <v>973</v>
      </c>
      <c r="B558" s="17" t="s">
        <v>4182</v>
      </c>
      <c r="C558" s="17" t="s">
        <v>1635</v>
      </c>
      <c r="D558" s="17" t="s">
        <v>3475</v>
      </c>
      <c r="E558" s="2" t="str">
        <f t="shared" si="46"/>
        <v>r</v>
      </c>
      <c r="F558" s="2">
        <f t="shared" si="47"/>
        <v>18</v>
      </c>
      <c r="G558" s="2">
        <v>2018</v>
      </c>
      <c r="H558" s="2" t="str">
        <f t="shared" si="49"/>
        <v>rgh5c</v>
      </c>
      <c r="I558" s="2" t="s">
        <v>3476</v>
      </c>
      <c r="J558" s="2" t="s">
        <v>3461</v>
      </c>
      <c r="L558" s="2" t="s">
        <v>1414</v>
      </c>
      <c r="O558" s="2" t="s">
        <v>1843</v>
      </c>
      <c r="P558" s="2" t="s">
        <v>3462</v>
      </c>
    </row>
    <row r="559" spans="1:16" ht="17.25" customHeight="1" x14ac:dyDescent="0.2">
      <c r="A559" s="17" t="s">
        <v>973</v>
      </c>
      <c r="B559" s="17" t="s">
        <v>4182</v>
      </c>
      <c r="C559" s="17" t="s">
        <v>1635</v>
      </c>
      <c r="D559" s="17" t="s">
        <v>3477</v>
      </c>
      <c r="E559" s="2" t="str">
        <f t="shared" si="46"/>
        <v>a</v>
      </c>
      <c r="F559" s="2">
        <f t="shared" si="47"/>
        <v>1</v>
      </c>
      <c r="G559" s="2">
        <v>2001</v>
      </c>
      <c r="H559" s="2" t="str">
        <f t="shared" ref="H559:H575" si="51">_xlfn.CONCAT(E559,"gh5a")</f>
        <v>agh5a</v>
      </c>
      <c r="I559" s="2" t="s">
        <v>3478</v>
      </c>
      <c r="J559" s="2" t="s">
        <v>3461</v>
      </c>
      <c r="L559" s="2" t="s">
        <v>1414</v>
      </c>
      <c r="O559" s="2" t="s">
        <v>1843</v>
      </c>
      <c r="P559" s="2" t="s">
        <v>3462</v>
      </c>
    </row>
    <row r="560" spans="1:16" ht="17.25" customHeight="1" x14ac:dyDescent="0.2">
      <c r="A560" s="17" t="s">
        <v>973</v>
      </c>
      <c r="B560" s="17" t="s">
        <v>4182</v>
      </c>
      <c r="C560" s="17" t="s">
        <v>1635</v>
      </c>
      <c r="D560" s="17" t="s">
        <v>3477</v>
      </c>
      <c r="E560" s="2" t="str">
        <f t="shared" si="46"/>
        <v>b</v>
      </c>
      <c r="F560" s="2">
        <f t="shared" si="47"/>
        <v>2</v>
      </c>
      <c r="G560" s="2">
        <v>2002</v>
      </c>
      <c r="H560" s="2" t="str">
        <f t="shared" si="51"/>
        <v>bgh5a</v>
      </c>
      <c r="I560" s="2" t="s">
        <v>3478</v>
      </c>
      <c r="J560" s="2" t="s">
        <v>3461</v>
      </c>
      <c r="L560" s="2" t="s">
        <v>1414</v>
      </c>
      <c r="O560" s="2" t="s">
        <v>1843</v>
      </c>
      <c r="P560" s="2" t="s">
        <v>3462</v>
      </c>
    </row>
    <row r="561" spans="1:16" ht="17.25" customHeight="1" x14ac:dyDescent="0.2">
      <c r="A561" s="17" t="s">
        <v>973</v>
      </c>
      <c r="B561" s="17" t="s">
        <v>4182</v>
      </c>
      <c r="C561" s="17" t="s">
        <v>1635</v>
      </c>
      <c r="D561" s="17" t="s">
        <v>3477</v>
      </c>
      <c r="E561" s="2" t="str">
        <f t="shared" si="46"/>
        <v>c</v>
      </c>
      <c r="F561" s="2">
        <f t="shared" si="47"/>
        <v>3</v>
      </c>
      <c r="G561" s="2">
        <v>2003</v>
      </c>
      <c r="H561" s="2" t="str">
        <f t="shared" si="51"/>
        <v>cgh5a</v>
      </c>
      <c r="I561" s="2" t="s">
        <v>3478</v>
      </c>
      <c r="J561" s="2" t="s">
        <v>3461</v>
      </c>
      <c r="L561" s="2" t="s">
        <v>1414</v>
      </c>
      <c r="O561" s="2" t="s">
        <v>1843</v>
      </c>
      <c r="P561" s="2" t="s">
        <v>3462</v>
      </c>
    </row>
    <row r="562" spans="1:16" ht="17.25" customHeight="1" x14ac:dyDescent="0.2">
      <c r="A562" s="17" t="s">
        <v>973</v>
      </c>
      <c r="B562" s="17" t="s">
        <v>4182</v>
      </c>
      <c r="C562" s="17" t="s">
        <v>1635</v>
      </c>
      <c r="D562" s="17" t="s">
        <v>3477</v>
      </c>
      <c r="E562" s="2" t="str">
        <f t="shared" si="46"/>
        <v>d</v>
      </c>
      <c r="F562" s="2">
        <f t="shared" si="47"/>
        <v>4</v>
      </c>
      <c r="G562" s="2">
        <v>2004</v>
      </c>
      <c r="H562" s="2" t="str">
        <f t="shared" si="51"/>
        <v>dgh5a</v>
      </c>
      <c r="I562" s="2" t="s">
        <v>3478</v>
      </c>
      <c r="J562" s="2" t="s">
        <v>3461</v>
      </c>
      <c r="L562" s="2" t="s">
        <v>1414</v>
      </c>
      <c r="O562" s="2" t="s">
        <v>1843</v>
      </c>
      <c r="P562" s="2" t="s">
        <v>3462</v>
      </c>
    </row>
    <row r="563" spans="1:16" ht="17.25" customHeight="1" x14ac:dyDescent="0.2">
      <c r="A563" s="17" t="s">
        <v>973</v>
      </c>
      <c r="B563" s="17" t="s">
        <v>4182</v>
      </c>
      <c r="C563" s="17" t="s">
        <v>1635</v>
      </c>
      <c r="D563" s="17" t="s">
        <v>3477</v>
      </c>
      <c r="E563" s="2" t="str">
        <f t="shared" si="46"/>
        <v>e</v>
      </c>
      <c r="F563" s="2">
        <f t="shared" si="47"/>
        <v>5</v>
      </c>
      <c r="G563" s="2">
        <v>2005</v>
      </c>
      <c r="H563" s="2" t="str">
        <f t="shared" si="51"/>
        <v>egh5a</v>
      </c>
      <c r="I563" s="2" t="s">
        <v>3478</v>
      </c>
      <c r="J563" s="2" t="s">
        <v>3461</v>
      </c>
      <c r="L563" s="2" t="s">
        <v>1414</v>
      </c>
      <c r="O563" s="2" t="s">
        <v>1843</v>
      </c>
      <c r="P563" s="2" t="s">
        <v>3462</v>
      </c>
    </row>
    <row r="564" spans="1:16" ht="17.25" customHeight="1" x14ac:dyDescent="0.2">
      <c r="A564" s="17" t="s">
        <v>973</v>
      </c>
      <c r="B564" s="17" t="s">
        <v>4182</v>
      </c>
      <c r="C564" s="17" t="s">
        <v>1635</v>
      </c>
      <c r="D564" s="17" t="s">
        <v>3477</v>
      </c>
      <c r="E564" s="2" t="str">
        <f t="shared" si="46"/>
        <v>f</v>
      </c>
      <c r="F564" s="2">
        <f t="shared" si="47"/>
        <v>6</v>
      </c>
      <c r="G564" s="2">
        <v>2006</v>
      </c>
      <c r="H564" s="2" t="str">
        <f t="shared" si="51"/>
        <v>fgh5a</v>
      </c>
      <c r="I564" s="2" t="s">
        <v>3478</v>
      </c>
      <c r="J564" s="2" t="s">
        <v>3461</v>
      </c>
      <c r="L564" s="2" t="s">
        <v>1414</v>
      </c>
      <c r="O564" s="2" t="s">
        <v>1843</v>
      </c>
      <c r="P564" s="2" t="s">
        <v>3462</v>
      </c>
    </row>
    <row r="565" spans="1:16" ht="17.25" customHeight="1" x14ac:dyDescent="0.2">
      <c r="A565" s="17" t="s">
        <v>973</v>
      </c>
      <c r="B565" s="17" t="s">
        <v>4182</v>
      </c>
      <c r="C565" s="17" t="s">
        <v>1635</v>
      </c>
      <c r="D565" s="17" t="s">
        <v>3477</v>
      </c>
      <c r="E565" s="2" t="str">
        <f t="shared" si="46"/>
        <v>g</v>
      </c>
      <c r="F565" s="2">
        <f t="shared" si="47"/>
        <v>7</v>
      </c>
      <c r="G565" s="2">
        <v>2007</v>
      </c>
      <c r="H565" s="2" t="str">
        <f t="shared" si="51"/>
        <v>ggh5a</v>
      </c>
      <c r="I565" s="2" t="s">
        <v>3478</v>
      </c>
      <c r="J565" s="2" t="s">
        <v>3461</v>
      </c>
      <c r="L565" s="2" t="s">
        <v>1414</v>
      </c>
      <c r="O565" s="2" t="s">
        <v>1843</v>
      </c>
      <c r="P565" s="2" t="s">
        <v>3462</v>
      </c>
    </row>
    <row r="566" spans="1:16" ht="17.25" customHeight="1" x14ac:dyDescent="0.2">
      <c r="A566" s="17" t="s">
        <v>973</v>
      </c>
      <c r="B566" s="17" t="s">
        <v>4182</v>
      </c>
      <c r="C566" s="17" t="s">
        <v>1635</v>
      </c>
      <c r="D566" s="17" t="s">
        <v>3477</v>
      </c>
      <c r="E566" s="2" t="str">
        <f t="shared" si="46"/>
        <v>h</v>
      </c>
      <c r="F566" s="2">
        <f t="shared" si="47"/>
        <v>8</v>
      </c>
      <c r="G566" s="2">
        <v>2008</v>
      </c>
      <c r="H566" s="2" t="str">
        <f t="shared" si="51"/>
        <v>hgh5a</v>
      </c>
      <c r="I566" s="2" t="s">
        <v>3478</v>
      </c>
      <c r="J566" s="2" t="s">
        <v>3461</v>
      </c>
      <c r="L566" s="2" t="s">
        <v>1414</v>
      </c>
      <c r="O566" s="2" t="s">
        <v>1843</v>
      </c>
      <c r="P566" s="2" t="s">
        <v>3462</v>
      </c>
    </row>
    <row r="567" spans="1:16" ht="17.25" customHeight="1" x14ac:dyDescent="0.2">
      <c r="A567" s="17" t="s">
        <v>973</v>
      </c>
      <c r="B567" s="17" t="s">
        <v>4182</v>
      </c>
      <c r="C567" s="17" t="s">
        <v>1635</v>
      </c>
      <c r="D567" s="17" t="s">
        <v>3477</v>
      </c>
      <c r="E567" s="2" t="str">
        <f t="shared" si="46"/>
        <v>i</v>
      </c>
      <c r="F567" s="2">
        <f t="shared" si="47"/>
        <v>9</v>
      </c>
      <c r="G567" s="2">
        <v>2009</v>
      </c>
      <c r="H567" s="2" t="str">
        <f t="shared" si="51"/>
        <v>igh5a</v>
      </c>
      <c r="I567" s="2" t="s">
        <v>3478</v>
      </c>
      <c r="J567" s="2" t="s">
        <v>3461</v>
      </c>
      <c r="L567" s="2" t="s">
        <v>1414</v>
      </c>
      <c r="O567" s="2" t="s">
        <v>1843</v>
      </c>
      <c r="P567" s="2" t="s">
        <v>3462</v>
      </c>
    </row>
    <row r="568" spans="1:16" ht="17.25" customHeight="1" x14ac:dyDescent="0.2">
      <c r="A568" s="17" t="s">
        <v>973</v>
      </c>
      <c r="B568" s="17" t="s">
        <v>4182</v>
      </c>
      <c r="C568" s="17" t="s">
        <v>1635</v>
      </c>
      <c r="D568" s="17" t="s">
        <v>3477</v>
      </c>
      <c r="E568" s="2" t="str">
        <f t="shared" si="46"/>
        <v>j</v>
      </c>
      <c r="F568" s="2">
        <f t="shared" si="47"/>
        <v>10</v>
      </c>
      <c r="G568" s="2">
        <v>2010</v>
      </c>
      <c r="H568" s="2" t="str">
        <f t="shared" si="51"/>
        <v>jgh5a</v>
      </c>
      <c r="I568" s="2" t="s">
        <v>3478</v>
      </c>
      <c r="J568" s="2" t="s">
        <v>3461</v>
      </c>
      <c r="L568" s="2" t="s">
        <v>1414</v>
      </c>
      <c r="O568" s="2" t="s">
        <v>1843</v>
      </c>
      <c r="P568" s="2" t="s">
        <v>3462</v>
      </c>
    </row>
    <row r="569" spans="1:16" ht="17.25" customHeight="1" x14ac:dyDescent="0.2">
      <c r="A569" s="17" t="s">
        <v>973</v>
      </c>
      <c r="B569" s="17" t="s">
        <v>4182</v>
      </c>
      <c r="C569" s="17" t="s">
        <v>1635</v>
      </c>
      <c r="D569" s="17" t="s">
        <v>3477</v>
      </c>
      <c r="E569" s="2" t="str">
        <f t="shared" si="46"/>
        <v>k</v>
      </c>
      <c r="F569" s="2">
        <f t="shared" si="47"/>
        <v>11</v>
      </c>
      <c r="G569" s="2">
        <v>2011</v>
      </c>
      <c r="H569" s="2" t="str">
        <f t="shared" si="51"/>
        <v>kgh5a</v>
      </c>
      <c r="I569" s="2" t="s">
        <v>3478</v>
      </c>
      <c r="J569" s="2" t="s">
        <v>3461</v>
      </c>
      <c r="L569" s="2" t="s">
        <v>1414</v>
      </c>
      <c r="O569" s="2" t="s">
        <v>1843</v>
      </c>
      <c r="P569" s="2" t="s">
        <v>3462</v>
      </c>
    </row>
    <row r="570" spans="1:16" ht="17.25" customHeight="1" x14ac:dyDescent="0.2">
      <c r="A570" s="17" t="s">
        <v>973</v>
      </c>
      <c r="B570" s="17" t="s">
        <v>4182</v>
      </c>
      <c r="C570" s="17" t="s">
        <v>1635</v>
      </c>
      <c r="D570" s="17" t="s">
        <v>3477</v>
      </c>
      <c r="E570" s="2" t="str">
        <f t="shared" si="46"/>
        <v>l</v>
      </c>
      <c r="F570" s="2">
        <f t="shared" si="47"/>
        <v>12</v>
      </c>
      <c r="G570" s="2">
        <v>2012</v>
      </c>
      <c r="H570" s="2" t="str">
        <f t="shared" si="51"/>
        <v>lgh5a</v>
      </c>
      <c r="I570" s="2" t="s">
        <v>3478</v>
      </c>
      <c r="J570" s="2" t="s">
        <v>3461</v>
      </c>
      <c r="L570" s="2" t="s">
        <v>1414</v>
      </c>
      <c r="O570" s="2" t="s">
        <v>1843</v>
      </c>
      <c r="P570" s="2" t="s">
        <v>3462</v>
      </c>
    </row>
    <row r="571" spans="1:16" ht="17.25" customHeight="1" x14ac:dyDescent="0.2">
      <c r="A571" s="17" t="s">
        <v>973</v>
      </c>
      <c r="B571" s="17" t="s">
        <v>4182</v>
      </c>
      <c r="C571" s="17" t="s">
        <v>1635</v>
      </c>
      <c r="D571" s="17" t="s">
        <v>3477</v>
      </c>
      <c r="E571" s="2" t="str">
        <f t="shared" si="46"/>
        <v>m</v>
      </c>
      <c r="F571" s="2">
        <f t="shared" si="47"/>
        <v>13</v>
      </c>
      <c r="G571" s="2">
        <v>2013</v>
      </c>
      <c r="H571" s="2" t="str">
        <f t="shared" si="51"/>
        <v>mgh5a</v>
      </c>
      <c r="I571" s="2" t="s">
        <v>3478</v>
      </c>
      <c r="J571" s="2" t="s">
        <v>3461</v>
      </c>
      <c r="L571" s="2" t="s">
        <v>1414</v>
      </c>
      <c r="O571" s="2" t="s">
        <v>1843</v>
      </c>
      <c r="P571" s="2" t="s">
        <v>3462</v>
      </c>
    </row>
    <row r="572" spans="1:16" ht="17.25" customHeight="1" x14ac:dyDescent="0.2">
      <c r="A572" s="17" t="s">
        <v>973</v>
      </c>
      <c r="B572" s="17" t="s">
        <v>4182</v>
      </c>
      <c r="C572" s="17" t="s">
        <v>1635</v>
      </c>
      <c r="D572" s="17" t="s">
        <v>3477</v>
      </c>
      <c r="E572" s="2" t="str">
        <f t="shared" si="46"/>
        <v>n</v>
      </c>
      <c r="F572" s="2">
        <f t="shared" si="47"/>
        <v>14</v>
      </c>
      <c r="G572" s="2">
        <v>2014</v>
      </c>
      <c r="H572" s="2" t="str">
        <f t="shared" si="51"/>
        <v>ngh5a</v>
      </c>
      <c r="I572" s="2" t="s">
        <v>3478</v>
      </c>
      <c r="J572" s="2" t="s">
        <v>3461</v>
      </c>
      <c r="L572" s="2" t="s">
        <v>1414</v>
      </c>
      <c r="O572" s="2" t="s">
        <v>1843</v>
      </c>
      <c r="P572" s="2" t="s">
        <v>3462</v>
      </c>
    </row>
    <row r="573" spans="1:16" ht="17.25" customHeight="1" x14ac:dyDescent="0.2">
      <c r="A573" s="17" t="s">
        <v>973</v>
      </c>
      <c r="B573" s="17" t="s">
        <v>4182</v>
      </c>
      <c r="C573" s="17" t="s">
        <v>1635</v>
      </c>
      <c r="D573" s="17" t="s">
        <v>3477</v>
      </c>
      <c r="E573" s="2" t="str">
        <f t="shared" si="46"/>
        <v>o</v>
      </c>
      <c r="F573" s="2">
        <f t="shared" si="47"/>
        <v>15</v>
      </c>
      <c r="G573" s="2">
        <v>2015</v>
      </c>
      <c r="H573" s="2" t="str">
        <f t="shared" si="51"/>
        <v>ogh5a</v>
      </c>
      <c r="I573" s="2" t="s">
        <v>3478</v>
      </c>
      <c r="J573" s="2" t="s">
        <v>3461</v>
      </c>
      <c r="L573" s="2" t="s">
        <v>1414</v>
      </c>
      <c r="O573" s="2" t="s">
        <v>1843</v>
      </c>
      <c r="P573" s="2" t="s">
        <v>3462</v>
      </c>
    </row>
    <row r="574" spans="1:16" ht="17.25" customHeight="1" x14ac:dyDescent="0.2">
      <c r="A574" s="17" t="s">
        <v>973</v>
      </c>
      <c r="B574" s="17" t="s">
        <v>4182</v>
      </c>
      <c r="C574" s="17" t="s">
        <v>1635</v>
      </c>
      <c r="D574" s="17" t="s">
        <v>3477</v>
      </c>
      <c r="E574" s="2" t="str">
        <f t="shared" si="46"/>
        <v>p</v>
      </c>
      <c r="F574" s="2">
        <f t="shared" si="47"/>
        <v>16</v>
      </c>
      <c r="G574" s="2">
        <v>2016</v>
      </c>
      <c r="H574" s="2" t="str">
        <f t="shared" si="51"/>
        <v>pgh5a</v>
      </c>
      <c r="I574" s="2" t="s">
        <v>3478</v>
      </c>
      <c r="J574" s="2" t="s">
        <v>3461</v>
      </c>
      <c r="L574" s="2" t="s">
        <v>1414</v>
      </c>
      <c r="O574" s="2" t="s">
        <v>1843</v>
      </c>
      <c r="P574" s="2" t="s">
        <v>3462</v>
      </c>
    </row>
    <row r="575" spans="1:16" ht="17.25" customHeight="1" x14ac:dyDescent="0.2">
      <c r="A575" s="17" t="s">
        <v>973</v>
      </c>
      <c r="B575" s="17" t="s">
        <v>4182</v>
      </c>
      <c r="C575" s="17" t="s">
        <v>1635</v>
      </c>
      <c r="D575" s="17" t="s">
        <v>3477</v>
      </c>
      <c r="E575" s="2" t="str">
        <f t="shared" si="46"/>
        <v>q</v>
      </c>
      <c r="F575" s="2">
        <f t="shared" si="47"/>
        <v>17</v>
      </c>
      <c r="G575" s="2">
        <v>2017</v>
      </c>
      <c r="H575" s="2" t="str">
        <f t="shared" si="51"/>
        <v>qgh5a</v>
      </c>
      <c r="I575" s="2" t="s">
        <v>3478</v>
      </c>
      <c r="J575" s="2" t="s">
        <v>3461</v>
      </c>
      <c r="L575" s="2" t="s">
        <v>1414</v>
      </c>
      <c r="O575" s="2" t="s">
        <v>1843</v>
      </c>
      <c r="P575" s="2" t="s">
        <v>3462</v>
      </c>
    </row>
    <row r="576" spans="1:16" ht="17.25" customHeight="1" x14ac:dyDescent="0.2">
      <c r="A576" s="17" t="s">
        <v>973</v>
      </c>
      <c r="B576" s="17" t="s">
        <v>4182</v>
      </c>
      <c r="C576" s="17" t="s">
        <v>1635</v>
      </c>
      <c r="D576" s="17" t="s">
        <v>3477</v>
      </c>
      <c r="E576" s="2" t="str">
        <f t="shared" si="46"/>
        <v>r</v>
      </c>
      <c r="F576" s="2">
        <f t="shared" si="47"/>
        <v>18</v>
      </c>
      <c r="G576" s="2">
        <v>2018</v>
      </c>
      <c r="H576" s="2" t="str">
        <f t="shared" ref="H576" si="52">_xlfn.CONCAT(E576,"gh5a")</f>
        <v>rgh5a</v>
      </c>
      <c r="I576" s="2" t="s">
        <v>3478</v>
      </c>
      <c r="J576" s="2" t="s">
        <v>3461</v>
      </c>
      <c r="L576" s="2" t="s">
        <v>1414</v>
      </c>
      <c r="O576" s="2" t="s">
        <v>1843</v>
      </c>
      <c r="P576" s="2" t="s">
        <v>3462</v>
      </c>
    </row>
    <row r="577" spans="1:16" ht="17.25" customHeight="1" x14ac:dyDescent="0.2">
      <c r="A577" s="18" t="s">
        <v>973</v>
      </c>
      <c r="B577" s="18" t="s">
        <v>4182</v>
      </c>
      <c r="C577" s="18" t="s">
        <v>1637</v>
      </c>
      <c r="D577" s="18" t="s">
        <v>3479</v>
      </c>
      <c r="E577" s="2" t="str">
        <f t="shared" si="46"/>
        <v>a</v>
      </c>
      <c r="F577" s="2">
        <f t="shared" si="47"/>
        <v>1</v>
      </c>
      <c r="G577" s="2">
        <v>2001</v>
      </c>
      <c r="H577" s="2" t="s">
        <v>3480</v>
      </c>
      <c r="I577" s="2" t="s">
        <v>3481</v>
      </c>
      <c r="J577" s="2" t="s">
        <v>2365</v>
      </c>
      <c r="K577" s="2" t="s">
        <v>1520</v>
      </c>
      <c r="L577" s="2" t="s">
        <v>8</v>
      </c>
      <c r="M577" s="2">
        <v>1</v>
      </c>
      <c r="N577" s="2">
        <v>5</v>
      </c>
      <c r="O577" s="2" t="s">
        <v>1527</v>
      </c>
      <c r="P577" s="2" t="s">
        <v>3462</v>
      </c>
    </row>
    <row r="578" spans="1:16" ht="17.25" customHeight="1" x14ac:dyDescent="0.2">
      <c r="A578" s="18" t="s">
        <v>973</v>
      </c>
      <c r="B578" s="18" t="s">
        <v>4182</v>
      </c>
      <c r="C578" s="18" t="s">
        <v>1637</v>
      </c>
      <c r="D578" s="18" t="s">
        <v>3479</v>
      </c>
      <c r="E578" s="2" t="str">
        <f t="shared" si="46"/>
        <v>b</v>
      </c>
      <c r="F578" s="2">
        <f t="shared" si="47"/>
        <v>2</v>
      </c>
      <c r="G578" s="2">
        <v>2002</v>
      </c>
      <c r="H578" s="2" t="s">
        <v>3482</v>
      </c>
      <c r="I578" s="2" t="s">
        <v>3481</v>
      </c>
      <c r="J578" s="2" t="s">
        <v>2365</v>
      </c>
      <c r="K578" s="2" t="s">
        <v>1520</v>
      </c>
      <c r="L578" s="2" t="s">
        <v>8</v>
      </c>
      <c r="M578" s="2">
        <v>1</v>
      </c>
      <c r="N578" s="2">
        <v>5</v>
      </c>
      <c r="O578" s="2" t="s">
        <v>1527</v>
      </c>
      <c r="P578" s="2" t="s">
        <v>3462</v>
      </c>
    </row>
    <row r="579" spans="1:16" ht="17.25" customHeight="1" x14ac:dyDescent="0.2">
      <c r="A579" s="18" t="s">
        <v>973</v>
      </c>
      <c r="B579" s="18" t="s">
        <v>4182</v>
      </c>
      <c r="C579" s="18" t="s">
        <v>1637</v>
      </c>
      <c r="D579" s="18" t="s">
        <v>3479</v>
      </c>
      <c r="E579" s="2" t="str">
        <f t="shared" si="46"/>
        <v>c</v>
      </c>
      <c r="F579" s="2">
        <f t="shared" si="47"/>
        <v>3</v>
      </c>
      <c r="G579" s="2">
        <v>2003</v>
      </c>
      <c r="H579" s="2" t="s">
        <v>3483</v>
      </c>
      <c r="I579" s="2" t="s">
        <v>3481</v>
      </c>
      <c r="J579" s="2" t="s">
        <v>2365</v>
      </c>
      <c r="K579" s="2" t="s">
        <v>1520</v>
      </c>
      <c r="L579" s="2" t="s">
        <v>8</v>
      </c>
      <c r="M579" s="2">
        <v>1</v>
      </c>
      <c r="N579" s="2">
        <v>5</v>
      </c>
      <c r="O579" s="2" t="s">
        <v>1527</v>
      </c>
      <c r="P579" s="2" t="s">
        <v>3462</v>
      </c>
    </row>
    <row r="580" spans="1:16" ht="17.25" customHeight="1" x14ac:dyDescent="0.2">
      <c r="A580" s="18" t="s">
        <v>973</v>
      </c>
      <c r="B580" s="18" t="s">
        <v>4182</v>
      </c>
      <c r="C580" s="18" t="s">
        <v>1637</v>
      </c>
      <c r="D580" s="18" t="s">
        <v>3479</v>
      </c>
      <c r="E580" s="2" t="str">
        <f t="shared" si="46"/>
        <v>d</v>
      </c>
      <c r="F580" s="2">
        <f t="shared" si="47"/>
        <v>4</v>
      </c>
      <c r="G580" s="2">
        <v>2004</v>
      </c>
      <c r="H580" s="2" t="s">
        <v>3484</v>
      </c>
      <c r="I580" s="2" t="s">
        <v>3481</v>
      </c>
      <c r="J580" s="2" t="s">
        <v>2365</v>
      </c>
      <c r="K580" s="2" t="s">
        <v>1520</v>
      </c>
      <c r="L580" s="2" t="s">
        <v>8</v>
      </c>
      <c r="M580" s="2">
        <v>1</v>
      </c>
      <c r="N580" s="2">
        <v>5</v>
      </c>
      <c r="O580" s="2" t="s">
        <v>1527</v>
      </c>
      <c r="P580" s="2" t="s">
        <v>3462</v>
      </c>
    </row>
    <row r="581" spans="1:16" ht="17.25" customHeight="1" x14ac:dyDescent="0.2">
      <c r="A581" s="18" t="s">
        <v>973</v>
      </c>
      <c r="B581" s="18" t="s">
        <v>4182</v>
      </c>
      <c r="C581" s="18" t="s">
        <v>1637</v>
      </c>
      <c r="D581" s="18" t="s">
        <v>3479</v>
      </c>
      <c r="E581" s="2" t="str">
        <f t="shared" si="46"/>
        <v>e</v>
      </c>
      <c r="F581" s="2">
        <f t="shared" si="47"/>
        <v>5</v>
      </c>
      <c r="G581" s="2">
        <v>2005</v>
      </c>
      <c r="H581" s="2" t="s">
        <v>3485</v>
      </c>
      <c r="I581" s="2" t="s">
        <v>3481</v>
      </c>
      <c r="J581" s="2" t="s">
        <v>2365</v>
      </c>
      <c r="K581" s="2" t="s">
        <v>1520</v>
      </c>
      <c r="L581" s="2" t="s">
        <v>8</v>
      </c>
      <c r="M581" s="2">
        <v>1</v>
      </c>
      <c r="N581" s="2">
        <v>5</v>
      </c>
      <c r="O581" s="2" t="s">
        <v>1527</v>
      </c>
      <c r="P581" s="2" t="s">
        <v>3462</v>
      </c>
    </row>
    <row r="582" spans="1:16" ht="17.25" customHeight="1" x14ac:dyDescent="0.2">
      <c r="A582" s="18" t="s">
        <v>973</v>
      </c>
      <c r="B582" s="18" t="s">
        <v>4182</v>
      </c>
      <c r="C582" s="18" t="s">
        <v>1637</v>
      </c>
      <c r="D582" s="18" t="s">
        <v>3479</v>
      </c>
      <c r="E582" s="2" t="str">
        <f t="shared" si="46"/>
        <v>f</v>
      </c>
      <c r="F582" s="2">
        <f t="shared" si="47"/>
        <v>6</v>
      </c>
      <c r="G582" s="2">
        <v>2006</v>
      </c>
      <c r="H582" s="2" t="s">
        <v>3486</v>
      </c>
      <c r="I582" s="2" t="s">
        <v>3481</v>
      </c>
      <c r="J582" s="2" t="s">
        <v>2365</v>
      </c>
      <c r="K582" s="2" t="s">
        <v>1520</v>
      </c>
      <c r="L582" s="2" t="s">
        <v>8</v>
      </c>
      <c r="M582" s="2">
        <v>1</v>
      </c>
      <c r="N582" s="2">
        <v>5</v>
      </c>
      <c r="O582" s="2" t="s">
        <v>1527</v>
      </c>
      <c r="P582" s="2" t="s">
        <v>3462</v>
      </c>
    </row>
    <row r="583" spans="1:16" ht="17.25" customHeight="1" x14ac:dyDescent="0.2">
      <c r="A583" s="18" t="s">
        <v>973</v>
      </c>
      <c r="B583" s="18" t="s">
        <v>4182</v>
      </c>
      <c r="C583" s="18" t="s">
        <v>1637</v>
      </c>
      <c r="D583" s="18" t="s">
        <v>3479</v>
      </c>
      <c r="E583" s="2" t="str">
        <f t="shared" si="46"/>
        <v>g</v>
      </c>
      <c r="F583" s="2">
        <f t="shared" si="47"/>
        <v>7</v>
      </c>
      <c r="G583" s="2">
        <v>2007</v>
      </c>
      <c r="H583" s="2" t="s">
        <v>3487</v>
      </c>
      <c r="I583" s="2" t="s">
        <v>3481</v>
      </c>
      <c r="J583" s="2" t="s">
        <v>2365</v>
      </c>
      <c r="K583" s="2" t="s">
        <v>1520</v>
      </c>
      <c r="L583" s="2" t="s">
        <v>8</v>
      </c>
      <c r="M583" s="2">
        <v>1</v>
      </c>
      <c r="N583" s="2">
        <v>5</v>
      </c>
      <c r="O583" s="2" t="s">
        <v>1527</v>
      </c>
      <c r="P583" s="2" t="s">
        <v>3462</v>
      </c>
    </row>
    <row r="584" spans="1:16" ht="17.25" customHeight="1" x14ac:dyDescent="0.2">
      <c r="A584" s="18" t="s">
        <v>973</v>
      </c>
      <c r="B584" s="18" t="s">
        <v>4182</v>
      </c>
      <c r="C584" s="18" t="s">
        <v>1637</v>
      </c>
      <c r="D584" s="18" t="s">
        <v>3479</v>
      </c>
      <c r="E584" s="2" t="str">
        <f t="shared" si="46"/>
        <v>h</v>
      </c>
      <c r="F584" s="2">
        <f t="shared" si="47"/>
        <v>8</v>
      </c>
      <c r="G584" s="2">
        <v>2008</v>
      </c>
      <c r="H584" s="2" t="s">
        <v>3488</v>
      </c>
      <c r="I584" s="2" t="s">
        <v>3481</v>
      </c>
      <c r="J584" s="2" t="s">
        <v>2365</v>
      </c>
      <c r="K584" s="2" t="s">
        <v>1520</v>
      </c>
      <c r="L584" s="2" t="s">
        <v>8</v>
      </c>
      <c r="M584" s="2">
        <v>1</v>
      </c>
      <c r="N584" s="2">
        <v>5</v>
      </c>
      <c r="O584" s="2" t="s">
        <v>1527</v>
      </c>
      <c r="P584" s="2" t="s">
        <v>3462</v>
      </c>
    </row>
    <row r="585" spans="1:16" ht="17.25" customHeight="1" x14ac:dyDescent="0.2">
      <c r="A585" s="18" t="s">
        <v>973</v>
      </c>
      <c r="B585" s="18" t="s">
        <v>4182</v>
      </c>
      <c r="C585" s="18" t="s">
        <v>1637</v>
      </c>
      <c r="D585" s="18" t="s">
        <v>3479</v>
      </c>
      <c r="E585" s="2" t="str">
        <f t="shared" si="46"/>
        <v>i</v>
      </c>
      <c r="F585" s="2">
        <f t="shared" si="47"/>
        <v>9</v>
      </c>
      <c r="G585" s="2">
        <v>2009</v>
      </c>
      <c r="H585" s="2" t="s">
        <v>3489</v>
      </c>
      <c r="I585" s="2" t="s">
        <v>3481</v>
      </c>
      <c r="J585" s="2" t="s">
        <v>2365</v>
      </c>
      <c r="K585" s="2" t="s">
        <v>1520</v>
      </c>
      <c r="L585" s="2" t="s">
        <v>8</v>
      </c>
      <c r="M585" s="2">
        <v>1</v>
      </c>
      <c r="N585" s="2">
        <v>5</v>
      </c>
      <c r="O585" s="2" t="s">
        <v>1527</v>
      </c>
      <c r="P585" s="2" t="s">
        <v>3462</v>
      </c>
    </row>
    <row r="586" spans="1:16" ht="17.25" customHeight="1" x14ac:dyDescent="0.2">
      <c r="A586" s="18" t="s">
        <v>973</v>
      </c>
      <c r="B586" s="18" t="s">
        <v>4182</v>
      </c>
      <c r="C586" s="18" t="s">
        <v>1637</v>
      </c>
      <c r="D586" s="18" t="s">
        <v>3479</v>
      </c>
      <c r="E586" s="2" t="str">
        <f t="shared" si="46"/>
        <v>j</v>
      </c>
      <c r="F586" s="2">
        <f t="shared" si="47"/>
        <v>10</v>
      </c>
      <c r="G586" s="2">
        <v>2010</v>
      </c>
      <c r="H586" s="2" t="s">
        <v>3490</v>
      </c>
      <c r="I586" s="2" t="s">
        <v>3481</v>
      </c>
      <c r="J586" s="2" t="s">
        <v>2365</v>
      </c>
      <c r="K586" s="2" t="s">
        <v>1520</v>
      </c>
      <c r="L586" s="2" t="s">
        <v>8</v>
      </c>
      <c r="M586" s="2">
        <v>1</v>
      </c>
      <c r="N586" s="2">
        <v>5</v>
      </c>
      <c r="O586" s="2" t="s">
        <v>1527</v>
      </c>
      <c r="P586" s="2" t="s">
        <v>3462</v>
      </c>
    </row>
    <row r="587" spans="1:16" ht="17.25" customHeight="1" x14ac:dyDescent="0.2">
      <c r="A587" s="18" t="s">
        <v>973</v>
      </c>
      <c r="B587" s="18" t="s">
        <v>4182</v>
      </c>
      <c r="C587" s="18" t="s">
        <v>1637</v>
      </c>
      <c r="D587" s="18" t="s">
        <v>3479</v>
      </c>
      <c r="E587" s="2" t="str">
        <f t="shared" si="46"/>
        <v>k</v>
      </c>
      <c r="F587" s="2">
        <f t="shared" si="47"/>
        <v>11</v>
      </c>
      <c r="G587" s="2">
        <v>2011</v>
      </c>
      <c r="H587" s="2" t="s">
        <v>3491</v>
      </c>
      <c r="I587" s="2" t="s">
        <v>3481</v>
      </c>
      <c r="J587" s="2" t="s">
        <v>2365</v>
      </c>
      <c r="K587" s="2" t="s">
        <v>1520</v>
      </c>
      <c r="L587" s="2" t="s">
        <v>8</v>
      </c>
      <c r="M587" s="2">
        <v>1</v>
      </c>
      <c r="N587" s="2">
        <v>5</v>
      </c>
      <c r="O587" s="2" t="s">
        <v>1527</v>
      </c>
      <c r="P587" s="2" t="s">
        <v>3462</v>
      </c>
    </row>
    <row r="588" spans="1:16" ht="17.25" customHeight="1" x14ac:dyDescent="0.2">
      <c r="A588" s="18" t="s">
        <v>973</v>
      </c>
      <c r="B588" s="18" t="s">
        <v>4182</v>
      </c>
      <c r="C588" s="18" t="s">
        <v>1637</v>
      </c>
      <c r="D588" s="18" t="s">
        <v>3479</v>
      </c>
      <c r="E588" s="2" t="str">
        <f t="shared" si="46"/>
        <v>l</v>
      </c>
      <c r="F588" s="2">
        <f t="shared" si="47"/>
        <v>12</v>
      </c>
      <c r="G588" s="2">
        <v>2012</v>
      </c>
      <c r="H588" s="2" t="s">
        <v>3492</v>
      </c>
      <c r="I588" s="2" t="s">
        <v>3481</v>
      </c>
      <c r="J588" s="2" t="s">
        <v>2365</v>
      </c>
      <c r="K588" s="2" t="s">
        <v>1520</v>
      </c>
      <c r="L588" s="2" t="s">
        <v>8</v>
      </c>
      <c r="M588" s="2">
        <v>1</v>
      </c>
      <c r="N588" s="2">
        <v>5</v>
      </c>
      <c r="O588" s="2" t="s">
        <v>1527</v>
      </c>
      <c r="P588" s="2" t="s">
        <v>3462</v>
      </c>
    </row>
    <row r="589" spans="1:16" ht="17.25" customHeight="1" x14ac:dyDescent="0.2">
      <c r="A589" s="18" t="s">
        <v>973</v>
      </c>
      <c r="B589" s="18" t="s">
        <v>4182</v>
      </c>
      <c r="C589" s="18" t="s">
        <v>1637</v>
      </c>
      <c r="D589" s="18" t="s">
        <v>3479</v>
      </c>
      <c r="E589" s="2" t="str">
        <f t="shared" si="46"/>
        <v>m</v>
      </c>
      <c r="F589" s="2">
        <f t="shared" si="47"/>
        <v>13</v>
      </c>
      <c r="G589" s="2">
        <v>2013</v>
      </c>
      <c r="H589" s="2" t="s">
        <v>3493</v>
      </c>
      <c r="I589" s="2" t="s">
        <v>3481</v>
      </c>
      <c r="J589" s="2" t="s">
        <v>2365</v>
      </c>
      <c r="K589" s="2" t="s">
        <v>1520</v>
      </c>
      <c r="L589" s="2" t="s">
        <v>8</v>
      </c>
      <c r="M589" s="2">
        <v>1</v>
      </c>
      <c r="N589" s="2">
        <v>5</v>
      </c>
      <c r="O589" s="2" t="s">
        <v>1527</v>
      </c>
      <c r="P589" s="2" t="s">
        <v>3462</v>
      </c>
    </row>
    <row r="590" spans="1:16" ht="17.25" customHeight="1" x14ac:dyDescent="0.2">
      <c r="A590" s="18" t="s">
        <v>973</v>
      </c>
      <c r="B590" s="18" t="s">
        <v>4182</v>
      </c>
      <c r="C590" s="18" t="s">
        <v>1637</v>
      </c>
      <c r="D590" s="18" t="s">
        <v>3479</v>
      </c>
      <c r="E590" s="2" t="str">
        <f t="shared" si="46"/>
        <v>n</v>
      </c>
      <c r="F590" s="2">
        <f t="shared" si="47"/>
        <v>14</v>
      </c>
      <c r="G590" s="2">
        <v>2014</v>
      </c>
      <c r="H590" s="2" t="s">
        <v>3494</v>
      </c>
      <c r="I590" s="2" t="s">
        <v>3481</v>
      </c>
      <c r="J590" s="2" t="s">
        <v>2365</v>
      </c>
      <c r="K590" s="2" t="s">
        <v>1520</v>
      </c>
      <c r="L590" s="2" t="s">
        <v>8</v>
      </c>
      <c r="M590" s="2">
        <v>1</v>
      </c>
      <c r="N590" s="2">
        <v>5</v>
      </c>
      <c r="O590" s="2" t="s">
        <v>1527</v>
      </c>
      <c r="P590" s="2" t="s">
        <v>3462</v>
      </c>
    </row>
    <row r="591" spans="1:16" ht="17.25" customHeight="1" x14ac:dyDescent="0.2">
      <c r="A591" s="18" t="s">
        <v>973</v>
      </c>
      <c r="B591" s="18" t="s">
        <v>4182</v>
      </c>
      <c r="C591" s="18" t="s">
        <v>1637</v>
      </c>
      <c r="D591" s="18" t="s">
        <v>3479</v>
      </c>
      <c r="E591" s="2" t="str">
        <f t="shared" si="46"/>
        <v>o</v>
      </c>
      <c r="F591" s="2">
        <f t="shared" si="47"/>
        <v>15</v>
      </c>
      <c r="G591" s="2">
        <v>2015</v>
      </c>
      <c r="H591" s="2" t="s">
        <v>3495</v>
      </c>
      <c r="I591" s="2" t="s">
        <v>3481</v>
      </c>
      <c r="J591" s="2" t="s">
        <v>2365</v>
      </c>
      <c r="K591" s="2" t="s">
        <v>1520</v>
      </c>
      <c r="L591" s="2" t="s">
        <v>8</v>
      </c>
      <c r="M591" s="2">
        <v>1</v>
      </c>
      <c r="N591" s="2">
        <v>5</v>
      </c>
      <c r="O591" s="2" t="s">
        <v>1527</v>
      </c>
      <c r="P591" s="2" t="s">
        <v>3462</v>
      </c>
    </row>
    <row r="592" spans="1:16" ht="17.25" customHeight="1" x14ac:dyDescent="0.2">
      <c r="A592" s="18" t="s">
        <v>973</v>
      </c>
      <c r="B592" s="18" t="s">
        <v>4182</v>
      </c>
      <c r="C592" s="18" t="s">
        <v>1637</v>
      </c>
      <c r="D592" s="18" t="s">
        <v>3479</v>
      </c>
      <c r="E592" s="2" t="str">
        <f t="shared" si="46"/>
        <v>p</v>
      </c>
      <c r="F592" s="2">
        <f t="shared" si="47"/>
        <v>16</v>
      </c>
      <c r="G592" s="2">
        <v>2016</v>
      </c>
      <c r="H592" s="2" t="s">
        <v>3496</v>
      </c>
      <c r="I592" s="2" t="s">
        <v>3481</v>
      </c>
      <c r="J592" s="2" t="s">
        <v>2365</v>
      </c>
      <c r="K592" s="2" t="s">
        <v>1520</v>
      </c>
      <c r="L592" s="2" t="s">
        <v>8</v>
      </c>
      <c r="M592" s="2">
        <v>1</v>
      </c>
      <c r="N592" s="2">
        <v>5</v>
      </c>
      <c r="O592" s="2" t="s">
        <v>1527</v>
      </c>
      <c r="P592" s="2" t="s">
        <v>3462</v>
      </c>
    </row>
    <row r="593" spans="1:16" ht="17.25" customHeight="1" x14ac:dyDescent="0.2">
      <c r="A593" s="18" t="s">
        <v>973</v>
      </c>
      <c r="B593" s="18" t="s">
        <v>4182</v>
      </c>
      <c r="C593" s="18" t="s">
        <v>1637</v>
      </c>
      <c r="D593" s="18" t="s">
        <v>3479</v>
      </c>
      <c r="E593" s="2" t="str">
        <f t="shared" si="46"/>
        <v>q</v>
      </c>
      <c r="F593" s="2">
        <f t="shared" si="47"/>
        <v>17</v>
      </c>
      <c r="G593" s="2">
        <v>2017</v>
      </c>
      <c r="H593" s="2" t="s">
        <v>3497</v>
      </c>
      <c r="I593" s="2" t="s">
        <v>3481</v>
      </c>
      <c r="J593" s="2" t="s">
        <v>2365</v>
      </c>
      <c r="K593" s="2" t="s">
        <v>1520</v>
      </c>
      <c r="L593" s="2" t="s">
        <v>8</v>
      </c>
      <c r="M593" s="2">
        <v>1</v>
      </c>
      <c r="N593" s="2">
        <v>5</v>
      </c>
      <c r="O593" s="2" t="s">
        <v>1527</v>
      </c>
      <c r="P593" s="2" t="s">
        <v>3462</v>
      </c>
    </row>
    <row r="594" spans="1:16" ht="17.25" customHeight="1" x14ac:dyDescent="0.2">
      <c r="A594" s="18" t="s">
        <v>973</v>
      </c>
      <c r="B594" s="18" t="s">
        <v>4182</v>
      </c>
      <c r="C594" s="18" t="s">
        <v>1637</v>
      </c>
      <c r="D594" s="18" t="s">
        <v>3479</v>
      </c>
      <c r="E594" s="2" t="str">
        <f t="shared" si="46"/>
        <v>r</v>
      </c>
      <c r="F594" s="2">
        <f t="shared" si="47"/>
        <v>18</v>
      </c>
      <c r="G594" s="2">
        <v>2018</v>
      </c>
      <c r="H594" s="2" t="s">
        <v>3517</v>
      </c>
      <c r="I594" s="2" t="s">
        <v>3481</v>
      </c>
      <c r="J594" s="2" t="s">
        <v>2365</v>
      </c>
      <c r="K594" s="2" t="s">
        <v>1520</v>
      </c>
      <c r="L594" s="2" t="s">
        <v>8</v>
      </c>
      <c r="M594" s="2">
        <v>1</v>
      </c>
      <c r="N594" s="2">
        <v>5</v>
      </c>
      <c r="O594" s="2" t="s">
        <v>1527</v>
      </c>
      <c r="P594" s="2" t="s">
        <v>3462</v>
      </c>
    </row>
    <row r="595" spans="1:16" ht="17.25" customHeight="1" x14ac:dyDescent="0.2">
      <c r="A595" s="18" t="s">
        <v>973</v>
      </c>
      <c r="B595" s="18" t="s">
        <v>4182</v>
      </c>
      <c r="C595" s="18" t="s">
        <v>1637</v>
      </c>
      <c r="D595" s="18" t="s">
        <v>1637</v>
      </c>
      <c r="E595" s="2" t="str">
        <f t="shared" si="46"/>
        <v>a</v>
      </c>
      <c r="F595" s="2">
        <f t="shared" si="47"/>
        <v>1</v>
      </c>
      <c r="G595" s="2">
        <v>2001</v>
      </c>
      <c r="H595" s="2" t="s">
        <v>3498</v>
      </c>
      <c r="I595" s="2" t="s">
        <v>3499</v>
      </c>
      <c r="J595" s="2" t="s">
        <v>3500</v>
      </c>
      <c r="L595" s="2" t="s">
        <v>8</v>
      </c>
      <c r="O595" s="2" t="s">
        <v>1527</v>
      </c>
      <c r="P595" s="2" t="s">
        <v>3462</v>
      </c>
    </row>
    <row r="596" spans="1:16" ht="17.25" customHeight="1" x14ac:dyDescent="0.2">
      <c r="A596" s="18" t="s">
        <v>973</v>
      </c>
      <c r="B596" s="18" t="s">
        <v>4182</v>
      </c>
      <c r="C596" s="18" t="s">
        <v>1637</v>
      </c>
      <c r="D596" s="18" t="s">
        <v>1637</v>
      </c>
      <c r="E596" s="2" t="str">
        <f t="shared" ref="E596:E659" si="53">MID("abcdefghijklmnopqrstuvwxyz",F596,1)</f>
        <v>b</v>
      </c>
      <c r="F596" s="2">
        <f t="shared" ref="F596:F659" si="54">G596-2000</f>
        <v>2</v>
      </c>
      <c r="G596" s="2">
        <v>2002</v>
      </c>
      <c r="H596" s="2" t="s">
        <v>3501</v>
      </c>
      <c r="I596" s="2" t="s">
        <v>3499</v>
      </c>
      <c r="J596" s="2" t="s">
        <v>3500</v>
      </c>
      <c r="L596" s="2" t="s">
        <v>8</v>
      </c>
      <c r="O596" s="2" t="s">
        <v>1527</v>
      </c>
      <c r="P596" s="2" t="s">
        <v>3462</v>
      </c>
    </row>
    <row r="597" spans="1:16" ht="17.25" customHeight="1" x14ac:dyDescent="0.2">
      <c r="A597" s="18" t="s">
        <v>973</v>
      </c>
      <c r="B597" s="18" t="s">
        <v>4182</v>
      </c>
      <c r="C597" s="18" t="s">
        <v>1637</v>
      </c>
      <c r="D597" s="18" t="s">
        <v>1637</v>
      </c>
      <c r="E597" s="2" t="str">
        <f t="shared" si="53"/>
        <v>c</v>
      </c>
      <c r="F597" s="2">
        <f t="shared" si="54"/>
        <v>3</v>
      </c>
      <c r="G597" s="2">
        <v>2003</v>
      </c>
      <c r="H597" s="2" t="s">
        <v>3502</v>
      </c>
      <c r="I597" s="2" t="s">
        <v>3499</v>
      </c>
      <c r="J597" s="2" t="s">
        <v>3500</v>
      </c>
      <c r="L597" s="2" t="s">
        <v>8</v>
      </c>
      <c r="O597" s="2" t="s">
        <v>1527</v>
      </c>
      <c r="P597" s="2" t="s">
        <v>3462</v>
      </c>
    </row>
    <row r="598" spans="1:16" ht="17.25" customHeight="1" x14ac:dyDescent="0.2">
      <c r="A598" s="18" t="s">
        <v>973</v>
      </c>
      <c r="B598" s="18" t="s">
        <v>4182</v>
      </c>
      <c r="C598" s="18" t="s">
        <v>1637</v>
      </c>
      <c r="D598" s="18" t="s">
        <v>1637</v>
      </c>
      <c r="E598" s="2" t="str">
        <f t="shared" si="53"/>
        <v>d</v>
      </c>
      <c r="F598" s="2">
        <f t="shared" si="54"/>
        <v>4</v>
      </c>
      <c r="G598" s="2">
        <v>2004</v>
      </c>
      <c r="H598" s="2" t="s">
        <v>3503</v>
      </c>
      <c r="I598" s="2" t="s">
        <v>3499</v>
      </c>
      <c r="J598" s="2" t="s">
        <v>3500</v>
      </c>
      <c r="L598" s="2" t="s">
        <v>8</v>
      </c>
      <c r="O598" s="2" t="s">
        <v>1527</v>
      </c>
      <c r="P598" s="2" t="s">
        <v>3462</v>
      </c>
    </row>
    <row r="599" spans="1:16" ht="17.25" customHeight="1" x14ac:dyDescent="0.2">
      <c r="A599" s="18" t="s">
        <v>973</v>
      </c>
      <c r="B599" s="18" t="s">
        <v>4182</v>
      </c>
      <c r="C599" s="18" t="s">
        <v>1637</v>
      </c>
      <c r="D599" s="18" t="s">
        <v>1637</v>
      </c>
      <c r="E599" s="2" t="str">
        <f t="shared" si="53"/>
        <v>e</v>
      </c>
      <c r="F599" s="2">
        <f t="shared" si="54"/>
        <v>5</v>
      </c>
      <c r="G599" s="2">
        <v>2005</v>
      </c>
      <c r="H599" s="2" t="s">
        <v>3504</v>
      </c>
      <c r="I599" s="2" t="s">
        <v>3499</v>
      </c>
      <c r="J599" s="2" t="s">
        <v>3500</v>
      </c>
      <c r="L599" s="2" t="s">
        <v>8</v>
      </c>
      <c r="O599" s="2" t="s">
        <v>1527</v>
      </c>
      <c r="P599" s="2" t="s">
        <v>3462</v>
      </c>
    </row>
    <row r="600" spans="1:16" ht="17.25" customHeight="1" x14ac:dyDescent="0.2">
      <c r="A600" s="18" t="s">
        <v>973</v>
      </c>
      <c r="B600" s="18" t="s">
        <v>4182</v>
      </c>
      <c r="C600" s="18" t="s">
        <v>1637</v>
      </c>
      <c r="D600" s="18" t="s">
        <v>1637</v>
      </c>
      <c r="E600" s="2" t="str">
        <f t="shared" si="53"/>
        <v>f</v>
      </c>
      <c r="F600" s="2">
        <f t="shared" si="54"/>
        <v>6</v>
      </c>
      <c r="G600" s="2">
        <v>2006</v>
      </c>
      <c r="H600" s="2" t="s">
        <v>3505</v>
      </c>
      <c r="I600" s="2" t="s">
        <v>3499</v>
      </c>
      <c r="J600" s="2" t="s">
        <v>3500</v>
      </c>
      <c r="L600" s="2" t="s">
        <v>8</v>
      </c>
      <c r="O600" s="2" t="s">
        <v>1527</v>
      </c>
      <c r="P600" s="2" t="s">
        <v>3462</v>
      </c>
    </row>
    <row r="601" spans="1:16" ht="17.25" customHeight="1" x14ac:dyDescent="0.2">
      <c r="A601" s="18" t="s">
        <v>973</v>
      </c>
      <c r="B601" s="18" t="s">
        <v>4182</v>
      </c>
      <c r="C601" s="18" t="s">
        <v>1637</v>
      </c>
      <c r="D601" s="18" t="s">
        <v>1637</v>
      </c>
      <c r="E601" s="2" t="str">
        <f t="shared" si="53"/>
        <v>g</v>
      </c>
      <c r="F601" s="2">
        <f t="shared" si="54"/>
        <v>7</v>
      </c>
      <c r="G601" s="2">
        <v>2007</v>
      </c>
      <c r="H601" s="2" t="s">
        <v>3506</v>
      </c>
      <c r="I601" s="2" t="s">
        <v>3499</v>
      </c>
      <c r="J601" s="2" t="s">
        <v>3500</v>
      </c>
      <c r="L601" s="2" t="s">
        <v>8</v>
      </c>
      <c r="O601" s="2" t="s">
        <v>1527</v>
      </c>
      <c r="P601" s="2" t="s">
        <v>3462</v>
      </c>
    </row>
    <row r="602" spans="1:16" ht="17.25" customHeight="1" x14ac:dyDescent="0.2">
      <c r="A602" s="18" t="s">
        <v>973</v>
      </c>
      <c r="B602" s="18" t="s">
        <v>4182</v>
      </c>
      <c r="C602" s="18" t="s">
        <v>1637</v>
      </c>
      <c r="D602" s="18" t="s">
        <v>1637</v>
      </c>
      <c r="E602" s="2" t="str">
        <f t="shared" si="53"/>
        <v>h</v>
      </c>
      <c r="F602" s="2">
        <f t="shared" si="54"/>
        <v>8</v>
      </c>
      <c r="G602" s="2">
        <v>2008</v>
      </c>
      <c r="H602" s="2" t="s">
        <v>3507</v>
      </c>
      <c r="I602" s="2" t="s">
        <v>3499</v>
      </c>
      <c r="J602" s="2" t="s">
        <v>3500</v>
      </c>
      <c r="L602" s="2" t="s">
        <v>8</v>
      </c>
      <c r="O602" s="2" t="s">
        <v>1527</v>
      </c>
      <c r="P602" s="2" t="s">
        <v>3462</v>
      </c>
    </row>
    <row r="603" spans="1:16" ht="17.25" customHeight="1" x14ac:dyDescent="0.2">
      <c r="A603" s="18" t="s">
        <v>973</v>
      </c>
      <c r="B603" s="18" t="s">
        <v>4182</v>
      </c>
      <c r="C603" s="18" t="s">
        <v>1637</v>
      </c>
      <c r="D603" s="18" t="s">
        <v>1637</v>
      </c>
      <c r="E603" s="2" t="str">
        <f t="shared" si="53"/>
        <v>i</v>
      </c>
      <c r="F603" s="2">
        <f t="shared" si="54"/>
        <v>9</v>
      </c>
      <c r="G603" s="2">
        <v>2009</v>
      </c>
      <c r="H603" s="2" t="s">
        <v>3508</v>
      </c>
      <c r="I603" s="2" t="s">
        <v>3499</v>
      </c>
      <c r="J603" s="2" t="s">
        <v>3500</v>
      </c>
      <c r="L603" s="2" t="s">
        <v>8</v>
      </c>
      <c r="O603" s="2" t="s">
        <v>1527</v>
      </c>
      <c r="P603" s="2" t="s">
        <v>3462</v>
      </c>
    </row>
    <row r="604" spans="1:16" ht="17.25" customHeight="1" x14ac:dyDescent="0.2">
      <c r="A604" s="18" t="s">
        <v>973</v>
      </c>
      <c r="B604" s="18" t="s">
        <v>4182</v>
      </c>
      <c r="C604" s="18" t="s">
        <v>1637</v>
      </c>
      <c r="D604" s="18" t="s">
        <v>1637</v>
      </c>
      <c r="E604" s="2" t="str">
        <f t="shared" si="53"/>
        <v>j</v>
      </c>
      <c r="F604" s="2">
        <f t="shared" si="54"/>
        <v>10</v>
      </c>
      <c r="G604" s="2">
        <v>2010</v>
      </c>
      <c r="H604" s="2" t="s">
        <v>3509</v>
      </c>
      <c r="I604" s="2" t="s">
        <v>3499</v>
      </c>
      <c r="J604" s="2" t="s">
        <v>3500</v>
      </c>
      <c r="L604" s="2" t="s">
        <v>8</v>
      </c>
      <c r="O604" s="2" t="s">
        <v>1527</v>
      </c>
      <c r="P604" s="2" t="s">
        <v>3462</v>
      </c>
    </row>
    <row r="605" spans="1:16" ht="17.25" customHeight="1" x14ac:dyDescent="0.2">
      <c r="A605" s="18" t="s">
        <v>973</v>
      </c>
      <c r="B605" s="18" t="s">
        <v>4182</v>
      </c>
      <c r="C605" s="18" t="s">
        <v>1637</v>
      </c>
      <c r="D605" s="18" t="s">
        <v>1637</v>
      </c>
      <c r="E605" s="2" t="str">
        <f t="shared" si="53"/>
        <v>k</v>
      </c>
      <c r="F605" s="2">
        <f t="shared" si="54"/>
        <v>11</v>
      </c>
      <c r="G605" s="2">
        <v>2011</v>
      </c>
      <c r="H605" s="2" t="s">
        <v>3510</v>
      </c>
      <c r="I605" s="2" t="s">
        <v>3499</v>
      </c>
      <c r="J605" s="2" t="s">
        <v>3500</v>
      </c>
      <c r="L605" s="2" t="s">
        <v>8</v>
      </c>
      <c r="O605" s="2" t="s">
        <v>1527</v>
      </c>
      <c r="P605" s="2" t="s">
        <v>3462</v>
      </c>
    </row>
    <row r="606" spans="1:16" ht="17.25" customHeight="1" x14ac:dyDescent="0.2">
      <c r="A606" s="18" t="s">
        <v>973</v>
      </c>
      <c r="B606" s="18" t="s">
        <v>4182</v>
      </c>
      <c r="C606" s="18" t="s">
        <v>1637</v>
      </c>
      <c r="D606" s="18" t="s">
        <v>1637</v>
      </c>
      <c r="E606" s="2" t="str">
        <f t="shared" si="53"/>
        <v>l</v>
      </c>
      <c r="F606" s="2">
        <f t="shared" si="54"/>
        <v>12</v>
      </c>
      <c r="G606" s="2">
        <v>2012</v>
      </c>
      <c r="H606" s="2" t="s">
        <v>3511</v>
      </c>
      <c r="I606" s="2" t="s">
        <v>3499</v>
      </c>
      <c r="J606" s="2" t="s">
        <v>3500</v>
      </c>
      <c r="L606" s="2" t="s">
        <v>8</v>
      </c>
      <c r="O606" s="2" t="s">
        <v>1527</v>
      </c>
      <c r="P606" s="2" t="s">
        <v>3462</v>
      </c>
    </row>
    <row r="607" spans="1:16" ht="17.25" customHeight="1" x14ac:dyDescent="0.2">
      <c r="A607" s="18" t="s">
        <v>973</v>
      </c>
      <c r="B607" s="18" t="s">
        <v>4182</v>
      </c>
      <c r="C607" s="18" t="s">
        <v>1637</v>
      </c>
      <c r="D607" s="18" t="s">
        <v>1637</v>
      </c>
      <c r="E607" s="2" t="str">
        <f t="shared" si="53"/>
        <v>m</v>
      </c>
      <c r="F607" s="2">
        <f t="shared" si="54"/>
        <v>13</v>
      </c>
      <c r="G607" s="2">
        <v>2013</v>
      </c>
      <c r="H607" s="2" t="s">
        <v>3512</v>
      </c>
      <c r="I607" s="2" t="s">
        <v>3499</v>
      </c>
      <c r="J607" s="2" t="s">
        <v>3500</v>
      </c>
      <c r="L607" s="2" t="s">
        <v>8</v>
      </c>
      <c r="O607" s="2" t="s">
        <v>1527</v>
      </c>
      <c r="P607" s="2" t="s">
        <v>3462</v>
      </c>
    </row>
    <row r="608" spans="1:16" ht="17.25" customHeight="1" x14ac:dyDescent="0.2">
      <c r="A608" s="18" t="s">
        <v>973</v>
      </c>
      <c r="B608" s="18" t="s">
        <v>4182</v>
      </c>
      <c r="C608" s="18" t="s">
        <v>1637</v>
      </c>
      <c r="D608" s="18" t="s">
        <v>1637</v>
      </c>
      <c r="E608" s="2" t="str">
        <f t="shared" si="53"/>
        <v>n</v>
      </c>
      <c r="F608" s="2">
        <f t="shared" si="54"/>
        <v>14</v>
      </c>
      <c r="G608" s="2">
        <v>2014</v>
      </c>
      <c r="H608" s="2" t="s">
        <v>3513</v>
      </c>
      <c r="I608" s="2" t="s">
        <v>3499</v>
      </c>
      <c r="J608" s="2" t="s">
        <v>3500</v>
      </c>
      <c r="L608" s="2" t="s">
        <v>8</v>
      </c>
      <c r="O608" s="2" t="s">
        <v>1527</v>
      </c>
      <c r="P608" s="2" t="s">
        <v>3462</v>
      </c>
    </row>
    <row r="609" spans="1:16" ht="17.25" customHeight="1" x14ac:dyDescent="0.2">
      <c r="A609" s="18" t="s">
        <v>973</v>
      </c>
      <c r="B609" s="18" t="s">
        <v>4182</v>
      </c>
      <c r="C609" s="18" t="s">
        <v>1637</v>
      </c>
      <c r="D609" s="18" t="s">
        <v>1637</v>
      </c>
      <c r="E609" s="2" t="str">
        <f t="shared" si="53"/>
        <v>o</v>
      </c>
      <c r="F609" s="2">
        <f t="shared" si="54"/>
        <v>15</v>
      </c>
      <c r="G609" s="2">
        <v>2015</v>
      </c>
      <c r="H609" s="2" t="s">
        <v>3514</v>
      </c>
      <c r="I609" s="2" t="s">
        <v>3499</v>
      </c>
      <c r="J609" s="2" t="s">
        <v>3500</v>
      </c>
      <c r="L609" s="2" t="s">
        <v>8</v>
      </c>
      <c r="O609" s="2" t="s">
        <v>1527</v>
      </c>
      <c r="P609" s="2" t="s">
        <v>3462</v>
      </c>
    </row>
    <row r="610" spans="1:16" ht="17.25" customHeight="1" x14ac:dyDescent="0.2">
      <c r="A610" s="18" t="s">
        <v>973</v>
      </c>
      <c r="B610" s="18" t="s">
        <v>4182</v>
      </c>
      <c r="C610" s="18" t="s">
        <v>1637</v>
      </c>
      <c r="D610" s="18" t="s">
        <v>1637</v>
      </c>
      <c r="E610" s="2" t="str">
        <f t="shared" si="53"/>
        <v>p</v>
      </c>
      <c r="F610" s="2">
        <f t="shared" si="54"/>
        <v>16</v>
      </c>
      <c r="G610" s="2">
        <v>2016</v>
      </c>
      <c r="H610" s="2" t="s">
        <v>3515</v>
      </c>
      <c r="I610" s="2" t="s">
        <v>3499</v>
      </c>
      <c r="J610" s="2" t="s">
        <v>3500</v>
      </c>
      <c r="L610" s="2" t="s">
        <v>8</v>
      </c>
      <c r="O610" s="2" t="s">
        <v>1527</v>
      </c>
      <c r="P610" s="2" t="s">
        <v>3462</v>
      </c>
    </row>
    <row r="611" spans="1:16" ht="17.25" customHeight="1" x14ac:dyDescent="0.2">
      <c r="A611" s="18" t="s">
        <v>973</v>
      </c>
      <c r="B611" s="18" t="s">
        <v>4182</v>
      </c>
      <c r="C611" s="18" t="s">
        <v>1637</v>
      </c>
      <c r="D611" s="18" t="s">
        <v>1637</v>
      </c>
      <c r="E611" s="2" t="str">
        <f t="shared" si="53"/>
        <v>q</v>
      </c>
      <c r="F611" s="2">
        <f t="shared" si="54"/>
        <v>17</v>
      </c>
      <c r="G611" s="2">
        <v>2017</v>
      </c>
      <c r="H611" s="2" t="s">
        <v>3516</v>
      </c>
      <c r="I611" s="2" t="s">
        <v>3499</v>
      </c>
      <c r="J611" s="2" t="s">
        <v>3500</v>
      </c>
      <c r="L611" s="2" t="s">
        <v>8</v>
      </c>
      <c r="O611" s="2" t="s">
        <v>1527</v>
      </c>
      <c r="P611" s="2" t="s">
        <v>3462</v>
      </c>
    </row>
    <row r="612" spans="1:16" ht="17.25" customHeight="1" x14ac:dyDescent="0.2">
      <c r="A612" s="18" t="s">
        <v>973</v>
      </c>
      <c r="B612" s="18" t="s">
        <v>4182</v>
      </c>
      <c r="C612" s="18" t="s">
        <v>1637</v>
      </c>
      <c r="D612" s="18" t="s">
        <v>1637</v>
      </c>
      <c r="E612" s="2" t="str">
        <f t="shared" si="53"/>
        <v>r</v>
      </c>
      <c r="F612" s="2">
        <f t="shared" si="54"/>
        <v>18</v>
      </c>
      <c r="G612" s="2">
        <v>2018</v>
      </c>
      <c r="H612" s="2" t="s">
        <v>3518</v>
      </c>
      <c r="I612" s="2" t="s">
        <v>3499</v>
      </c>
      <c r="J612" s="2" t="s">
        <v>3500</v>
      </c>
      <c r="L612" s="2" t="s">
        <v>8</v>
      </c>
      <c r="O612" s="2" t="s">
        <v>1527</v>
      </c>
      <c r="P612" s="2" t="s">
        <v>3462</v>
      </c>
    </row>
    <row r="613" spans="1:16" ht="17.25" customHeight="1" x14ac:dyDescent="0.2">
      <c r="A613" s="18" t="s">
        <v>973</v>
      </c>
      <c r="B613" s="18" t="s">
        <v>4182</v>
      </c>
      <c r="C613" s="18" t="s">
        <v>1838</v>
      </c>
      <c r="D613" s="18" t="s">
        <v>3519</v>
      </c>
      <c r="E613" s="2" t="str">
        <f t="shared" si="53"/>
        <v>a</v>
      </c>
      <c r="F613" s="2">
        <f t="shared" si="54"/>
        <v>1</v>
      </c>
      <c r="G613" s="2">
        <v>2001</v>
      </c>
      <c r="H613" s="2" t="s">
        <v>3520</v>
      </c>
      <c r="I613" s="2" t="s">
        <v>3521</v>
      </c>
      <c r="J613" s="2" t="s">
        <v>3522</v>
      </c>
      <c r="K613" s="2"/>
      <c r="L613" s="2" t="s">
        <v>4186</v>
      </c>
      <c r="M613" s="2">
        <v>1</v>
      </c>
      <c r="N613" s="2">
        <v>3</v>
      </c>
      <c r="O613" s="2" t="s">
        <v>1843</v>
      </c>
      <c r="P613" t="s">
        <v>1127</v>
      </c>
    </row>
    <row r="614" spans="1:16" ht="17.25" customHeight="1" x14ac:dyDescent="0.2">
      <c r="A614" s="18" t="s">
        <v>973</v>
      </c>
      <c r="B614" s="18" t="s">
        <v>4182</v>
      </c>
      <c r="C614" s="18" t="s">
        <v>1838</v>
      </c>
      <c r="D614" s="18" t="s">
        <v>3519</v>
      </c>
      <c r="E614" s="2" t="str">
        <f t="shared" si="53"/>
        <v>b</v>
      </c>
      <c r="F614" s="2">
        <f t="shared" si="54"/>
        <v>2</v>
      </c>
      <c r="G614" s="2">
        <v>2002</v>
      </c>
      <c r="H614" s="2" t="s">
        <v>3523</v>
      </c>
      <c r="I614" s="2" t="s">
        <v>3521</v>
      </c>
      <c r="J614" s="2" t="s">
        <v>3522</v>
      </c>
      <c r="K614" s="2"/>
      <c r="L614" s="2" t="s">
        <v>4186</v>
      </c>
      <c r="M614" s="2">
        <v>1</v>
      </c>
      <c r="N614" s="2">
        <v>3</v>
      </c>
      <c r="O614" s="2" t="s">
        <v>1843</v>
      </c>
      <c r="P614" t="s">
        <v>1127</v>
      </c>
    </row>
    <row r="615" spans="1:16" ht="17.25" customHeight="1" x14ac:dyDescent="0.2">
      <c r="A615" s="18" t="s">
        <v>973</v>
      </c>
      <c r="B615" s="18" t="s">
        <v>4182</v>
      </c>
      <c r="C615" s="18" t="s">
        <v>1838</v>
      </c>
      <c r="D615" s="18" t="s">
        <v>3519</v>
      </c>
      <c r="E615" s="2" t="str">
        <f t="shared" si="53"/>
        <v>c</v>
      </c>
      <c r="F615" s="2">
        <f t="shared" si="54"/>
        <v>3</v>
      </c>
      <c r="G615" s="2">
        <v>2003</v>
      </c>
      <c r="H615" s="2" t="s">
        <v>3524</v>
      </c>
      <c r="I615" s="2" t="s">
        <v>3521</v>
      </c>
      <c r="J615" s="2" t="s">
        <v>3522</v>
      </c>
      <c r="K615" s="2"/>
      <c r="L615" s="2" t="s">
        <v>4186</v>
      </c>
      <c r="M615" s="2">
        <v>1</v>
      </c>
      <c r="N615" s="2">
        <v>3</v>
      </c>
      <c r="O615" s="2" t="s">
        <v>1843</v>
      </c>
      <c r="P615" t="s">
        <v>1127</v>
      </c>
    </row>
    <row r="616" spans="1:16" ht="17.25" customHeight="1" x14ac:dyDescent="0.2">
      <c r="A616" s="18" t="s">
        <v>973</v>
      </c>
      <c r="B616" s="18" t="s">
        <v>4182</v>
      </c>
      <c r="C616" s="18" t="s">
        <v>1838</v>
      </c>
      <c r="D616" s="18" t="s">
        <v>3519</v>
      </c>
      <c r="E616" s="2" t="str">
        <f t="shared" si="53"/>
        <v>d</v>
      </c>
      <c r="F616" s="2">
        <f t="shared" si="54"/>
        <v>4</v>
      </c>
      <c r="G616" s="2">
        <v>2004</v>
      </c>
      <c r="H616" s="2" t="s">
        <v>3525</v>
      </c>
      <c r="I616" s="2" t="s">
        <v>3521</v>
      </c>
      <c r="J616" s="2" t="s">
        <v>3522</v>
      </c>
      <c r="K616" s="2"/>
      <c r="L616" s="2" t="s">
        <v>4186</v>
      </c>
      <c r="M616" s="2">
        <v>1</v>
      </c>
      <c r="N616" s="2">
        <v>3</v>
      </c>
      <c r="O616" s="2" t="s">
        <v>1843</v>
      </c>
      <c r="P616" t="s">
        <v>1127</v>
      </c>
    </row>
    <row r="617" spans="1:16" ht="17.25" customHeight="1" x14ac:dyDescent="0.2">
      <c r="A617" s="18" t="s">
        <v>973</v>
      </c>
      <c r="B617" s="18" t="s">
        <v>4182</v>
      </c>
      <c r="C617" s="18" t="s">
        <v>1838</v>
      </c>
      <c r="D617" s="18" t="s">
        <v>3519</v>
      </c>
      <c r="E617" s="2" t="str">
        <f t="shared" si="53"/>
        <v>e</v>
      </c>
      <c r="F617" s="2">
        <f t="shared" si="54"/>
        <v>5</v>
      </c>
      <c r="G617" s="2">
        <v>2005</v>
      </c>
      <c r="H617" s="2" t="s">
        <v>3526</v>
      </c>
      <c r="I617" s="2" t="s">
        <v>3521</v>
      </c>
      <c r="J617" s="2" t="s">
        <v>3522</v>
      </c>
      <c r="K617" s="2"/>
      <c r="L617" s="2" t="s">
        <v>4186</v>
      </c>
      <c r="M617" s="2">
        <v>1</v>
      </c>
      <c r="N617" s="2">
        <v>3</v>
      </c>
      <c r="O617" s="2" t="s">
        <v>1843</v>
      </c>
      <c r="P617" t="s">
        <v>1127</v>
      </c>
    </row>
    <row r="618" spans="1:16" ht="17.25" customHeight="1" x14ac:dyDescent="0.2">
      <c r="A618" s="18" t="s">
        <v>973</v>
      </c>
      <c r="B618" s="18" t="s">
        <v>4182</v>
      </c>
      <c r="C618" s="18" t="s">
        <v>1838</v>
      </c>
      <c r="D618" s="18" t="s">
        <v>3519</v>
      </c>
      <c r="E618" s="2" t="str">
        <f t="shared" si="53"/>
        <v>f</v>
      </c>
      <c r="F618" s="2">
        <f t="shared" si="54"/>
        <v>6</v>
      </c>
      <c r="G618" s="2">
        <v>2006</v>
      </c>
      <c r="H618" s="2" t="s">
        <v>3527</v>
      </c>
      <c r="I618" s="2" t="s">
        <v>3521</v>
      </c>
      <c r="J618" s="2" t="s">
        <v>3522</v>
      </c>
      <c r="K618" s="2"/>
      <c r="L618" s="2" t="s">
        <v>4186</v>
      </c>
      <c r="M618" s="2">
        <v>1</v>
      </c>
      <c r="N618" s="2">
        <v>3</v>
      </c>
      <c r="O618" s="2" t="s">
        <v>1843</v>
      </c>
      <c r="P618" t="s">
        <v>1127</v>
      </c>
    </row>
    <row r="619" spans="1:16" ht="17.25" customHeight="1" x14ac:dyDescent="0.2">
      <c r="A619" s="18" t="s">
        <v>973</v>
      </c>
      <c r="B619" s="18" t="s">
        <v>4182</v>
      </c>
      <c r="C619" s="18" t="s">
        <v>1838</v>
      </c>
      <c r="D619" s="18" t="s">
        <v>3519</v>
      </c>
      <c r="E619" s="2" t="str">
        <f t="shared" si="53"/>
        <v>g</v>
      </c>
      <c r="F619" s="2">
        <f t="shared" si="54"/>
        <v>7</v>
      </c>
      <c r="G619" s="2">
        <v>2007</v>
      </c>
      <c r="H619" s="2" t="s">
        <v>3528</v>
      </c>
      <c r="I619" s="2" t="s">
        <v>3521</v>
      </c>
      <c r="J619" s="2" t="s">
        <v>3522</v>
      </c>
      <c r="K619" s="2"/>
      <c r="L619" s="2" t="s">
        <v>4186</v>
      </c>
      <c r="M619" s="2">
        <v>1</v>
      </c>
      <c r="N619" s="2">
        <v>3</v>
      </c>
      <c r="O619" s="2" t="s">
        <v>1843</v>
      </c>
      <c r="P619" t="s">
        <v>1127</v>
      </c>
    </row>
    <row r="620" spans="1:16" ht="17.25" customHeight="1" x14ac:dyDescent="0.2">
      <c r="A620" s="18" t="s">
        <v>973</v>
      </c>
      <c r="B620" s="18" t="s">
        <v>4182</v>
      </c>
      <c r="C620" s="18" t="s">
        <v>1838</v>
      </c>
      <c r="D620" s="18" t="s">
        <v>3519</v>
      </c>
      <c r="E620" s="2" t="str">
        <f t="shared" si="53"/>
        <v>h</v>
      </c>
      <c r="F620" s="2">
        <f t="shared" si="54"/>
        <v>8</v>
      </c>
      <c r="G620" s="2">
        <v>2008</v>
      </c>
      <c r="H620" s="2" t="s">
        <v>3529</v>
      </c>
      <c r="I620" s="2" t="s">
        <v>3521</v>
      </c>
      <c r="J620" s="2" t="s">
        <v>3522</v>
      </c>
      <c r="K620" s="2"/>
      <c r="L620" s="2" t="s">
        <v>4186</v>
      </c>
      <c r="M620" s="2">
        <v>1</v>
      </c>
      <c r="N620" s="2">
        <v>3</v>
      </c>
      <c r="O620" s="2" t="s">
        <v>1843</v>
      </c>
      <c r="P620" t="s">
        <v>1127</v>
      </c>
    </row>
    <row r="621" spans="1:16" ht="17.25" customHeight="1" x14ac:dyDescent="0.2">
      <c r="A621" s="18" t="s">
        <v>973</v>
      </c>
      <c r="B621" s="18" t="s">
        <v>4182</v>
      </c>
      <c r="C621" s="18" t="s">
        <v>1838</v>
      </c>
      <c r="D621" s="18" t="s">
        <v>3519</v>
      </c>
      <c r="E621" s="2" t="str">
        <f t="shared" si="53"/>
        <v>i</v>
      </c>
      <c r="F621" s="2">
        <f t="shared" si="54"/>
        <v>9</v>
      </c>
      <c r="G621" s="2">
        <v>2009</v>
      </c>
      <c r="H621" s="2" t="s">
        <v>3530</v>
      </c>
      <c r="I621" s="2" t="s">
        <v>3521</v>
      </c>
      <c r="J621" s="2" t="s">
        <v>3522</v>
      </c>
      <c r="K621" s="2"/>
      <c r="L621" s="2" t="s">
        <v>4186</v>
      </c>
      <c r="M621" s="2">
        <v>1</v>
      </c>
      <c r="N621" s="2">
        <v>3</v>
      </c>
      <c r="O621" s="2" t="s">
        <v>1843</v>
      </c>
      <c r="P621" t="s">
        <v>1127</v>
      </c>
    </row>
    <row r="622" spans="1:16" ht="17.25" customHeight="1" x14ac:dyDescent="0.2">
      <c r="A622" s="18" t="s">
        <v>973</v>
      </c>
      <c r="B622" s="18" t="s">
        <v>4182</v>
      </c>
      <c r="C622" s="18" t="s">
        <v>1838</v>
      </c>
      <c r="D622" s="18" t="s">
        <v>3519</v>
      </c>
      <c r="E622" s="2" t="str">
        <f t="shared" si="53"/>
        <v>j</v>
      </c>
      <c r="F622" s="2">
        <f t="shared" si="54"/>
        <v>10</v>
      </c>
      <c r="G622" s="2">
        <v>2010</v>
      </c>
      <c r="H622" s="2" t="s">
        <v>3531</v>
      </c>
      <c r="I622" s="2" t="s">
        <v>3521</v>
      </c>
      <c r="J622" s="2" t="s">
        <v>3522</v>
      </c>
      <c r="K622" s="2"/>
      <c r="L622" s="2" t="s">
        <v>4186</v>
      </c>
      <c r="M622" s="2">
        <v>1</v>
      </c>
      <c r="N622" s="2">
        <v>3</v>
      </c>
      <c r="O622" s="2" t="s">
        <v>1843</v>
      </c>
      <c r="P622" t="s">
        <v>1127</v>
      </c>
    </row>
    <row r="623" spans="1:16" ht="17.25" customHeight="1" x14ac:dyDescent="0.2">
      <c r="A623" s="18" t="s">
        <v>973</v>
      </c>
      <c r="B623" s="18" t="s">
        <v>4182</v>
      </c>
      <c r="C623" s="18" t="s">
        <v>1838</v>
      </c>
      <c r="D623" s="18" t="s">
        <v>3519</v>
      </c>
      <c r="E623" s="2" t="str">
        <f t="shared" si="53"/>
        <v>k</v>
      </c>
      <c r="F623" s="2">
        <f t="shared" si="54"/>
        <v>11</v>
      </c>
      <c r="G623" s="2">
        <v>2011</v>
      </c>
      <c r="H623" s="2" t="s">
        <v>3532</v>
      </c>
      <c r="I623" s="2" t="s">
        <v>3521</v>
      </c>
      <c r="J623" s="2" t="s">
        <v>3522</v>
      </c>
      <c r="K623" s="2"/>
      <c r="L623" s="2" t="s">
        <v>4186</v>
      </c>
      <c r="M623" s="2">
        <v>1</v>
      </c>
      <c r="N623" s="2">
        <v>3</v>
      </c>
      <c r="O623" s="2" t="s">
        <v>1843</v>
      </c>
      <c r="P623" t="s">
        <v>1127</v>
      </c>
    </row>
    <row r="624" spans="1:16" ht="17.25" customHeight="1" x14ac:dyDescent="0.2">
      <c r="A624" s="18" t="s">
        <v>973</v>
      </c>
      <c r="B624" s="18" t="s">
        <v>4182</v>
      </c>
      <c r="C624" s="18" t="s">
        <v>1838</v>
      </c>
      <c r="D624" s="18" t="s">
        <v>3519</v>
      </c>
      <c r="E624" s="2" t="str">
        <f t="shared" si="53"/>
        <v>l</v>
      </c>
      <c r="F624" s="2">
        <f t="shared" si="54"/>
        <v>12</v>
      </c>
      <c r="G624" s="2">
        <v>2012</v>
      </c>
      <c r="H624" s="2" t="s">
        <v>3533</v>
      </c>
      <c r="I624" s="2" t="s">
        <v>3521</v>
      </c>
      <c r="J624" s="2" t="s">
        <v>3522</v>
      </c>
      <c r="K624" s="2"/>
      <c r="L624" s="2" t="s">
        <v>4186</v>
      </c>
      <c r="M624" s="2">
        <v>1</v>
      </c>
      <c r="N624" s="2">
        <v>3</v>
      </c>
      <c r="O624" s="2" t="s">
        <v>1843</v>
      </c>
      <c r="P624" t="s">
        <v>1127</v>
      </c>
    </row>
    <row r="625" spans="1:16" ht="17.25" customHeight="1" x14ac:dyDescent="0.2">
      <c r="A625" s="18" t="s">
        <v>973</v>
      </c>
      <c r="B625" s="18" t="s">
        <v>4182</v>
      </c>
      <c r="C625" s="18" t="s">
        <v>1838</v>
      </c>
      <c r="D625" s="18" t="s">
        <v>3519</v>
      </c>
      <c r="E625" s="2" t="str">
        <f t="shared" si="53"/>
        <v>m</v>
      </c>
      <c r="F625" s="2">
        <f t="shared" si="54"/>
        <v>13</v>
      </c>
      <c r="G625" s="2">
        <v>2013</v>
      </c>
      <c r="H625" s="2" t="s">
        <v>3534</v>
      </c>
      <c r="I625" s="2" t="s">
        <v>3521</v>
      </c>
      <c r="J625" s="2" t="s">
        <v>3522</v>
      </c>
      <c r="K625" s="2"/>
      <c r="L625" s="2" t="s">
        <v>4186</v>
      </c>
      <c r="M625" s="2">
        <v>1</v>
      </c>
      <c r="N625" s="2">
        <v>3</v>
      </c>
      <c r="O625" s="2" t="s">
        <v>1843</v>
      </c>
      <c r="P625" t="s">
        <v>1127</v>
      </c>
    </row>
    <row r="626" spans="1:16" ht="17.25" customHeight="1" x14ac:dyDescent="0.2">
      <c r="A626" s="18" t="s">
        <v>973</v>
      </c>
      <c r="B626" s="18" t="s">
        <v>4182</v>
      </c>
      <c r="C626" s="18" t="s">
        <v>1838</v>
      </c>
      <c r="D626" s="18" t="s">
        <v>3519</v>
      </c>
      <c r="E626" s="2" t="str">
        <f t="shared" si="53"/>
        <v>n</v>
      </c>
      <c r="F626" s="2">
        <f t="shared" si="54"/>
        <v>14</v>
      </c>
      <c r="G626" s="2">
        <v>2014</v>
      </c>
      <c r="H626" s="2" t="s">
        <v>3535</v>
      </c>
      <c r="I626" s="2" t="s">
        <v>3521</v>
      </c>
      <c r="J626" s="2" t="s">
        <v>3522</v>
      </c>
      <c r="K626" s="2"/>
      <c r="L626" s="2" t="s">
        <v>4186</v>
      </c>
      <c r="M626" s="2">
        <v>1</v>
      </c>
      <c r="N626" s="2">
        <v>3</v>
      </c>
      <c r="O626" s="2" t="s">
        <v>1843</v>
      </c>
      <c r="P626" t="s">
        <v>1127</v>
      </c>
    </row>
    <row r="627" spans="1:16" ht="17.25" customHeight="1" x14ac:dyDescent="0.2">
      <c r="A627" s="18" t="s">
        <v>973</v>
      </c>
      <c r="B627" s="18" t="s">
        <v>4182</v>
      </c>
      <c r="C627" s="18" t="s">
        <v>1838</v>
      </c>
      <c r="D627" s="18" t="s">
        <v>3519</v>
      </c>
      <c r="E627" s="2" t="str">
        <f t="shared" si="53"/>
        <v>o</v>
      </c>
      <c r="F627" s="2">
        <f t="shared" si="54"/>
        <v>15</v>
      </c>
      <c r="G627" s="2">
        <v>2015</v>
      </c>
      <c r="H627" s="2" t="s">
        <v>3536</v>
      </c>
      <c r="I627" s="2" t="s">
        <v>3521</v>
      </c>
      <c r="J627" s="2" t="s">
        <v>3522</v>
      </c>
      <c r="K627" s="2"/>
      <c r="L627" s="2" t="s">
        <v>4186</v>
      </c>
      <c r="M627" s="2">
        <v>1</v>
      </c>
      <c r="N627" s="2">
        <v>3</v>
      </c>
      <c r="O627" s="2" t="s">
        <v>1843</v>
      </c>
      <c r="P627" t="s">
        <v>1127</v>
      </c>
    </row>
    <row r="628" spans="1:16" ht="17.25" customHeight="1" x14ac:dyDescent="0.2">
      <c r="A628" s="18" t="s">
        <v>973</v>
      </c>
      <c r="B628" s="18" t="s">
        <v>4182</v>
      </c>
      <c r="C628" s="18" t="s">
        <v>1838</v>
      </c>
      <c r="D628" s="18" t="s">
        <v>3519</v>
      </c>
      <c r="E628" s="2" t="str">
        <f t="shared" si="53"/>
        <v>p</v>
      </c>
      <c r="F628" s="2">
        <f t="shared" si="54"/>
        <v>16</v>
      </c>
      <c r="G628" s="2">
        <v>2016</v>
      </c>
      <c r="H628" s="2" t="s">
        <v>3537</v>
      </c>
      <c r="I628" s="2" t="s">
        <v>3521</v>
      </c>
      <c r="J628" s="2" t="s">
        <v>3522</v>
      </c>
      <c r="K628" s="2"/>
      <c r="L628" s="2" t="s">
        <v>4186</v>
      </c>
      <c r="M628" s="2">
        <v>1</v>
      </c>
      <c r="N628" s="2">
        <v>3</v>
      </c>
      <c r="O628" s="2" t="s">
        <v>1843</v>
      </c>
      <c r="P628" t="s">
        <v>1127</v>
      </c>
    </row>
    <row r="629" spans="1:16" ht="17.25" customHeight="1" x14ac:dyDescent="0.2">
      <c r="A629" s="18" t="s">
        <v>973</v>
      </c>
      <c r="B629" s="18" t="s">
        <v>4182</v>
      </c>
      <c r="C629" s="18" t="s">
        <v>1838</v>
      </c>
      <c r="D629" s="18" t="s">
        <v>3519</v>
      </c>
      <c r="E629" s="2" t="str">
        <f t="shared" si="53"/>
        <v>q</v>
      </c>
      <c r="F629" s="2">
        <f t="shared" si="54"/>
        <v>17</v>
      </c>
      <c r="G629" s="2">
        <v>2017</v>
      </c>
      <c r="H629" s="2" t="s">
        <v>3538</v>
      </c>
      <c r="I629" s="2" t="s">
        <v>3521</v>
      </c>
      <c r="J629" s="2" t="s">
        <v>3522</v>
      </c>
      <c r="K629" s="2"/>
      <c r="L629" s="2" t="s">
        <v>4186</v>
      </c>
      <c r="M629" s="2">
        <v>1</v>
      </c>
      <c r="N629" s="2">
        <v>3</v>
      </c>
      <c r="O629" s="2" t="s">
        <v>1843</v>
      </c>
      <c r="P629" t="s">
        <v>1127</v>
      </c>
    </row>
    <row r="630" spans="1:16" ht="17.25" customHeight="1" x14ac:dyDescent="0.2">
      <c r="A630" s="18" t="s">
        <v>973</v>
      </c>
      <c r="B630" s="18" t="s">
        <v>4182</v>
      </c>
      <c r="C630" s="18" t="s">
        <v>1838</v>
      </c>
      <c r="D630" s="18" t="s">
        <v>3519</v>
      </c>
      <c r="E630" s="2" t="str">
        <f t="shared" si="53"/>
        <v>r</v>
      </c>
      <c r="F630" s="2">
        <f t="shared" si="54"/>
        <v>18</v>
      </c>
      <c r="G630" s="2">
        <v>2018</v>
      </c>
      <c r="H630" s="2" t="s">
        <v>3710</v>
      </c>
      <c r="I630" s="2" t="s">
        <v>3521</v>
      </c>
      <c r="J630" s="2" t="s">
        <v>3522</v>
      </c>
      <c r="K630" s="2"/>
      <c r="L630" s="2" t="s">
        <v>4186</v>
      </c>
      <c r="M630" s="2">
        <v>1</v>
      </c>
      <c r="N630" s="2">
        <v>3</v>
      </c>
      <c r="O630" s="2" t="s">
        <v>1843</v>
      </c>
      <c r="P630" t="s">
        <v>1127</v>
      </c>
    </row>
    <row r="631" spans="1:16" ht="17.25" customHeight="1" x14ac:dyDescent="0.2">
      <c r="A631" s="18" t="s">
        <v>973</v>
      </c>
      <c r="B631" s="18" t="s">
        <v>4182</v>
      </c>
      <c r="C631" s="18" t="s">
        <v>1838</v>
      </c>
      <c r="D631" s="18" t="s">
        <v>3539</v>
      </c>
      <c r="E631" s="2" t="str">
        <f t="shared" si="53"/>
        <v>a</v>
      </c>
      <c r="F631" s="2">
        <f t="shared" si="54"/>
        <v>1</v>
      </c>
      <c r="G631" s="2">
        <v>2001</v>
      </c>
      <c r="H631" s="2" t="s">
        <v>3540</v>
      </c>
      <c r="I631" s="2" t="s">
        <v>3541</v>
      </c>
      <c r="J631" s="2" t="s">
        <v>3522</v>
      </c>
      <c r="K631" s="2"/>
      <c r="L631" s="2" t="s">
        <v>4186</v>
      </c>
      <c r="M631" s="2">
        <v>1</v>
      </c>
      <c r="N631" s="2">
        <v>3</v>
      </c>
      <c r="O631" s="2" t="s">
        <v>1843</v>
      </c>
      <c r="P631" t="s">
        <v>1127</v>
      </c>
    </row>
    <row r="632" spans="1:16" ht="17.25" customHeight="1" x14ac:dyDescent="0.2">
      <c r="A632" s="18" t="s">
        <v>973</v>
      </c>
      <c r="B632" s="18" t="s">
        <v>4182</v>
      </c>
      <c r="C632" s="18" t="s">
        <v>1838</v>
      </c>
      <c r="D632" s="18" t="s">
        <v>3539</v>
      </c>
      <c r="E632" s="2" t="str">
        <f t="shared" si="53"/>
        <v>b</v>
      </c>
      <c r="F632" s="2">
        <f t="shared" si="54"/>
        <v>2</v>
      </c>
      <c r="G632" s="2">
        <v>2002</v>
      </c>
      <c r="H632" s="2" t="s">
        <v>3542</v>
      </c>
      <c r="I632" s="2" t="s">
        <v>3541</v>
      </c>
      <c r="J632" s="2" t="s">
        <v>3522</v>
      </c>
      <c r="K632" s="2"/>
      <c r="L632" s="2" t="s">
        <v>4186</v>
      </c>
      <c r="M632" s="2">
        <v>1</v>
      </c>
      <c r="N632" s="2">
        <v>3</v>
      </c>
      <c r="O632" s="2" t="s">
        <v>1843</v>
      </c>
      <c r="P632" t="s">
        <v>1127</v>
      </c>
    </row>
    <row r="633" spans="1:16" ht="17.25" customHeight="1" x14ac:dyDescent="0.2">
      <c r="A633" s="18" t="s">
        <v>973</v>
      </c>
      <c r="B633" s="18" t="s">
        <v>4182</v>
      </c>
      <c r="C633" s="18" t="s">
        <v>1838</v>
      </c>
      <c r="D633" s="18" t="s">
        <v>3539</v>
      </c>
      <c r="E633" s="2" t="str">
        <f t="shared" si="53"/>
        <v>c</v>
      </c>
      <c r="F633" s="2">
        <f t="shared" si="54"/>
        <v>3</v>
      </c>
      <c r="G633" s="2">
        <v>2003</v>
      </c>
      <c r="H633" s="2" t="s">
        <v>3543</v>
      </c>
      <c r="I633" s="2" t="s">
        <v>3541</v>
      </c>
      <c r="J633" s="2" t="s">
        <v>3522</v>
      </c>
      <c r="K633" s="2"/>
      <c r="L633" s="2" t="s">
        <v>4186</v>
      </c>
      <c r="M633" s="2">
        <v>1</v>
      </c>
      <c r="N633" s="2">
        <v>3</v>
      </c>
      <c r="O633" s="2" t="s">
        <v>1843</v>
      </c>
      <c r="P633" t="s">
        <v>1127</v>
      </c>
    </row>
    <row r="634" spans="1:16" ht="17.25" customHeight="1" x14ac:dyDescent="0.2">
      <c r="A634" s="18" t="s">
        <v>973</v>
      </c>
      <c r="B634" s="18" t="s">
        <v>4182</v>
      </c>
      <c r="C634" s="18" t="s">
        <v>1838</v>
      </c>
      <c r="D634" s="18" t="s">
        <v>3539</v>
      </c>
      <c r="E634" s="2" t="str">
        <f t="shared" si="53"/>
        <v>d</v>
      </c>
      <c r="F634" s="2">
        <f t="shared" si="54"/>
        <v>4</v>
      </c>
      <c r="G634" s="2">
        <v>2004</v>
      </c>
      <c r="H634" s="2" t="s">
        <v>3544</v>
      </c>
      <c r="I634" s="2" t="s">
        <v>3541</v>
      </c>
      <c r="J634" s="2" t="s">
        <v>3522</v>
      </c>
      <c r="K634" s="2"/>
      <c r="L634" s="2" t="s">
        <v>4186</v>
      </c>
      <c r="M634" s="2">
        <v>1</v>
      </c>
      <c r="N634" s="2">
        <v>3</v>
      </c>
      <c r="O634" s="2" t="s">
        <v>1843</v>
      </c>
      <c r="P634" t="s">
        <v>1127</v>
      </c>
    </row>
    <row r="635" spans="1:16" ht="17.25" customHeight="1" x14ac:dyDescent="0.2">
      <c r="A635" s="18" t="s">
        <v>973</v>
      </c>
      <c r="B635" s="18" t="s">
        <v>4182</v>
      </c>
      <c r="C635" s="18" t="s">
        <v>1838</v>
      </c>
      <c r="D635" s="18" t="s">
        <v>3539</v>
      </c>
      <c r="E635" s="2" t="str">
        <f t="shared" si="53"/>
        <v>e</v>
      </c>
      <c r="F635" s="2">
        <f t="shared" si="54"/>
        <v>5</v>
      </c>
      <c r="G635" s="2">
        <v>2005</v>
      </c>
      <c r="H635" s="2" t="s">
        <v>3545</v>
      </c>
      <c r="I635" s="2" t="s">
        <v>3541</v>
      </c>
      <c r="J635" s="2" t="s">
        <v>3522</v>
      </c>
      <c r="K635" s="2"/>
      <c r="L635" s="2" t="s">
        <v>4186</v>
      </c>
      <c r="M635" s="2">
        <v>1</v>
      </c>
      <c r="N635" s="2">
        <v>3</v>
      </c>
      <c r="O635" s="2" t="s">
        <v>1843</v>
      </c>
      <c r="P635" t="s">
        <v>1127</v>
      </c>
    </row>
    <row r="636" spans="1:16" ht="17.25" customHeight="1" x14ac:dyDescent="0.2">
      <c r="A636" s="18" t="s">
        <v>973</v>
      </c>
      <c r="B636" s="18" t="s">
        <v>4182</v>
      </c>
      <c r="C636" s="18" t="s">
        <v>1838</v>
      </c>
      <c r="D636" s="18" t="s">
        <v>3539</v>
      </c>
      <c r="E636" s="2" t="str">
        <f t="shared" si="53"/>
        <v>f</v>
      </c>
      <c r="F636" s="2">
        <f t="shared" si="54"/>
        <v>6</v>
      </c>
      <c r="G636" s="2">
        <v>2006</v>
      </c>
      <c r="H636" s="2" t="s">
        <v>3546</v>
      </c>
      <c r="I636" s="2" t="s">
        <v>3541</v>
      </c>
      <c r="J636" s="2" t="s">
        <v>3522</v>
      </c>
      <c r="K636" s="2"/>
      <c r="L636" s="2" t="s">
        <v>4186</v>
      </c>
      <c r="M636" s="2">
        <v>1</v>
      </c>
      <c r="N636" s="2">
        <v>3</v>
      </c>
      <c r="O636" s="2" t="s">
        <v>1843</v>
      </c>
      <c r="P636" t="s">
        <v>1127</v>
      </c>
    </row>
    <row r="637" spans="1:16" ht="17.25" customHeight="1" x14ac:dyDescent="0.2">
      <c r="A637" s="18" t="s">
        <v>973</v>
      </c>
      <c r="B637" s="18" t="s">
        <v>4182</v>
      </c>
      <c r="C637" s="18" t="s">
        <v>1838</v>
      </c>
      <c r="D637" s="18" t="s">
        <v>3539</v>
      </c>
      <c r="E637" s="2" t="str">
        <f t="shared" si="53"/>
        <v>g</v>
      </c>
      <c r="F637" s="2">
        <f t="shared" si="54"/>
        <v>7</v>
      </c>
      <c r="G637" s="2">
        <v>2007</v>
      </c>
      <c r="H637" s="2" t="s">
        <v>3547</v>
      </c>
      <c r="I637" s="2" t="s">
        <v>3541</v>
      </c>
      <c r="J637" s="2" t="s">
        <v>3522</v>
      </c>
      <c r="K637" s="2"/>
      <c r="L637" s="2" t="s">
        <v>4186</v>
      </c>
      <c r="M637" s="2">
        <v>1</v>
      </c>
      <c r="N637" s="2">
        <v>3</v>
      </c>
      <c r="O637" s="2" t="s">
        <v>1843</v>
      </c>
      <c r="P637" t="s">
        <v>1127</v>
      </c>
    </row>
    <row r="638" spans="1:16" ht="17.25" customHeight="1" x14ac:dyDescent="0.2">
      <c r="A638" s="18" t="s">
        <v>973</v>
      </c>
      <c r="B638" s="18" t="s">
        <v>4182</v>
      </c>
      <c r="C638" s="18" t="s">
        <v>1838</v>
      </c>
      <c r="D638" s="18" t="s">
        <v>3539</v>
      </c>
      <c r="E638" s="2" t="str">
        <f t="shared" si="53"/>
        <v>h</v>
      </c>
      <c r="F638" s="2">
        <f t="shared" si="54"/>
        <v>8</v>
      </c>
      <c r="G638" s="2">
        <v>2008</v>
      </c>
      <c r="H638" s="2" t="s">
        <v>3548</v>
      </c>
      <c r="I638" s="2" t="s">
        <v>3541</v>
      </c>
      <c r="J638" s="2" t="s">
        <v>3522</v>
      </c>
      <c r="K638" s="2"/>
      <c r="L638" s="2" t="s">
        <v>4186</v>
      </c>
      <c r="M638" s="2">
        <v>1</v>
      </c>
      <c r="N638" s="2">
        <v>3</v>
      </c>
      <c r="O638" s="2" t="s">
        <v>1843</v>
      </c>
      <c r="P638" t="s">
        <v>1127</v>
      </c>
    </row>
    <row r="639" spans="1:16" ht="17.25" customHeight="1" x14ac:dyDescent="0.2">
      <c r="A639" s="18" t="s">
        <v>973</v>
      </c>
      <c r="B639" s="18" t="s">
        <v>4182</v>
      </c>
      <c r="C639" s="18" t="s">
        <v>1838</v>
      </c>
      <c r="D639" s="18" t="s">
        <v>3539</v>
      </c>
      <c r="E639" s="2" t="str">
        <f t="shared" si="53"/>
        <v>i</v>
      </c>
      <c r="F639" s="2">
        <f t="shared" si="54"/>
        <v>9</v>
      </c>
      <c r="G639" s="2">
        <v>2009</v>
      </c>
      <c r="H639" s="2" t="s">
        <v>3549</v>
      </c>
      <c r="I639" s="2" t="s">
        <v>3541</v>
      </c>
      <c r="J639" s="2" t="s">
        <v>3522</v>
      </c>
      <c r="K639" s="2"/>
      <c r="L639" s="2" t="s">
        <v>4186</v>
      </c>
      <c r="M639" s="2">
        <v>1</v>
      </c>
      <c r="N639" s="2">
        <v>3</v>
      </c>
      <c r="O639" s="2" t="s">
        <v>1843</v>
      </c>
      <c r="P639" t="s">
        <v>1127</v>
      </c>
    </row>
    <row r="640" spans="1:16" ht="17.25" customHeight="1" x14ac:dyDescent="0.2">
      <c r="A640" s="18" t="s">
        <v>973</v>
      </c>
      <c r="B640" s="18" t="s">
        <v>4182</v>
      </c>
      <c r="C640" s="18" t="s">
        <v>1838</v>
      </c>
      <c r="D640" s="18" t="s">
        <v>3539</v>
      </c>
      <c r="E640" s="2" t="str">
        <f t="shared" si="53"/>
        <v>j</v>
      </c>
      <c r="F640" s="2">
        <f t="shared" si="54"/>
        <v>10</v>
      </c>
      <c r="G640" s="2">
        <v>2010</v>
      </c>
      <c r="H640" s="2" t="s">
        <v>3550</v>
      </c>
      <c r="I640" s="2" t="s">
        <v>3541</v>
      </c>
      <c r="J640" s="2" t="s">
        <v>3522</v>
      </c>
      <c r="K640" s="2"/>
      <c r="L640" s="2" t="s">
        <v>4186</v>
      </c>
      <c r="M640" s="2">
        <v>1</v>
      </c>
      <c r="N640" s="2">
        <v>3</v>
      </c>
      <c r="O640" s="2" t="s">
        <v>1843</v>
      </c>
      <c r="P640" t="s">
        <v>1127</v>
      </c>
    </row>
    <row r="641" spans="1:16" ht="17.25" customHeight="1" x14ac:dyDescent="0.2">
      <c r="A641" s="18" t="s">
        <v>973</v>
      </c>
      <c r="B641" s="18" t="s">
        <v>4182</v>
      </c>
      <c r="C641" s="18" t="s">
        <v>1838</v>
      </c>
      <c r="D641" s="18" t="s">
        <v>3539</v>
      </c>
      <c r="E641" s="2" t="str">
        <f t="shared" si="53"/>
        <v>k</v>
      </c>
      <c r="F641" s="2">
        <f t="shared" si="54"/>
        <v>11</v>
      </c>
      <c r="G641" s="2">
        <v>2011</v>
      </c>
      <c r="H641" s="2" t="s">
        <v>3551</v>
      </c>
      <c r="I641" s="2" t="s">
        <v>3541</v>
      </c>
      <c r="J641" s="2" t="s">
        <v>3522</v>
      </c>
      <c r="K641" s="2"/>
      <c r="L641" s="2" t="s">
        <v>4186</v>
      </c>
      <c r="M641" s="2">
        <v>1</v>
      </c>
      <c r="N641" s="2">
        <v>3</v>
      </c>
      <c r="O641" s="2" t="s">
        <v>1843</v>
      </c>
      <c r="P641" t="s">
        <v>1127</v>
      </c>
    </row>
    <row r="642" spans="1:16" ht="17.25" customHeight="1" x14ac:dyDescent="0.2">
      <c r="A642" s="18" t="s">
        <v>973</v>
      </c>
      <c r="B642" s="18" t="s">
        <v>4182</v>
      </c>
      <c r="C642" s="18" t="s">
        <v>1838</v>
      </c>
      <c r="D642" s="18" t="s">
        <v>3539</v>
      </c>
      <c r="E642" s="2" t="str">
        <f t="shared" si="53"/>
        <v>l</v>
      </c>
      <c r="F642" s="2">
        <f t="shared" si="54"/>
        <v>12</v>
      </c>
      <c r="G642" s="2">
        <v>2012</v>
      </c>
      <c r="H642" s="2" t="s">
        <v>3552</v>
      </c>
      <c r="I642" s="2" t="s">
        <v>3541</v>
      </c>
      <c r="J642" s="2" t="s">
        <v>3522</v>
      </c>
      <c r="K642" s="2"/>
      <c r="L642" s="2" t="s">
        <v>4186</v>
      </c>
      <c r="M642" s="2">
        <v>1</v>
      </c>
      <c r="N642" s="2">
        <v>3</v>
      </c>
      <c r="O642" s="2" t="s">
        <v>1843</v>
      </c>
      <c r="P642" t="s">
        <v>1127</v>
      </c>
    </row>
    <row r="643" spans="1:16" ht="17.25" customHeight="1" x14ac:dyDescent="0.2">
      <c r="A643" s="18" t="s">
        <v>973</v>
      </c>
      <c r="B643" s="18" t="s">
        <v>4182</v>
      </c>
      <c r="C643" s="18" t="s">
        <v>1838</v>
      </c>
      <c r="D643" s="18" t="s">
        <v>3539</v>
      </c>
      <c r="E643" s="2" t="str">
        <f t="shared" si="53"/>
        <v>m</v>
      </c>
      <c r="F643" s="2">
        <f t="shared" si="54"/>
        <v>13</v>
      </c>
      <c r="G643" s="2">
        <v>2013</v>
      </c>
      <c r="H643" s="2" t="s">
        <v>3553</v>
      </c>
      <c r="I643" s="2" t="s">
        <v>3541</v>
      </c>
      <c r="J643" s="2" t="s">
        <v>3522</v>
      </c>
      <c r="K643" s="2"/>
      <c r="L643" s="2" t="s">
        <v>4186</v>
      </c>
      <c r="M643" s="2">
        <v>1</v>
      </c>
      <c r="N643" s="2">
        <v>3</v>
      </c>
      <c r="O643" s="2" t="s">
        <v>1843</v>
      </c>
      <c r="P643" t="s">
        <v>1127</v>
      </c>
    </row>
    <row r="644" spans="1:16" ht="17.25" customHeight="1" x14ac:dyDescent="0.2">
      <c r="A644" s="18" t="s">
        <v>973</v>
      </c>
      <c r="B644" s="18" t="s">
        <v>4182</v>
      </c>
      <c r="C644" s="18" t="s">
        <v>1838</v>
      </c>
      <c r="D644" s="18" t="s">
        <v>3539</v>
      </c>
      <c r="E644" s="2" t="str">
        <f t="shared" si="53"/>
        <v>n</v>
      </c>
      <c r="F644" s="2">
        <f t="shared" si="54"/>
        <v>14</v>
      </c>
      <c r="G644" s="2">
        <v>2014</v>
      </c>
      <c r="H644" s="2" t="s">
        <v>3554</v>
      </c>
      <c r="I644" s="2" t="s">
        <v>3541</v>
      </c>
      <c r="J644" s="2" t="s">
        <v>3522</v>
      </c>
      <c r="K644" s="2"/>
      <c r="L644" s="2" t="s">
        <v>4186</v>
      </c>
      <c r="M644" s="2">
        <v>1</v>
      </c>
      <c r="N644" s="2">
        <v>3</v>
      </c>
      <c r="O644" s="2" t="s">
        <v>1843</v>
      </c>
      <c r="P644" t="s">
        <v>1127</v>
      </c>
    </row>
    <row r="645" spans="1:16" ht="17.25" customHeight="1" x14ac:dyDescent="0.2">
      <c r="A645" s="18" t="s">
        <v>973</v>
      </c>
      <c r="B645" s="18" t="s">
        <v>4182</v>
      </c>
      <c r="C645" s="18" t="s">
        <v>1838</v>
      </c>
      <c r="D645" s="18" t="s">
        <v>3539</v>
      </c>
      <c r="E645" s="2" t="str">
        <f t="shared" si="53"/>
        <v>o</v>
      </c>
      <c r="F645" s="2">
        <f t="shared" si="54"/>
        <v>15</v>
      </c>
      <c r="G645" s="2">
        <v>2015</v>
      </c>
      <c r="H645" s="2" t="s">
        <v>3555</v>
      </c>
      <c r="I645" s="2" t="s">
        <v>3541</v>
      </c>
      <c r="J645" s="2" t="s">
        <v>3522</v>
      </c>
      <c r="K645" s="2"/>
      <c r="L645" s="2" t="s">
        <v>4186</v>
      </c>
      <c r="M645" s="2">
        <v>1</v>
      </c>
      <c r="N645" s="2">
        <v>3</v>
      </c>
      <c r="O645" s="2" t="s">
        <v>1843</v>
      </c>
      <c r="P645" t="s">
        <v>1127</v>
      </c>
    </row>
    <row r="646" spans="1:16" ht="17.25" customHeight="1" x14ac:dyDescent="0.2">
      <c r="A646" s="18" t="s">
        <v>973</v>
      </c>
      <c r="B646" s="18" t="s">
        <v>4182</v>
      </c>
      <c r="C646" s="18" t="s">
        <v>1838</v>
      </c>
      <c r="D646" s="18" t="s">
        <v>3539</v>
      </c>
      <c r="E646" s="2" t="str">
        <f t="shared" si="53"/>
        <v>p</v>
      </c>
      <c r="F646" s="2">
        <f t="shared" si="54"/>
        <v>16</v>
      </c>
      <c r="G646" s="2">
        <v>2016</v>
      </c>
      <c r="H646" s="2" t="s">
        <v>3556</v>
      </c>
      <c r="I646" s="2" t="s">
        <v>3541</v>
      </c>
      <c r="J646" s="2" t="s">
        <v>3522</v>
      </c>
      <c r="K646" s="2"/>
      <c r="L646" s="2" t="s">
        <v>4186</v>
      </c>
      <c r="M646" s="2">
        <v>1</v>
      </c>
      <c r="N646" s="2">
        <v>3</v>
      </c>
      <c r="O646" s="2" t="s">
        <v>1843</v>
      </c>
      <c r="P646" t="s">
        <v>1127</v>
      </c>
    </row>
    <row r="647" spans="1:16" ht="17.25" customHeight="1" x14ac:dyDescent="0.2">
      <c r="A647" s="18" t="s">
        <v>973</v>
      </c>
      <c r="B647" s="18" t="s">
        <v>4182</v>
      </c>
      <c r="C647" s="18" t="s">
        <v>1838</v>
      </c>
      <c r="D647" s="18" t="s">
        <v>3539</v>
      </c>
      <c r="E647" s="2" t="str">
        <f t="shared" si="53"/>
        <v>q</v>
      </c>
      <c r="F647" s="2">
        <f t="shared" si="54"/>
        <v>17</v>
      </c>
      <c r="G647" s="2">
        <v>2017</v>
      </c>
      <c r="H647" s="2" t="s">
        <v>3557</v>
      </c>
      <c r="I647" s="2" t="s">
        <v>3541</v>
      </c>
      <c r="J647" s="2" t="s">
        <v>3522</v>
      </c>
      <c r="K647" s="2"/>
      <c r="L647" s="2" t="s">
        <v>4186</v>
      </c>
      <c r="M647" s="2">
        <v>1</v>
      </c>
      <c r="N647" s="2">
        <v>3</v>
      </c>
      <c r="O647" s="2" t="s">
        <v>1843</v>
      </c>
      <c r="P647" t="s">
        <v>1127</v>
      </c>
    </row>
    <row r="648" spans="1:16" ht="17.25" customHeight="1" x14ac:dyDescent="0.2">
      <c r="A648" s="18" t="s">
        <v>973</v>
      </c>
      <c r="B648" s="18" t="s">
        <v>4182</v>
      </c>
      <c r="C648" s="18" t="s">
        <v>1838</v>
      </c>
      <c r="D648" s="18" t="s">
        <v>3539</v>
      </c>
      <c r="E648" s="2" t="str">
        <f t="shared" si="53"/>
        <v>r</v>
      </c>
      <c r="F648" s="2">
        <f t="shared" si="54"/>
        <v>18</v>
      </c>
      <c r="G648" s="2">
        <v>2018</v>
      </c>
      <c r="H648" s="2" t="s">
        <v>3711</v>
      </c>
      <c r="I648" s="2" t="s">
        <v>3541</v>
      </c>
      <c r="J648" s="2" t="s">
        <v>3522</v>
      </c>
      <c r="K648" s="2"/>
      <c r="L648" s="2" t="s">
        <v>4186</v>
      </c>
      <c r="M648" s="2">
        <v>1</v>
      </c>
      <c r="N648" s="2">
        <v>3</v>
      </c>
      <c r="O648" s="2" t="s">
        <v>1843</v>
      </c>
      <c r="P648" t="s">
        <v>1127</v>
      </c>
    </row>
    <row r="649" spans="1:16" ht="17.25" customHeight="1" x14ac:dyDescent="0.2">
      <c r="A649" s="18" t="s">
        <v>973</v>
      </c>
      <c r="B649" s="18" t="s">
        <v>4182</v>
      </c>
      <c r="C649" s="18" t="s">
        <v>1838</v>
      </c>
      <c r="D649" s="18" t="s">
        <v>3558</v>
      </c>
      <c r="E649" s="2" t="str">
        <f t="shared" si="53"/>
        <v>a</v>
      </c>
      <c r="F649" s="2">
        <f t="shared" si="54"/>
        <v>1</v>
      </c>
      <c r="G649" s="2">
        <v>2001</v>
      </c>
      <c r="H649" s="2" t="s">
        <v>3559</v>
      </c>
      <c r="I649" s="2" t="s">
        <v>3560</v>
      </c>
      <c r="J649" s="2" t="s">
        <v>3522</v>
      </c>
      <c r="K649" s="2"/>
      <c r="L649" s="2" t="s">
        <v>4186</v>
      </c>
      <c r="M649" s="2">
        <v>1</v>
      </c>
      <c r="N649" s="2">
        <v>3</v>
      </c>
      <c r="O649" s="2" t="s">
        <v>1843</v>
      </c>
      <c r="P649" t="s">
        <v>1127</v>
      </c>
    </row>
    <row r="650" spans="1:16" ht="17.25" customHeight="1" x14ac:dyDescent="0.2">
      <c r="A650" s="18" t="s">
        <v>973</v>
      </c>
      <c r="B650" s="18" t="s">
        <v>4182</v>
      </c>
      <c r="C650" s="18" t="s">
        <v>1838</v>
      </c>
      <c r="D650" s="18" t="s">
        <v>3558</v>
      </c>
      <c r="E650" s="2" t="str">
        <f t="shared" si="53"/>
        <v>b</v>
      </c>
      <c r="F650" s="2">
        <f t="shared" si="54"/>
        <v>2</v>
      </c>
      <c r="G650" s="2">
        <v>2002</v>
      </c>
      <c r="H650" s="2" t="s">
        <v>3561</v>
      </c>
      <c r="I650" s="2" t="s">
        <v>3560</v>
      </c>
      <c r="J650" s="2" t="s">
        <v>3522</v>
      </c>
      <c r="K650" s="2"/>
      <c r="L650" s="2" t="s">
        <v>4186</v>
      </c>
      <c r="M650" s="2">
        <v>1</v>
      </c>
      <c r="N650" s="2">
        <v>3</v>
      </c>
      <c r="O650" s="2" t="s">
        <v>1843</v>
      </c>
      <c r="P650" t="s">
        <v>1127</v>
      </c>
    </row>
    <row r="651" spans="1:16" ht="17.25" customHeight="1" x14ac:dyDescent="0.2">
      <c r="A651" s="18" t="s">
        <v>973</v>
      </c>
      <c r="B651" s="18" t="s">
        <v>4182</v>
      </c>
      <c r="C651" s="18" t="s">
        <v>1838</v>
      </c>
      <c r="D651" s="18" t="s">
        <v>3558</v>
      </c>
      <c r="E651" s="2" t="str">
        <f t="shared" si="53"/>
        <v>c</v>
      </c>
      <c r="F651" s="2">
        <f t="shared" si="54"/>
        <v>3</v>
      </c>
      <c r="G651" s="2">
        <v>2003</v>
      </c>
      <c r="H651" s="2" t="s">
        <v>3562</v>
      </c>
      <c r="I651" s="2" t="s">
        <v>3560</v>
      </c>
      <c r="J651" s="2" t="s">
        <v>3522</v>
      </c>
      <c r="K651" s="2"/>
      <c r="L651" s="2" t="s">
        <v>4186</v>
      </c>
      <c r="M651" s="2">
        <v>1</v>
      </c>
      <c r="N651" s="2">
        <v>3</v>
      </c>
      <c r="O651" s="2" t="s">
        <v>1843</v>
      </c>
      <c r="P651" t="s">
        <v>1127</v>
      </c>
    </row>
    <row r="652" spans="1:16" ht="17.25" customHeight="1" x14ac:dyDescent="0.2">
      <c r="A652" s="18" t="s">
        <v>973</v>
      </c>
      <c r="B652" s="18" t="s">
        <v>4182</v>
      </c>
      <c r="C652" s="18" t="s">
        <v>1838</v>
      </c>
      <c r="D652" s="18" t="s">
        <v>3558</v>
      </c>
      <c r="E652" s="2" t="str">
        <f t="shared" si="53"/>
        <v>d</v>
      </c>
      <c r="F652" s="2">
        <f t="shared" si="54"/>
        <v>4</v>
      </c>
      <c r="G652" s="2">
        <v>2004</v>
      </c>
      <c r="H652" s="2" t="s">
        <v>3563</v>
      </c>
      <c r="I652" s="2" t="s">
        <v>3560</v>
      </c>
      <c r="J652" s="2" t="s">
        <v>3522</v>
      </c>
      <c r="K652" s="2"/>
      <c r="L652" s="2" t="s">
        <v>4186</v>
      </c>
      <c r="M652" s="2">
        <v>1</v>
      </c>
      <c r="N652" s="2">
        <v>3</v>
      </c>
      <c r="O652" s="2" t="s">
        <v>1843</v>
      </c>
      <c r="P652" t="s">
        <v>1127</v>
      </c>
    </row>
    <row r="653" spans="1:16" ht="17.25" customHeight="1" x14ac:dyDescent="0.2">
      <c r="A653" s="18" t="s">
        <v>973</v>
      </c>
      <c r="B653" s="18" t="s">
        <v>4182</v>
      </c>
      <c r="C653" s="18" t="s">
        <v>1838</v>
      </c>
      <c r="D653" s="18" t="s">
        <v>3558</v>
      </c>
      <c r="E653" s="2" t="str">
        <f t="shared" si="53"/>
        <v>e</v>
      </c>
      <c r="F653" s="2">
        <f t="shared" si="54"/>
        <v>5</v>
      </c>
      <c r="G653" s="2">
        <v>2005</v>
      </c>
      <c r="H653" s="2" t="s">
        <v>3564</v>
      </c>
      <c r="I653" s="2" t="s">
        <v>3560</v>
      </c>
      <c r="J653" s="2" t="s">
        <v>3522</v>
      </c>
      <c r="K653" s="2"/>
      <c r="L653" s="2" t="s">
        <v>4186</v>
      </c>
      <c r="M653" s="2">
        <v>1</v>
      </c>
      <c r="N653" s="2">
        <v>3</v>
      </c>
      <c r="O653" s="2" t="s">
        <v>1843</v>
      </c>
      <c r="P653" t="s">
        <v>1127</v>
      </c>
    </row>
    <row r="654" spans="1:16" ht="17.25" customHeight="1" x14ac:dyDescent="0.2">
      <c r="A654" s="18" t="s">
        <v>973</v>
      </c>
      <c r="B654" s="18" t="s">
        <v>4182</v>
      </c>
      <c r="C654" s="18" t="s">
        <v>1838</v>
      </c>
      <c r="D654" s="18" t="s">
        <v>3558</v>
      </c>
      <c r="E654" s="2" t="str">
        <f t="shared" si="53"/>
        <v>f</v>
      </c>
      <c r="F654" s="2">
        <f t="shared" si="54"/>
        <v>6</v>
      </c>
      <c r="G654" s="2">
        <v>2006</v>
      </c>
      <c r="H654" s="2" t="s">
        <v>3565</v>
      </c>
      <c r="I654" s="2" t="s">
        <v>3560</v>
      </c>
      <c r="J654" s="2" t="s">
        <v>3522</v>
      </c>
      <c r="K654" s="2"/>
      <c r="L654" s="2" t="s">
        <v>4186</v>
      </c>
      <c r="M654" s="2">
        <v>1</v>
      </c>
      <c r="N654" s="2">
        <v>3</v>
      </c>
      <c r="O654" s="2" t="s">
        <v>1843</v>
      </c>
      <c r="P654" t="s">
        <v>1127</v>
      </c>
    </row>
    <row r="655" spans="1:16" ht="17.25" customHeight="1" x14ac:dyDescent="0.2">
      <c r="A655" s="18" t="s">
        <v>973</v>
      </c>
      <c r="B655" s="18" t="s">
        <v>4182</v>
      </c>
      <c r="C655" s="18" t="s">
        <v>1838</v>
      </c>
      <c r="D655" s="18" t="s">
        <v>3558</v>
      </c>
      <c r="E655" s="2" t="str">
        <f t="shared" si="53"/>
        <v>g</v>
      </c>
      <c r="F655" s="2">
        <f t="shared" si="54"/>
        <v>7</v>
      </c>
      <c r="G655" s="2">
        <v>2007</v>
      </c>
      <c r="H655" s="2" t="s">
        <v>3566</v>
      </c>
      <c r="I655" s="2" t="s">
        <v>3560</v>
      </c>
      <c r="J655" s="2" t="s">
        <v>3522</v>
      </c>
      <c r="K655" s="2"/>
      <c r="L655" s="2" t="s">
        <v>4186</v>
      </c>
      <c r="M655" s="2">
        <v>1</v>
      </c>
      <c r="N655" s="2">
        <v>3</v>
      </c>
      <c r="O655" s="2" t="s">
        <v>1843</v>
      </c>
      <c r="P655" t="s">
        <v>1127</v>
      </c>
    </row>
    <row r="656" spans="1:16" ht="17.25" customHeight="1" x14ac:dyDescent="0.2">
      <c r="A656" s="18" t="s">
        <v>973</v>
      </c>
      <c r="B656" s="18" t="s">
        <v>4182</v>
      </c>
      <c r="C656" s="18" t="s">
        <v>1838</v>
      </c>
      <c r="D656" s="18" t="s">
        <v>3558</v>
      </c>
      <c r="E656" s="2" t="str">
        <f t="shared" si="53"/>
        <v>h</v>
      </c>
      <c r="F656" s="2">
        <f t="shared" si="54"/>
        <v>8</v>
      </c>
      <c r="G656" s="2">
        <v>2008</v>
      </c>
      <c r="H656" s="2" t="s">
        <v>3567</v>
      </c>
      <c r="I656" s="2" t="s">
        <v>3560</v>
      </c>
      <c r="J656" s="2" t="s">
        <v>3522</v>
      </c>
      <c r="K656" s="2"/>
      <c r="L656" s="2" t="s">
        <v>4186</v>
      </c>
      <c r="M656" s="2">
        <v>1</v>
      </c>
      <c r="N656" s="2">
        <v>3</v>
      </c>
      <c r="O656" s="2" t="s">
        <v>1843</v>
      </c>
      <c r="P656" t="s">
        <v>1127</v>
      </c>
    </row>
    <row r="657" spans="1:16" ht="17.25" customHeight="1" x14ac:dyDescent="0.2">
      <c r="A657" s="18" t="s">
        <v>973</v>
      </c>
      <c r="B657" s="18" t="s">
        <v>4182</v>
      </c>
      <c r="C657" s="18" t="s">
        <v>1838</v>
      </c>
      <c r="D657" s="18" t="s">
        <v>3558</v>
      </c>
      <c r="E657" s="2" t="str">
        <f t="shared" si="53"/>
        <v>i</v>
      </c>
      <c r="F657" s="2">
        <f t="shared" si="54"/>
        <v>9</v>
      </c>
      <c r="G657" s="2">
        <v>2009</v>
      </c>
      <c r="H657" s="2" t="s">
        <v>3568</v>
      </c>
      <c r="I657" s="2" t="s">
        <v>3560</v>
      </c>
      <c r="J657" s="2" t="s">
        <v>3522</v>
      </c>
      <c r="K657" s="2"/>
      <c r="L657" s="2" t="s">
        <v>4186</v>
      </c>
      <c r="M657" s="2">
        <v>1</v>
      </c>
      <c r="N657" s="2">
        <v>3</v>
      </c>
      <c r="O657" s="2" t="s">
        <v>1843</v>
      </c>
      <c r="P657" t="s">
        <v>1127</v>
      </c>
    </row>
    <row r="658" spans="1:16" ht="17.25" customHeight="1" x14ac:dyDescent="0.2">
      <c r="A658" s="18" t="s">
        <v>973</v>
      </c>
      <c r="B658" s="18" t="s">
        <v>4182</v>
      </c>
      <c r="C658" s="18" t="s">
        <v>1838</v>
      </c>
      <c r="D658" s="18" t="s">
        <v>3558</v>
      </c>
      <c r="E658" s="2" t="str">
        <f t="shared" si="53"/>
        <v>j</v>
      </c>
      <c r="F658" s="2">
        <f t="shared" si="54"/>
        <v>10</v>
      </c>
      <c r="G658" s="2">
        <v>2010</v>
      </c>
      <c r="H658" s="2" t="s">
        <v>3569</v>
      </c>
      <c r="I658" s="2" t="s">
        <v>3560</v>
      </c>
      <c r="J658" s="2" t="s">
        <v>3522</v>
      </c>
      <c r="K658" s="2"/>
      <c r="L658" s="2" t="s">
        <v>4186</v>
      </c>
      <c r="M658" s="2">
        <v>1</v>
      </c>
      <c r="N658" s="2">
        <v>3</v>
      </c>
      <c r="O658" s="2" t="s">
        <v>1843</v>
      </c>
      <c r="P658" t="s">
        <v>1127</v>
      </c>
    </row>
    <row r="659" spans="1:16" ht="17.25" customHeight="1" x14ac:dyDescent="0.2">
      <c r="A659" s="18" t="s">
        <v>973</v>
      </c>
      <c r="B659" s="18" t="s">
        <v>4182</v>
      </c>
      <c r="C659" s="18" t="s">
        <v>1838</v>
      </c>
      <c r="D659" s="18" t="s">
        <v>3558</v>
      </c>
      <c r="E659" s="2" t="str">
        <f t="shared" si="53"/>
        <v>k</v>
      </c>
      <c r="F659" s="2">
        <f t="shared" si="54"/>
        <v>11</v>
      </c>
      <c r="G659" s="2">
        <v>2011</v>
      </c>
      <c r="H659" s="2" t="s">
        <v>3570</v>
      </c>
      <c r="I659" s="2" t="s">
        <v>3560</v>
      </c>
      <c r="J659" s="2" t="s">
        <v>3522</v>
      </c>
      <c r="K659" s="2"/>
      <c r="L659" s="2" t="s">
        <v>4186</v>
      </c>
      <c r="M659" s="2">
        <v>1</v>
      </c>
      <c r="N659" s="2">
        <v>3</v>
      </c>
      <c r="O659" s="2" t="s">
        <v>1843</v>
      </c>
      <c r="P659" t="s">
        <v>1127</v>
      </c>
    </row>
    <row r="660" spans="1:16" ht="17.25" customHeight="1" x14ac:dyDescent="0.2">
      <c r="A660" s="18" t="s">
        <v>973</v>
      </c>
      <c r="B660" s="18" t="s">
        <v>4182</v>
      </c>
      <c r="C660" s="18" t="s">
        <v>1838</v>
      </c>
      <c r="D660" s="18" t="s">
        <v>3558</v>
      </c>
      <c r="E660" s="2" t="str">
        <f t="shared" ref="E660:E723" si="55">MID("abcdefghijklmnopqrstuvwxyz",F660,1)</f>
        <v>l</v>
      </c>
      <c r="F660" s="2">
        <f t="shared" ref="F660:F723" si="56">G660-2000</f>
        <v>12</v>
      </c>
      <c r="G660" s="2">
        <v>2012</v>
      </c>
      <c r="H660" s="2" t="s">
        <v>3571</v>
      </c>
      <c r="I660" s="2" t="s">
        <v>3560</v>
      </c>
      <c r="J660" s="2" t="s">
        <v>3522</v>
      </c>
      <c r="K660" s="2"/>
      <c r="L660" s="2" t="s">
        <v>4186</v>
      </c>
      <c r="M660" s="2">
        <v>1</v>
      </c>
      <c r="N660" s="2">
        <v>3</v>
      </c>
      <c r="O660" s="2" t="s">
        <v>1843</v>
      </c>
      <c r="P660" t="s">
        <v>1127</v>
      </c>
    </row>
    <row r="661" spans="1:16" ht="17.25" customHeight="1" x14ac:dyDescent="0.2">
      <c r="A661" s="18" t="s">
        <v>973</v>
      </c>
      <c r="B661" s="18" t="s">
        <v>4182</v>
      </c>
      <c r="C661" s="18" t="s">
        <v>1838</v>
      </c>
      <c r="D661" s="18" t="s">
        <v>3558</v>
      </c>
      <c r="E661" s="2" t="str">
        <f t="shared" si="55"/>
        <v>m</v>
      </c>
      <c r="F661" s="2">
        <f t="shared" si="56"/>
        <v>13</v>
      </c>
      <c r="G661" s="2">
        <v>2013</v>
      </c>
      <c r="H661" s="2" t="s">
        <v>3572</v>
      </c>
      <c r="I661" s="2" t="s">
        <v>3560</v>
      </c>
      <c r="J661" s="2" t="s">
        <v>3522</v>
      </c>
      <c r="K661" s="2"/>
      <c r="L661" s="2" t="s">
        <v>4186</v>
      </c>
      <c r="M661" s="2">
        <v>1</v>
      </c>
      <c r="N661" s="2">
        <v>3</v>
      </c>
      <c r="O661" s="2" t="s">
        <v>1843</v>
      </c>
      <c r="P661" t="s">
        <v>1127</v>
      </c>
    </row>
    <row r="662" spans="1:16" ht="17.25" customHeight="1" x14ac:dyDescent="0.2">
      <c r="A662" s="18" t="s">
        <v>973</v>
      </c>
      <c r="B662" s="18" t="s">
        <v>4182</v>
      </c>
      <c r="C662" s="18" t="s">
        <v>1838</v>
      </c>
      <c r="D662" s="18" t="s">
        <v>3558</v>
      </c>
      <c r="E662" s="2" t="str">
        <f t="shared" si="55"/>
        <v>n</v>
      </c>
      <c r="F662" s="2">
        <f t="shared" si="56"/>
        <v>14</v>
      </c>
      <c r="G662" s="2">
        <v>2014</v>
      </c>
      <c r="H662" s="2" t="s">
        <v>3573</v>
      </c>
      <c r="I662" s="2" t="s">
        <v>3560</v>
      </c>
      <c r="J662" s="2" t="s">
        <v>3522</v>
      </c>
      <c r="K662" s="2"/>
      <c r="L662" s="2" t="s">
        <v>4186</v>
      </c>
      <c r="M662" s="2">
        <v>1</v>
      </c>
      <c r="N662" s="2">
        <v>3</v>
      </c>
      <c r="O662" s="2" t="s">
        <v>1843</v>
      </c>
      <c r="P662" t="s">
        <v>1127</v>
      </c>
    </row>
    <row r="663" spans="1:16" ht="17.25" customHeight="1" x14ac:dyDescent="0.2">
      <c r="A663" s="18" t="s">
        <v>973</v>
      </c>
      <c r="B663" s="18" t="s">
        <v>4182</v>
      </c>
      <c r="C663" s="18" t="s">
        <v>1838</v>
      </c>
      <c r="D663" s="18" t="s">
        <v>3558</v>
      </c>
      <c r="E663" s="2" t="str">
        <f t="shared" si="55"/>
        <v>o</v>
      </c>
      <c r="F663" s="2">
        <f t="shared" si="56"/>
        <v>15</v>
      </c>
      <c r="G663" s="2">
        <v>2015</v>
      </c>
      <c r="H663" s="2" t="s">
        <v>3574</v>
      </c>
      <c r="I663" s="2" t="s">
        <v>3560</v>
      </c>
      <c r="J663" s="2" t="s">
        <v>3522</v>
      </c>
      <c r="K663" s="2"/>
      <c r="L663" s="2" t="s">
        <v>4186</v>
      </c>
      <c r="M663" s="2">
        <v>1</v>
      </c>
      <c r="N663" s="2">
        <v>3</v>
      </c>
      <c r="O663" s="2" t="s">
        <v>1843</v>
      </c>
      <c r="P663" t="s">
        <v>1127</v>
      </c>
    </row>
    <row r="664" spans="1:16" ht="17.25" customHeight="1" x14ac:dyDescent="0.2">
      <c r="A664" s="18" t="s">
        <v>973</v>
      </c>
      <c r="B664" s="18" t="s">
        <v>4182</v>
      </c>
      <c r="C664" s="18" t="s">
        <v>1838</v>
      </c>
      <c r="D664" s="18" t="s">
        <v>3558</v>
      </c>
      <c r="E664" s="2" t="str">
        <f t="shared" si="55"/>
        <v>p</v>
      </c>
      <c r="F664" s="2">
        <f t="shared" si="56"/>
        <v>16</v>
      </c>
      <c r="G664" s="2">
        <v>2016</v>
      </c>
      <c r="H664" s="2" t="s">
        <v>3575</v>
      </c>
      <c r="I664" s="2" t="s">
        <v>3560</v>
      </c>
      <c r="J664" s="2" t="s">
        <v>3522</v>
      </c>
      <c r="K664" s="2"/>
      <c r="L664" s="2" t="s">
        <v>4186</v>
      </c>
      <c r="M664" s="2">
        <v>1</v>
      </c>
      <c r="N664" s="2">
        <v>3</v>
      </c>
      <c r="O664" s="2" t="s">
        <v>1843</v>
      </c>
      <c r="P664" t="s">
        <v>1127</v>
      </c>
    </row>
    <row r="665" spans="1:16" ht="17.25" customHeight="1" x14ac:dyDescent="0.2">
      <c r="A665" s="18" t="s">
        <v>973</v>
      </c>
      <c r="B665" s="18" t="s">
        <v>4182</v>
      </c>
      <c r="C665" s="18" t="s">
        <v>1838</v>
      </c>
      <c r="D665" s="18" t="s">
        <v>3558</v>
      </c>
      <c r="E665" s="2" t="str">
        <f t="shared" si="55"/>
        <v>q</v>
      </c>
      <c r="F665" s="2">
        <f t="shared" si="56"/>
        <v>17</v>
      </c>
      <c r="G665" s="2">
        <v>2017</v>
      </c>
      <c r="H665" s="2" t="s">
        <v>3576</v>
      </c>
      <c r="I665" s="2" t="s">
        <v>3560</v>
      </c>
      <c r="J665" s="2" t="s">
        <v>3522</v>
      </c>
      <c r="K665" s="2"/>
      <c r="L665" s="2" t="s">
        <v>4186</v>
      </c>
      <c r="M665" s="2">
        <v>1</v>
      </c>
      <c r="N665" s="2">
        <v>3</v>
      </c>
      <c r="O665" s="2" t="s">
        <v>1843</v>
      </c>
      <c r="P665" t="s">
        <v>1127</v>
      </c>
    </row>
    <row r="666" spans="1:16" ht="17.25" customHeight="1" x14ac:dyDescent="0.2">
      <c r="A666" s="18" t="s">
        <v>973</v>
      </c>
      <c r="B666" s="18" t="s">
        <v>4182</v>
      </c>
      <c r="C666" s="18" t="s">
        <v>1838</v>
      </c>
      <c r="D666" s="18" t="s">
        <v>3558</v>
      </c>
      <c r="E666" s="2" t="str">
        <f t="shared" si="55"/>
        <v>r</v>
      </c>
      <c r="F666" s="2">
        <f t="shared" si="56"/>
        <v>18</v>
      </c>
      <c r="G666" s="2">
        <v>2018</v>
      </c>
      <c r="H666" s="2" t="s">
        <v>3712</v>
      </c>
      <c r="I666" s="2" t="s">
        <v>3560</v>
      </c>
      <c r="J666" s="2" t="s">
        <v>3522</v>
      </c>
      <c r="K666" s="2"/>
      <c r="L666" s="2" t="s">
        <v>4186</v>
      </c>
      <c r="M666" s="2">
        <v>1</v>
      </c>
      <c r="N666" s="2">
        <v>3</v>
      </c>
      <c r="O666" s="2" t="s">
        <v>1843</v>
      </c>
      <c r="P666" t="s">
        <v>1127</v>
      </c>
    </row>
    <row r="667" spans="1:16" ht="17.25" customHeight="1" x14ac:dyDescent="0.2">
      <c r="A667" s="18" t="s">
        <v>973</v>
      </c>
      <c r="B667" s="18" t="s">
        <v>4182</v>
      </c>
      <c r="C667" s="18" t="s">
        <v>1838</v>
      </c>
      <c r="D667" s="18" t="s">
        <v>3577</v>
      </c>
      <c r="E667" s="2" t="str">
        <f t="shared" si="55"/>
        <v>a</v>
      </c>
      <c r="F667" s="2">
        <f t="shared" si="56"/>
        <v>1</v>
      </c>
      <c r="G667" s="2">
        <v>2001</v>
      </c>
      <c r="H667" s="2" t="s">
        <v>3578</v>
      </c>
      <c r="I667" s="2" t="s">
        <v>3579</v>
      </c>
      <c r="J667" s="2" t="s">
        <v>3522</v>
      </c>
      <c r="K667" s="2"/>
      <c r="L667" s="2" t="s">
        <v>4186</v>
      </c>
      <c r="M667" s="2">
        <v>1</v>
      </c>
      <c r="N667" s="2">
        <v>3</v>
      </c>
      <c r="O667" s="2" t="s">
        <v>1843</v>
      </c>
      <c r="P667" t="s">
        <v>1127</v>
      </c>
    </row>
    <row r="668" spans="1:16" ht="17.25" customHeight="1" x14ac:dyDescent="0.2">
      <c r="A668" s="18" t="s">
        <v>973</v>
      </c>
      <c r="B668" s="18" t="s">
        <v>4182</v>
      </c>
      <c r="C668" s="18" t="s">
        <v>1838</v>
      </c>
      <c r="D668" s="18" t="s">
        <v>3577</v>
      </c>
      <c r="E668" s="2" t="str">
        <f t="shared" si="55"/>
        <v>b</v>
      </c>
      <c r="F668" s="2">
        <f t="shared" si="56"/>
        <v>2</v>
      </c>
      <c r="G668" s="2">
        <v>2002</v>
      </c>
      <c r="H668" s="2" t="s">
        <v>3580</v>
      </c>
      <c r="I668" s="2" t="s">
        <v>3579</v>
      </c>
      <c r="J668" s="2" t="s">
        <v>3522</v>
      </c>
      <c r="K668" s="2"/>
      <c r="L668" s="2" t="s">
        <v>4186</v>
      </c>
      <c r="M668" s="2">
        <v>1</v>
      </c>
      <c r="N668" s="2">
        <v>3</v>
      </c>
      <c r="O668" s="2" t="s">
        <v>1843</v>
      </c>
      <c r="P668" t="s">
        <v>1127</v>
      </c>
    </row>
    <row r="669" spans="1:16" ht="17.25" customHeight="1" x14ac:dyDescent="0.2">
      <c r="A669" s="18" t="s">
        <v>973</v>
      </c>
      <c r="B669" s="18" t="s">
        <v>4182</v>
      </c>
      <c r="C669" s="18" t="s">
        <v>1838</v>
      </c>
      <c r="D669" s="18" t="s">
        <v>3577</v>
      </c>
      <c r="E669" s="2" t="str">
        <f t="shared" si="55"/>
        <v>c</v>
      </c>
      <c r="F669" s="2">
        <f t="shared" si="56"/>
        <v>3</v>
      </c>
      <c r="G669" s="2">
        <v>2003</v>
      </c>
      <c r="H669" s="2" t="s">
        <v>3581</v>
      </c>
      <c r="I669" s="2" t="s">
        <v>3579</v>
      </c>
      <c r="J669" s="2" t="s">
        <v>3522</v>
      </c>
      <c r="K669" s="2"/>
      <c r="L669" s="2" t="s">
        <v>4186</v>
      </c>
      <c r="M669" s="2">
        <v>1</v>
      </c>
      <c r="N669" s="2">
        <v>3</v>
      </c>
      <c r="O669" s="2" t="s">
        <v>1843</v>
      </c>
      <c r="P669" t="s">
        <v>1127</v>
      </c>
    </row>
    <row r="670" spans="1:16" ht="17.25" customHeight="1" x14ac:dyDescent="0.2">
      <c r="A670" s="18" t="s">
        <v>973</v>
      </c>
      <c r="B670" s="18" t="s">
        <v>4182</v>
      </c>
      <c r="C670" s="18" t="s">
        <v>1838</v>
      </c>
      <c r="D670" s="18" t="s">
        <v>3577</v>
      </c>
      <c r="E670" s="2" t="str">
        <f t="shared" si="55"/>
        <v>d</v>
      </c>
      <c r="F670" s="2">
        <f t="shared" si="56"/>
        <v>4</v>
      </c>
      <c r="G670" s="2">
        <v>2004</v>
      </c>
      <c r="H670" s="2" t="s">
        <v>3582</v>
      </c>
      <c r="I670" s="2" t="s">
        <v>3579</v>
      </c>
      <c r="J670" s="2" t="s">
        <v>3522</v>
      </c>
      <c r="K670" s="2"/>
      <c r="L670" s="2" t="s">
        <v>4186</v>
      </c>
      <c r="M670" s="2">
        <v>1</v>
      </c>
      <c r="N670" s="2">
        <v>3</v>
      </c>
      <c r="O670" s="2" t="s">
        <v>1843</v>
      </c>
      <c r="P670" t="s">
        <v>1127</v>
      </c>
    </row>
    <row r="671" spans="1:16" ht="17.25" customHeight="1" x14ac:dyDescent="0.2">
      <c r="A671" s="18" t="s">
        <v>973</v>
      </c>
      <c r="B671" s="18" t="s">
        <v>4182</v>
      </c>
      <c r="C671" s="18" t="s">
        <v>1838</v>
      </c>
      <c r="D671" s="18" t="s">
        <v>3577</v>
      </c>
      <c r="E671" s="2" t="str">
        <f t="shared" si="55"/>
        <v>e</v>
      </c>
      <c r="F671" s="2">
        <f t="shared" si="56"/>
        <v>5</v>
      </c>
      <c r="G671" s="2">
        <v>2005</v>
      </c>
      <c r="H671" s="2" t="s">
        <v>3583</v>
      </c>
      <c r="I671" s="2" t="s">
        <v>3579</v>
      </c>
      <c r="J671" s="2" t="s">
        <v>3522</v>
      </c>
      <c r="K671" s="2"/>
      <c r="L671" s="2" t="s">
        <v>4186</v>
      </c>
      <c r="M671" s="2">
        <v>1</v>
      </c>
      <c r="N671" s="2">
        <v>3</v>
      </c>
      <c r="O671" s="2" t="s">
        <v>1843</v>
      </c>
      <c r="P671" t="s">
        <v>1127</v>
      </c>
    </row>
    <row r="672" spans="1:16" ht="17.25" customHeight="1" x14ac:dyDescent="0.2">
      <c r="A672" s="18" t="s">
        <v>973</v>
      </c>
      <c r="B672" s="18" t="s">
        <v>4182</v>
      </c>
      <c r="C672" s="18" t="s">
        <v>1838</v>
      </c>
      <c r="D672" s="18" t="s">
        <v>3577</v>
      </c>
      <c r="E672" s="2" t="str">
        <f t="shared" si="55"/>
        <v>f</v>
      </c>
      <c r="F672" s="2">
        <f t="shared" si="56"/>
        <v>6</v>
      </c>
      <c r="G672" s="2">
        <v>2006</v>
      </c>
      <c r="H672" s="2" t="s">
        <v>3584</v>
      </c>
      <c r="I672" s="2" t="s">
        <v>3579</v>
      </c>
      <c r="J672" s="2" t="s">
        <v>3522</v>
      </c>
      <c r="K672" s="2"/>
      <c r="L672" s="2" t="s">
        <v>4186</v>
      </c>
      <c r="M672" s="2">
        <v>1</v>
      </c>
      <c r="N672" s="2">
        <v>3</v>
      </c>
      <c r="O672" s="2" t="s">
        <v>1843</v>
      </c>
      <c r="P672" t="s">
        <v>1127</v>
      </c>
    </row>
    <row r="673" spans="1:16" ht="17.25" customHeight="1" x14ac:dyDescent="0.2">
      <c r="A673" s="18" t="s">
        <v>973</v>
      </c>
      <c r="B673" s="18" t="s">
        <v>4182</v>
      </c>
      <c r="C673" s="18" t="s">
        <v>1838</v>
      </c>
      <c r="D673" s="18" t="s">
        <v>3577</v>
      </c>
      <c r="E673" s="2" t="str">
        <f t="shared" si="55"/>
        <v>g</v>
      </c>
      <c r="F673" s="2">
        <f t="shared" si="56"/>
        <v>7</v>
      </c>
      <c r="G673" s="2">
        <v>2007</v>
      </c>
      <c r="H673" s="2" t="s">
        <v>3585</v>
      </c>
      <c r="I673" s="2" t="s">
        <v>3579</v>
      </c>
      <c r="J673" s="2" t="s">
        <v>3522</v>
      </c>
      <c r="K673" s="2"/>
      <c r="L673" s="2" t="s">
        <v>4186</v>
      </c>
      <c r="M673" s="2">
        <v>1</v>
      </c>
      <c r="N673" s="2">
        <v>3</v>
      </c>
      <c r="O673" s="2" t="s">
        <v>1843</v>
      </c>
      <c r="P673" t="s">
        <v>1127</v>
      </c>
    </row>
    <row r="674" spans="1:16" ht="17.25" customHeight="1" x14ac:dyDescent="0.2">
      <c r="A674" s="18" t="s">
        <v>973</v>
      </c>
      <c r="B674" s="18" t="s">
        <v>4182</v>
      </c>
      <c r="C674" s="18" t="s">
        <v>1838</v>
      </c>
      <c r="D674" s="18" t="s">
        <v>3577</v>
      </c>
      <c r="E674" s="2" t="str">
        <f t="shared" si="55"/>
        <v>h</v>
      </c>
      <c r="F674" s="2">
        <f t="shared" si="56"/>
        <v>8</v>
      </c>
      <c r="G674" s="2">
        <v>2008</v>
      </c>
      <c r="H674" s="2" t="s">
        <v>3586</v>
      </c>
      <c r="I674" s="2" t="s">
        <v>3579</v>
      </c>
      <c r="J674" s="2" t="s">
        <v>3522</v>
      </c>
      <c r="K674" s="2"/>
      <c r="L674" s="2" t="s">
        <v>4186</v>
      </c>
      <c r="M674" s="2">
        <v>1</v>
      </c>
      <c r="N674" s="2">
        <v>3</v>
      </c>
      <c r="O674" s="2" t="s">
        <v>1843</v>
      </c>
      <c r="P674" t="s">
        <v>1127</v>
      </c>
    </row>
    <row r="675" spans="1:16" ht="17.25" customHeight="1" x14ac:dyDescent="0.2">
      <c r="A675" s="18" t="s">
        <v>973</v>
      </c>
      <c r="B675" s="18" t="s">
        <v>4182</v>
      </c>
      <c r="C675" s="18" t="s">
        <v>1838</v>
      </c>
      <c r="D675" s="18" t="s">
        <v>3577</v>
      </c>
      <c r="E675" s="2" t="str">
        <f t="shared" si="55"/>
        <v>i</v>
      </c>
      <c r="F675" s="2">
        <f t="shared" si="56"/>
        <v>9</v>
      </c>
      <c r="G675" s="2">
        <v>2009</v>
      </c>
      <c r="H675" s="2" t="s">
        <v>3587</v>
      </c>
      <c r="I675" s="2" t="s">
        <v>3579</v>
      </c>
      <c r="J675" s="2" t="s">
        <v>3522</v>
      </c>
      <c r="K675" s="2"/>
      <c r="L675" s="2" t="s">
        <v>4186</v>
      </c>
      <c r="M675" s="2">
        <v>1</v>
      </c>
      <c r="N675" s="2">
        <v>3</v>
      </c>
      <c r="O675" s="2" t="s">
        <v>1843</v>
      </c>
      <c r="P675" t="s">
        <v>1127</v>
      </c>
    </row>
    <row r="676" spans="1:16" ht="17.25" customHeight="1" x14ac:dyDescent="0.2">
      <c r="A676" s="18" t="s">
        <v>973</v>
      </c>
      <c r="B676" s="18" t="s">
        <v>4182</v>
      </c>
      <c r="C676" s="18" t="s">
        <v>1838</v>
      </c>
      <c r="D676" s="18" t="s">
        <v>3577</v>
      </c>
      <c r="E676" s="2" t="str">
        <f t="shared" si="55"/>
        <v>j</v>
      </c>
      <c r="F676" s="2">
        <f t="shared" si="56"/>
        <v>10</v>
      </c>
      <c r="G676" s="2">
        <v>2010</v>
      </c>
      <c r="H676" s="2" t="s">
        <v>3588</v>
      </c>
      <c r="I676" s="2" t="s">
        <v>3579</v>
      </c>
      <c r="J676" s="2" t="s">
        <v>3522</v>
      </c>
      <c r="K676" s="2"/>
      <c r="L676" s="2" t="s">
        <v>4186</v>
      </c>
      <c r="M676" s="2">
        <v>1</v>
      </c>
      <c r="N676" s="2">
        <v>3</v>
      </c>
      <c r="O676" s="2" t="s">
        <v>1843</v>
      </c>
      <c r="P676" t="s">
        <v>1127</v>
      </c>
    </row>
    <row r="677" spans="1:16" ht="17.25" customHeight="1" x14ac:dyDescent="0.2">
      <c r="A677" s="18" t="s">
        <v>973</v>
      </c>
      <c r="B677" s="18" t="s">
        <v>4182</v>
      </c>
      <c r="C677" s="18" t="s">
        <v>1838</v>
      </c>
      <c r="D677" s="18" t="s">
        <v>3577</v>
      </c>
      <c r="E677" s="2" t="str">
        <f t="shared" si="55"/>
        <v>k</v>
      </c>
      <c r="F677" s="2">
        <f t="shared" si="56"/>
        <v>11</v>
      </c>
      <c r="G677" s="2">
        <v>2011</v>
      </c>
      <c r="H677" s="2" t="s">
        <v>3589</v>
      </c>
      <c r="I677" s="2" t="s">
        <v>3579</v>
      </c>
      <c r="J677" s="2" t="s">
        <v>3522</v>
      </c>
      <c r="K677" s="2"/>
      <c r="L677" s="2" t="s">
        <v>4186</v>
      </c>
      <c r="M677" s="2">
        <v>1</v>
      </c>
      <c r="N677" s="2">
        <v>3</v>
      </c>
      <c r="O677" s="2" t="s">
        <v>1843</v>
      </c>
      <c r="P677" t="s">
        <v>1127</v>
      </c>
    </row>
    <row r="678" spans="1:16" ht="17.25" customHeight="1" x14ac:dyDescent="0.2">
      <c r="A678" s="18" t="s">
        <v>973</v>
      </c>
      <c r="B678" s="18" t="s">
        <v>4182</v>
      </c>
      <c r="C678" s="18" t="s">
        <v>1838</v>
      </c>
      <c r="D678" s="18" t="s">
        <v>3577</v>
      </c>
      <c r="E678" s="2" t="str">
        <f t="shared" si="55"/>
        <v>l</v>
      </c>
      <c r="F678" s="2">
        <f t="shared" si="56"/>
        <v>12</v>
      </c>
      <c r="G678" s="2">
        <v>2012</v>
      </c>
      <c r="H678" s="2" t="s">
        <v>3590</v>
      </c>
      <c r="I678" s="2" t="s">
        <v>3579</v>
      </c>
      <c r="J678" s="2" t="s">
        <v>3522</v>
      </c>
      <c r="K678" s="2"/>
      <c r="L678" s="2" t="s">
        <v>4186</v>
      </c>
      <c r="M678" s="2">
        <v>1</v>
      </c>
      <c r="N678" s="2">
        <v>3</v>
      </c>
      <c r="O678" s="2" t="s">
        <v>1843</v>
      </c>
      <c r="P678" t="s">
        <v>1127</v>
      </c>
    </row>
    <row r="679" spans="1:16" ht="17.25" customHeight="1" x14ac:dyDescent="0.2">
      <c r="A679" s="18" t="s">
        <v>973</v>
      </c>
      <c r="B679" s="18" t="s">
        <v>4182</v>
      </c>
      <c r="C679" s="18" t="s">
        <v>1838</v>
      </c>
      <c r="D679" s="18" t="s">
        <v>3577</v>
      </c>
      <c r="E679" s="2" t="str">
        <f t="shared" si="55"/>
        <v>m</v>
      </c>
      <c r="F679" s="2">
        <f t="shared" si="56"/>
        <v>13</v>
      </c>
      <c r="G679" s="2">
        <v>2013</v>
      </c>
      <c r="H679" s="2" t="s">
        <v>3591</v>
      </c>
      <c r="I679" s="2" t="s">
        <v>3579</v>
      </c>
      <c r="J679" s="2" t="s">
        <v>3522</v>
      </c>
      <c r="K679" s="2"/>
      <c r="L679" s="2" t="s">
        <v>4186</v>
      </c>
      <c r="M679" s="2">
        <v>1</v>
      </c>
      <c r="N679" s="2">
        <v>3</v>
      </c>
      <c r="O679" s="2" t="s">
        <v>1843</v>
      </c>
      <c r="P679" t="s">
        <v>1127</v>
      </c>
    </row>
    <row r="680" spans="1:16" ht="17.25" customHeight="1" x14ac:dyDescent="0.2">
      <c r="A680" s="18" t="s">
        <v>973</v>
      </c>
      <c r="B680" s="18" t="s">
        <v>4182</v>
      </c>
      <c r="C680" s="18" t="s">
        <v>1838</v>
      </c>
      <c r="D680" s="18" t="s">
        <v>3577</v>
      </c>
      <c r="E680" s="2" t="str">
        <f t="shared" si="55"/>
        <v>n</v>
      </c>
      <c r="F680" s="2">
        <f t="shared" si="56"/>
        <v>14</v>
      </c>
      <c r="G680" s="2">
        <v>2014</v>
      </c>
      <c r="H680" s="2" t="s">
        <v>3592</v>
      </c>
      <c r="I680" s="2" t="s">
        <v>3579</v>
      </c>
      <c r="J680" s="2" t="s">
        <v>3522</v>
      </c>
      <c r="K680" s="2"/>
      <c r="L680" s="2" t="s">
        <v>4186</v>
      </c>
      <c r="M680" s="2">
        <v>1</v>
      </c>
      <c r="N680" s="2">
        <v>3</v>
      </c>
      <c r="O680" s="2" t="s">
        <v>1843</v>
      </c>
      <c r="P680" t="s">
        <v>1127</v>
      </c>
    </row>
    <row r="681" spans="1:16" ht="17.25" customHeight="1" x14ac:dyDescent="0.2">
      <c r="A681" s="18" t="s">
        <v>973</v>
      </c>
      <c r="B681" s="18" t="s">
        <v>4182</v>
      </c>
      <c r="C681" s="18" t="s">
        <v>1838</v>
      </c>
      <c r="D681" s="18" t="s">
        <v>3577</v>
      </c>
      <c r="E681" s="2" t="str">
        <f t="shared" si="55"/>
        <v>o</v>
      </c>
      <c r="F681" s="2">
        <f t="shared" si="56"/>
        <v>15</v>
      </c>
      <c r="G681" s="2">
        <v>2015</v>
      </c>
      <c r="H681" s="2" t="s">
        <v>3593</v>
      </c>
      <c r="I681" s="2" t="s">
        <v>3579</v>
      </c>
      <c r="J681" s="2" t="s">
        <v>3522</v>
      </c>
      <c r="K681" s="2"/>
      <c r="L681" s="2" t="s">
        <v>4186</v>
      </c>
      <c r="M681" s="2">
        <v>1</v>
      </c>
      <c r="N681" s="2">
        <v>3</v>
      </c>
      <c r="O681" s="2" t="s">
        <v>1843</v>
      </c>
      <c r="P681" t="s">
        <v>1127</v>
      </c>
    </row>
    <row r="682" spans="1:16" ht="17.25" customHeight="1" x14ac:dyDescent="0.2">
      <c r="A682" s="18" t="s">
        <v>973</v>
      </c>
      <c r="B682" s="18" t="s">
        <v>4182</v>
      </c>
      <c r="C682" s="18" t="s">
        <v>1838</v>
      </c>
      <c r="D682" s="18" t="s">
        <v>3577</v>
      </c>
      <c r="E682" s="2" t="str">
        <f t="shared" si="55"/>
        <v>p</v>
      </c>
      <c r="F682" s="2">
        <f t="shared" si="56"/>
        <v>16</v>
      </c>
      <c r="G682" s="2">
        <v>2016</v>
      </c>
      <c r="H682" s="2" t="s">
        <v>3594</v>
      </c>
      <c r="I682" s="2" t="s">
        <v>3579</v>
      </c>
      <c r="J682" s="2" t="s">
        <v>3522</v>
      </c>
      <c r="K682" s="2"/>
      <c r="L682" s="2" t="s">
        <v>4186</v>
      </c>
      <c r="M682" s="2">
        <v>1</v>
      </c>
      <c r="N682" s="2">
        <v>3</v>
      </c>
      <c r="O682" s="2" t="s">
        <v>1843</v>
      </c>
      <c r="P682" t="s">
        <v>1127</v>
      </c>
    </row>
    <row r="683" spans="1:16" ht="17.25" customHeight="1" x14ac:dyDescent="0.2">
      <c r="A683" s="18" t="s">
        <v>973</v>
      </c>
      <c r="B683" s="18" t="s">
        <v>4182</v>
      </c>
      <c r="C683" s="18" t="s">
        <v>1838</v>
      </c>
      <c r="D683" s="18" t="s">
        <v>3577</v>
      </c>
      <c r="E683" s="2" t="str">
        <f t="shared" si="55"/>
        <v>q</v>
      </c>
      <c r="F683" s="2">
        <f t="shared" si="56"/>
        <v>17</v>
      </c>
      <c r="G683" s="2">
        <v>2017</v>
      </c>
      <c r="H683" s="2" t="s">
        <v>3595</v>
      </c>
      <c r="I683" s="2" t="s">
        <v>3579</v>
      </c>
      <c r="J683" s="2" t="s">
        <v>3522</v>
      </c>
      <c r="K683" s="2"/>
      <c r="L683" s="2" t="s">
        <v>4186</v>
      </c>
      <c r="M683" s="2">
        <v>1</v>
      </c>
      <c r="N683" s="2">
        <v>3</v>
      </c>
      <c r="O683" s="2" t="s">
        <v>1843</v>
      </c>
      <c r="P683" t="s">
        <v>1127</v>
      </c>
    </row>
    <row r="684" spans="1:16" ht="17.25" customHeight="1" x14ac:dyDescent="0.2">
      <c r="A684" s="18" t="s">
        <v>973</v>
      </c>
      <c r="B684" s="18" t="s">
        <v>4182</v>
      </c>
      <c r="C684" s="18" t="s">
        <v>1838</v>
      </c>
      <c r="D684" s="18" t="s">
        <v>3577</v>
      </c>
      <c r="E684" s="2" t="str">
        <f t="shared" si="55"/>
        <v>r</v>
      </c>
      <c r="F684" s="2">
        <f t="shared" si="56"/>
        <v>18</v>
      </c>
      <c r="G684" s="2">
        <v>2018</v>
      </c>
      <c r="H684" s="2" t="s">
        <v>3713</v>
      </c>
      <c r="I684" s="2" t="s">
        <v>3579</v>
      </c>
      <c r="J684" s="2" t="s">
        <v>3522</v>
      </c>
      <c r="K684" s="2"/>
      <c r="L684" s="2" t="s">
        <v>4186</v>
      </c>
      <c r="M684" s="2">
        <v>1</v>
      </c>
      <c r="N684" s="2">
        <v>3</v>
      </c>
      <c r="O684" s="2" t="s">
        <v>1843</v>
      </c>
      <c r="P684" t="s">
        <v>1127</v>
      </c>
    </row>
    <row r="685" spans="1:16" ht="17.25" customHeight="1" x14ac:dyDescent="0.2">
      <c r="A685" s="18" t="s">
        <v>973</v>
      </c>
      <c r="B685" s="18" t="s">
        <v>4182</v>
      </c>
      <c r="C685" s="18" t="s">
        <v>1838</v>
      </c>
      <c r="D685" s="18" t="s">
        <v>3596</v>
      </c>
      <c r="E685" s="2" t="str">
        <f t="shared" si="55"/>
        <v>a</v>
      </c>
      <c r="F685" s="2">
        <f t="shared" si="56"/>
        <v>1</v>
      </c>
      <c r="G685" s="2">
        <v>2001</v>
      </c>
      <c r="H685" s="2" t="s">
        <v>3597</v>
      </c>
      <c r="I685" s="2" t="s">
        <v>3598</v>
      </c>
      <c r="J685" s="2" t="s">
        <v>3522</v>
      </c>
      <c r="K685" s="2"/>
      <c r="L685" s="2" t="s">
        <v>4186</v>
      </c>
      <c r="M685" s="2">
        <v>1</v>
      </c>
      <c r="N685" s="2">
        <v>3</v>
      </c>
      <c r="O685" s="2" t="s">
        <v>1843</v>
      </c>
      <c r="P685" t="s">
        <v>1127</v>
      </c>
    </row>
    <row r="686" spans="1:16" ht="17.25" customHeight="1" x14ac:dyDescent="0.2">
      <c r="A686" s="18" t="s">
        <v>973</v>
      </c>
      <c r="B686" s="18" t="s">
        <v>4182</v>
      </c>
      <c r="C686" s="18" t="s">
        <v>1838</v>
      </c>
      <c r="D686" s="18" t="s">
        <v>3596</v>
      </c>
      <c r="E686" s="2" t="str">
        <f t="shared" si="55"/>
        <v>b</v>
      </c>
      <c r="F686" s="2">
        <f t="shared" si="56"/>
        <v>2</v>
      </c>
      <c r="G686" s="2">
        <v>2002</v>
      </c>
      <c r="H686" s="2" t="s">
        <v>3599</v>
      </c>
      <c r="I686" s="2" t="s">
        <v>3598</v>
      </c>
      <c r="J686" s="2" t="s">
        <v>3522</v>
      </c>
      <c r="K686" s="2"/>
      <c r="L686" s="2" t="s">
        <v>4186</v>
      </c>
      <c r="M686" s="2">
        <v>1</v>
      </c>
      <c r="N686" s="2">
        <v>3</v>
      </c>
      <c r="O686" s="2" t="s">
        <v>1843</v>
      </c>
      <c r="P686" t="s">
        <v>1127</v>
      </c>
    </row>
    <row r="687" spans="1:16" ht="17.25" customHeight="1" x14ac:dyDescent="0.2">
      <c r="A687" s="18" t="s">
        <v>973</v>
      </c>
      <c r="B687" s="18" t="s">
        <v>4182</v>
      </c>
      <c r="C687" s="18" t="s">
        <v>1838</v>
      </c>
      <c r="D687" s="18" t="s">
        <v>3596</v>
      </c>
      <c r="E687" s="2" t="str">
        <f t="shared" si="55"/>
        <v>c</v>
      </c>
      <c r="F687" s="2">
        <f t="shared" si="56"/>
        <v>3</v>
      </c>
      <c r="G687" s="2">
        <v>2003</v>
      </c>
      <c r="H687" s="2" t="s">
        <v>3600</v>
      </c>
      <c r="I687" s="2" t="s">
        <v>3598</v>
      </c>
      <c r="J687" s="2" t="s">
        <v>3522</v>
      </c>
      <c r="K687" s="2"/>
      <c r="L687" s="2" t="s">
        <v>4186</v>
      </c>
      <c r="M687" s="2">
        <v>1</v>
      </c>
      <c r="N687" s="2">
        <v>3</v>
      </c>
      <c r="O687" s="2" t="s">
        <v>1843</v>
      </c>
      <c r="P687" t="s">
        <v>1127</v>
      </c>
    </row>
    <row r="688" spans="1:16" ht="17.25" customHeight="1" x14ac:dyDescent="0.2">
      <c r="A688" s="18" t="s">
        <v>973</v>
      </c>
      <c r="B688" s="18" t="s">
        <v>4182</v>
      </c>
      <c r="C688" s="18" t="s">
        <v>1838</v>
      </c>
      <c r="D688" s="18" t="s">
        <v>3596</v>
      </c>
      <c r="E688" s="2" t="str">
        <f t="shared" si="55"/>
        <v>d</v>
      </c>
      <c r="F688" s="2">
        <f t="shared" si="56"/>
        <v>4</v>
      </c>
      <c r="G688" s="2">
        <v>2004</v>
      </c>
      <c r="H688" s="2" t="s">
        <v>3601</v>
      </c>
      <c r="I688" s="2" t="s">
        <v>3598</v>
      </c>
      <c r="J688" s="2" t="s">
        <v>3522</v>
      </c>
      <c r="K688" s="2"/>
      <c r="L688" s="2" t="s">
        <v>4186</v>
      </c>
      <c r="M688" s="2">
        <v>1</v>
      </c>
      <c r="N688" s="2">
        <v>3</v>
      </c>
      <c r="O688" s="2" t="s">
        <v>1843</v>
      </c>
      <c r="P688" t="s">
        <v>1127</v>
      </c>
    </row>
    <row r="689" spans="1:16" ht="17.25" customHeight="1" x14ac:dyDescent="0.2">
      <c r="A689" s="18" t="s">
        <v>973</v>
      </c>
      <c r="B689" s="18" t="s">
        <v>4182</v>
      </c>
      <c r="C689" s="18" t="s">
        <v>1838</v>
      </c>
      <c r="D689" s="18" t="s">
        <v>3596</v>
      </c>
      <c r="E689" s="2" t="str">
        <f t="shared" si="55"/>
        <v>e</v>
      </c>
      <c r="F689" s="2">
        <f t="shared" si="56"/>
        <v>5</v>
      </c>
      <c r="G689" s="2">
        <v>2005</v>
      </c>
      <c r="H689" s="2" t="s">
        <v>3602</v>
      </c>
      <c r="I689" s="2" t="s">
        <v>3598</v>
      </c>
      <c r="J689" s="2" t="s">
        <v>3522</v>
      </c>
      <c r="K689" s="2"/>
      <c r="L689" s="2" t="s">
        <v>4186</v>
      </c>
      <c r="M689" s="2">
        <v>1</v>
      </c>
      <c r="N689" s="2">
        <v>3</v>
      </c>
      <c r="O689" s="2" t="s">
        <v>1843</v>
      </c>
      <c r="P689" t="s">
        <v>1127</v>
      </c>
    </row>
    <row r="690" spans="1:16" ht="17.25" customHeight="1" x14ac:dyDescent="0.2">
      <c r="A690" s="18" t="s">
        <v>973</v>
      </c>
      <c r="B690" s="18" t="s">
        <v>4182</v>
      </c>
      <c r="C690" s="18" t="s">
        <v>1838</v>
      </c>
      <c r="D690" s="18" t="s">
        <v>3596</v>
      </c>
      <c r="E690" s="2" t="str">
        <f t="shared" si="55"/>
        <v>f</v>
      </c>
      <c r="F690" s="2">
        <f t="shared" si="56"/>
        <v>6</v>
      </c>
      <c r="G690" s="2">
        <v>2006</v>
      </c>
      <c r="H690" s="2" t="s">
        <v>3603</v>
      </c>
      <c r="I690" s="2" t="s">
        <v>3598</v>
      </c>
      <c r="J690" s="2" t="s">
        <v>3522</v>
      </c>
      <c r="K690" s="2"/>
      <c r="L690" s="2" t="s">
        <v>4186</v>
      </c>
      <c r="M690" s="2">
        <v>1</v>
      </c>
      <c r="N690" s="2">
        <v>3</v>
      </c>
      <c r="O690" s="2" t="s">
        <v>1843</v>
      </c>
      <c r="P690" t="s">
        <v>1127</v>
      </c>
    </row>
    <row r="691" spans="1:16" ht="17.25" customHeight="1" x14ac:dyDescent="0.2">
      <c r="A691" s="18" t="s">
        <v>973</v>
      </c>
      <c r="B691" s="18" t="s">
        <v>4182</v>
      </c>
      <c r="C691" s="18" t="s">
        <v>1838</v>
      </c>
      <c r="D691" s="18" t="s">
        <v>3596</v>
      </c>
      <c r="E691" s="2" t="str">
        <f t="shared" si="55"/>
        <v>g</v>
      </c>
      <c r="F691" s="2">
        <f t="shared" si="56"/>
        <v>7</v>
      </c>
      <c r="G691" s="2">
        <v>2007</v>
      </c>
      <c r="H691" s="2" t="s">
        <v>3604</v>
      </c>
      <c r="I691" s="2" t="s">
        <v>3598</v>
      </c>
      <c r="J691" s="2" t="s">
        <v>3522</v>
      </c>
      <c r="K691" s="2"/>
      <c r="L691" s="2" t="s">
        <v>4186</v>
      </c>
      <c r="M691" s="2">
        <v>1</v>
      </c>
      <c r="N691" s="2">
        <v>3</v>
      </c>
      <c r="O691" s="2" t="s">
        <v>1843</v>
      </c>
      <c r="P691" t="s">
        <v>1127</v>
      </c>
    </row>
    <row r="692" spans="1:16" ht="17.25" customHeight="1" x14ac:dyDescent="0.2">
      <c r="A692" s="18" t="s">
        <v>973</v>
      </c>
      <c r="B692" s="18" t="s">
        <v>4182</v>
      </c>
      <c r="C692" s="18" t="s">
        <v>1838</v>
      </c>
      <c r="D692" s="18" t="s">
        <v>3596</v>
      </c>
      <c r="E692" s="2" t="str">
        <f t="shared" si="55"/>
        <v>h</v>
      </c>
      <c r="F692" s="2">
        <f t="shared" si="56"/>
        <v>8</v>
      </c>
      <c r="G692" s="2">
        <v>2008</v>
      </c>
      <c r="H692" s="2" t="s">
        <v>3605</v>
      </c>
      <c r="I692" s="2" t="s">
        <v>3598</v>
      </c>
      <c r="J692" s="2" t="s">
        <v>3522</v>
      </c>
      <c r="K692" s="2"/>
      <c r="L692" s="2" t="s">
        <v>4186</v>
      </c>
      <c r="M692" s="2">
        <v>1</v>
      </c>
      <c r="N692" s="2">
        <v>3</v>
      </c>
      <c r="O692" s="2" t="s">
        <v>1843</v>
      </c>
      <c r="P692" t="s">
        <v>1127</v>
      </c>
    </row>
    <row r="693" spans="1:16" ht="17.25" customHeight="1" x14ac:dyDescent="0.2">
      <c r="A693" s="18" t="s">
        <v>973</v>
      </c>
      <c r="B693" s="18" t="s">
        <v>4182</v>
      </c>
      <c r="C693" s="18" t="s">
        <v>1838</v>
      </c>
      <c r="D693" s="18" t="s">
        <v>3596</v>
      </c>
      <c r="E693" s="2" t="str">
        <f t="shared" si="55"/>
        <v>i</v>
      </c>
      <c r="F693" s="2">
        <f t="shared" si="56"/>
        <v>9</v>
      </c>
      <c r="G693" s="2">
        <v>2009</v>
      </c>
      <c r="H693" s="2" t="s">
        <v>3606</v>
      </c>
      <c r="I693" s="2" t="s">
        <v>3598</v>
      </c>
      <c r="J693" s="2" t="s">
        <v>3522</v>
      </c>
      <c r="K693" s="2"/>
      <c r="L693" s="2" t="s">
        <v>4186</v>
      </c>
      <c r="M693" s="2">
        <v>1</v>
      </c>
      <c r="N693" s="2">
        <v>3</v>
      </c>
      <c r="O693" s="2" t="s">
        <v>1843</v>
      </c>
      <c r="P693" t="s">
        <v>1127</v>
      </c>
    </row>
    <row r="694" spans="1:16" ht="17.25" customHeight="1" x14ac:dyDescent="0.2">
      <c r="A694" s="18" t="s">
        <v>973</v>
      </c>
      <c r="B694" s="18" t="s">
        <v>4182</v>
      </c>
      <c r="C694" s="18" t="s">
        <v>1838</v>
      </c>
      <c r="D694" s="18" t="s">
        <v>3596</v>
      </c>
      <c r="E694" s="2" t="str">
        <f t="shared" si="55"/>
        <v>j</v>
      </c>
      <c r="F694" s="2">
        <f t="shared" si="56"/>
        <v>10</v>
      </c>
      <c r="G694" s="2">
        <v>2010</v>
      </c>
      <c r="H694" s="2" t="s">
        <v>3607</v>
      </c>
      <c r="I694" s="2" t="s">
        <v>3598</v>
      </c>
      <c r="J694" s="2" t="s">
        <v>3522</v>
      </c>
      <c r="K694" s="2"/>
      <c r="L694" s="2" t="s">
        <v>4186</v>
      </c>
      <c r="M694" s="2">
        <v>1</v>
      </c>
      <c r="N694" s="2">
        <v>3</v>
      </c>
      <c r="O694" s="2" t="s">
        <v>1843</v>
      </c>
      <c r="P694" t="s">
        <v>1127</v>
      </c>
    </row>
    <row r="695" spans="1:16" ht="17.25" customHeight="1" x14ac:dyDescent="0.2">
      <c r="A695" s="18" t="s">
        <v>973</v>
      </c>
      <c r="B695" s="18" t="s">
        <v>4182</v>
      </c>
      <c r="C695" s="18" t="s">
        <v>1838</v>
      </c>
      <c r="D695" s="18" t="s">
        <v>3596</v>
      </c>
      <c r="E695" s="2" t="str">
        <f t="shared" si="55"/>
        <v>k</v>
      </c>
      <c r="F695" s="2">
        <f t="shared" si="56"/>
        <v>11</v>
      </c>
      <c r="G695" s="2">
        <v>2011</v>
      </c>
      <c r="H695" s="2" t="s">
        <v>3608</v>
      </c>
      <c r="I695" s="2" t="s">
        <v>3598</v>
      </c>
      <c r="J695" s="2" t="s">
        <v>3522</v>
      </c>
      <c r="K695" s="2"/>
      <c r="L695" s="2" t="s">
        <v>4186</v>
      </c>
      <c r="M695" s="2">
        <v>1</v>
      </c>
      <c r="N695" s="2">
        <v>3</v>
      </c>
      <c r="O695" s="2" t="s">
        <v>1843</v>
      </c>
      <c r="P695" t="s">
        <v>1127</v>
      </c>
    </row>
    <row r="696" spans="1:16" ht="17.25" customHeight="1" x14ac:dyDescent="0.2">
      <c r="A696" s="18" t="s">
        <v>973</v>
      </c>
      <c r="B696" s="18" t="s">
        <v>4182</v>
      </c>
      <c r="C696" s="18" t="s">
        <v>1838</v>
      </c>
      <c r="D696" s="18" t="s">
        <v>3596</v>
      </c>
      <c r="E696" s="2" t="str">
        <f t="shared" si="55"/>
        <v>l</v>
      </c>
      <c r="F696" s="2">
        <f t="shared" si="56"/>
        <v>12</v>
      </c>
      <c r="G696" s="2">
        <v>2012</v>
      </c>
      <c r="H696" s="2" t="s">
        <v>3609</v>
      </c>
      <c r="I696" s="2" t="s">
        <v>3598</v>
      </c>
      <c r="J696" s="2" t="s">
        <v>3522</v>
      </c>
      <c r="K696" s="2"/>
      <c r="L696" s="2" t="s">
        <v>4186</v>
      </c>
      <c r="M696" s="2">
        <v>1</v>
      </c>
      <c r="N696" s="2">
        <v>3</v>
      </c>
      <c r="O696" s="2" t="s">
        <v>1843</v>
      </c>
      <c r="P696" t="s">
        <v>1127</v>
      </c>
    </row>
    <row r="697" spans="1:16" ht="17.25" customHeight="1" x14ac:dyDescent="0.2">
      <c r="A697" s="18" t="s">
        <v>973</v>
      </c>
      <c r="B697" s="18" t="s">
        <v>4182</v>
      </c>
      <c r="C697" s="18" t="s">
        <v>1838</v>
      </c>
      <c r="D697" s="18" t="s">
        <v>3596</v>
      </c>
      <c r="E697" s="2" t="str">
        <f t="shared" si="55"/>
        <v>m</v>
      </c>
      <c r="F697" s="2">
        <f t="shared" si="56"/>
        <v>13</v>
      </c>
      <c r="G697" s="2">
        <v>2013</v>
      </c>
      <c r="H697" s="2" t="s">
        <v>3610</v>
      </c>
      <c r="I697" s="2" t="s">
        <v>3598</v>
      </c>
      <c r="J697" s="2" t="s">
        <v>3522</v>
      </c>
      <c r="K697" s="2"/>
      <c r="L697" s="2" t="s">
        <v>4186</v>
      </c>
      <c r="M697" s="2">
        <v>1</v>
      </c>
      <c r="N697" s="2">
        <v>3</v>
      </c>
      <c r="O697" s="2" t="s">
        <v>1843</v>
      </c>
      <c r="P697" t="s">
        <v>1127</v>
      </c>
    </row>
    <row r="698" spans="1:16" ht="17.25" customHeight="1" x14ac:dyDescent="0.2">
      <c r="A698" s="18" t="s">
        <v>973</v>
      </c>
      <c r="B698" s="18" t="s">
        <v>4182</v>
      </c>
      <c r="C698" s="18" t="s">
        <v>1838</v>
      </c>
      <c r="D698" s="18" t="s">
        <v>3596</v>
      </c>
      <c r="E698" s="2" t="str">
        <f t="shared" si="55"/>
        <v>n</v>
      </c>
      <c r="F698" s="2">
        <f t="shared" si="56"/>
        <v>14</v>
      </c>
      <c r="G698" s="2">
        <v>2014</v>
      </c>
      <c r="H698" s="2" t="s">
        <v>3611</v>
      </c>
      <c r="I698" s="2" t="s">
        <v>3598</v>
      </c>
      <c r="J698" s="2" t="s">
        <v>3522</v>
      </c>
      <c r="K698" s="2"/>
      <c r="L698" s="2" t="s">
        <v>4186</v>
      </c>
      <c r="M698" s="2">
        <v>1</v>
      </c>
      <c r="N698" s="2">
        <v>3</v>
      </c>
      <c r="O698" s="2" t="s">
        <v>1843</v>
      </c>
      <c r="P698" t="s">
        <v>1127</v>
      </c>
    </row>
    <row r="699" spans="1:16" ht="17.25" customHeight="1" x14ac:dyDescent="0.2">
      <c r="A699" s="18" t="s">
        <v>973</v>
      </c>
      <c r="B699" s="18" t="s">
        <v>4182</v>
      </c>
      <c r="C699" s="18" t="s">
        <v>1838</v>
      </c>
      <c r="D699" s="18" t="s">
        <v>3596</v>
      </c>
      <c r="E699" s="2" t="str">
        <f t="shared" si="55"/>
        <v>o</v>
      </c>
      <c r="F699" s="2">
        <f t="shared" si="56"/>
        <v>15</v>
      </c>
      <c r="G699" s="2">
        <v>2015</v>
      </c>
      <c r="H699" s="2" t="s">
        <v>3612</v>
      </c>
      <c r="I699" s="2" t="s">
        <v>3598</v>
      </c>
      <c r="J699" s="2" t="s">
        <v>3522</v>
      </c>
      <c r="K699" s="2"/>
      <c r="L699" s="2" t="s">
        <v>4186</v>
      </c>
      <c r="M699" s="2">
        <v>1</v>
      </c>
      <c r="N699" s="2">
        <v>3</v>
      </c>
      <c r="O699" s="2" t="s">
        <v>1843</v>
      </c>
      <c r="P699" t="s">
        <v>1127</v>
      </c>
    </row>
    <row r="700" spans="1:16" ht="17.25" customHeight="1" x14ac:dyDescent="0.2">
      <c r="A700" s="18" t="s">
        <v>973</v>
      </c>
      <c r="B700" s="18" t="s">
        <v>4182</v>
      </c>
      <c r="C700" s="18" t="s">
        <v>1838</v>
      </c>
      <c r="D700" s="18" t="s">
        <v>3596</v>
      </c>
      <c r="E700" s="2" t="str">
        <f t="shared" si="55"/>
        <v>p</v>
      </c>
      <c r="F700" s="2">
        <f t="shared" si="56"/>
        <v>16</v>
      </c>
      <c r="G700" s="2">
        <v>2016</v>
      </c>
      <c r="H700" s="2" t="s">
        <v>3613</v>
      </c>
      <c r="I700" s="2" t="s">
        <v>3598</v>
      </c>
      <c r="J700" s="2" t="s">
        <v>3522</v>
      </c>
      <c r="K700" s="2"/>
      <c r="L700" s="2" t="s">
        <v>4186</v>
      </c>
      <c r="M700" s="2">
        <v>1</v>
      </c>
      <c r="N700" s="2">
        <v>3</v>
      </c>
      <c r="O700" s="2" t="s">
        <v>1843</v>
      </c>
      <c r="P700" t="s">
        <v>1127</v>
      </c>
    </row>
    <row r="701" spans="1:16" ht="17.25" customHeight="1" x14ac:dyDescent="0.2">
      <c r="A701" s="18" t="s">
        <v>973</v>
      </c>
      <c r="B701" s="18" t="s">
        <v>4182</v>
      </c>
      <c r="C701" s="18" t="s">
        <v>1838</v>
      </c>
      <c r="D701" s="18" t="s">
        <v>3596</v>
      </c>
      <c r="E701" s="2" t="str">
        <f t="shared" si="55"/>
        <v>q</v>
      </c>
      <c r="F701" s="2">
        <f t="shared" si="56"/>
        <v>17</v>
      </c>
      <c r="G701" s="2">
        <v>2017</v>
      </c>
      <c r="H701" s="2" t="s">
        <v>3614</v>
      </c>
      <c r="I701" s="2" t="s">
        <v>3598</v>
      </c>
      <c r="J701" s="2" t="s">
        <v>3522</v>
      </c>
      <c r="K701" s="2"/>
      <c r="L701" s="2" t="s">
        <v>4186</v>
      </c>
      <c r="M701" s="2">
        <v>1</v>
      </c>
      <c r="N701" s="2">
        <v>3</v>
      </c>
      <c r="O701" s="2" t="s">
        <v>1843</v>
      </c>
      <c r="P701" t="s">
        <v>1127</v>
      </c>
    </row>
    <row r="702" spans="1:16" ht="17.25" customHeight="1" x14ac:dyDescent="0.2">
      <c r="A702" s="18" t="s">
        <v>973</v>
      </c>
      <c r="B702" s="18" t="s">
        <v>4182</v>
      </c>
      <c r="C702" s="18" t="s">
        <v>1838</v>
      </c>
      <c r="D702" s="18" t="s">
        <v>3596</v>
      </c>
      <c r="E702" s="2" t="str">
        <f t="shared" si="55"/>
        <v>r</v>
      </c>
      <c r="F702" s="2">
        <f t="shared" si="56"/>
        <v>18</v>
      </c>
      <c r="G702" s="2">
        <v>2018</v>
      </c>
      <c r="H702" s="2" t="s">
        <v>3714</v>
      </c>
      <c r="I702" s="2" t="s">
        <v>3598</v>
      </c>
      <c r="J702" s="2" t="s">
        <v>3522</v>
      </c>
      <c r="K702" s="2"/>
      <c r="L702" s="2" t="s">
        <v>4186</v>
      </c>
      <c r="M702" s="2">
        <v>1</v>
      </c>
      <c r="N702" s="2">
        <v>3</v>
      </c>
      <c r="O702" s="2" t="s">
        <v>1843</v>
      </c>
      <c r="P702" t="s">
        <v>1127</v>
      </c>
    </row>
    <row r="703" spans="1:16" ht="17.25" customHeight="1" x14ac:dyDescent="0.2">
      <c r="A703" s="18" t="s">
        <v>973</v>
      </c>
      <c r="B703" s="18" t="s">
        <v>4182</v>
      </c>
      <c r="C703" s="18" t="s">
        <v>1838</v>
      </c>
      <c r="D703" s="18" t="s">
        <v>3615</v>
      </c>
      <c r="E703" s="2" t="str">
        <f t="shared" si="55"/>
        <v>a</v>
      </c>
      <c r="F703" s="2">
        <f t="shared" si="56"/>
        <v>1</v>
      </c>
      <c r="G703" s="2">
        <v>2001</v>
      </c>
      <c r="H703" s="2" t="s">
        <v>3616</v>
      </c>
      <c r="I703" s="2" t="s">
        <v>3617</v>
      </c>
      <c r="J703" s="2" t="s">
        <v>3522</v>
      </c>
      <c r="K703" s="2"/>
      <c r="L703" s="2" t="s">
        <v>4186</v>
      </c>
      <c r="M703" s="2">
        <v>1</v>
      </c>
      <c r="N703" s="2">
        <v>3</v>
      </c>
      <c r="O703" s="2" t="s">
        <v>1843</v>
      </c>
      <c r="P703" t="s">
        <v>1127</v>
      </c>
    </row>
    <row r="704" spans="1:16" ht="17.25" customHeight="1" x14ac:dyDescent="0.2">
      <c r="A704" s="18" t="s">
        <v>973</v>
      </c>
      <c r="B704" s="18" t="s">
        <v>4182</v>
      </c>
      <c r="C704" s="18" t="s">
        <v>1838</v>
      </c>
      <c r="D704" s="18" t="s">
        <v>3615</v>
      </c>
      <c r="E704" s="2" t="str">
        <f t="shared" si="55"/>
        <v>b</v>
      </c>
      <c r="F704" s="2">
        <f t="shared" si="56"/>
        <v>2</v>
      </c>
      <c r="G704" s="2">
        <v>2002</v>
      </c>
      <c r="H704" s="2" t="s">
        <v>3618</v>
      </c>
      <c r="I704" s="2" t="s">
        <v>3617</v>
      </c>
      <c r="J704" s="2" t="s">
        <v>3522</v>
      </c>
      <c r="K704" s="2"/>
      <c r="L704" s="2" t="s">
        <v>4186</v>
      </c>
      <c r="M704" s="2">
        <v>1</v>
      </c>
      <c r="N704" s="2">
        <v>3</v>
      </c>
      <c r="O704" s="2" t="s">
        <v>1843</v>
      </c>
      <c r="P704" t="s">
        <v>1127</v>
      </c>
    </row>
    <row r="705" spans="1:16" ht="17.25" customHeight="1" x14ac:dyDescent="0.2">
      <c r="A705" s="18" t="s">
        <v>973</v>
      </c>
      <c r="B705" s="18" t="s">
        <v>4182</v>
      </c>
      <c r="C705" s="18" t="s">
        <v>1838</v>
      </c>
      <c r="D705" s="18" t="s">
        <v>3615</v>
      </c>
      <c r="E705" s="2" t="str">
        <f t="shared" si="55"/>
        <v>c</v>
      </c>
      <c r="F705" s="2">
        <f t="shared" si="56"/>
        <v>3</v>
      </c>
      <c r="G705" s="2">
        <v>2003</v>
      </c>
      <c r="H705" s="2" t="s">
        <v>3619</v>
      </c>
      <c r="I705" s="2" t="s">
        <v>3617</v>
      </c>
      <c r="J705" s="2" t="s">
        <v>3522</v>
      </c>
      <c r="K705" s="2"/>
      <c r="L705" s="2" t="s">
        <v>4186</v>
      </c>
      <c r="M705" s="2">
        <v>1</v>
      </c>
      <c r="N705" s="2">
        <v>3</v>
      </c>
      <c r="O705" s="2" t="s">
        <v>1843</v>
      </c>
      <c r="P705" t="s">
        <v>1127</v>
      </c>
    </row>
    <row r="706" spans="1:16" ht="17.25" customHeight="1" x14ac:dyDescent="0.2">
      <c r="A706" s="18" t="s">
        <v>973</v>
      </c>
      <c r="B706" s="18" t="s">
        <v>4182</v>
      </c>
      <c r="C706" s="18" t="s">
        <v>1838</v>
      </c>
      <c r="D706" s="18" t="s">
        <v>3615</v>
      </c>
      <c r="E706" s="2" t="str">
        <f t="shared" si="55"/>
        <v>d</v>
      </c>
      <c r="F706" s="2">
        <f t="shared" si="56"/>
        <v>4</v>
      </c>
      <c r="G706" s="2">
        <v>2004</v>
      </c>
      <c r="H706" s="2" t="s">
        <v>3620</v>
      </c>
      <c r="I706" s="2" t="s">
        <v>3617</v>
      </c>
      <c r="J706" s="2" t="s">
        <v>3522</v>
      </c>
      <c r="K706" s="2"/>
      <c r="L706" s="2" t="s">
        <v>4186</v>
      </c>
      <c r="M706" s="2">
        <v>1</v>
      </c>
      <c r="N706" s="2">
        <v>3</v>
      </c>
      <c r="O706" s="2" t="s">
        <v>1843</v>
      </c>
      <c r="P706" t="s">
        <v>1127</v>
      </c>
    </row>
    <row r="707" spans="1:16" ht="17.25" customHeight="1" x14ac:dyDescent="0.2">
      <c r="A707" s="18" t="s">
        <v>973</v>
      </c>
      <c r="B707" s="18" t="s">
        <v>4182</v>
      </c>
      <c r="C707" s="18" t="s">
        <v>1838</v>
      </c>
      <c r="D707" s="18" t="s">
        <v>3615</v>
      </c>
      <c r="E707" s="2" t="str">
        <f t="shared" si="55"/>
        <v>e</v>
      </c>
      <c r="F707" s="2">
        <f t="shared" si="56"/>
        <v>5</v>
      </c>
      <c r="G707" s="2">
        <v>2005</v>
      </c>
      <c r="H707" s="2" t="s">
        <v>3621</v>
      </c>
      <c r="I707" s="2" t="s">
        <v>3617</v>
      </c>
      <c r="J707" s="2" t="s">
        <v>3522</v>
      </c>
      <c r="K707" s="2"/>
      <c r="L707" s="2" t="s">
        <v>4186</v>
      </c>
      <c r="M707" s="2">
        <v>1</v>
      </c>
      <c r="N707" s="2">
        <v>3</v>
      </c>
      <c r="O707" s="2" t="s">
        <v>1843</v>
      </c>
      <c r="P707" t="s">
        <v>1127</v>
      </c>
    </row>
    <row r="708" spans="1:16" ht="17.25" customHeight="1" x14ac:dyDescent="0.2">
      <c r="A708" s="18" t="s">
        <v>973</v>
      </c>
      <c r="B708" s="18" t="s">
        <v>4182</v>
      </c>
      <c r="C708" s="18" t="s">
        <v>1838</v>
      </c>
      <c r="D708" s="18" t="s">
        <v>3615</v>
      </c>
      <c r="E708" s="2" t="str">
        <f t="shared" si="55"/>
        <v>f</v>
      </c>
      <c r="F708" s="2">
        <f t="shared" si="56"/>
        <v>6</v>
      </c>
      <c r="G708" s="2">
        <v>2006</v>
      </c>
      <c r="H708" s="2" t="s">
        <v>3622</v>
      </c>
      <c r="I708" s="2" t="s">
        <v>3617</v>
      </c>
      <c r="J708" s="2" t="s">
        <v>3522</v>
      </c>
      <c r="K708" s="2"/>
      <c r="L708" s="2" t="s">
        <v>4186</v>
      </c>
      <c r="M708" s="2">
        <v>1</v>
      </c>
      <c r="N708" s="2">
        <v>3</v>
      </c>
      <c r="O708" s="2" t="s">
        <v>1843</v>
      </c>
      <c r="P708" t="s">
        <v>1127</v>
      </c>
    </row>
    <row r="709" spans="1:16" ht="17.25" customHeight="1" x14ac:dyDescent="0.2">
      <c r="A709" s="18" t="s">
        <v>973</v>
      </c>
      <c r="B709" s="18" t="s">
        <v>4182</v>
      </c>
      <c r="C709" s="18" t="s">
        <v>1838</v>
      </c>
      <c r="D709" s="18" t="s">
        <v>3615</v>
      </c>
      <c r="E709" s="2" t="str">
        <f t="shared" si="55"/>
        <v>g</v>
      </c>
      <c r="F709" s="2">
        <f t="shared" si="56"/>
        <v>7</v>
      </c>
      <c r="G709" s="2">
        <v>2007</v>
      </c>
      <c r="H709" s="2" t="s">
        <v>3623</v>
      </c>
      <c r="I709" s="2" t="s">
        <v>3617</v>
      </c>
      <c r="J709" s="2" t="s">
        <v>3522</v>
      </c>
      <c r="K709" s="2"/>
      <c r="L709" s="2" t="s">
        <v>4186</v>
      </c>
      <c r="M709" s="2">
        <v>1</v>
      </c>
      <c r="N709" s="2">
        <v>3</v>
      </c>
      <c r="O709" s="2" t="s">
        <v>1843</v>
      </c>
      <c r="P709" t="s">
        <v>1127</v>
      </c>
    </row>
    <row r="710" spans="1:16" ht="17.25" customHeight="1" x14ac:dyDescent="0.2">
      <c r="A710" s="18" t="s">
        <v>973</v>
      </c>
      <c r="B710" s="18" t="s">
        <v>4182</v>
      </c>
      <c r="C710" s="18" t="s">
        <v>1838</v>
      </c>
      <c r="D710" s="18" t="s">
        <v>3615</v>
      </c>
      <c r="E710" s="2" t="str">
        <f t="shared" si="55"/>
        <v>h</v>
      </c>
      <c r="F710" s="2">
        <f t="shared" si="56"/>
        <v>8</v>
      </c>
      <c r="G710" s="2">
        <v>2008</v>
      </c>
      <c r="H710" s="2" t="s">
        <v>3624</v>
      </c>
      <c r="I710" s="2" t="s">
        <v>3617</v>
      </c>
      <c r="J710" s="2" t="s">
        <v>3522</v>
      </c>
      <c r="K710" s="2"/>
      <c r="L710" s="2" t="s">
        <v>4186</v>
      </c>
      <c r="M710" s="2">
        <v>1</v>
      </c>
      <c r="N710" s="2">
        <v>3</v>
      </c>
      <c r="O710" s="2" t="s">
        <v>1843</v>
      </c>
      <c r="P710" t="s">
        <v>1127</v>
      </c>
    </row>
    <row r="711" spans="1:16" ht="17.25" customHeight="1" x14ac:dyDescent="0.2">
      <c r="A711" s="18" t="s">
        <v>973</v>
      </c>
      <c r="B711" s="18" t="s">
        <v>4182</v>
      </c>
      <c r="C711" s="18" t="s">
        <v>1838</v>
      </c>
      <c r="D711" s="18" t="s">
        <v>3615</v>
      </c>
      <c r="E711" s="2" t="str">
        <f t="shared" si="55"/>
        <v>i</v>
      </c>
      <c r="F711" s="2">
        <f t="shared" si="56"/>
        <v>9</v>
      </c>
      <c r="G711" s="2">
        <v>2009</v>
      </c>
      <c r="H711" s="2" t="s">
        <v>3625</v>
      </c>
      <c r="I711" s="2" t="s">
        <v>3617</v>
      </c>
      <c r="J711" s="2" t="s">
        <v>3522</v>
      </c>
      <c r="K711" s="2"/>
      <c r="L711" s="2" t="s">
        <v>4186</v>
      </c>
      <c r="M711" s="2">
        <v>1</v>
      </c>
      <c r="N711" s="2">
        <v>3</v>
      </c>
      <c r="O711" s="2" t="s">
        <v>1843</v>
      </c>
      <c r="P711" t="s">
        <v>1127</v>
      </c>
    </row>
    <row r="712" spans="1:16" ht="17.25" customHeight="1" x14ac:dyDescent="0.2">
      <c r="A712" s="18" t="s">
        <v>973</v>
      </c>
      <c r="B712" s="18" t="s">
        <v>4182</v>
      </c>
      <c r="C712" s="18" t="s">
        <v>1838</v>
      </c>
      <c r="D712" s="18" t="s">
        <v>3615</v>
      </c>
      <c r="E712" s="2" t="str">
        <f t="shared" si="55"/>
        <v>j</v>
      </c>
      <c r="F712" s="2">
        <f t="shared" si="56"/>
        <v>10</v>
      </c>
      <c r="G712" s="2">
        <v>2010</v>
      </c>
      <c r="H712" s="2" t="s">
        <v>3626</v>
      </c>
      <c r="I712" s="2" t="s">
        <v>3617</v>
      </c>
      <c r="J712" s="2" t="s">
        <v>3522</v>
      </c>
      <c r="K712" s="2"/>
      <c r="L712" s="2" t="s">
        <v>4186</v>
      </c>
      <c r="M712" s="2">
        <v>1</v>
      </c>
      <c r="N712" s="2">
        <v>3</v>
      </c>
      <c r="O712" s="2" t="s">
        <v>1843</v>
      </c>
      <c r="P712" t="s">
        <v>1127</v>
      </c>
    </row>
    <row r="713" spans="1:16" ht="17.25" customHeight="1" x14ac:dyDescent="0.2">
      <c r="A713" s="18" t="s">
        <v>973</v>
      </c>
      <c r="B713" s="18" t="s">
        <v>4182</v>
      </c>
      <c r="C713" s="18" t="s">
        <v>1838</v>
      </c>
      <c r="D713" s="18" t="s">
        <v>3615</v>
      </c>
      <c r="E713" s="2" t="str">
        <f t="shared" si="55"/>
        <v>k</v>
      </c>
      <c r="F713" s="2">
        <f t="shared" si="56"/>
        <v>11</v>
      </c>
      <c r="G713" s="2">
        <v>2011</v>
      </c>
      <c r="H713" s="2" t="s">
        <v>3627</v>
      </c>
      <c r="I713" s="2" t="s">
        <v>3617</v>
      </c>
      <c r="J713" s="2" t="s">
        <v>3522</v>
      </c>
      <c r="K713" s="2"/>
      <c r="L713" s="2" t="s">
        <v>4186</v>
      </c>
      <c r="M713" s="2">
        <v>1</v>
      </c>
      <c r="N713" s="2">
        <v>3</v>
      </c>
      <c r="O713" s="2" t="s">
        <v>1843</v>
      </c>
      <c r="P713" t="s">
        <v>1127</v>
      </c>
    </row>
    <row r="714" spans="1:16" ht="17.25" customHeight="1" x14ac:dyDescent="0.2">
      <c r="A714" s="18" t="s">
        <v>973</v>
      </c>
      <c r="B714" s="18" t="s">
        <v>4182</v>
      </c>
      <c r="C714" s="18" t="s">
        <v>1838</v>
      </c>
      <c r="D714" s="18" t="s">
        <v>3615</v>
      </c>
      <c r="E714" s="2" t="str">
        <f t="shared" si="55"/>
        <v>l</v>
      </c>
      <c r="F714" s="2">
        <f t="shared" si="56"/>
        <v>12</v>
      </c>
      <c r="G714" s="2">
        <v>2012</v>
      </c>
      <c r="H714" s="2" t="s">
        <v>3628</v>
      </c>
      <c r="I714" s="2" t="s">
        <v>3617</v>
      </c>
      <c r="J714" s="2" t="s">
        <v>3522</v>
      </c>
      <c r="K714" s="2"/>
      <c r="L714" s="2" t="s">
        <v>4186</v>
      </c>
      <c r="M714" s="2">
        <v>1</v>
      </c>
      <c r="N714" s="2">
        <v>3</v>
      </c>
      <c r="O714" s="2" t="s">
        <v>1843</v>
      </c>
      <c r="P714" t="s">
        <v>1127</v>
      </c>
    </row>
    <row r="715" spans="1:16" ht="17.25" customHeight="1" x14ac:dyDescent="0.2">
      <c r="A715" s="18" t="s">
        <v>973</v>
      </c>
      <c r="B715" s="18" t="s">
        <v>4182</v>
      </c>
      <c r="C715" s="18" t="s">
        <v>1838</v>
      </c>
      <c r="D715" s="18" t="s">
        <v>3615</v>
      </c>
      <c r="E715" s="2" t="str">
        <f t="shared" si="55"/>
        <v>m</v>
      </c>
      <c r="F715" s="2">
        <f t="shared" si="56"/>
        <v>13</v>
      </c>
      <c r="G715" s="2">
        <v>2013</v>
      </c>
      <c r="H715" s="2" t="s">
        <v>3629</v>
      </c>
      <c r="I715" s="2" t="s">
        <v>3617</v>
      </c>
      <c r="J715" s="2" t="s">
        <v>3522</v>
      </c>
      <c r="K715" s="2"/>
      <c r="L715" s="2" t="s">
        <v>4186</v>
      </c>
      <c r="M715" s="2">
        <v>1</v>
      </c>
      <c r="N715" s="2">
        <v>3</v>
      </c>
      <c r="O715" s="2" t="s">
        <v>1843</v>
      </c>
      <c r="P715" t="s">
        <v>1127</v>
      </c>
    </row>
    <row r="716" spans="1:16" ht="17.25" customHeight="1" x14ac:dyDescent="0.2">
      <c r="A716" s="18" t="s">
        <v>973</v>
      </c>
      <c r="B716" s="18" t="s">
        <v>4182</v>
      </c>
      <c r="C716" s="18" t="s">
        <v>1838</v>
      </c>
      <c r="D716" s="18" t="s">
        <v>3615</v>
      </c>
      <c r="E716" s="2" t="str">
        <f t="shared" si="55"/>
        <v>n</v>
      </c>
      <c r="F716" s="2">
        <f t="shared" si="56"/>
        <v>14</v>
      </c>
      <c r="G716" s="2">
        <v>2014</v>
      </c>
      <c r="H716" s="2" t="s">
        <v>3630</v>
      </c>
      <c r="I716" s="2" t="s">
        <v>3617</v>
      </c>
      <c r="J716" s="2" t="s">
        <v>3522</v>
      </c>
      <c r="K716" s="2"/>
      <c r="L716" s="2" t="s">
        <v>4186</v>
      </c>
      <c r="M716" s="2">
        <v>1</v>
      </c>
      <c r="N716" s="2">
        <v>3</v>
      </c>
      <c r="O716" s="2" t="s">
        <v>1843</v>
      </c>
      <c r="P716" t="s">
        <v>1127</v>
      </c>
    </row>
    <row r="717" spans="1:16" ht="17.25" customHeight="1" x14ac:dyDescent="0.2">
      <c r="A717" s="18" t="s">
        <v>973</v>
      </c>
      <c r="B717" s="18" t="s">
        <v>4182</v>
      </c>
      <c r="C717" s="18" t="s">
        <v>1838</v>
      </c>
      <c r="D717" s="18" t="s">
        <v>3615</v>
      </c>
      <c r="E717" s="2" t="str">
        <f t="shared" si="55"/>
        <v>o</v>
      </c>
      <c r="F717" s="2">
        <f t="shared" si="56"/>
        <v>15</v>
      </c>
      <c r="G717" s="2">
        <v>2015</v>
      </c>
      <c r="H717" s="2" t="s">
        <v>3631</v>
      </c>
      <c r="I717" s="2" t="s">
        <v>3617</v>
      </c>
      <c r="J717" s="2" t="s">
        <v>3522</v>
      </c>
      <c r="K717" s="2"/>
      <c r="L717" s="2" t="s">
        <v>4186</v>
      </c>
      <c r="M717" s="2">
        <v>1</v>
      </c>
      <c r="N717" s="2">
        <v>3</v>
      </c>
      <c r="O717" s="2" t="s">
        <v>1843</v>
      </c>
      <c r="P717" t="s">
        <v>1127</v>
      </c>
    </row>
    <row r="718" spans="1:16" ht="17.25" customHeight="1" x14ac:dyDescent="0.2">
      <c r="A718" s="18" t="s">
        <v>973</v>
      </c>
      <c r="B718" s="18" t="s">
        <v>4182</v>
      </c>
      <c r="C718" s="18" t="s">
        <v>1838</v>
      </c>
      <c r="D718" s="18" t="s">
        <v>3615</v>
      </c>
      <c r="E718" s="2" t="str">
        <f t="shared" si="55"/>
        <v>p</v>
      </c>
      <c r="F718" s="2">
        <f t="shared" si="56"/>
        <v>16</v>
      </c>
      <c r="G718" s="2">
        <v>2016</v>
      </c>
      <c r="H718" s="2" t="s">
        <v>3632</v>
      </c>
      <c r="I718" s="2" t="s">
        <v>3617</v>
      </c>
      <c r="J718" s="2" t="s">
        <v>3522</v>
      </c>
      <c r="K718" s="2"/>
      <c r="L718" s="2" t="s">
        <v>4186</v>
      </c>
      <c r="M718" s="2">
        <v>1</v>
      </c>
      <c r="N718" s="2">
        <v>3</v>
      </c>
      <c r="O718" s="2" t="s">
        <v>1843</v>
      </c>
      <c r="P718" t="s">
        <v>1127</v>
      </c>
    </row>
    <row r="719" spans="1:16" ht="17.25" customHeight="1" x14ac:dyDescent="0.2">
      <c r="A719" s="18" t="s">
        <v>973</v>
      </c>
      <c r="B719" s="18" t="s">
        <v>4182</v>
      </c>
      <c r="C719" s="18" t="s">
        <v>1838</v>
      </c>
      <c r="D719" s="18" t="s">
        <v>3615</v>
      </c>
      <c r="E719" s="2" t="str">
        <f t="shared" si="55"/>
        <v>q</v>
      </c>
      <c r="F719" s="2">
        <f t="shared" si="56"/>
        <v>17</v>
      </c>
      <c r="G719" s="2">
        <v>2017</v>
      </c>
      <c r="H719" s="2" t="s">
        <v>3633</v>
      </c>
      <c r="I719" s="2" t="s">
        <v>3617</v>
      </c>
      <c r="J719" s="2" t="s">
        <v>3522</v>
      </c>
      <c r="K719" s="2"/>
      <c r="L719" s="2" t="s">
        <v>4186</v>
      </c>
      <c r="M719" s="2">
        <v>1</v>
      </c>
      <c r="N719" s="2">
        <v>3</v>
      </c>
      <c r="O719" s="2" t="s">
        <v>1843</v>
      </c>
      <c r="P719" t="s">
        <v>1127</v>
      </c>
    </row>
    <row r="720" spans="1:16" ht="17.25" customHeight="1" x14ac:dyDescent="0.2">
      <c r="A720" s="18" t="s">
        <v>973</v>
      </c>
      <c r="B720" s="18" t="s">
        <v>4182</v>
      </c>
      <c r="C720" s="18" t="s">
        <v>1838</v>
      </c>
      <c r="D720" s="18" t="s">
        <v>3615</v>
      </c>
      <c r="E720" s="2" t="str">
        <f t="shared" si="55"/>
        <v>r</v>
      </c>
      <c r="F720" s="2">
        <f t="shared" si="56"/>
        <v>18</v>
      </c>
      <c r="G720" s="2">
        <v>2018</v>
      </c>
      <c r="H720" s="2" t="s">
        <v>3715</v>
      </c>
      <c r="I720" s="2" t="s">
        <v>3617</v>
      </c>
      <c r="J720" s="2" t="s">
        <v>3522</v>
      </c>
      <c r="K720" s="2"/>
      <c r="L720" s="2" t="s">
        <v>4186</v>
      </c>
      <c r="M720" s="2">
        <v>1</v>
      </c>
      <c r="N720" s="2">
        <v>3</v>
      </c>
      <c r="O720" s="2" t="s">
        <v>1843</v>
      </c>
      <c r="P720" t="s">
        <v>1127</v>
      </c>
    </row>
    <row r="721" spans="1:16" ht="17.25" customHeight="1" x14ac:dyDescent="0.2">
      <c r="A721" s="18" t="s">
        <v>973</v>
      </c>
      <c r="B721" s="18" t="s">
        <v>4182</v>
      </c>
      <c r="C721" s="18" t="s">
        <v>1838</v>
      </c>
      <c r="D721" s="18" t="s">
        <v>3634</v>
      </c>
      <c r="E721" s="2" t="str">
        <f t="shared" si="55"/>
        <v>a</v>
      </c>
      <c r="F721" s="2">
        <f t="shared" si="56"/>
        <v>1</v>
      </c>
      <c r="G721" s="2">
        <v>2001</v>
      </c>
      <c r="H721" s="2" t="s">
        <v>3635</v>
      </c>
      <c r="I721" s="2" t="s">
        <v>3636</v>
      </c>
      <c r="J721" s="2" t="s">
        <v>3522</v>
      </c>
      <c r="K721" s="2"/>
      <c r="L721" s="2" t="s">
        <v>4186</v>
      </c>
      <c r="M721" s="2">
        <v>1</v>
      </c>
      <c r="N721" s="2">
        <v>3</v>
      </c>
      <c r="O721" s="2" t="s">
        <v>1843</v>
      </c>
      <c r="P721" t="s">
        <v>1127</v>
      </c>
    </row>
    <row r="722" spans="1:16" ht="17.25" customHeight="1" x14ac:dyDescent="0.2">
      <c r="A722" s="18" t="s">
        <v>973</v>
      </c>
      <c r="B722" s="18" t="s">
        <v>4182</v>
      </c>
      <c r="C722" s="18" t="s">
        <v>1838</v>
      </c>
      <c r="D722" s="18" t="s">
        <v>3634</v>
      </c>
      <c r="E722" s="2" t="str">
        <f t="shared" si="55"/>
        <v>b</v>
      </c>
      <c r="F722" s="2">
        <f t="shared" si="56"/>
        <v>2</v>
      </c>
      <c r="G722" s="2">
        <v>2002</v>
      </c>
      <c r="H722" s="2" t="s">
        <v>3637</v>
      </c>
      <c r="I722" s="2" t="s">
        <v>3636</v>
      </c>
      <c r="J722" s="2" t="s">
        <v>3522</v>
      </c>
      <c r="K722" s="2"/>
      <c r="L722" s="2" t="s">
        <v>4186</v>
      </c>
      <c r="M722" s="2">
        <v>1</v>
      </c>
      <c r="N722" s="2">
        <v>3</v>
      </c>
      <c r="O722" s="2" t="s">
        <v>1843</v>
      </c>
      <c r="P722" t="s">
        <v>1127</v>
      </c>
    </row>
    <row r="723" spans="1:16" ht="17.25" customHeight="1" x14ac:dyDescent="0.2">
      <c r="A723" s="18" t="s">
        <v>973</v>
      </c>
      <c r="B723" s="18" t="s">
        <v>4182</v>
      </c>
      <c r="C723" s="18" t="s">
        <v>1838</v>
      </c>
      <c r="D723" s="18" t="s">
        <v>3634</v>
      </c>
      <c r="E723" s="2" t="str">
        <f t="shared" si="55"/>
        <v>c</v>
      </c>
      <c r="F723" s="2">
        <f t="shared" si="56"/>
        <v>3</v>
      </c>
      <c r="G723" s="2">
        <v>2003</v>
      </c>
      <c r="H723" s="2" t="s">
        <v>3638</v>
      </c>
      <c r="I723" s="2" t="s">
        <v>3636</v>
      </c>
      <c r="J723" s="2" t="s">
        <v>3522</v>
      </c>
      <c r="K723" s="2"/>
      <c r="L723" s="2" t="s">
        <v>4186</v>
      </c>
      <c r="M723" s="2">
        <v>1</v>
      </c>
      <c r="N723" s="2">
        <v>3</v>
      </c>
      <c r="O723" s="2" t="s">
        <v>1843</v>
      </c>
      <c r="P723" t="s">
        <v>1127</v>
      </c>
    </row>
    <row r="724" spans="1:16" ht="17.25" customHeight="1" x14ac:dyDescent="0.2">
      <c r="A724" s="18" t="s">
        <v>973</v>
      </c>
      <c r="B724" s="18" t="s">
        <v>4182</v>
      </c>
      <c r="C724" s="18" t="s">
        <v>1838</v>
      </c>
      <c r="D724" s="18" t="s">
        <v>3634</v>
      </c>
      <c r="E724" s="2" t="str">
        <f t="shared" ref="E724:E787" si="57">MID("abcdefghijklmnopqrstuvwxyz",F724,1)</f>
        <v>d</v>
      </c>
      <c r="F724" s="2">
        <f t="shared" ref="F724:F787" si="58">G724-2000</f>
        <v>4</v>
      </c>
      <c r="G724" s="2">
        <v>2004</v>
      </c>
      <c r="H724" s="2" t="s">
        <v>3639</v>
      </c>
      <c r="I724" s="2" t="s">
        <v>3636</v>
      </c>
      <c r="J724" s="2" t="s">
        <v>3522</v>
      </c>
      <c r="K724" s="2"/>
      <c r="L724" s="2" t="s">
        <v>4186</v>
      </c>
      <c r="M724" s="2">
        <v>1</v>
      </c>
      <c r="N724" s="2">
        <v>3</v>
      </c>
      <c r="O724" s="2" t="s">
        <v>1843</v>
      </c>
      <c r="P724" t="s">
        <v>1127</v>
      </c>
    </row>
    <row r="725" spans="1:16" ht="17.25" customHeight="1" x14ac:dyDescent="0.2">
      <c r="A725" s="18" t="s">
        <v>973</v>
      </c>
      <c r="B725" s="18" t="s">
        <v>4182</v>
      </c>
      <c r="C725" s="18" t="s">
        <v>1838</v>
      </c>
      <c r="D725" s="18" t="s">
        <v>3634</v>
      </c>
      <c r="E725" s="2" t="str">
        <f t="shared" si="57"/>
        <v>e</v>
      </c>
      <c r="F725" s="2">
        <f t="shared" si="58"/>
        <v>5</v>
      </c>
      <c r="G725" s="2">
        <v>2005</v>
      </c>
      <c r="H725" s="2" t="s">
        <v>3640</v>
      </c>
      <c r="I725" s="2" t="s">
        <v>3636</v>
      </c>
      <c r="J725" s="2" t="s">
        <v>3522</v>
      </c>
      <c r="K725" s="2"/>
      <c r="L725" s="2" t="s">
        <v>4186</v>
      </c>
      <c r="M725" s="2">
        <v>1</v>
      </c>
      <c r="N725" s="2">
        <v>3</v>
      </c>
      <c r="O725" s="2" t="s">
        <v>1843</v>
      </c>
      <c r="P725" t="s">
        <v>1127</v>
      </c>
    </row>
    <row r="726" spans="1:16" ht="17.25" customHeight="1" x14ac:dyDescent="0.2">
      <c r="A726" s="18" t="s">
        <v>973</v>
      </c>
      <c r="B726" s="18" t="s">
        <v>4182</v>
      </c>
      <c r="C726" s="18" t="s">
        <v>1838</v>
      </c>
      <c r="D726" s="18" t="s">
        <v>3634</v>
      </c>
      <c r="E726" s="2" t="str">
        <f t="shared" si="57"/>
        <v>f</v>
      </c>
      <c r="F726" s="2">
        <f t="shared" si="58"/>
        <v>6</v>
      </c>
      <c r="G726" s="2">
        <v>2006</v>
      </c>
      <c r="H726" s="2" t="s">
        <v>3641</v>
      </c>
      <c r="I726" s="2" t="s">
        <v>3636</v>
      </c>
      <c r="J726" s="2" t="s">
        <v>3522</v>
      </c>
      <c r="K726" s="2"/>
      <c r="L726" s="2" t="s">
        <v>4186</v>
      </c>
      <c r="M726" s="2">
        <v>1</v>
      </c>
      <c r="N726" s="2">
        <v>3</v>
      </c>
      <c r="O726" s="2" t="s">
        <v>1843</v>
      </c>
      <c r="P726" t="s">
        <v>1127</v>
      </c>
    </row>
    <row r="727" spans="1:16" ht="17.25" customHeight="1" x14ac:dyDescent="0.2">
      <c r="A727" s="18" t="s">
        <v>973</v>
      </c>
      <c r="B727" s="18" t="s">
        <v>4182</v>
      </c>
      <c r="C727" s="18" t="s">
        <v>1838</v>
      </c>
      <c r="D727" s="18" t="s">
        <v>3634</v>
      </c>
      <c r="E727" s="2" t="str">
        <f t="shared" si="57"/>
        <v>g</v>
      </c>
      <c r="F727" s="2">
        <f t="shared" si="58"/>
        <v>7</v>
      </c>
      <c r="G727" s="2">
        <v>2007</v>
      </c>
      <c r="H727" s="2" t="s">
        <v>3642</v>
      </c>
      <c r="I727" s="2" t="s">
        <v>3636</v>
      </c>
      <c r="J727" s="2" t="s">
        <v>3522</v>
      </c>
      <c r="K727" s="2"/>
      <c r="L727" s="2" t="s">
        <v>4186</v>
      </c>
      <c r="M727" s="2">
        <v>1</v>
      </c>
      <c r="N727" s="2">
        <v>3</v>
      </c>
      <c r="O727" s="2" t="s">
        <v>1843</v>
      </c>
      <c r="P727" t="s">
        <v>1127</v>
      </c>
    </row>
    <row r="728" spans="1:16" ht="17.25" customHeight="1" x14ac:dyDescent="0.2">
      <c r="A728" s="18" t="s">
        <v>973</v>
      </c>
      <c r="B728" s="18" t="s">
        <v>4182</v>
      </c>
      <c r="C728" s="18" t="s">
        <v>1838</v>
      </c>
      <c r="D728" s="18" t="s">
        <v>3634</v>
      </c>
      <c r="E728" s="2" t="str">
        <f t="shared" si="57"/>
        <v>h</v>
      </c>
      <c r="F728" s="2">
        <f t="shared" si="58"/>
        <v>8</v>
      </c>
      <c r="G728" s="2">
        <v>2008</v>
      </c>
      <c r="H728" s="2" t="s">
        <v>3643</v>
      </c>
      <c r="I728" s="2" t="s">
        <v>3636</v>
      </c>
      <c r="J728" s="2" t="s">
        <v>3522</v>
      </c>
      <c r="K728" s="2"/>
      <c r="L728" s="2" t="s">
        <v>4186</v>
      </c>
      <c r="M728" s="2">
        <v>1</v>
      </c>
      <c r="N728" s="2">
        <v>3</v>
      </c>
      <c r="O728" s="2" t="s">
        <v>1843</v>
      </c>
      <c r="P728" t="s">
        <v>1127</v>
      </c>
    </row>
    <row r="729" spans="1:16" ht="17.25" customHeight="1" x14ac:dyDescent="0.2">
      <c r="A729" s="18" t="s">
        <v>973</v>
      </c>
      <c r="B729" s="18" t="s">
        <v>4182</v>
      </c>
      <c r="C729" s="18" t="s">
        <v>1838</v>
      </c>
      <c r="D729" s="18" t="s">
        <v>3634</v>
      </c>
      <c r="E729" s="2" t="str">
        <f t="shared" si="57"/>
        <v>i</v>
      </c>
      <c r="F729" s="2">
        <f t="shared" si="58"/>
        <v>9</v>
      </c>
      <c r="G729" s="2">
        <v>2009</v>
      </c>
      <c r="H729" s="2" t="s">
        <v>3644</v>
      </c>
      <c r="I729" s="2" t="s">
        <v>3636</v>
      </c>
      <c r="J729" s="2" t="s">
        <v>3522</v>
      </c>
      <c r="K729" s="2"/>
      <c r="L729" s="2" t="s">
        <v>4186</v>
      </c>
      <c r="M729" s="2">
        <v>1</v>
      </c>
      <c r="N729" s="2">
        <v>3</v>
      </c>
      <c r="O729" s="2" t="s">
        <v>1843</v>
      </c>
      <c r="P729" t="s">
        <v>1127</v>
      </c>
    </row>
    <row r="730" spans="1:16" ht="17.25" customHeight="1" x14ac:dyDescent="0.2">
      <c r="A730" s="18" t="s">
        <v>973</v>
      </c>
      <c r="B730" s="18" t="s">
        <v>4182</v>
      </c>
      <c r="C730" s="18" t="s">
        <v>1838</v>
      </c>
      <c r="D730" s="18" t="s">
        <v>3634</v>
      </c>
      <c r="E730" s="2" t="str">
        <f t="shared" si="57"/>
        <v>j</v>
      </c>
      <c r="F730" s="2">
        <f t="shared" si="58"/>
        <v>10</v>
      </c>
      <c r="G730" s="2">
        <v>2010</v>
      </c>
      <c r="H730" s="2" t="s">
        <v>3645</v>
      </c>
      <c r="I730" s="2" t="s">
        <v>3636</v>
      </c>
      <c r="J730" s="2" t="s">
        <v>3522</v>
      </c>
      <c r="K730" s="2"/>
      <c r="L730" s="2" t="s">
        <v>4186</v>
      </c>
      <c r="M730" s="2">
        <v>1</v>
      </c>
      <c r="N730" s="2">
        <v>3</v>
      </c>
      <c r="O730" s="2" t="s">
        <v>1843</v>
      </c>
      <c r="P730" t="s">
        <v>1127</v>
      </c>
    </row>
    <row r="731" spans="1:16" ht="17.25" customHeight="1" x14ac:dyDescent="0.2">
      <c r="A731" s="18" t="s">
        <v>973</v>
      </c>
      <c r="B731" s="18" t="s">
        <v>4182</v>
      </c>
      <c r="C731" s="18" t="s">
        <v>1838</v>
      </c>
      <c r="D731" s="18" t="s">
        <v>3634</v>
      </c>
      <c r="E731" s="2" t="str">
        <f t="shared" si="57"/>
        <v>k</v>
      </c>
      <c r="F731" s="2">
        <f t="shared" si="58"/>
        <v>11</v>
      </c>
      <c r="G731" s="2">
        <v>2011</v>
      </c>
      <c r="H731" s="2" t="s">
        <v>3646</v>
      </c>
      <c r="I731" s="2" t="s">
        <v>3636</v>
      </c>
      <c r="J731" s="2" t="s">
        <v>3522</v>
      </c>
      <c r="K731" s="2"/>
      <c r="L731" s="2" t="s">
        <v>4186</v>
      </c>
      <c r="M731" s="2">
        <v>1</v>
      </c>
      <c r="N731" s="2">
        <v>3</v>
      </c>
      <c r="O731" s="2" t="s">
        <v>1843</v>
      </c>
      <c r="P731" t="s">
        <v>1127</v>
      </c>
    </row>
    <row r="732" spans="1:16" ht="17.25" customHeight="1" x14ac:dyDescent="0.2">
      <c r="A732" s="18" t="s">
        <v>973</v>
      </c>
      <c r="B732" s="18" t="s">
        <v>4182</v>
      </c>
      <c r="C732" s="18" t="s">
        <v>1838</v>
      </c>
      <c r="D732" s="18" t="s">
        <v>3634</v>
      </c>
      <c r="E732" s="2" t="str">
        <f t="shared" si="57"/>
        <v>l</v>
      </c>
      <c r="F732" s="2">
        <f t="shared" si="58"/>
        <v>12</v>
      </c>
      <c r="G732" s="2">
        <v>2012</v>
      </c>
      <c r="H732" s="2" t="s">
        <v>3647</v>
      </c>
      <c r="I732" s="2" t="s">
        <v>3636</v>
      </c>
      <c r="J732" s="2" t="s">
        <v>3522</v>
      </c>
      <c r="K732" s="2"/>
      <c r="L732" s="2" t="s">
        <v>4186</v>
      </c>
      <c r="M732" s="2">
        <v>1</v>
      </c>
      <c r="N732" s="2">
        <v>3</v>
      </c>
      <c r="O732" s="2" t="s">
        <v>1843</v>
      </c>
      <c r="P732" t="s">
        <v>1127</v>
      </c>
    </row>
    <row r="733" spans="1:16" ht="17.25" customHeight="1" x14ac:dyDescent="0.2">
      <c r="A733" s="18" t="s">
        <v>973</v>
      </c>
      <c r="B733" s="18" t="s">
        <v>4182</v>
      </c>
      <c r="C733" s="18" t="s">
        <v>1838</v>
      </c>
      <c r="D733" s="18" t="s">
        <v>3634</v>
      </c>
      <c r="E733" s="2" t="str">
        <f t="shared" si="57"/>
        <v>m</v>
      </c>
      <c r="F733" s="2">
        <f t="shared" si="58"/>
        <v>13</v>
      </c>
      <c r="G733" s="2">
        <v>2013</v>
      </c>
      <c r="H733" s="2" t="s">
        <v>3648</v>
      </c>
      <c r="I733" s="2" t="s">
        <v>3636</v>
      </c>
      <c r="J733" s="2" t="s">
        <v>3522</v>
      </c>
      <c r="K733" s="2"/>
      <c r="L733" s="2" t="s">
        <v>4186</v>
      </c>
      <c r="M733" s="2">
        <v>1</v>
      </c>
      <c r="N733" s="2">
        <v>3</v>
      </c>
      <c r="O733" s="2" t="s">
        <v>1843</v>
      </c>
      <c r="P733" t="s">
        <v>1127</v>
      </c>
    </row>
    <row r="734" spans="1:16" ht="17.25" customHeight="1" x14ac:dyDescent="0.2">
      <c r="A734" s="18" t="s">
        <v>973</v>
      </c>
      <c r="B734" s="18" t="s">
        <v>4182</v>
      </c>
      <c r="C734" s="18" t="s">
        <v>1838</v>
      </c>
      <c r="D734" s="18" t="s">
        <v>3634</v>
      </c>
      <c r="E734" s="2" t="str">
        <f t="shared" si="57"/>
        <v>n</v>
      </c>
      <c r="F734" s="2">
        <f t="shared" si="58"/>
        <v>14</v>
      </c>
      <c r="G734" s="2">
        <v>2014</v>
      </c>
      <c r="H734" s="2" t="s">
        <v>3649</v>
      </c>
      <c r="I734" s="2" t="s">
        <v>3636</v>
      </c>
      <c r="J734" s="2" t="s">
        <v>3522</v>
      </c>
      <c r="K734" s="2"/>
      <c r="L734" s="2" t="s">
        <v>4186</v>
      </c>
      <c r="M734" s="2">
        <v>1</v>
      </c>
      <c r="N734" s="2">
        <v>3</v>
      </c>
      <c r="O734" s="2" t="s">
        <v>1843</v>
      </c>
      <c r="P734" t="s">
        <v>1127</v>
      </c>
    </row>
    <row r="735" spans="1:16" ht="17.25" customHeight="1" x14ac:dyDescent="0.2">
      <c r="A735" s="18" t="s">
        <v>973</v>
      </c>
      <c r="B735" s="18" t="s">
        <v>4182</v>
      </c>
      <c r="C735" s="18" t="s">
        <v>1838</v>
      </c>
      <c r="D735" s="18" t="s">
        <v>3634</v>
      </c>
      <c r="E735" s="2" t="str">
        <f t="shared" si="57"/>
        <v>o</v>
      </c>
      <c r="F735" s="2">
        <f t="shared" si="58"/>
        <v>15</v>
      </c>
      <c r="G735" s="2">
        <v>2015</v>
      </c>
      <c r="H735" s="2" t="s">
        <v>3650</v>
      </c>
      <c r="I735" s="2" t="s">
        <v>3636</v>
      </c>
      <c r="J735" s="2" t="s">
        <v>3522</v>
      </c>
      <c r="K735" s="2"/>
      <c r="L735" s="2" t="s">
        <v>4186</v>
      </c>
      <c r="M735" s="2">
        <v>1</v>
      </c>
      <c r="N735" s="2">
        <v>3</v>
      </c>
      <c r="O735" s="2" t="s">
        <v>1843</v>
      </c>
      <c r="P735" t="s">
        <v>1127</v>
      </c>
    </row>
    <row r="736" spans="1:16" ht="17.25" customHeight="1" x14ac:dyDescent="0.2">
      <c r="A736" s="18" t="s">
        <v>973</v>
      </c>
      <c r="B736" s="18" t="s">
        <v>4182</v>
      </c>
      <c r="C736" s="18" t="s">
        <v>1838</v>
      </c>
      <c r="D736" s="18" t="s">
        <v>3634</v>
      </c>
      <c r="E736" s="2" t="str">
        <f t="shared" si="57"/>
        <v>p</v>
      </c>
      <c r="F736" s="2">
        <f t="shared" si="58"/>
        <v>16</v>
      </c>
      <c r="G736" s="2">
        <v>2016</v>
      </c>
      <c r="H736" s="2" t="s">
        <v>3651</v>
      </c>
      <c r="I736" s="2" t="s">
        <v>3636</v>
      </c>
      <c r="J736" s="2" t="s">
        <v>3522</v>
      </c>
      <c r="K736" s="2"/>
      <c r="L736" s="2" t="s">
        <v>4186</v>
      </c>
      <c r="M736" s="2">
        <v>1</v>
      </c>
      <c r="N736" s="2">
        <v>3</v>
      </c>
      <c r="O736" s="2" t="s">
        <v>1843</v>
      </c>
      <c r="P736" t="s">
        <v>1127</v>
      </c>
    </row>
    <row r="737" spans="1:16" ht="17.25" customHeight="1" x14ac:dyDescent="0.2">
      <c r="A737" s="18" t="s">
        <v>973</v>
      </c>
      <c r="B737" s="18" t="s">
        <v>4182</v>
      </c>
      <c r="C737" s="18" t="s">
        <v>1838</v>
      </c>
      <c r="D737" s="18" t="s">
        <v>3634</v>
      </c>
      <c r="E737" s="2" t="str">
        <f t="shared" si="57"/>
        <v>q</v>
      </c>
      <c r="F737" s="2">
        <f t="shared" si="58"/>
        <v>17</v>
      </c>
      <c r="G737" s="2">
        <v>2017</v>
      </c>
      <c r="H737" s="2" t="s">
        <v>3652</v>
      </c>
      <c r="I737" s="2" t="s">
        <v>3636</v>
      </c>
      <c r="J737" s="2" t="s">
        <v>3522</v>
      </c>
      <c r="K737" s="2"/>
      <c r="L737" s="2" t="s">
        <v>4186</v>
      </c>
      <c r="M737" s="2">
        <v>1</v>
      </c>
      <c r="N737" s="2">
        <v>3</v>
      </c>
      <c r="O737" s="2" t="s">
        <v>1843</v>
      </c>
      <c r="P737" t="s">
        <v>1127</v>
      </c>
    </row>
    <row r="738" spans="1:16" ht="17.25" customHeight="1" x14ac:dyDescent="0.2">
      <c r="A738" s="18" t="s">
        <v>973</v>
      </c>
      <c r="B738" s="18" t="s">
        <v>4182</v>
      </c>
      <c r="C738" s="18" t="s">
        <v>1838</v>
      </c>
      <c r="D738" s="18" t="s">
        <v>3634</v>
      </c>
      <c r="E738" s="2" t="str">
        <f t="shared" si="57"/>
        <v>r</v>
      </c>
      <c r="F738" s="2">
        <f t="shared" si="58"/>
        <v>18</v>
      </c>
      <c r="G738" s="2">
        <v>2018</v>
      </c>
      <c r="H738" s="2" t="s">
        <v>3716</v>
      </c>
      <c r="I738" s="2" t="s">
        <v>3636</v>
      </c>
      <c r="J738" s="2" t="s">
        <v>3522</v>
      </c>
      <c r="K738" s="2"/>
      <c r="L738" s="2" t="s">
        <v>4186</v>
      </c>
      <c r="M738" s="2">
        <v>1</v>
      </c>
      <c r="N738" s="2">
        <v>3</v>
      </c>
      <c r="O738" s="2" t="s">
        <v>1843</v>
      </c>
      <c r="P738" t="s">
        <v>1127</v>
      </c>
    </row>
    <row r="739" spans="1:16" ht="17.25" customHeight="1" x14ac:dyDescent="0.2">
      <c r="A739" s="18" t="s">
        <v>973</v>
      </c>
      <c r="B739" s="18" t="s">
        <v>4182</v>
      </c>
      <c r="C739" s="18" t="s">
        <v>1838</v>
      </c>
      <c r="D739" s="18" t="s">
        <v>3653</v>
      </c>
      <c r="E739" s="2" t="str">
        <f t="shared" si="57"/>
        <v>a</v>
      </c>
      <c r="F739" s="2">
        <f t="shared" si="58"/>
        <v>1</v>
      </c>
      <c r="G739" s="2">
        <v>2001</v>
      </c>
      <c r="H739" s="2" t="s">
        <v>3654</v>
      </c>
      <c r="I739" s="2" t="s">
        <v>3655</v>
      </c>
      <c r="J739" s="2" t="s">
        <v>3522</v>
      </c>
      <c r="K739" s="2"/>
      <c r="L739" s="2" t="s">
        <v>4186</v>
      </c>
      <c r="M739" s="2">
        <v>1</v>
      </c>
      <c r="N739" s="2">
        <v>3</v>
      </c>
      <c r="O739" s="2" t="s">
        <v>1843</v>
      </c>
      <c r="P739" t="s">
        <v>1127</v>
      </c>
    </row>
    <row r="740" spans="1:16" ht="17.25" customHeight="1" x14ac:dyDescent="0.2">
      <c r="A740" s="18" t="s">
        <v>973</v>
      </c>
      <c r="B740" s="18" t="s">
        <v>4182</v>
      </c>
      <c r="C740" s="18" t="s">
        <v>1838</v>
      </c>
      <c r="D740" s="18" t="s">
        <v>3653</v>
      </c>
      <c r="E740" s="2" t="str">
        <f t="shared" si="57"/>
        <v>b</v>
      </c>
      <c r="F740" s="2">
        <f t="shared" si="58"/>
        <v>2</v>
      </c>
      <c r="G740" s="2">
        <v>2002</v>
      </c>
      <c r="H740" s="2" t="s">
        <v>3656</v>
      </c>
      <c r="I740" s="2" t="s">
        <v>3655</v>
      </c>
      <c r="J740" s="2" t="s">
        <v>3522</v>
      </c>
      <c r="K740" s="2"/>
      <c r="L740" s="2" t="s">
        <v>4186</v>
      </c>
      <c r="M740" s="2">
        <v>1</v>
      </c>
      <c r="N740" s="2">
        <v>3</v>
      </c>
      <c r="O740" s="2" t="s">
        <v>1843</v>
      </c>
      <c r="P740" t="s">
        <v>1127</v>
      </c>
    </row>
    <row r="741" spans="1:16" ht="17.25" customHeight="1" x14ac:dyDescent="0.2">
      <c r="A741" s="18" t="s">
        <v>973</v>
      </c>
      <c r="B741" s="18" t="s">
        <v>4182</v>
      </c>
      <c r="C741" s="18" t="s">
        <v>1838</v>
      </c>
      <c r="D741" s="18" t="s">
        <v>3653</v>
      </c>
      <c r="E741" s="2" t="str">
        <f t="shared" si="57"/>
        <v>c</v>
      </c>
      <c r="F741" s="2">
        <f t="shared" si="58"/>
        <v>3</v>
      </c>
      <c r="G741" s="2">
        <v>2003</v>
      </c>
      <c r="H741" s="2" t="s">
        <v>3657</v>
      </c>
      <c r="I741" s="2" t="s">
        <v>3655</v>
      </c>
      <c r="J741" s="2" t="s">
        <v>3522</v>
      </c>
      <c r="K741" s="2"/>
      <c r="L741" s="2" t="s">
        <v>4186</v>
      </c>
      <c r="M741" s="2">
        <v>1</v>
      </c>
      <c r="N741" s="2">
        <v>3</v>
      </c>
      <c r="O741" s="2" t="s">
        <v>1843</v>
      </c>
      <c r="P741" t="s">
        <v>1127</v>
      </c>
    </row>
    <row r="742" spans="1:16" ht="17.25" customHeight="1" x14ac:dyDescent="0.2">
      <c r="A742" s="18" t="s">
        <v>973</v>
      </c>
      <c r="B742" s="18" t="s">
        <v>4182</v>
      </c>
      <c r="C742" s="18" t="s">
        <v>1838</v>
      </c>
      <c r="D742" s="18" t="s">
        <v>3653</v>
      </c>
      <c r="E742" s="2" t="str">
        <f t="shared" si="57"/>
        <v>d</v>
      </c>
      <c r="F742" s="2">
        <f t="shared" si="58"/>
        <v>4</v>
      </c>
      <c r="G742" s="2">
        <v>2004</v>
      </c>
      <c r="H742" s="2" t="s">
        <v>3658</v>
      </c>
      <c r="I742" s="2" t="s">
        <v>3655</v>
      </c>
      <c r="J742" s="2" t="s">
        <v>3522</v>
      </c>
      <c r="K742" s="2"/>
      <c r="L742" s="2" t="s">
        <v>4186</v>
      </c>
      <c r="M742" s="2">
        <v>1</v>
      </c>
      <c r="N742" s="2">
        <v>3</v>
      </c>
      <c r="O742" s="2" t="s">
        <v>1843</v>
      </c>
      <c r="P742" t="s">
        <v>1127</v>
      </c>
    </row>
    <row r="743" spans="1:16" ht="17.25" customHeight="1" x14ac:dyDescent="0.2">
      <c r="A743" s="18" t="s">
        <v>973</v>
      </c>
      <c r="B743" s="18" t="s">
        <v>4182</v>
      </c>
      <c r="C743" s="18" t="s">
        <v>1838</v>
      </c>
      <c r="D743" s="18" t="s">
        <v>3653</v>
      </c>
      <c r="E743" s="2" t="str">
        <f t="shared" si="57"/>
        <v>e</v>
      </c>
      <c r="F743" s="2">
        <f t="shared" si="58"/>
        <v>5</v>
      </c>
      <c r="G743" s="2">
        <v>2005</v>
      </c>
      <c r="H743" s="2" t="s">
        <v>3659</v>
      </c>
      <c r="I743" s="2" t="s">
        <v>3655</v>
      </c>
      <c r="J743" s="2" t="s">
        <v>3522</v>
      </c>
      <c r="K743" s="2"/>
      <c r="L743" s="2" t="s">
        <v>4186</v>
      </c>
      <c r="M743" s="2">
        <v>1</v>
      </c>
      <c r="N743" s="2">
        <v>3</v>
      </c>
      <c r="O743" s="2" t="s">
        <v>1843</v>
      </c>
      <c r="P743" t="s">
        <v>1127</v>
      </c>
    </row>
    <row r="744" spans="1:16" ht="17.25" customHeight="1" x14ac:dyDescent="0.2">
      <c r="A744" s="18" t="s">
        <v>973</v>
      </c>
      <c r="B744" s="18" t="s">
        <v>4182</v>
      </c>
      <c r="C744" s="18" t="s">
        <v>1838</v>
      </c>
      <c r="D744" s="18" t="s">
        <v>3653</v>
      </c>
      <c r="E744" s="2" t="str">
        <f t="shared" si="57"/>
        <v>f</v>
      </c>
      <c r="F744" s="2">
        <f t="shared" si="58"/>
        <v>6</v>
      </c>
      <c r="G744" s="2">
        <v>2006</v>
      </c>
      <c r="H744" s="2" t="s">
        <v>3660</v>
      </c>
      <c r="I744" s="2" t="s">
        <v>3655</v>
      </c>
      <c r="J744" s="2" t="s">
        <v>3522</v>
      </c>
      <c r="K744" s="2"/>
      <c r="L744" s="2" t="s">
        <v>4186</v>
      </c>
      <c r="M744" s="2">
        <v>1</v>
      </c>
      <c r="N744" s="2">
        <v>3</v>
      </c>
      <c r="O744" s="2" t="s">
        <v>1843</v>
      </c>
      <c r="P744" t="s">
        <v>1127</v>
      </c>
    </row>
    <row r="745" spans="1:16" ht="17.25" customHeight="1" x14ac:dyDescent="0.2">
      <c r="A745" s="18" t="s">
        <v>973</v>
      </c>
      <c r="B745" s="18" t="s">
        <v>4182</v>
      </c>
      <c r="C745" s="18" t="s">
        <v>1838</v>
      </c>
      <c r="D745" s="18" t="s">
        <v>3653</v>
      </c>
      <c r="E745" s="2" t="str">
        <f t="shared" si="57"/>
        <v>g</v>
      </c>
      <c r="F745" s="2">
        <f t="shared" si="58"/>
        <v>7</v>
      </c>
      <c r="G745" s="2">
        <v>2007</v>
      </c>
      <c r="H745" s="2" t="s">
        <v>3661</v>
      </c>
      <c r="I745" s="2" t="s">
        <v>3655</v>
      </c>
      <c r="J745" s="2" t="s">
        <v>3522</v>
      </c>
      <c r="K745" s="2"/>
      <c r="L745" s="2" t="s">
        <v>4186</v>
      </c>
      <c r="M745" s="2">
        <v>1</v>
      </c>
      <c r="N745" s="2">
        <v>3</v>
      </c>
      <c r="O745" s="2" t="s">
        <v>1843</v>
      </c>
      <c r="P745" t="s">
        <v>1127</v>
      </c>
    </row>
    <row r="746" spans="1:16" ht="17.25" customHeight="1" x14ac:dyDescent="0.2">
      <c r="A746" s="18" t="s">
        <v>973</v>
      </c>
      <c r="B746" s="18" t="s">
        <v>4182</v>
      </c>
      <c r="C746" s="18" t="s">
        <v>1838</v>
      </c>
      <c r="D746" s="18" t="s">
        <v>3653</v>
      </c>
      <c r="E746" s="2" t="str">
        <f t="shared" si="57"/>
        <v>h</v>
      </c>
      <c r="F746" s="2">
        <f t="shared" si="58"/>
        <v>8</v>
      </c>
      <c r="G746" s="2">
        <v>2008</v>
      </c>
      <c r="H746" s="2" t="s">
        <v>3662</v>
      </c>
      <c r="I746" s="2" t="s">
        <v>3655</v>
      </c>
      <c r="J746" s="2" t="s">
        <v>3522</v>
      </c>
      <c r="K746" s="2"/>
      <c r="L746" s="2" t="s">
        <v>4186</v>
      </c>
      <c r="M746" s="2">
        <v>1</v>
      </c>
      <c r="N746" s="2">
        <v>3</v>
      </c>
      <c r="O746" s="2" t="s">
        <v>1843</v>
      </c>
      <c r="P746" t="s">
        <v>1127</v>
      </c>
    </row>
    <row r="747" spans="1:16" ht="17.25" customHeight="1" x14ac:dyDescent="0.2">
      <c r="A747" s="18" t="s">
        <v>973</v>
      </c>
      <c r="B747" s="18" t="s">
        <v>4182</v>
      </c>
      <c r="C747" s="18" t="s">
        <v>1838</v>
      </c>
      <c r="D747" s="18" t="s">
        <v>3653</v>
      </c>
      <c r="E747" s="2" t="str">
        <f t="shared" si="57"/>
        <v>i</v>
      </c>
      <c r="F747" s="2">
        <f t="shared" si="58"/>
        <v>9</v>
      </c>
      <c r="G747" s="2">
        <v>2009</v>
      </c>
      <c r="H747" s="2" t="s">
        <v>3663</v>
      </c>
      <c r="I747" s="2" t="s">
        <v>3655</v>
      </c>
      <c r="J747" s="2" t="s">
        <v>3522</v>
      </c>
      <c r="K747" s="2"/>
      <c r="L747" s="2" t="s">
        <v>4186</v>
      </c>
      <c r="M747" s="2">
        <v>1</v>
      </c>
      <c r="N747" s="2">
        <v>3</v>
      </c>
      <c r="O747" s="2" t="s">
        <v>1843</v>
      </c>
      <c r="P747" t="s">
        <v>1127</v>
      </c>
    </row>
    <row r="748" spans="1:16" ht="17.25" customHeight="1" x14ac:dyDescent="0.2">
      <c r="A748" s="18" t="s">
        <v>973</v>
      </c>
      <c r="B748" s="18" t="s">
        <v>4182</v>
      </c>
      <c r="C748" s="18" t="s">
        <v>1838</v>
      </c>
      <c r="D748" s="18" t="s">
        <v>3653</v>
      </c>
      <c r="E748" s="2" t="str">
        <f t="shared" si="57"/>
        <v>j</v>
      </c>
      <c r="F748" s="2">
        <f t="shared" si="58"/>
        <v>10</v>
      </c>
      <c r="G748" s="2">
        <v>2010</v>
      </c>
      <c r="H748" s="2" t="s">
        <v>3664</v>
      </c>
      <c r="I748" s="2" t="s">
        <v>3655</v>
      </c>
      <c r="J748" s="2" t="s">
        <v>3522</v>
      </c>
      <c r="K748" s="2"/>
      <c r="L748" s="2" t="s">
        <v>4186</v>
      </c>
      <c r="M748" s="2">
        <v>1</v>
      </c>
      <c r="N748" s="2">
        <v>3</v>
      </c>
      <c r="O748" s="2" t="s">
        <v>1843</v>
      </c>
      <c r="P748" t="s">
        <v>1127</v>
      </c>
    </row>
    <row r="749" spans="1:16" ht="17.25" customHeight="1" x14ac:dyDescent="0.2">
      <c r="A749" s="18" t="s">
        <v>973</v>
      </c>
      <c r="B749" s="18" t="s">
        <v>4182</v>
      </c>
      <c r="C749" s="18" t="s">
        <v>1838</v>
      </c>
      <c r="D749" s="18" t="s">
        <v>3653</v>
      </c>
      <c r="E749" s="2" t="str">
        <f t="shared" si="57"/>
        <v>k</v>
      </c>
      <c r="F749" s="2">
        <f t="shared" si="58"/>
        <v>11</v>
      </c>
      <c r="G749" s="2">
        <v>2011</v>
      </c>
      <c r="H749" s="2" t="s">
        <v>3665</v>
      </c>
      <c r="I749" s="2" t="s">
        <v>3655</v>
      </c>
      <c r="J749" s="2" t="s">
        <v>3522</v>
      </c>
      <c r="K749" s="2"/>
      <c r="L749" s="2" t="s">
        <v>4186</v>
      </c>
      <c r="M749" s="2">
        <v>1</v>
      </c>
      <c r="N749" s="2">
        <v>3</v>
      </c>
      <c r="O749" s="2" t="s">
        <v>1843</v>
      </c>
      <c r="P749" t="s">
        <v>1127</v>
      </c>
    </row>
    <row r="750" spans="1:16" ht="17.25" customHeight="1" x14ac:dyDescent="0.2">
      <c r="A750" s="18" t="s">
        <v>973</v>
      </c>
      <c r="B750" s="18" t="s">
        <v>4182</v>
      </c>
      <c r="C750" s="18" t="s">
        <v>1838</v>
      </c>
      <c r="D750" s="18" t="s">
        <v>3653</v>
      </c>
      <c r="E750" s="2" t="str">
        <f t="shared" si="57"/>
        <v>l</v>
      </c>
      <c r="F750" s="2">
        <f t="shared" si="58"/>
        <v>12</v>
      </c>
      <c r="G750" s="2">
        <v>2012</v>
      </c>
      <c r="H750" s="2" t="s">
        <v>3666</v>
      </c>
      <c r="I750" s="2" t="s">
        <v>3655</v>
      </c>
      <c r="J750" s="2" t="s">
        <v>3522</v>
      </c>
      <c r="K750" s="2"/>
      <c r="L750" s="2" t="s">
        <v>4186</v>
      </c>
      <c r="M750" s="2">
        <v>1</v>
      </c>
      <c r="N750" s="2">
        <v>3</v>
      </c>
      <c r="O750" s="2" t="s">
        <v>1843</v>
      </c>
      <c r="P750" t="s">
        <v>1127</v>
      </c>
    </row>
    <row r="751" spans="1:16" ht="17.25" customHeight="1" x14ac:dyDescent="0.2">
      <c r="A751" s="18" t="s">
        <v>973</v>
      </c>
      <c r="B751" s="18" t="s">
        <v>4182</v>
      </c>
      <c r="C751" s="18" t="s">
        <v>1838</v>
      </c>
      <c r="D751" s="18" t="s">
        <v>3653</v>
      </c>
      <c r="E751" s="2" t="str">
        <f t="shared" si="57"/>
        <v>m</v>
      </c>
      <c r="F751" s="2">
        <f t="shared" si="58"/>
        <v>13</v>
      </c>
      <c r="G751" s="2">
        <v>2013</v>
      </c>
      <c r="H751" s="2" t="s">
        <v>3667</v>
      </c>
      <c r="I751" s="2" t="s">
        <v>3655</v>
      </c>
      <c r="J751" s="2" t="s">
        <v>3522</v>
      </c>
      <c r="K751" s="2"/>
      <c r="L751" s="2" t="s">
        <v>4186</v>
      </c>
      <c r="M751" s="2">
        <v>1</v>
      </c>
      <c r="N751" s="2">
        <v>3</v>
      </c>
      <c r="O751" s="2" t="s">
        <v>1843</v>
      </c>
      <c r="P751" t="s">
        <v>1127</v>
      </c>
    </row>
    <row r="752" spans="1:16" ht="17.25" customHeight="1" x14ac:dyDescent="0.2">
      <c r="A752" s="18" t="s">
        <v>973</v>
      </c>
      <c r="B752" s="18" t="s">
        <v>4182</v>
      </c>
      <c r="C752" s="18" t="s">
        <v>1838</v>
      </c>
      <c r="D752" s="18" t="s">
        <v>3653</v>
      </c>
      <c r="E752" s="2" t="str">
        <f t="shared" si="57"/>
        <v>n</v>
      </c>
      <c r="F752" s="2">
        <f t="shared" si="58"/>
        <v>14</v>
      </c>
      <c r="G752" s="2">
        <v>2014</v>
      </c>
      <c r="H752" s="2" t="s">
        <v>3668</v>
      </c>
      <c r="I752" s="2" t="s">
        <v>3655</v>
      </c>
      <c r="J752" s="2" t="s">
        <v>3522</v>
      </c>
      <c r="K752" s="2"/>
      <c r="L752" s="2" t="s">
        <v>4186</v>
      </c>
      <c r="M752" s="2">
        <v>1</v>
      </c>
      <c r="N752" s="2">
        <v>3</v>
      </c>
      <c r="O752" s="2" t="s">
        <v>1843</v>
      </c>
      <c r="P752" t="s">
        <v>1127</v>
      </c>
    </row>
    <row r="753" spans="1:16" ht="17.25" customHeight="1" x14ac:dyDescent="0.2">
      <c r="A753" s="18" t="s">
        <v>973</v>
      </c>
      <c r="B753" s="18" t="s">
        <v>4182</v>
      </c>
      <c r="C753" s="18" t="s">
        <v>1838</v>
      </c>
      <c r="D753" s="18" t="s">
        <v>3653</v>
      </c>
      <c r="E753" s="2" t="str">
        <f t="shared" si="57"/>
        <v>o</v>
      </c>
      <c r="F753" s="2">
        <f t="shared" si="58"/>
        <v>15</v>
      </c>
      <c r="G753" s="2">
        <v>2015</v>
      </c>
      <c r="H753" s="2" t="s">
        <v>3669</v>
      </c>
      <c r="I753" s="2" t="s">
        <v>3655</v>
      </c>
      <c r="J753" s="2" t="s">
        <v>3522</v>
      </c>
      <c r="K753" s="2"/>
      <c r="L753" s="2" t="s">
        <v>4186</v>
      </c>
      <c r="M753" s="2">
        <v>1</v>
      </c>
      <c r="N753" s="2">
        <v>3</v>
      </c>
      <c r="O753" s="2" t="s">
        <v>1843</v>
      </c>
      <c r="P753" t="s">
        <v>1127</v>
      </c>
    </row>
    <row r="754" spans="1:16" ht="17.25" customHeight="1" x14ac:dyDescent="0.2">
      <c r="A754" s="18" t="s">
        <v>973</v>
      </c>
      <c r="B754" s="18" t="s">
        <v>4182</v>
      </c>
      <c r="C754" s="18" t="s">
        <v>1838</v>
      </c>
      <c r="D754" s="18" t="s">
        <v>3653</v>
      </c>
      <c r="E754" s="2" t="str">
        <f t="shared" si="57"/>
        <v>p</v>
      </c>
      <c r="F754" s="2">
        <f t="shared" si="58"/>
        <v>16</v>
      </c>
      <c r="G754" s="2">
        <v>2016</v>
      </c>
      <c r="H754" s="2" t="s">
        <v>3670</v>
      </c>
      <c r="I754" s="2" t="s">
        <v>3655</v>
      </c>
      <c r="J754" s="2" t="s">
        <v>3522</v>
      </c>
      <c r="K754" s="2"/>
      <c r="L754" s="2" t="s">
        <v>4186</v>
      </c>
      <c r="M754" s="2">
        <v>1</v>
      </c>
      <c r="N754" s="2">
        <v>3</v>
      </c>
      <c r="O754" s="2" t="s">
        <v>1843</v>
      </c>
      <c r="P754" t="s">
        <v>1127</v>
      </c>
    </row>
    <row r="755" spans="1:16" ht="17.25" customHeight="1" x14ac:dyDescent="0.2">
      <c r="A755" s="18" t="s">
        <v>973</v>
      </c>
      <c r="B755" s="18" t="s">
        <v>4182</v>
      </c>
      <c r="C755" s="18" t="s">
        <v>1838</v>
      </c>
      <c r="D755" s="18" t="s">
        <v>3653</v>
      </c>
      <c r="E755" s="2" t="str">
        <f t="shared" si="57"/>
        <v>q</v>
      </c>
      <c r="F755" s="2">
        <f t="shared" si="58"/>
        <v>17</v>
      </c>
      <c r="G755" s="2">
        <v>2017</v>
      </c>
      <c r="H755" s="2" t="s">
        <v>3671</v>
      </c>
      <c r="I755" s="2" t="s">
        <v>3655</v>
      </c>
      <c r="J755" s="2" t="s">
        <v>3522</v>
      </c>
      <c r="K755" s="2"/>
      <c r="L755" s="2" t="s">
        <v>4186</v>
      </c>
      <c r="M755" s="2">
        <v>1</v>
      </c>
      <c r="N755" s="2">
        <v>3</v>
      </c>
      <c r="O755" s="2" t="s">
        <v>1843</v>
      </c>
      <c r="P755" t="s">
        <v>1127</v>
      </c>
    </row>
    <row r="756" spans="1:16" ht="17.25" customHeight="1" x14ac:dyDescent="0.2">
      <c r="A756" s="18" t="s">
        <v>973</v>
      </c>
      <c r="B756" s="18" t="s">
        <v>4182</v>
      </c>
      <c r="C756" s="18" t="s">
        <v>1838</v>
      </c>
      <c r="D756" s="18" t="s">
        <v>3653</v>
      </c>
      <c r="E756" s="2" t="str">
        <f t="shared" si="57"/>
        <v>r</v>
      </c>
      <c r="F756" s="2">
        <f t="shared" si="58"/>
        <v>18</v>
      </c>
      <c r="G756" s="2">
        <v>2018</v>
      </c>
      <c r="H756" s="2" t="s">
        <v>3717</v>
      </c>
      <c r="I756" s="2" t="s">
        <v>3655</v>
      </c>
      <c r="J756" s="2" t="s">
        <v>3522</v>
      </c>
      <c r="K756" s="2"/>
      <c r="L756" s="2" t="s">
        <v>4186</v>
      </c>
      <c r="M756" s="2">
        <v>1</v>
      </c>
      <c r="N756" s="2">
        <v>3</v>
      </c>
      <c r="O756" s="2" t="s">
        <v>1843</v>
      </c>
      <c r="P756" t="s">
        <v>1127</v>
      </c>
    </row>
    <row r="757" spans="1:16" ht="17.25" customHeight="1" x14ac:dyDescent="0.2">
      <c r="A757" s="18" t="s">
        <v>973</v>
      </c>
      <c r="B757" s="18" t="s">
        <v>4182</v>
      </c>
      <c r="C757" s="18" t="s">
        <v>1838</v>
      </c>
      <c r="D757" s="18" t="s">
        <v>3672</v>
      </c>
      <c r="E757" s="2" t="str">
        <f t="shared" si="57"/>
        <v>a</v>
      </c>
      <c r="F757" s="2">
        <f t="shared" si="58"/>
        <v>1</v>
      </c>
      <c r="G757" s="2">
        <v>2001</v>
      </c>
      <c r="H757" s="2" t="s">
        <v>3673</v>
      </c>
      <c r="I757" s="2" t="s">
        <v>3674</v>
      </c>
      <c r="J757" s="2" t="s">
        <v>3522</v>
      </c>
      <c r="K757" s="2"/>
      <c r="L757" s="2" t="s">
        <v>4186</v>
      </c>
      <c r="M757" s="2">
        <v>1</v>
      </c>
      <c r="N757" s="2">
        <v>3</v>
      </c>
      <c r="O757" s="2" t="s">
        <v>1843</v>
      </c>
      <c r="P757" t="s">
        <v>1127</v>
      </c>
    </row>
    <row r="758" spans="1:16" ht="17.25" customHeight="1" x14ac:dyDescent="0.2">
      <c r="A758" s="18" t="s">
        <v>973</v>
      </c>
      <c r="B758" s="18" t="s">
        <v>4182</v>
      </c>
      <c r="C758" s="18" t="s">
        <v>1838</v>
      </c>
      <c r="D758" s="18" t="s">
        <v>3672</v>
      </c>
      <c r="E758" s="2" t="str">
        <f t="shared" si="57"/>
        <v>b</v>
      </c>
      <c r="F758" s="2">
        <f t="shared" si="58"/>
        <v>2</v>
      </c>
      <c r="G758" s="2">
        <v>2002</v>
      </c>
      <c r="H758" s="2" t="s">
        <v>3675</v>
      </c>
      <c r="I758" s="2" t="s">
        <v>3674</v>
      </c>
      <c r="J758" s="2" t="s">
        <v>3522</v>
      </c>
      <c r="K758" s="2"/>
      <c r="L758" s="2" t="s">
        <v>4186</v>
      </c>
      <c r="M758" s="2">
        <v>1</v>
      </c>
      <c r="N758" s="2">
        <v>3</v>
      </c>
      <c r="O758" s="2" t="s">
        <v>1843</v>
      </c>
      <c r="P758" t="s">
        <v>1127</v>
      </c>
    </row>
    <row r="759" spans="1:16" ht="17.25" customHeight="1" x14ac:dyDescent="0.2">
      <c r="A759" s="18" t="s">
        <v>973</v>
      </c>
      <c r="B759" s="18" t="s">
        <v>4182</v>
      </c>
      <c r="C759" s="18" t="s">
        <v>1838</v>
      </c>
      <c r="D759" s="18" t="s">
        <v>3672</v>
      </c>
      <c r="E759" s="2" t="str">
        <f t="shared" si="57"/>
        <v>c</v>
      </c>
      <c r="F759" s="2">
        <f t="shared" si="58"/>
        <v>3</v>
      </c>
      <c r="G759" s="2">
        <v>2003</v>
      </c>
      <c r="H759" s="2" t="s">
        <v>3676</v>
      </c>
      <c r="I759" s="2" t="s">
        <v>3674</v>
      </c>
      <c r="J759" s="2" t="s">
        <v>3522</v>
      </c>
      <c r="K759" s="2"/>
      <c r="L759" s="2" t="s">
        <v>4186</v>
      </c>
      <c r="M759" s="2">
        <v>1</v>
      </c>
      <c r="N759" s="2">
        <v>3</v>
      </c>
      <c r="O759" s="2" t="s">
        <v>1843</v>
      </c>
      <c r="P759" t="s">
        <v>1127</v>
      </c>
    </row>
    <row r="760" spans="1:16" ht="17.25" customHeight="1" x14ac:dyDescent="0.2">
      <c r="A760" s="18" t="s">
        <v>973</v>
      </c>
      <c r="B760" s="18" t="s">
        <v>4182</v>
      </c>
      <c r="C760" s="18" t="s">
        <v>1838</v>
      </c>
      <c r="D760" s="18" t="s">
        <v>3672</v>
      </c>
      <c r="E760" s="2" t="str">
        <f t="shared" si="57"/>
        <v>d</v>
      </c>
      <c r="F760" s="2">
        <f t="shared" si="58"/>
        <v>4</v>
      </c>
      <c r="G760" s="2">
        <v>2004</v>
      </c>
      <c r="H760" s="2" t="s">
        <v>3677</v>
      </c>
      <c r="I760" s="2" t="s">
        <v>3674</v>
      </c>
      <c r="J760" s="2" t="s">
        <v>3522</v>
      </c>
      <c r="K760" s="2"/>
      <c r="L760" s="2" t="s">
        <v>4186</v>
      </c>
      <c r="M760" s="2">
        <v>1</v>
      </c>
      <c r="N760" s="2">
        <v>3</v>
      </c>
      <c r="O760" s="2" t="s">
        <v>1843</v>
      </c>
      <c r="P760" t="s">
        <v>1127</v>
      </c>
    </row>
    <row r="761" spans="1:16" ht="17.25" customHeight="1" x14ac:dyDescent="0.2">
      <c r="A761" s="18" t="s">
        <v>973</v>
      </c>
      <c r="B761" s="18" t="s">
        <v>4182</v>
      </c>
      <c r="C761" s="18" t="s">
        <v>1838</v>
      </c>
      <c r="D761" s="18" t="s">
        <v>3672</v>
      </c>
      <c r="E761" s="2" t="str">
        <f t="shared" si="57"/>
        <v>e</v>
      </c>
      <c r="F761" s="2">
        <f t="shared" si="58"/>
        <v>5</v>
      </c>
      <c r="G761" s="2">
        <v>2005</v>
      </c>
      <c r="H761" s="2" t="s">
        <v>3678</v>
      </c>
      <c r="I761" s="2" t="s">
        <v>3674</v>
      </c>
      <c r="J761" s="2" t="s">
        <v>3522</v>
      </c>
      <c r="K761" s="2"/>
      <c r="L761" s="2" t="s">
        <v>4186</v>
      </c>
      <c r="M761" s="2">
        <v>1</v>
      </c>
      <c r="N761" s="2">
        <v>3</v>
      </c>
      <c r="O761" s="2" t="s">
        <v>1843</v>
      </c>
      <c r="P761" t="s">
        <v>1127</v>
      </c>
    </row>
    <row r="762" spans="1:16" ht="17.25" customHeight="1" x14ac:dyDescent="0.2">
      <c r="A762" s="18" t="s">
        <v>973</v>
      </c>
      <c r="B762" s="18" t="s">
        <v>4182</v>
      </c>
      <c r="C762" s="18" t="s">
        <v>1838</v>
      </c>
      <c r="D762" s="18" t="s">
        <v>3672</v>
      </c>
      <c r="E762" s="2" t="str">
        <f t="shared" si="57"/>
        <v>f</v>
      </c>
      <c r="F762" s="2">
        <f t="shared" si="58"/>
        <v>6</v>
      </c>
      <c r="G762" s="2">
        <v>2006</v>
      </c>
      <c r="H762" s="2" t="s">
        <v>3679</v>
      </c>
      <c r="I762" s="2" t="s">
        <v>3674</v>
      </c>
      <c r="J762" s="2" t="s">
        <v>3522</v>
      </c>
      <c r="K762" s="2"/>
      <c r="L762" s="2" t="s">
        <v>4186</v>
      </c>
      <c r="M762" s="2">
        <v>1</v>
      </c>
      <c r="N762" s="2">
        <v>3</v>
      </c>
      <c r="O762" s="2" t="s">
        <v>1843</v>
      </c>
      <c r="P762" t="s">
        <v>1127</v>
      </c>
    </row>
    <row r="763" spans="1:16" ht="17.25" customHeight="1" x14ac:dyDescent="0.2">
      <c r="A763" s="18" t="s">
        <v>973</v>
      </c>
      <c r="B763" s="18" t="s">
        <v>4182</v>
      </c>
      <c r="C763" s="18" t="s">
        <v>1838</v>
      </c>
      <c r="D763" s="18" t="s">
        <v>3672</v>
      </c>
      <c r="E763" s="2" t="str">
        <f t="shared" si="57"/>
        <v>g</v>
      </c>
      <c r="F763" s="2">
        <f t="shared" si="58"/>
        <v>7</v>
      </c>
      <c r="G763" s="2">
        <v>2007</v>
      </c>
      <c r="H763" s="2" t="s">
        <v>3680</v>
      </c>
      <c r="I763" s="2" t="s">
        <v>3674</v>
      </c>
      <c r="J763" s="2" t="s">
        <v>3522</v>
      </c>
      <c r="K763" s="2"/>
      <c r="L763" s="2" t="s">
        <v>4186</v>
      </c>
      <c r="M763" s="2">
        <v>1</v>
      </c>
      <c r="N763" s="2">
        <v>3</v>
      </c>
      <c r="O763" s="2" t="s">
        <v>1843</v>
      </c>
      <c r="P763" t="s">
        <v>1127</v>
      </c>
    </row>
    <row r="764" spans="1:16" ht="17.25" customHeight="1" x14ac:dyDescent="0.2">
      <c r="A764" s="18" t="s">
        <v>973</v>
      </c>
      <c r="B764" s="18" t="s">
        <v>4182</v>
      </c>
      <c r="C764" s="18" t="s">
        <v>1838</v>
      </c>
      <c r="D764" s="18" t="s">
        <v>3672</v>
      </c>
      <c r="E764" s="2" t="str">
        <f t="shared" si="57"/>
        <v>h</v>
      </c>
      <c r="F764" s="2">
        <f t="shared" si="58"/>
        <v>8</v>
      </c>
      <c r="G764" s="2">
        <v>2008</v>
      </c>
      <c r="H764" s="2" t="s">
        <v>3681</v>
      </c>
      <c r="I764" s="2" t="s">
        <v>3674</v>
      </c>
      <c r="J764" s="2" t="s">
        <v>3522</v>
      </c>
      <c r="K764" s="2"/>
      <c r="L764" s="2" t="s">
        <v>4186</v>
      </c>
      <c r="M764" s="2">
        <v>1</v>
      </c>
      <c r="N764" s="2">
        <v>3</v>
      </c>
      <c r="O764" s="2" t="s">
        <v>1843</v>
      </c>
      <c r="P764" t="s">
        <v>1127</v>
      </c>
    </row>
    <row r="765" spans="1:16" ht="17.25" customHeight="1" x14ac:dyDescent="0.2">
      <c r="A765" s="18" t="s">
        <v>973</v>
      </c>
      <c r="B765" s="18" t="s">
        <v>4182</v>
      </c>
      <c r="C765" s="18" t="s">
        <v>1838</v>
      </c>
      <c r="D765" s="18" t="s">
        <v>3672</v>
      </c>
      <c r="E765" s="2" t="str">
        <f t="shared" si="57"/>
        <v>i</v>
      </c>
      <c r="F765" s="2">
        <f t="shared" si="58"/>
        <v>9</v>
      </c>
      <c r="G765" s="2">
        <v>2009</v>
      </c>
      <c r="H765" s="2" t="s">
        <v>3682</v>
      </c>
      <c r="I765" s="2" t="s">
        <v>3674</v>
      </c>
      <c r="J765" s="2" t="s">
        <v>3522</v>
      </c>
      <c r="K765" s="2"/>
      <c r="L765" s="2" t="s">
        <v>4186</v>
      </c>
      <c r="M765" s="2">
        <v>1</v>
      </c>
      <c r="N765" s="2">
        <v>3</v>
      </c>
      <c r="O765" s="2" t="s">
        <v>1843</v>
      </c>
      <c r="P765" t="s">
        <v>1127</v>
      </c>
    </row>
    <row r="766" spans="1:16" ht="17.25" customHeight="1" x14ac:dyDescent="0.2">
      <c r="A766" s="18" t="s">
        <v>973</v>
      </c>
      <c r="B766" s="18" t="s">
        <v>4182</v>
      </c>
      <c r="C766" s="18" t="s">
        <v>1838</v>
      </c>
      <c r="D766" s="18" t="s">
        <v>3672</v>
      </c>
      <c r="E766" s="2" t="str">
        <f t="shared" si="57"/>
        <v>j</v>
      </c>
      <c r="F766" s="2">
        <f t="shared" si="58"/>
        <v>10</v>
      </c>
      <c r="G766" s="2">
        <v>2010</v>
      </c>
      <c r="H766" s="2" t="s">
        <v>3683</v>
      </c>
      <c r="I766" s="2" t="s">
        <v>3674</v>
      </c>
      <c r="J766" s="2" t="s">
        <v>3522</v>
      </c>
      <c r="K766" s="2"/>
      <c r="L766" s="2" t="s">
        <v>4186</v>
      </c>
      <c r="M766" s="2">
        <v>1</v>
      </c>
      <c r="N766" s="2">
        <v>3</v>
      </c>
      <c r="O766" s="2" t="s">
        <v>1843</v>
      </c>
      <c r="P766" t="s">
        <v>1127</v>
      </c>
    </row>
    <row r="767" spans="1:16" ht="17.25" customHeight="1" x14ac:dyDescent="0.2">
      <c r="A767" s="18" t="s">
        <v>973</v>
      </c>
      <c r="B767" s="18" t="s">
        <v>4182</v>
      </c>
      <c r="C767" s="18" t="s">
        <v>1838</v>
      </c>
      <c r="D767" s="18" t="s">
        <v>3672</v>
      </c>
      <c r="E767" s="2" t="str">
        <f t="shared" si="57"/>
        <v>k</v>
      </c>
      <c r="F767" s="2">
        <f t="shared" si="58"/>
        <v>11</v>
      </c>
      <c r="G767" s="2">
        <v>2011</v>
      </c>
      <c r="H767" s="2" t="s">
        <v>3684</v>
      </c>
      <c r="I767" s="2" t="s">
        <v>3674</v>
      </c>
      <c r="J767" s="2" t="s">
        <v>3522</v>
      </c>
      <c r="K767" s="2"/>
      <c r="L767" s="2" t="s">
        <v>4186</v>
      </c>
      <c r="M767" s="2">
        <v>1</v>
      </c>
      <c r="N767" s="2">
        <v>3</v>
      </c>
      <c r="O767" s="2" t="s">
        <v>1843</v>
      </c>
      <c r="P767" t="s">
        <v>1127</v>
      </c>
    </row>
    <row r="768" spans="1:16" ht="17.25" customHeight="1" x14ac:dyDescent="0.2">
      <c r="A768" s="18" t="s">
        <v>973</v>
      </c>
      <c r="B768" s="18" t="s">
        <v>4182</v>
      </c>
      <c r="C768" s="18" t="s">
        <v>1838</v>
      </c>
      <c r="D768" s="18" t="s">
        <v>3672</v>
      </c>
      <c r="E768" s="2" t="str">
        <f t="shared" si="57"/>
        <v>l</v>
      </c>
      <c r="F768" s="2">
        <f t="shared" si="58"/>
        <v>12</v>
      </c>
      <c r="G768" s="2">
        <v>2012</v>
      </c>
      <c r="H768" s="2" t="s">
        <v>3685</v>
      </c>
      <c r="I768" s="2" t="s">
        <v>3674</v>
      </c>
      <c r="J768" s="2" t="s">
        <v>3522</v>
      </c>
      <c r="K768" s="2"/>
      <c r="L768" s="2" t="s">
        <v>4186</v>
      </c>
      <c r="M768" s="2">
        <v>1</v>
      </c>
      <c r="N768" s="2">
        <v>3</v>
      </c>
      <c r="O768" s="2" t="s">
        <v>1843</v>
      </c>
      <c r="P768" t="s">
        <v>1127</v>
      </c>
    </row>
    <row r="769" spans="1:16" ht="17.25" customHeight="1" x14ac:dyDescent="0.2">
      <c r="A769" s="18" t="s">
        <v>973</v>
      </c>
      <c r="B769" s="18" t="s">
        <v>4182</v>
      </c>
      <c r="C769" s="18" t="s">
        <v>1838</v>
      </c>
      <c r="D769" s="18" t="s">
        <v>3672</v>
      </c>
      <c r="E769" s="2" t="str">
        <f t="shared" si="57"/>
        <v>m</v>
      </c>
      <c r="F769" s="2">
        <f t="shared" si="58"/>
        <v>13</v>
      </c>
      <c r="G769" s="2">
        <v>2013</v>
      </c>
      <c r="H769" s="2" t="s">
        <v>3686</v>
      </c>
      <c r="I769" s="2" t="s">
        <v>3674</v>
      </c>
      <c r="J769" s="2" t="s">
        <v>3522</v>
      </c>
      <c r="K769" s="2"/>
      <c r="L769" s="2" t="s">
        <v>4186</v>
      </c>
      <c r="M769" s="2">
        <v>1</v>
      </c>
      <c r="N769" s="2">
        <v>3</v>
      </c>
      <c r="O769" s="2" t="s">
        <v>1843</v>
      </c>
      <c r="P769" t="s">
        <v>1127</v>
      </c>
    </row>
    <row r="770" spans="1:16" ht="17.25" customHeight="1" x14ac:dyDescent="0.2">
      <c r="A770" s="18" t="s">
        <v>973</v>
      </c>
      <c r="B770" s="18" t="s">
        <v>4182</v>
      </c>
      <c r="C770" s="18" t="s">
        <v>1838</v>
      </c>
      <c r="D770" s="18" t="s">
        <v>3672</v>
      </c>
      <c r="E770" s="2" t="str">
        <f t="shared" si="57"/>
        <v>n</v>
      </c>
      <c r="F770" s="2">
        <f t="shared" si="58"/>
        <v>14</v>
      </c>
      <c r="G770" s="2">
        <v>2014</v>
      </c>
      <c r="H770" s="2" t="s">
        <v>3687</v>
      </c>
      <c r="I770" s="2" t="s">
        <v>3674</v>
      </c>
      <c r="J770" s="2" t="s">
        <v>3522</v>
      </c>
      <c r="K770" s="2"/>
      <c r="L770" s="2" t="s">
        <v>4186</v>
      </c>
      <c r="M770" s="2">
        <v>1</v>
      </c>
      <c r="N770" s="2">
        <v>3</v>
      </c>
      <c r="O770" s="2" t="s">
        <v>1843</v>
      </c>
      <c r="P770" t="s">
        <v>1127</v>
      </c>
    </row>
    <row r="771" spans="1:16" ht="17.25" customHeight="1" x14ac:dyDescent="0.2">
      <c r="A771" s="18" t="s">
        <v>973</v>
      </c>
      <c r="B771" s="18" t="s">
        <v>4182</v>
      </c>
      <c r="C771" s="18" t="s">
        <v>1838</v>
      </c>
      <c r="D771" s="18" t="s">
        <v>3672</v>
      </c>
      <c r="E771" s="2" t="str">
        <f t="shared" si="57"/>
        <v>o</v>
      </c>
      <c r="F771" s="2">
        <f t="shared" si="58"/>
        <v>15</v>
      </c>
      <c r="G771" s="2">
        <v>2015</v>
      </c>
      <c r="H771" s="2" t="s">
        <v>3688</v>
      </c>
      <c r="I771" s="2" t="s">
        <v>3674</v>
      </c>
      <c r="J771" s="2" t="s">
        <v>3522</v>
      </c>
      <c r="K771" s="2"/>
      <c r="L771" s="2" t="s">
        <v>4186</v>
      </c>
      <c r="M771" s="2">
        <v>1</v>
      </c>
      <c r="N771" s="2">
        <v>3</v>
      </c>
      <c r="O771" s="2" t="s">
        <v>1843</v>
      </c>
      <c r="P771" t="s">
        <v>1127</v>
      </c>
    </row>
    <row r="772" spans="1:16" ht="17.25" customHeight="1" x14ac:dyDescent="0.2">
      <c r="A772" s="18" t="s">
        <v>973</v>
      </c>
      <c r="B772" s="18" t="s">
        <v>4182</v>
      </c>
      <c r="C772" s="18" t="s">
        <v>1838</v>
      </c>
      <c r="D772" s="18" t="s">
        <v>3672</v>
      </c>
      <c r="E772" s="2" t="str">
        <f t="shared" si="57"/>
        <v>p</v>
      </c>
      <c r="F772" s="2">
        <f t="shared" si="58"/>
        <v>16</v>
      </c>
      <c r="G772" s="2">
        <v>2016</v>
      </c>
      <c r="H772" s="2" t="s">
        <v>3689</v>
      </c>
      <c r="I772" s="2" t="s">
        <v>3674</v>
      </c>
      <c r="J772" s="2" t="s">
        <v>3522</v>
      </c>
      <c r="K772" s="2"/>
      <c r="L772" s="2" t="s">
        <v>4186</v>
      </c>
      <c r="M772" s="2">
        <v>1</v>
      </c>
      <c r="N772" s="2">
        <v>3</v>
      </c>
      <c r="O772" s="2" t="s">
        <v>1843</v>
      </c>
      <c r="P772" t="s">
        <v>1127</v>
      </c>
    </row>
    <row r="773" spans="1:16" ht="17.25" customHeight="1" x14ac:dyDescent="0.2">
      <c r="A773" s="18" t="s">
        <v>973</v>
      </c>
      <c r="B773" s="18" t="s">
        <v>4182</v>
      </c>
      <c r="C773" s="18" t="s">
        <v>1838</v>
      </c>
      <c r="D773" s="18" t="s">
        <v>3672</v>
      </c>
      <c r="E773" s="2" t="str">
        <f t="shared" si="57"/>
        <v>q</v>
      </c>
      <c r="F773" s="2">
        <f t="shared" si="58"/>
        <v>17</v>
      </c>
      <c r="G773" s="2">
        <v>2017</v>
      </c>
      <c r="H773" s="2" t="s">
        <v>3690</v>
      </c>
      <c r="I773" s="2" t="s">
        <v>3674</v>
      </c>
      <c r="J773" s="2" t="s">
        <v>3522</v>
      </c>
      <c r="K773" s="2"/>
      <c r="L773" s="2" t="s">
        <v>4186</v>
      </c>
      <c r="M773" s="2">
        <v>1</v>
      </c>
      <c r="N773" s="2">
        <v>3</v>
      </c>
      <c r="O773" s="2" t="s">
        <v>1843</v>
      </c>
      <c r="P773" t="s">
        <v>1127</v>
      </c>
    </row>
    <row r="774" spans="1:16" ht="17.25" customHeight="1" x14ac:dyDescent="0.2">
      <c r="A774" s="18" t="s">
        <v>973</v>
      </c>
      <c r="B774" s="18" t="s">
        <v>4182</v>
      </c>
      <c r="C774" s="18" t="s">
        <v>1838</v>
      </c>
      <c r="D774" s="18" t="s">
        <v>3672</v>
      </c>
      <c r="E774" s="2" t="str">
        <f t="shared" si="57"/>
        <v>r</v>
      </c>
      <c r="F774" s="2">
        <f t="shared" si="58"/>
        <v>18</v>
      </c>
      <c r="G774" s="2">
        <v>2018</v>
      </c>
      <c r="H774" s="2" t="s">
        <v>3718</v>
      </c>
      <c r="I774" s="2" t="s">
        <v>3674</v>
      </c>
      <c r="J774" s="2" t="s">
        <v>3522</v>
      </c>
      <c r="K774" s="2"/>
      <c r="L774" s="2" t="s">
        <v>4186</v>
      </c>
      <c r="M774" s="2">
        <v>1</v>
      </c>
      <c r="N774" s="2">
        <v>3</v>
      </c>
      <c r="O774" s="2" t="s">
        <v>1843</v>
      </c>
      <c r="P774" t="s">
        <v>1127</v>
      </c>
    </row>
    <row r="775" spans="1:16" ht="17.25" customHeight="1" x14ac:dyDescent="0.2">
      <c r="A775" s="18" t="s">
        <v>973</v>
      </c>
      <c r="B775" s="18" t="s">
        <v>4182</v>
      </c>
      <c r="C775" s="18" t="s">
        <v>1838</v>
      </c>
      <c r="D775" s="18" t="s">
        <v>3691</v>
      </c>
      <c r="E775" s="2" t="str">
        <f t="shared" si="57"/>
        <v>a</v>
      </c>
      <c r="F775" s="2">
        <f t="shared" si="58"/>
        <v>1</v>
      </c>
      <c r="G775" s="2">
        <v>2001</v>
      </c>
      <c r="H775" s="2" t="s">
        <v>3692</v>
      </c>
      <c r="I775" s="2" t="s">
        <v>3693</v>
      </c>
      <c r="J775" s="2" t="s">
        <v>3522</v>
      </c>
      <c r="K775" s="2"/>
      <c r="L775" s="2" t="s">
        <v>4186</v>
      </c>
      <c r="M775" s="2">
        <v>1</v>
      </c>
      <c r="N775" s="2">
        <v>3</v>
      </c>
      <c r="O775" s="2" t="s">
        <v>1843</v>
      </c>
      <c r="P775" t="s">
        <v>1127</v>
      </c>
    </row>
    <row r="776" spans="1:16" ht="17.25" customHeight="1" x14ac:dyDescent="0.2">
      <c r="A776" s="18" t="s">
        <v>973</v>
      </c>
      <c r="B776" s="18" t="s">
        <v>4182</v>
      </c>
      <c r="C776" s="18" t="s">
        <v>1838</v>
      </c>
      <c r="D776" s="18" t="s">
        <v>3691</v>
      </c>
      <c r="E776" s="2" t="str">
        <f t="shared" si="57"/>
        <v>b</v>
      </c>
      <c r="F776" s="2">
        <f t="shared" si="58"/>
        <v>2</v>
      </c>
      <c r="G776" s="2">
        <v>2002</v>
      </c>
      <c r="H776" s="2" t="s">
        <v>3694</v>
      </c>
      <c r="I776" s="2" t="s">
        <v>3693</v>
      </c>
      <c r="J776" s="2" t="s">
        <v>3522</v>
      </c>
      <c r="K776" s="2"/>
      <c r="L776" s="2" t="s">
        <v>4186</v>
      </c>
      <c r="M776" s="2">
        <v>1</v>
      </c>
      <c r="N776" s="2">
        <v>3</v>
      </c>
      <c r="O776" s="2" t="s">
        <v>1843</v>
      </c>
      <c r="P776" t="s">
        <v>1127</v>
      </c>
    </row>
    <row r="777" spans="1:16" ht="17.25" customHeight="1" x14ac:dyDescent="0.2">
      <c r="A777" s="18" t="s">
        <v>973</v>
      </c>
      <c r="B777" s="18" t="s">
        <v>4182</v>
      </c>
      <c r="C777" s="18" t="s">
        <v>1838</v>
      </c>
      <c r="D777" s="18" t="s">
        <v>3691</v>
      </c>
      <c r="E777" s="2" t="str">
        <f t="shared" si="57"/>
        <v>c</v>
      </c>
      <c r="F777" s="2">
        <f t="shared" si="58"/>
        <v>3</v>
      </c>
      <c r="G777" s="2">
        <v>2003</v>
      </c>
      <c r="H777" s="2" t="s">
        <v>3695</v>
      </c>
      <c r="I777" s="2" t="s">
        <v>3693</v>
      </c>
      <c r="J777" s="2" t="s">
        <v>3522</v>
      </c>
      <c r="K777" s="2"/>
      <c r="L777" s="2" t="s">
        <v>4186</v>
      </c>
      <c r="M777" s="2">
        <v>1</v>
      </c>
      <c r="N777" s="2">
        <v>3</v>
      </c>
      <c r="O777" s="2" t="s">
        <v>1843</v>
      </c>
      <c r="P777" t="s">
        <v>1127</v>
      </c>
    </row>
    <row r="778" spans="1:16" ht="17.25" customHeight="1" x14ac:dyDescent="0.2">
      <c r="A778" s="18" t="s">
        <v>973</v>
      </c>
      <c r="B778" s="18" t="s">
        <v>4182</v>
      </c>
      <c r="C778" s="18" t="s">
        <v>1838</v>
      </c>
      <c r="D778" s="18" t="s">
        <v>3691</v>
      </c>
      <c r="E778" s="2" t="str">
        <f t="shared" si="57"/>
        <v>d</v>
      </c>
      <c r="F778" s="2">
        <f t="shared" si="58"/>
        <v>4</v>
      </c>
      <c r="G778" s="2">
        <v>2004</v>
      </c>
      <c r="H778" s="2" t="s">
        <v>3696</v>
      </c>
      <c r="I778" s="2" t="s">
        <v>3693</v>
      </c>
      <c r="J778" s="2" t="s">
        <v>3522</v>
      </c>
      <c r="K778" s="2"/>
      <c r="L778" s="2" t="s">
        <v>4186</v>
      </c>
      <c r="M778" s="2">
        <v>1</v>
      </c>
      <c r="N778" s="2">
        <v>3</v>
      </c>
      <c r="O778" s="2" t="s">
        <v>1843</v>
      </c>
      <c r="P778" t="s">
        <v>1127</v>
      </c>
    </row>
    <row r="779" spans="1:16" ht="17.25" customHeight="1" x14ac:dyDescent="0.2">
      <c r="A779" s="18" t="s">
        <v>973</v>
      </c>
      <c r="B779" s="18" t="s">
        <v>4182</v>
      </c>
      <c r="C779" s="18" t="s">
        <v>1838</v>
      </c>
      <c r="D779" s="18" t="s">
        <v>3691</v>
      </c>
      <c r="E779" s="2" t="str">
        <f t="shared" si="57"/>
        <v>e</v>
      </c>
      <c r="F779" s="2">
        <f t="shared" si="58"/>
        <v>5</v>
      </c>
      <c r="G779" s="2">
        <v>2005</v>
      </c>
      <c r="H779" s="2" t="s">
        <v>3697</v>
      </c>
      <c r="I779" s="2" t="s">
        <v>3693</v>
      </c>
      <c r="J779" s="2" t="s">
        <v>3522</v>
      </c>
      <c r="K779" s="2"/>
      <c r="L779" s="2" t="s">
        <v>4186</v>
      </c>
      <c r="M779" s="2">
        <v>1</v>
      </c>
      <c r="N779" s="2">
        <v>3</v>
      </c>
      <c r="O779" s="2" t="s">
        <v>1843</v>
      </c>
      <c r="P779" t="s">
        <v>1127</v>
      </c>
    </row>
    <row r="780" spans="1:16" ht="17.25" customHeight="1" x14ac:dyDescent="0.2">
      <c r="A780" s="18" t="s">
        <v>973</v>
      </c>
      <c r="B780" s="18" t="s">
        <v>4182</v>
      </c>
      <c r="C780" s="18" t="s">
        <v>1838</v>
      </c>
      <c r="D780" s="18" t="s">
        <v>3691</v>
      </c>
      <c r="E780" s="2" t="str">
        <f t="shared" si="57"/>
        <v>f</v>
      </c>
      <c r="F780" s="2">
        <f t="shared" si="58"/>
        <v>6</v>
      </c>
      <c r="G780" s="2">
        <v>2006</v>
      </c>
      <c r="H780" s="2" t="s">
        <v>3698</v>
      </c>
      <c r="I780" s="2" t="s">
        <v>3693</v>
      </c>
      <c r="J780" s="2" t="s">
        <v>3522</v>
      </c>
      <c r="K780" s="2"/>
      <c r="L780" s="2" t="s">
        <v>4186</v>
      </c>
      <c r="M780" s="2">
        <v>1</v>
      </c>
      <c r="N780" s="2">
        <v>3</v>
      </c>
      <c r="O780" s="2" t="s">
        <v>1843</v>
      </c>
      <c r="P780" t="s">
        <v>1127</v>
      </c>
    </row>
    <row r="781" spans="1:16" ht="17.25" customHeight="1" x14ac:dyDescent="0.2">
      <c r="A781" s="18" t="s">
        <v>973</v>
      </c>
      <c r="B781" s="18" t="s">
        <v>4182</v>
      </c>
      <c r="C781" s="18" t="s">
        <v>1838</v>
      </c>
      <c r="D781" s="18" t="s">
        <v>3691</v>
      </c>
      <c r="E781" s="2" t="str">
        <f t="shared" si="57"/>
        <v>g</v>
      </c>
      <c r="F781" s="2">
        <f t="shared" si="58"/>
        <v>7</v>
      </c>
      <c r="G781" s="2">
        <v>2007</v>
      </c>
      <c r="H781" s="2" t="s">
        <v>3699</v>
      </c>
      <c r="I781" s="2" t="s">
        <v>3693</v>
      </c>
      <c r="J781" s="2" t="s">
        <v>3522</v>
      </c>
      <c r="K781" s="2"/>
      <c r="L781" s="2" t="s">
        <v>4186</v>
      </c>
      <c r="M781" s="2">
        <v>1</v>
      </c>
      <c r="N781" s="2">
        <v>3</v>
      </c>
      <c r="O781" s="2" t="s">
        <v>1843</v>
      </c>
      <c r="P781" t="s">
        <v>1127</v>
      </c>
    </row>
    <row r="782" spans="1:16" ht="17.25" customHeight="1" x14ac:dyDescent="0.2">
      <c r="A782" s="18" t="s">
        <v>973</v>
      </c>
      <c r="B782" s="18" t="s">
        <v>4182</v>
      </c>
      <c r="C782" s="18" t="s">
        <v>1838</v>
      </c>
      <c r="D782" s="18" t="s">
        <v>3691</v>
      </c>
      <c r="E782" s="2" t="str">
        <f t="shared" si="57"/>
        <v>h</v>
      </c>
      <c r="F782" s="2">
        <f t="shared" si="58"/>
        <v>8</v>
      </c>
      <c r="G782" s="2">
        <v>2008</v>
      </c>
      <c r="H782" s="2" t="s">
        <v>3700</v>
      </c>
      <c r="I782" s="2" t="s">
        <v>3693</v>
      </c>
      <c r="J782" s="2" t="s">
        <v>3522</v>
      </c>
      <c r="K782" s="2"/>
      <c r="L782" s="2" t="s">
        <v>4186</v>
      </c>
      <c r="M782" s="2">
        <v>1</v>
      </c>
      <c r="N782" s="2">
        <v>3</v>
      </c>
      <c r="O782" s="2" t="s">
        <v>1843</v>
      </c>
      <c r="P782" t="s">
        <v>1127</v>
      </c>
    </row>
    <row r="783" spans="1:16" ht="17.25" customHeight="1" x14ac:dyDescent="0.2">
      <c r="A783" s="18" t="s">
        <v>973</v>
      </c>
      <c r="B783" s="18" t="s">
        <v>4182</v>
      </c>
      <c r="C783" s="18" t="s">
        <v>1838</v>
      </c>
      <c r="D783" s="18" t="s">
        <v>3691</v>
      </c>
      <c r="E783" s="2" t="str">
        <f t="shared" si="57"/>
        <v>i</v>
      </c>
      <c r="F783" s="2">
        <f t="shared" si="58"/>
        <v>9</v>
      </c>
      <c r="G783" s="2">
        <v>2009</v>
      </c>
      <c r="H783" s="2" t="s">
        <v>3701</v>
      </c>
      <c r="I783" s="2" t="s">
        <v>3693</v>
      </c>
      <c r="J783" s="2" t="s">
        <v>3522</v>
      </c>
      <c r="K783" s="2"/>
      <c r="L783" s="2" t="s">
        <v>4186</v>
      </c>
      <c r="M783" s="2">
        <v>1</v>
      </c>
      <c r="N783" s="2">
        <v>3</v>
      </c>
      <c r="O783" s="2" t="s">
        <v>1843</v>
      </c>
      <c r="P783" t="s">
        <v>1127</v>
      </c>
    </row>
    <row r="784" spans="1:16" ht="17.25" customHeight="1" x14ac:dyDescent="0.2">
      <c r="A784" s="18" t="s">
        <v>973</v>
      </c>
      <c r="B784" s="18" t="s">
        <v>4182</v>
      </c>
      <c r="C784" s="18" t="s">
        <v>1838</v>
      </c>
      <c r="D784" s="18" t="s">
        <v>3691</v>
      </c>
      <c r="E784" s="2" t="str">
        <f t="shared" si="57"/>
        <v>j</v>
      </c>
      <c r="F784" s="2">
        <f t="shared" si="58"/>
        <v>10</v>
      </c>
      <c r="G784" s="2">
        <v>2010</v>
      </c>
      <c r="H784" s="2" t="s">
        <v>3702</v>
      </c>
      <c r="I784" s="2" t="s">
        <v>3693</v>
      </c>
      <c r="J784" s="2" t="s">
        <v>3522</v>
      </c>
      <c r="K784" s="2"/>
      <c r="L784" s="2" t="s">
        <v>4186</v>
      </c>
      <c r="M784" s="2">
        <v>1</v>
      </c>
      <c r="N784" s="2">
        <v>3</v>
      </c>
      <c r="O784" s="2" t="s">
        <v>1843</v>
      </c>
      <c r="P784" t="s">
        <v>1127</v>
      </c>
    </row>
    <row r="785" spans="1:16" ht="17.25" customHeight="1" x14ac:dyDescent="0.2">
      <c r="A785" s="18" t="s">
        <v>973</v>
      </c>
      <c r="B785" s="18" t="s">
        <v>4182</v>
      </c>
      <c r="C785" s="18" t="s">
        <v>1838</v>
      </c>
      <c r="D785" s="18" t="s">
        <v>3691</v>
      </c>
      <c r="E785" s="2" t="str">
        <f t="shared" si="57"/>
        <v>k</v>
      </c>
      <c r="F785" s="2">
        <f t="shared" si="58"/>
        <v>11</v>
      </c>
      <c r="G785" s="2">
        <v>2011</v>
      </c>
      <c r="H785" s="2" t="s">
        <v>3703</v>
      </c>
      <c r="I785" s="2" t="s">
        <v>3693</v>
      </c>
      <c r="J785" s="2" t="s">
        <v>3522</v>
      </c>
      <c r="K785" s="2"/>
      <c r="L785" s="2" t="s">
        <v>4186</v>
      </c>
      <c r="M785" s="2">
        <v>1</v>
      </c>
      <c r="N785" s="2">
        <v>3</v>
      </c>
      <c r="O785" s="2" t="s">
        <v>1843</v>
      </c>
      <c r="P785" t="s">
        <v>1127</v>
      </c>
    </row>
    <row r="786" spans="1:16" ht="17.25" customHeight="1" x14ac:dyDescent="0.2">
      <c r="A786" s="18" t="s">
        <v>973</v>
      </c>
      <c r="B786" s="18" t="s">
        <v>4182</v>
      </c>
      <c r="C786" s="18" t="s">
        <v>1838</v>
      </c>
      <c r="D786" s="18" t="s">
        <v>3691</v>
      </c>
      <c r="E786" s="2" t="str">
        <f t="shared" si="57"/>
        <v>l</v>
      </c>
      <c r="F786" s="2">
        <f t="shared" si="58"/>
        <v>12</v>
      </c>
      <c r="G786" s="2">
        <v>2012</v>
      </c>
      <c r="H786" s="2" t="s">
        <v>3704</v>
      </c>
      <c r="I786" s="2" t="s">
        <v>3693</v>
      </c>
      <c r="J786" s="2" t="s">
        <v>3522</v>
      </c>
      <c r="K786" s="2"/>
      <c r="L786" s="2" t="s">
        <v>4186</v>
      </c>
      <c r="M786" s="2">
        <v>1</v>
      </c>
      <c r="N786" s="2">
        <v>3</v>
      </c>
      <c r="O786" s="2" t="s">
        <v>1843</v>
      </c>
      <c r="P786" t="s">
        <v>1127</v>
      </c>
    </row>
    <row r="787" spans="1:16" ht="17.25" customHeight="1" x14ac:dyDescent="0.2">
      <c r="A787" s="18" t="s">
        <v>973</v>
      </c>
      <c r="B787" s="18" t="s">
        <v>4182</v>
      </c>
      <c r="C787" s="18" t="s">
        <v>1838</v>
      </c>
      <c r="D787" s="18" t="s">
        <v>3691</v>
      </c>
      <c r="E787" s="2" t="str">
        <f t="shared" si="57"/>
        <v>m</v>
      </c>
      <c r="F787" s="2">
        <f t="shared" si="58"/>
        <v>13</v>
      </c>
      <c r="G787" s="2">
        <v>2013</v>
      </c>
      <c r="H787" s="2" t="s">
        <v>3705</v>
      </c>
      <c r="I787" s="2" t="s">
        <v>3693</v>
      </c>
      <c r="J787" s="2" t="s">
        <v>3522</v>
      </c>
      <c r="K787" s="2"/>
      <c r="L787" s="2" t="s">
        <v>4186</v>
      </c>
      <c r="M787" s="2">
        <v>1</v>
      </c>
      <c r="N787" s="2">
        <v>3</v>
      </c>
      <c r="O787" s="2" t="s">
        <v>1843</v>
      </c>
      <c r="P787" t="s">
        <v>1127</v>
      </c>
    </row>
    <row r="788" spans="1:16" ht="17.25" customHeight="1" x14ac:dyDescent="0.2">
      <c r="A788" s="18" t="s">
        <v>973</v>
      </c>
      <c r="B788" s="18" t="s">
        <v>4182</v>
      </c>
      <c r="C788" s="18" t="s">
        <v>1838</v>
      </c>
      <c r="D788" s="18" t="s">
        <v>3691</v>
      </c>
      <c r="E788" s="2" t="str">
        <f t="shared" ref="E788:E851" si="59">MID("abcdefghijklmnopqrstuvwxyz",F788,1)</f>
        <v>n</v>
      </c>
      <c r="F788" s="2">
        <f t="shared" ref="F788:F851" si="60">G788-2000</f>
        <v>14</v>
      </c>
      <c r="G788" s="2">
        <v>2014</v>
      </c>
      <c r="H788" s="2" t="s">
        <v>3706</v>
      </c>
      <c r="I788" s="2" t="s">
        <v>3693</v>
      </c>
      <c r="J788" s="2" t="s">
        <v>3522</v>
      </c>
      <c r="K788" s="2"/>
      <c r="L788" s="2" t="s">
        <v>4186</v>
      </c>
      <c r="M788" s="2">
        <v>1</v>
      </c>
      <c r="N788" s="2">
        <v>3</v>
      </c>
      <c r="O788" s="2" t="s">
        <v>1843</v>
      </c>
      <c r="P788" t="s">
        <v>1127</v>
      </c>
    </row>
    <row r="789" spans="1:16" ht="17.25" customHeight="1" x14ac:dyDescent="0.2">
      <c r="A789" s="18" t="s">
        <v>973</v>
      </c>
      <c r="B789" s="18" t="s">
        <v>4182</v>
      </c>
      <c r="C789" s="18" t="s">
        <v>1838</v>
      </c>
      <c r="D789" s="18" t="s">
        <v>3691</v>
      </c>
      <c r="E789" s="2" t="str">
        <f t="shared" si="59"/>
        <v>o</v>
      </c>
      <c r="F789" s="2">
        <f t="shared" si="60"/>
        <v>15</v>
      </c>
      <c r="G789" s="2">
        <v>2015</v>
      </c>
      <c r="H789" s="2" t="s">
        <v>3707</v>
      </c>
      <c r="I789" s="2" t="s">
        <v>3693</v>
      </c>
      <c r="J789" s="2" t="s">
        <v>3522</v>
      </c>
      <c r="K789" s="2"/>
      <c r="L789" s="2" t="s">
        <v>4186</v>
      </c>
      <c r="M789" s="2">
        <v>1</v>
      </c>
      <c r="N789" s="2">
        <v>3</v>
      </c>
      <c r="O789" s="2" t="s">
        <v>1843</v>
      </c>
      <c r="P789" t="s">
        <v>1127</v>
      </c>
    </row>
    <row r="790" spans="1:16" ht="17.25" customHeight="1" x14ac:dyDescent="0.2">
      <c r="A790" s="18" t="s">
        <v>973</v>
      </c>
      <c r="B790" s="18" t="s">
        <v>4182</v>
      </c>
      <c r="C790" s="18" t="s">
        <v>1838</v>
      </c>
      <c r="D790" s="18" t="s">
        <v>3691</v>
      </c>
      <c r="E790" s="2" t="str">
        <f t="shared" si="59"/>
        <v>p</v>
      </c>
      <c r="F790" s="2">
        <f t="shared" si="60"/>
        <v>16</v>
      </c>
      <c r="G790" s="2">
        <v>2016</v>
      </c>
      <c r="H790" s="2" t="s">
        <v>3708</v>
      </c>
      <c r="I790" s="2" t="s">
        <v>3693</v>
      </c>
      <c r="J790" s="2" t="s">
        <v>3522</v>
      </c>
      <c r="K790" s="2"/>
      <c r="L790" s="2" t="s">
        <v>4186</v>
      </c>
      <c r="M790" s="2">
        <v>1</v>
      </c>
      <c r="N790" s="2">
        <v>3</v>
      </c>
      <c r="O790" s="2" t="s">
        <v>1843</v>
      </c>
      <c r="P790" t="s">
        <v>1127</v>
      </c>
    </row>
    <row r="791" spans="1:16" ht="17.25" customHeight="1" x14ac:dyDescent="0.2">
      <c r="A791" s="18" t="s">
        <v>973</v>
      </c>
      <c r="B791" s="18" t="s">
        <v>4182</v>
      </c>
      <c r="C791" s="18" t="s">
        <v>1838</v>
      </c>
      <c r="D791" s="18" t="s">
        <v>3691</v>
      </c>
      <c r="E791" s="2" t="str">
        <f t="shared" si="59"/>
        <v>q</v>
      </c>
      <c r="F791" s="2">
        <f t="shared" si="60"/>
        <v>17</v>
      </c>
      <c r="G791" s="2">
        <v>2017</v>
      </c>
      <c r="H791" s="2" t="s">
        <v>3709</v>
      </c>
      <c r="I791" s="2" t="s">
        <v>3693</v>
      </c>
      <c r="J791" s="2" t="s">
        <v>3522</v>
      </c>
      <c r="K791" s="2"/>
      <c r="L791" s="2" t="s">
        <v>4186</v>
      </c>
      <c r="M791" s="2">
        <v>1</v>
      </c>
      <c r="N791" s="2">
        <v>3</v>
      </c>
      <c r="O791" s="2" t="s">
        <v>1843</v>
      </c>
      <c r="P791" t="s">
        <v>1127</v>
      </c>
    </row>
    <row r="792" spans="1:16" ht="17.25" customHeight="1" x14ac:dyDescent="0.2">
      <c r="A792" s="18" t="s">
        <v>973</v>
      </c>
      <c r="B792" s="18" t="s">
        <v>4182</v>
      </c>
      <c r="C792" s="18" t="s">
        <v>1838</v>
      </c>
      <c r="D792" s="18" t="s">
        <v>3691</v>
      </c>
      <c r="E792" s="2" t="str">
        <f t="shared" si="59"/>
        <v>r</v>
      </c>
      <c r="F792" s="2">
        <f t="shared" si="60"/>
        <v>18</v>
      </c>
      <c r="G792" s="2">
        <v>2018</v>
      </c>
      <c r="H792" s="2" t="s">
        <v>3719</v>
      </c>
      <c r="I792" s="2" t="s">
        <v>3693</v>
      </c>
      <c r="J792" s="2" t="s">
        <v>3522</v>
      </c>
      <c r="K792" s="2"/>
      <c r="L792" s="2" t="s">
        <v>4186</v>
      </c>
      <c r="M792" s="2">
        <v>1</v>
      </c>
      <c r="N792" s="2">
        <v>3</v>
      </c>
      <c r="O792" s="2" t="s">
        <v>1843</v>
      </c>
      <c r="P792" t="s">
        <v>1127</v>
      </c>
    </row>
    <row r="793" spans="1:16" ht="17.25" customHeight="1" x14ac:dyDescent="0.2">
      <c r="A793" s="17" t="s">
        <v>973</v>
      </c>
      <c r="B793" s="17" t="s">
        <v>4182</v>
      </c>
      <c r="C793" s="17" t="s">
        <v>1639</v>
      </c>
      <c r="D793" s="17" t="s">
        <v>3720</v>
      </c>
      <c r="E793" s="2" t="str">
        <f t="shared" si="59"/>
        <v>a</v>
      </c>
      <c r="F793" s="2">
        <f t="shared" si="60"/>
        <v>1</v>
      </c>
      <c r="G793" s="2">
        <v>2001</v>
      </c>
      <c r="H793" s="2" t="str">
        <f>_xlfn.CONCAT(E793,"lssupac")</f>
        <v>alssupac</v>
      </c>
      <c r="I793" s="2" t="s">
        <v>3721</v>
      </c>
      <c r="J793" s="34" t="s">
        <v>3455</v>
      </c>
      <c r="K793" s="2" t="s">
        <v>1520</v>
      </c>
      <c r="L793" s="2" t="s">
        <v>8</v>
      </c>
      <c r="M793" s="2">
        <v>1</v>
      </c>
      <c r="N793" s="2">
        <v>7</v>
      </c>
      <c r="O793" s="2" t="s">
        <v>1527</v>
      </c>
      <c r="P793" s="2" t="s">
        <v>3462</v>
      </c>
    </row>
    <row r="794" spans="1:16" ht="17.25" customHeight="1" x14ac:dyDescent="0.2">
      <c r="A794" s="17" t="s">
        <v>973</v>
      </c>
      <c r="B794" s="17" t="s">
        <v>4182</v>
      </c>
      <c r="C794" s="17" t="s">
        <v>1639</v>
      </c>
      <c r="D794" s="17" t="s">
        <v>3720</v>
      </c>
      <c r="E794" s="2" t="str">
        <f t="shared" si="59"/>
        <v>b</v>
      </c>
      <c r="F794" s="2">
        <f t="shared" si="60"/>
        <v>2</v>
      </c>
      <c r="G794" s="2">
        <v>2002</v>
      </c>
      <c r="H794" s="2" t="str">
        <f t="shared" ref="H794:H810" si="61">_xlfn.CONCAT(E794,"lssupac")</f>
        <v>blssupac</v>
      </c>
      <c r="I794" s="2" t="s">
        <v>3721</v>
      </c>
      <c r="J794" s="34" t="s">
        <v>3455</v>
      </c>
      <c r="K794" s="2" t="s">
        <v>1520</v>
      </c>
      <c r="L794" s="2" t="s">
        <v>8</v>
      </c>
      <c r="M794" s="2">
        <v>1</v>
      </c>
      <c r="N794" s="2">
        <v>7</v>
      </c>
      <c r="O794" s="2" t="s">
        <v>1527</v>
      </c>
      <c r="P794" s="2" t="s">
        <v>3462</v>
      </c>
    </row>
    <row r="795" spans="1:16" ht="17.25" customHeight="1" x14ac:dyDescent="0.2">
      <c r="A795" s="17" t="s">
        <v>973</v>
      </c>
      <c r="B795" s="17" t="s">
        <v>4182</v>
      </c>
      <c r="C795" s="17" t="s">
        <v>1639</v>
      </c>
      <c r="D795" s="17" t="s">
        <v>3720</v>
      </c>
      <c r="E795" s="2" t="str">
        <f t="shared" si="59"/>
        <v>c</v>
      </c>
      <c r="F795" s="2">
        <f t="shared" si="60"/>
        <v>3</v>
      </c>
      <c r="G795" s="2">
        <v>2003</v>
      </c>
      <c r="H795" s="2" t="str">
        <f t="shared" si="61"/>
        <v>clssupac</v>
      </c>
      <c r="I795" s="2" t="s">
        <v>3721</v>
      </c>
      <c r="J795" s="34" t="s">
        <v>3455</v>
      </c>
      <c r="K795" s="2" t="s">
        <v>1520</v>
      </c>
      <c r="L795" s="2" t="s">
        <v>8</v>
      </c>
      <c r="M795" s="2">
        <v>1</v>
      </c>
      <c r="N795" s="2">
        <v>7</v>
      </c>
      <c r="O795" s="2" t="s">
        <v>1527</v>
      </c>
      <c r="P795" s="2" t="s">
        <v>3462</v>
      </c>
    </row>
    <row r="796" spans="1:16" ht="17.25" customHeight="1" x14ac:dyDescent="0.2">
      <c r="A796" s="17" t="s">
        <v>973</v>
      </c>
      <c r="B796" s="17" t="s">
        <v>4182</v>
      </c>
      <c r="C796" s="17" t="s">
        <v>1639</v>
      </c>
      <c r="D796" s="17" t="s">
        <v>3720</v>
      </c>
      <c r="E796" s="2" t="str">
        <f t="shared" si="59"/>
        <v>d</v>
      </c>
      <c r="F796" s="2">
        <f t="shared" si="60"/>
        <v>4</v>
      </c>
      <c r="G796" s="2">
        <v>2004</v>
      </c>
      <c r="H796" s="2" t="str">
        <f t="shared" si="61"/>
        <v>dlssupac</v>
      </c>
      <c r="I796" s="2" t="s">
        <v>3721</v>
      </c>
      <c r="J796" s="34" t="s">
        <v>3455</v>
      </c>
      <c r="K796" s="2" t="s">
        <v>1520</v>
      </c>
      <c r="L796" s="2" t="s">
        <v>8</v>
      </c>
      <c r="M796" s="2">
        <v>1</v>
      </c>
      <c r="N796" s="2">
        <v>7</v>
      </c>
      <c r="O796" s="2" t="s">
        <v>1527</v>
      </c>
      <c r="P796" s="2" t="s">
        <v>3462</v>
      </c>
    </row>
    <row r="797" spans="1:16" ht="17.25" customHeight="1" x14ac:dyDescent="0.2">
      <c r="A797" s="17" t="s">
        <v>973</v>
      </c>
      <c r="B797" s="17" t="s">
        <v>4182</v>
      </c>
      <c r="C797" s="17" t="s">
        <v>1639</v>
      </c>
      <c r="D797" s="17" t="s">
        <v>3720</v>
      </c>
      <c r="E797" s="2" t="str">
        <f t="shared" si="59"/>
        <v>e</v>
      </c>
      <c r="F797" s="2">
        <f t="shared" si="60"/>
        <v>5</v>
      </c>
      <c r="G797" s="2">
        <v>2005</v>
      </c>
      <c r="H797" s="2" t="str">
        <f t="shared" si="61"/>
        <v>elssupac</v>
      </c>
      <c r="I797" s="2" t="s">
        <v>3721</v>
      </c>
      <c r="J797" s="34" t="s">
        <v>3455</v>
      </c>
      <c r="K797" s="2" t="s">
        <v>1520</v>
      </c>
      <c r="L797" s="2" t="s">
        <v>8</v>
      </c>
      <c r="M797" s="2">
        <v>1</v>
      </c>
      <c r="N797" s="2">
        <v>7</v>
      </c>
      <c r="O797" s="2" t="s">
        <v>1527</v>
      </c>
      <c r="P797" s="2" t="s">
        <v>3462</v>
      </c>
    </row>
    <row r="798" spans="1:16" ht="17.25" customHeight="1" x14ac:dyDescent="0.2">
      <c r="A798" s="17" t="s">
        <v>973</v>
      </c>
      <c r="B798" s="17" t="s">
        <v>4182</v>
      </c>
      <c r="C798" s="17" t="s">
        <v>1639</v>
      </c>
      <c r="D798" s="17" t="s">
        <v>3720</v>
      </c>
      <c r="E798" s="2" t="str">
        <f t="shared" si="59"/>
        <v>f</v>
      </c>
      <c r="F798" s="2">
        <f t="shared" si="60"/>
        <v>6</v>
      </c>
      <c r="G798" s="2">
        <v>2006</v>
      </c>
      <c r="H798" s="2" t="str">
        <f t="shared" si="61"/>
        <v>flssupac</v>
      </c>
      <c r="I798" s="2" t="s">
        <v>3721</v>
      </c>
      <c r="J798" s="34" t="s">
        <v>3455</v>
      </c>
      <c r="K798" s="2" t="s">
        <v>1520</v>
      </c>
      <c r="L798" s="2" t="s">
        <v>8</v>
      </c>
      <c r="M798" s="2">
        <v>1</v>
      </c>
      <c r="N798" s="2">
        <v>7</v>
      </c>
      <c r="O798" s="2" t="s">
        <v>1527</v>
      </c>
      <c r="P798" s="2" t="s">
        <v>3462</v>
      </c>
    </row>
    <row r="799" spans="1:16" ht="17.25" customHeight="1" x14ac:dyDescent="0.2">
      <c r="A799" s="17" t="s">
        <v>973</v>
      </c>
      <c r="B799" s="17" t="s">
        <v>4182</v>
      </c>
      <c r="C799" s="17" t="s">
        <v>1639</v>
      </c>
      <c r="D799" s="17" t="s">
        <v>3720</v>
      </c>
      <c r="E799" s="2" t="str">
        <f t="shared" si="59"/>
        <v>g</v>
      </c>
      <c r="F799" s="2">
        <f t="shared" si="60"/>
        <v>7</v>
      </c>
      <c r="G799" s="2">
        <v>2007</v>
      </c>
      <c r="H799" s="2" t="str">
        <f t="shared" si="61"/>
        <v>glssupac</v>
      </c>
      <c r="I799" s="2" t="s">
        <v>3721</v>
      </c>
      <c r="J799" s="34" t="s">
        <v>3455</v>
      </c>
      <c r="K799" s="2" t="s">
        <v>1520</v>
      </c>
      <c r="L799" s="2" t="s">
        <v>8</v>
      </c>
      <c r="M799" s="2">
        <v>1</v>
      </c>
      <c r="N799" s="2">
        <v>7</v>
      </c>
      <c r="O799" s="2" t="s">
        <v>1527</v>
      </c>
      <c r="P799" s="2" t="s">
        <v>3462</v>
      </c>
    </row>
    <row r="800" spans="1:16" ht="17.25" customHeight="1" x14ac:dyDescent="0.2">
      <c r="A800" s="17" t="s">
        <v>973</v>
      </c>
      <c r="B800" s="17" t="s">
        <v>4182</v>
      </c>
      <c r="C800" s="17" t="s">
        <v>1639</v>
      </c>
      <c r="D800" s="17" t="s">
        <v>3720</v>
      </c>
      <c r="E800" s="2" t="str">
        <f t="shared" si="59"/>
        <v>h</v>
      </c>
      <c r="F800" s="2">
        <f t="shared" si="60"/>
        <v>8</v>
      </c>
      <c r="G800" s="2">
        <v>2008</v>
      </c>
      <c r="H800" s="2" t="str">
        <f t="shared" si="61"/>
        <v>hlssupac</v>
      </c>
      <c r="I800" s="2" t="s">
        <v>3721</v>
      </c>
      <c r="J800" s="34" t="s">
        <v>3455</v>
      </c>
      <c r="K800" s="2" t="s">
        <v>1520</v>
      </c>
      <c r="L800" s="2" t="s">
        <v>8</v>
      </c>
      <c r="M800" s="2">
        <v>1</v>
      </c>
      <c r="N800" s="2">
        <v>7</v>
      </c>
      <c r="O800" s="2" t="s">
        <v>1527</v>
      </c>
      <c r="P800" s="2" t="s">
        <v>3462</v>
      </c>
    </row>
    <row r="801" spans="1:16" ht="17.25" customHeight="1" x14ac:dyDescent="0.2">
      <c r="A801" s="17" t="s">
        <v>973</v>
      </c>
      <c r="B801" s="17" t="s">
        <v>4182</v>
      </c>
      <c r="C801" s="17" t="s">
        <v>1639</v>
      </c>
      <c r="D801" s="17" t="s">
        <v>3720</v>
      </c>
      <c r="E801" s="2" t="str">
        <f t="shared" si="59"/>
        <v>i</v>
      </c>
      <c r="F801" s="2">
        <f t="shared" si="60"/>
        <v>9</v>
      </c>
      <c r="G801" s="2">
        <v>2009</v>
      </c>
      <c r="H801" s="2" t="str">
        <f t="shared" si="61"/>
        <v>ilssupac</v>
      </c>
      <c r="I801" s="2" t="s">
        <v>3721</v>
      </c>
      <c r="J801" s="34" t="s">
        <v>3455</v>
      </c>
      <c r="K801" s="2" t="s">
        <v>1520</v>
      </c>
      <c r="L801" s="2" t="s">
        <v>8</v>
      </c>
      <c r="M801" s="2">
        <v>1</v>
      </c>
      <c r="N801" s="2">
        <v>7</v>
      </c>
      <c r="O801" s="2" t="s">
        <v>1527</v>
      </c>
      <c r="P801" s="2" t="s">
        <v>3462</v>
      </c>
    </row>
    <row r="802" spans="1:16" ht="17.25" customHeight="1" x14ac:dyDescent="0.2">
      <c r="A802" s="17" t="s">
        <v>973</v>
      </c>
      <c r="B802" s="17" t="s">
        <v>4182</v>
      </c>
      <c r="C802" s="17" t="s">
        <v>1639</v>
      </c>
      <c r="D802" s="17" t="s">
        <v>3720</v>
      </c>
      <c r="E802" s="2" t="str">
        <f t="shared" si="59"/>
        <v>j</v>
      </c>
      <c r="F802" s="2">
        <f t="shared" si="60"/>
        <v>10</v>
      </c>
      <c r="G802" s="2">
        <v>2010</v>
      </c>
      <c r="H802" s="2" t="str">
        <f t="shared" si="61"/>
        <v>jlssupac</v>
      </c>
      <c r="I802" s="2" t="s">
        <v>3721</v>
      </c>
      <c r="J802" s="34" t="s">
        <v>3455</v>
      </c>
      <c r="K802" s="2" t="s">
        <v>1520</v>
      </c>
      <c r="L802" s="2" t="s">
        <v>8</v>
      </c>
      <c r="M802" s="2">
        <v>1</v>
      </c>
      <c r="N802" s="2">
        <v>7</v>
      </c>
      <c r="O802" s="2" t="s">
        <v>1527</v>
      </c>
      <c r="P802" s="2" t="s">
        <v>3462</v>
      </c>
    </row>
    <row r="803" spans="1:16" ht="17.25" customHeight="1" x14ac:dyDescent="0.2">
      <c r="A803" s="17" t="s">
        <v>973</v>
      </c>
      <c r="B803" s="17" t="s">
        <v>4182</v>
      </c>
      <c r="C803" s="17" t="s">
        <v>1639</v>
      </c>
      <c r="D803" s="17" t="s">
        <v>3720</v>
      </c>
      <c r="E803" s="2" t="str">
        <f t="shared" si="59"/>
        <v>k</v>
      </c>
      <c r="F803" s="2">
        <f t="shared" si="60"/>
        <v>11</v>
      </c>
      <c r="G803" s="2">
        <v>2011</v>
      </c>
      <c r="H803" s="2" t="str">
        <f t="shared" si="61"/>
        <v>klssupac</v>
      </c>
      <c r="I803" s="2" t="s">
        <v>3721</v>
      </c>
      <c r="J803" s="34" t="s">
        <v>3455</v>
      </c>
      <c r="K803" s="2" t="s">
        <v>1520</v>
      </c>
      <c r="L803" s="2" t="s">
        <v>8</v>
      </c>
      <c r="M803" s="2">
        <v>1</v>
      </c>
      <c r="N803" s="2">
        <v>7</v>
      </c>
      <c r="O803" s="2" t="s">
        <v>1527</v>
      </c>
      <c r="P803" s="2" t="s">
        <v>3462</v>
      </c>
    </row>
    <row r="804" spans="1:16" ht="17.25" customHeight="1" x14ac:dyDescent="0.2">
      <c r="A804" s="17" t="s">
        <v>973</v>
      </c>
      <c r="B804" s="17" t="s">
        <v>4182</v>
      </c>
      <c r="C804" s="17" t="s">
        <v>1639</v>
      </c>
      <c r="D804" s="17" t="s">
        <v>3720</v>
      </c>
      <c r="E804" s="2" t="str">
        <f t="shared" si="59"/>
        <v>l</v>
      </c>
      <c r="F804" s="2">
        <f t="shared" si="60"/>
        <v>12</v>
      </c>
      <c r="G804" s="2">
        <v>2012</v>
      </c>
      <c r="H804" s="2" t="str">
        <f t="shared" si="61"/>
        <v>llssupac</v>
      </c>
      <c r="I804" s="2" t="s">
        <v>3721</v>
      </c>
      <c r="J804" s="34" t="s">
        <v>3455</v>
      </c>
      <c r="K804" s="2" t="s">
        <v>1520</v>
      </c>
      <c r="L804" s="2" t="s">
        <v>8</v>
      </c>
      <c r="M804" s="2">
        <v>1</v>
      </c>
      <c r="N804" s="2">
        <v>7</v>
      </c>
      <c r="O804" s="2" t="s">
        <v>1527</v>
      </c>
      <c r="P804" s="2" t="s">
        <v>3462</v>
      </c>
    </row>
    <row r="805" spans="1:16" ht="17.25" customHeight="1" x14ac:dyDescent="0.2">
      <c r="A805" s="17" t="s">
        <v>973</v>
      </c>
      <c r="B805" s="17" t="s">
        <v>4182</v>
      </c>
      <c r="C805" s="17" t="s">
        <v>1639</v>
      </c>
      <c r="D805" s="17" t="s">
        <v>3720</v>
      </c>
      <c r="E805" s="2" t="str">
        <f t="shared" si="59"/>
        <v>m</v>
      </c>
      <c r="F805" s="2">
        <f t="shared" si="60"/>
        <v>13</v>
      </c>
      <c r="G805" s="2">
        <v>2013</v>
      </c>
      <c r="H805" s="2" t="str">
        <f t="shared" si="61"/>
        <v>mlssupac</v>
      </c>
      <c r="I805" s="2" t="s">
        <v>3721</v>
      </c>
      <c r="J805" s="34" t="s">
        <v>3455</v>
      </c>
      <c r="K805" s="2" t="s">
        <v>1520</v>
      </c>
      <c r="L805" s="2" t="s">
        <v>8</v>
      </c>
      <c r="M805" s="2">
        <v>1</v>
      </c>
      <c r="N805" s="2">
        <v>7</v>
      </c>
      <c r="O805" s="2" t="s">
        <v>1527</v>
      </c>
      <c r="P805" s="2" t="s">
        <v>3462</v>
      </c>
    </row>
    <row r="806" spans="1:16" ht="17.25" customHeight="1" x14ac:dyDescent="0.2">
      <c r="A806" s="17" t="s">
        <v>973</v>
      </c>
      <c r="B806" s="17" t="s">
        <v>4182</v>
      </c>
      <c r="C806" s="17" t="s">
        <v>1639</v>
      </c>
      <c r="D806" s="17" t="s">
        <v>3720</v>
      </c>
      <c r="E806" s="2" t="str">
        <f t="shared" si="59"/>
        <v>n</v>
      </c>
      <c r="F806" s="2">
        <f t="shared" si="60"/>
        <v>14</v>
      </c>
      <c r="G806" s="2">
        <v>2014</v>
      </c>
      <c r="H806" s="2" t="str">
        <f t="shared" si="61"/>
        <v>nlssupac</v>
      </c>
      <c r="I806" s="2" t="s">
        <v>3721</v>
      </c>
      <c r="J806" s="34" t="s">
        <v>3455</v>
      </c>
      <c r="K806" s="2" t="s">
        <v>1520</v>
      </c>
      <c r="L806" s="2" t="s">
        <v>8</v>
      </c>
      <c r="M806" s="2">
        <v>1</v>
      </c>
      <c r="N806" s="2">
        <v>7</v>
      </c>
      <c r="O806" s="2" t="s">
        <v>1527</v>
      </c>
      <c r="P806" s="2" t="s">
        <v>3462</v>
      </c>
    </row>
    <row r="807" spans="1:16" ht="17.25" customHeight="1" x14ac:dyDescent="0.2">
      <c r="A807" s="17" t="s">
        <v>973</v>
      </c>
      <c r="B807" s="17" t="s">
        <v>4182</v>
      </c>
      <c r="C807" s="17" t="s">
        <v>1639</v>
      </c>
      <c r="D807" s="17" t="s">
        <v>3720</v>
      </c>
      <c r="E807" s="2" t="str">
        <f t="shared" si="59"/>
        <v>o</v>
      </c>
      <c r="F807" s="2">
        <f t="shared" si="60"/>
        <v>15</v>
      </c>
      <c r="G807" s="2">
        <v>2015</v>
      </c>
      <c r="H807" s="2" t="str">
        <f t="shared" si="61"/>
        <v>olssupac</v>
      </c>
      <c r="I807" s="2" t="s">
        <v>3721</v>
      </c>
      <c r="J807" s="34" t="s">
        <v>3455</v>
      </c>
      <c r="K807" s="2" t="s">
        <v>1520</v>
      </c>
      <c r="L807" s="2" t="s">
        <v>8</v>
      </c>
      <c r="M807" s="2">
        <v>1</v>
      </c>
      <c r="N807" s="2">
        <v>7</v>
      </c>
      <c r="O807" s="2" t="s">
        <v>1527</v>
      </c>
      <c r="P807" s="2" t="s">
        <v>3462</v>
      </c>
    </row>
    <row r="808" spans="1:16" ht="17.25" customHeight="1" x14ac:dyDescent="0.2">
      <c r="A808" s="17" t="s">
        <v>973</v>
      </c>
      <c r="B808" s="17" t="s">
        <v>4182</v>
      </c>
      <c r="C808" s="17" t="s">
        <v>1639</v>
      </c>
      <c r="D808" s="17" t="s">
        <v>3720</v>
      </c>
      <c r="E808" s="2" t="str">
        <f t="shared" si="59"/>
        <v>p</v>
      </c>
      <c r="F808" s="2">
        <f t="shared" si="60"/>
        <v>16</v>
      </c>
      <c r="G808" s="2">
        <v>2016</v>
      </c>
      <c r="H808" s="2" t="str">
        <f t="shared" si="61"/>
        <v>plssupac</v>
      </c>
      <c r="I808" s="2" t="s">
        <v>3721</v>
      </c>
      <c r="J808" s="34" t="s">
        <v>3455</v>
      </c>
      <c r="K808" s="2" t="s">
        <v>1520</v>
      </c>
      <c r="L808" s="2" t="s">
        <v>8</v>
      </c>
      <c r="M808" s="2">
        <v>1</v>
      </c>
      <c r="N808" s="2">
        <v>7</v>
      </c>
      <c r="O808" s="2" t="s">
        <v>1527</v>
      </c>
      <c r="P808" s="2" t="s">
        <v>3462</v>
      </c>
    </row>
    <row r="809" spans="1:16" ht="17.25" customHeight="1" x14ac:dyDescent="0.2">
      <c r="A809" s="17" t="s">
        <v>973</v>
      </c>
      <c r="B809" s="17" t="s">
        <v>4182</v>
      </c>
      <c r="C809" s="17" t="s">
        <v>1639</v>
      </c>
      <c r="D809" s="17" t="s">
        <v>3720</v>
      </c>
      <c r="E809" s="2" t="str">
        <f t="shared" si="59"/>
        <v>q</v>
      </c>
      <c r="F809" s="2">
        <f t="shared" si="60"/>
        <v>17</v>
      </c>
      <c r="G809" s="2">
        <v>2017</v>
      </c>
      <c r="H809" s="2" t="str">
        <f t="shared" ref="H809" si="62">_xlfn.CONCAT(E809,"lssupac")</f>
        <v>qlssupac</v>
      </c>
      <c r="I809" s="2" t="s">
        <v>3721</v>
      </c>
      <c r="J809" s="34" t="s">
        <v>3455</v>
      </c>
      <c r="K809" s="2" t="s">
        <v>1520</v>
      </c>
      <c r="L809" s="2" t="s">
        <v>8</v>
      </c>
      <c r="M809" s="2">
        <v>1</v>
      </c>
      <c r="N809" s="2">
        <v>7</v>
      </c>
      <c r="O809" s="2" t="s">
        <v>1527</v>
      </c>
      <c r="P809" s="2" t="s">
        <v>3462</v>
      </c>
    </row>
    <row r="810" spans="1:16" ht="17.25" customHeight="1" x14ac:dyDescent="0.2">
      <c r="A810" s="17" t="s">
        <v>973</v>
      </c>
      <c r="B810" s="17" t="s">
        <v>4182</v>
      </c>
      <c r="C810" s="17" t="s">
        <v>1639</v>
      </c>
      <c r="D810" s="17" t="s">
        <v>3720</v>
      </c>
      <c r="E810" s="2" t="str">
        <f t="shared" si="59"/>
        <v>r</v>
      </c>
      <c r="F810" s="2">
        <f t="shared" si="60"/>
        <v>18</v>
      </c>
      <c r="G810" s="2">
        <v>2018</v>
      </c>
      <c r="H810" s="2" t="str">
        <f t="shared" si="61"/>
        <v>rlssupac</v>
      </c>
      <c r="I810" s="2" t="s">
        <v>3721</v>
      </c>
      <c r="J810" s="34" t="s">
        <v>3455</v>
      </c>
      <c r="K810" s="2" t="s">
        <v>1520</v>
      </c>
      <c r="L810" s="2" t="s">
        <v>8</v>
      </c>
      <c r="M810" s="2">
        <v>1</v>
      </c>
      <c r="N810" s="2">
        <v>7</v>
      </c>
      <c r="O810" s="2" t="s">
        <v>1527</v>
      </c>
      <c r="P810" s="2" t="s">
        <v>3462</v>
      </c>
    </row>
    <row r="811" spans="1:16" ht="17.25" customHeight="1" x14ac:dyDescent="0.2">
      <c r="A811" s="17" t="s">
        <v>973</v>
      </c>
      <c r="B811" s="17" t="s">
        <v>4182</v>
      </c>
      <c r="C811" s="17" t="s">
        <v>1639</v>
      </c>
      <c r="D811" s="17" t="s">
        <v>3722</v>
      </c>
      <c r="E811" s="2" t="str">
        <f t="shared" si="59"/>
        <v>a</v>
      </c>
      <c r="F811" s="2">
        <f t="shared" si="60"/>
        <v>1</v>
      </c>
      <c r="G811" s="2">
        <v>2001</v>
      </c>
      <c r="H811" s="2" t="str">
        <f>_xlfn.CONCAT(E811,"lssupcd")</f>
        <v>alssupcd</v>
      </c>
      <c r="I811" s="2" t="s">
        <v>3723</v>
      </c>
      <c r="J811" s="34" t="s">
        <v>3455</v>
      </c>
      <c r="K811" s="2" t="s">
        <v>398</v>
      </c>
      <c r="L811" s="2" t="s">
        <v>8</v>
      </c>
      <c r="M811" s="2">
        <v>1</v>
      </c>
      <c r="N811" s="2">
        <v>7</v>
      </c>
      <c r="O811" s="2" t="s">
        <v>1527</v>
      </c>
      <c r="P811" s="2" t="s">
        <v>3462</v>
      </c>
    </row>
    <row r="812" spans="1:16" ht="17.25" customHeight="1" x14ac:dyDescent="0.2">
      <c r="A812" s="17" t="s">
        <v>973</v>
      </c>
      <c r="B812" s="17" t="s">
        <v>4182</v>
      </c>
      <c r="C812" s="17" t="s">
        <v>1639</v>
      </c>
      <c r="D812" s="17" t="s">
        <v>3722</v>
      </c>
      <c r="E812" s="2" t="str">
        <f t="shared" si="59"/>
        <v>b</v>
      </c>
      <c r="F812" s="2">
        <f t="shared" si="60"/>
        <v>2</v>
      </c>
      <c r="G812" s="2">
        <v>2002</v>
      </c>
      <c r="H812" s="2" t="str">
        <f t="shared" ref="H812:H828" si="63">_xlfn.CONCAT(E812,"lssupcd")</f>
        <v>blssupcd</v>
      </c>
      <c r="I812" s="2" t="s">
        <v>3723</v>
      </c>
      <c r="J812" s="34" t="s">
        <v>3455</v>
      </c>
      <c r="K812" s="2" t="s">
        <v>398</v>
      </c>
      <c r="L812" s="2" t="s">
        <v>8</v>
      </c>
      <c r="M812" s="2">
        <v>1</v>
      </c>
      <c r="N812" s="2">
        <v>7</v>
      </c>
      <c r="O812" s="2" t="s">
        <v>1527</v>
      </c>
      <c r="P812" s="2" t="s">
        <v>3462</v>
      </c>
    </row>
    <row r="813" spans="1:16" ht="17.25" customHeight="1" x14ac:dyDescent="0.2">
      <c r="A813" s="17" t="s">
        <v>973</v>
      </c>
      <c r="B813" s="17" t="s">
        <v>4182</v>
      </c>
      <c r="C813" s="17" t="s">
        <v>1639</v>
      </c>
      <c r="D813" s="17" t="s">
        <v>3722</v>
      </c>
      <c r="E813" s="2" t="str">
        <f t="shared" si="59"/>
        <v>c</v>
      </c>
      <c r="F813" s="2">
        <f t="shared" si="60"/>
        <v>3</v>
      </c>
      <c r="G813" s="2">
        <v>2003</v>
      </c>
      <c r="H813" s="2" t="str">
        <f t="shared" si="63"/>
        <v>clssupcd</v>
      </c>
      <c r="I813" s="2" t="s">
        <v>3723</v>
      </c>
      <c r="J813" s="34" t="s">
        <v>3455</v>
      </c>
      <c r="K813" s="2" t="s">
        <v>398</v>
      </c>
      <c r="L813" s="2" t="s">
        <v>8</v>
      </c>
      <c r="M813" s="2">
        <v>1</v>
      </c>
      <c r="N813" s="2">
        <v>7</v>
      </c>
      <c r="O813" s="2" t="s">
        <v>1527</v>
      </c>
      <c r="P813" s="2" t="s">
        <v>3462</v>
      </c>
    </row>
    <row r="814" spans="1:16" ht="17.25" customHeight="1" x14ac:dyDescent="0.2">
      <c r="A814" s="17" t="s">
        <v>973</v>
      </c>
      <c r="B814" s="17" t="s">
        <v>4182</v>
      </c>
      <c r="C814" s="17" t="s">
        <v>1639</v>
      </c>
      <c r="D814" s="17" t="s">
        <v>3722</v>
      </c>
      <c r="E814" s="2" t="str">
        <f t="shared" si="59"/>
        <v>d</v>
      </c>
      <c r="F814" s="2">
        <f t="shared" si="60"/>
        <v>4</v>
      </c>
      <c r="G814" s="2">
        <v>2004</v>
      </c>
      <c r="H814" s="2" t="str">
        <f t="shared" si="63"/>
        <v>dlssupcd</v>
      </c>
      <c r="I814" s="2" t="s">
        <v>3723</v>
      </c>
      <c r="J814" s="34" t="s">
        <v>3455</v>
      </c>
      <c r="K814" s="2" t="s">
        <v>398</v>
      </c>
      <c r="L814" s="2" t="s">
        <v>8</v>
      </c>
      <c r="M814" s="2">
        <v>1</v>
      </c>
      <c r="N814" s="2">
        <v>7</v>
      </c>
      <c r="O814" s="2" t="s">
        <v>1527</v>
      </c>
      <c r="P814" s="2" t="s">
        <v>3462</v>
      </c>
    </row>
    <row r="815" spans="1:16" ht="17.25" customHeight="1" x14ac:dyDescent="0.2">
      <c r="A815" s="17" t="s">
        <v>973</v>
      </c>
      <c r="B815" s="17" t="s">
        <v>4182</v>
      </c>
      <c r="C815" s="17" t="s">
        <v>1639</v>
      </c>
      <c r="D815" s="17" t="s">
        <v>3722</v>
      </c>
      <c r="E815" s="2" t="str">
        <f t="shared" si="59"/>
        <v>e</v>
      </c>
      <c r="F815" s="2">
        <f t="shared" si="60"/>
        <v>5</v>
      </c>
      <c r="G815" s="2">
        <v>2005</v>
      </c>
      <c r="H815" s="2" t="str">
        <f t="shared" si="63"/>
        <v>elssupcd</v>
      </c>
      <c r="I815" s="2" t="s">
        <v>3723</v>
      </c>
      <c r="J815" s="34" t="s">
        <v>3455</v>
      </c>
      <c r="K815" s="2" t="s">
        <v>398</v>
      </c>
      <c r="L815" s="2" t="s">
        <v>8</v>
      </c>
      <c r="M815" s="2">
        <v>1</v>
      </c>
      <c r="N815" s="2">
        <v>7</v>
      </c>
      <c r="O815" s="2" t="s">
        <v>1527</v>
      </c>
      <c r="P815" s="2" t="s">
        <v>3462</v>
      </c>
    </row>
    <row r="816" spans="1:16" ht="17.25" customHeight="1" x14ac:dyDescent="0.2">
      <c r="A816" s="17" t="s">
        <v>973</v>
      </c>
      <c r="B816" s="17" t="s">
        <v>4182</v>
      </c>
      <c r="C816" s="17" t="s">
        <v>1639</v>
      </c>
      <c r="D816" s="17" t="s">
        <v>3722</v>
      </c>
      <c r="E816" s="2" t="str">
        <f t="shared" si="59"/>
        <v>f</v>
      </c>
      <c r="F816" s="2">
        <f t="shared" si="60"/>
        <v>6</v>
      </c>
      <c r="G816" s="2">
        <v>2006</v>
      </c>
      <c r="H816" s="2" t="str">
        <f t="shared" si="63"/>
        <v>flssupcd</v>
      </c>
      <c r="I816" s="2" t="s">
        <v>3723</v>
      </c>
      <c r="J816" s="34" t="s">
        <v>3455</v>
      </c>
      <c r="K816" s="2" t="s">
        <v>398</v>
      </c>
      <c r="L816" s="2" t="s">
        <v>8</v>
      </c>
      <c r="M816" s="2">
        <v>1</v>
      </c>
      <c r="N816" s="2">
        <v>7</v>
      </c>
      <c r="O816" s="2" t="s">
        <v>1527</v>
      </c>
      <c r="P816" s="2" t="s">
        <v>3462</v>
      </c>
    </row>
    <row r="817" spans="1:16" ht="17.25" customHeight="1" x14ac:dyDescent="0.2">
      <c r="A817" s="17" t="s">
        <v>973</v>
      </c>
      <c r="B817" s="17" t="s">
        <v>4182</v>
      </c>
      <c r="C817" s="17" t="s">
        <v>1639</v>
      </c>
      <c r="D817" s="17" t="s">
        <v>3722</v>
      </c>
      <c r="E817" s="2" t="str">
        <f t="shared" si="59"/>
        <v>g</v>
      </c>
      <c r="F817" s="2">
        <f t="shared" si="60"/>
        <v>7</v>
      </c>
      <c r="G817" s="2">
        <v>2007</v>
      </c>
      <c r="H817" s="2" t="str">
        <f t="shared" si="63"/>
        <v>glssupcd</v>
      </c>
      <c r="I817" s="2" t="s">
        <v>3723</v>
      </c>
      <c r="J817" s="34" t="s">
        <v>3455</v>
      </c>
      <c r="K817" s="2" t="s">
        <v>398</v>
      </c>
      <c r="L817" s="2" t="s">
        <v>8</v>
      </c>
      <c r="M817" s="2">
        <v>1</v>
      </c>
      <c r="N817" s="2">
        <v>7</v>
      </c>
      <c r="O817" s="2" t="s">
        <v>1527</v>
      </c>
      <c r="P817" s="2" t="s">
        <v>3462</v>
      </c>
    </row>
    <row r="818" spans="1:16" ht="17.25" customHeight="1" x14ac:dyDescent="0.2">
      <c r="A818" s="17" t="s">
        <v>973</v>
      </c>
      <c r="B818" s="17" t="s">
        <v>4182</v>
      </c>
      <c r="C818" s="17" t="s">
        <v>1639</v>
      </c>
      <c r="D818" s="17" t="s">
        <v>3722</v>
      </c>
      <c r="E818" s="2" t="str">
        <f t="shared" si="59"/>
        <v>h</v>
      </c>
      <c r="F818" s="2">
        <f t="shared" si="60"/>
        <v>8</v>
      </c>
      <c r="G818" s="2">
        <v>2008</v>
      </c>
      <c r="H818" s="2" t="str">
        <f t="shared" si="63"/>
        <v>hlssupcd</v>
      </c>
      <c r="I818" s="2" t="s">
        <v>3723</v>
      </c>
      <c r="J818" s="34" t="s">
        <v>3455</v>
      </c>
      <c r="K818" s="2" t="s">
        <v>398</v>
      </c>
      <c r="L818" s="2" t="s">
        <v>8</v>
      </c>
      <c r="M818" s="2">
        <v>1</v>
      </c>
      <c r="N818" s="2">
        <v>7</v>
      </c>
      <c r="O818" s="2" t="s">
        <v>1527</v>
      </c>
      <c r="P818" s="2" t="s">
        <v>3462</v>
      </c>
    </row>
    <row r="819" spans="1:16" ht="17.25" customHeight="1" x14ac:dyDescent="0.2">
      <c r="A819" s="17" t="s">
        <v>973</v>
      </c>
      <c r="B819" s="17" t="s">
        <v>4182</v>
      </c>
      <c r="C819" s="17" t="s">
        <v>1639</v>
      </c>
      <c r="D819" s="17" t="s">
        <v>3722</v>
      </c>
      <c r="E819" s="2" t="str">
        <f t="shared" si="59"/>
        <v>i</v>
      </c>
      <c r="F819" s="2">
        <f t="shared" si="60"/>
        <v>9</v>
      </c>
      <c r="G819" s="2">
        <v>2009</v>
      </c>
      <c r="H819" s="2" t="str">
        <f t="shared" si="63"/>
        <v>ilssupcd</v>
      </c>
      <c r="I819" s="2" t="s">
        <v>3723</v>
      </c>
      <c r="J819" s="34" t="s">
        <v>3455</v>
      </c>
      <c r="K819" s="2" t="s">
        <v>398</v>
      </c>
      <c r="L819" s="2" t="s">
        <v>8</v>
      </c>
      <c r="M819" s="2">
        <v>1</v>
      </c>
      <c r="N819" s="2">
        <v>7</v>
      </c>
      <c r="O819" s="2" t="s">
        <v>1527</v>
      </c>
      <c r="P819" s="2" t="s">
        <v>3462</v>
      </c>
    </row>
    <row r="820" spans="1:16" ht="17.25" customHeight="1" x14ac:dyDescent="0.2">
      <c r="A820" s="17" t="s">
        <v>973</v>
      </c>
      <c r="B820" s="17" t="s">
        <v>4182</v>
      </c>
      <c r="C820" s="17" t="s">
        <v>1639</v>
      </c>
      <c r="D820" s="17" t="s">
        <v>3722</v>
      </c>
      <c r="E820" s="2" t="str">
        <f t="shared" si="59"/>
        <v>j</v>
      </c>
      <c r="F820" s="2">
        <f t="shared" si="60"/>
        <v>10</v>
      </c>
      <c r="G820" s="2">
        <v>2010</v>
      </c>
      <c r="H820" s="2" t="str">
        <f t="shared" si="63"/>
        <v>jlssupcd</v>
      </c>
      <c r="I820" s="2" t="s">
        <v>3723</v>
      </c>
      <c r="J820" s="34" t="s">
        <v>3455</v>
      </c>
      <c r="K820" s="2" t="s">
        <v>398</v>
      </c>
      <c r="L820" s="2" t="s">
        <v>8</v>
      </c>
      <c r="M820" s="2">
        <v>1</v>
      </c>
      <c r="N820" s="2">
        <v>7</v>
      </c>
      <c r="O820" s="2" t="s">
        <v>1527</v>
      </c>
      <c r="P820" s="2" t="s">
        <v>3462</v>
      </c>
    </row>
    <row r="821" spans="1:16" ht="17.25" customHeight="1" x14ac:dyDescent="0.2">
      <c r="A821" s="17" t="s">
        <v>973</v>
      </c>
      <c r="B821" s="17" t="s">
        <v>4182</v>
      </c>
      <c r="C821" s="17" t="s">
        <v>1639</v>
      </c>
      <c r="D821" s="17" t="s">
        <v>3722</v>
      </c>
      <c r="E821" s="2" t="str">
        <f t="shared" si="59"/>
        <v>k</v>
      </c>
      <c r="F821" s="2">
        <f t="shared" si="60"/>
        <v>11</v>
      </c>
      <c r="G821" s="2">
        <v>2011</v>
      </c>
      <c r="H821" s="2" t="str">
        <f t="shared" si="63"/>
        <v>klssupcd</v>
      </c>
      <c r="I821" s="2" t="s">
        <v>3723</v>
      </c>
      <c r="J821" s="34" t="s">
        <v>3455</v>
      </c>
      <c r="K821" s="2" t="s">
        <v>398</v>
      </c>
      <c r="L821" s="2" t="s">
        <v>8</v>
      </c>
      <c r="M821" s="2">
        <v>1</v>
      </c>
      <c r="N821" s="2">
        <v>7</v>
      </c>
      <c r="O821" s="2" t="s">
        <v>1527</v>
      </c>
      <c r="P821" s="2" t="s">
        <v>3462</v>
      </c>
    </row>
    <row r="822" spans="1:16" ht="17.25" customHeight="1" x14ac:dyDescent="0.2">
      <c r="A822" s="17" t="s">
        <v>973</v>
      </c>
      <c r="B822" s="17" t="s">
        <v>4182</v>
      </c>
      <c r="C822" s="17" t="s">
        <v>1639</v>
      </c>
      <c r="D822" s="17" t="s">
        <v>3722</v>
      </c>
      <c r="E822" s="2" t="str">
        <f t="shared" si="59"/>
        <v>l</v>
      </c>
      <c r="F822" s="2">
        <f t="shared" si="60"/>
        <v>12</v>
      </c>
      <c r="G822" s="2">
        <v>2012</v>
      </c>
      <c r="H822" s="2" t="str">
        <f t="shared" si="63"/>
        <v>llssupcd</v>
      </c>
      <c r="I822" s="2" t="s">
        <v>3723</v>
      </c>
      <c r="J822" s="34" t="s">
        <v>3455</v>
      </c>
      <c r="K822" s="2" t="s">
        <v>398</v>
      </c>
      <c r="L822" s="2" t="s">
        <v>8</v>
      </c>
      <c r="M822" s="2">
        <v>1</v>
      </c>
      <c r="N822" s="2">
        <v>7</v>
      </c>
      <c r="O822" s="2" t="s">
        <v>1527</v>
      </c>
      <c r="P822" s="2" t="s">
        <v>3462</v>
      </c>
    </row>
    <row r="823" spans="1:16" ht="17.25" customHeight="1" x14ac:dyDescent="0.2">
      <c r="A823" s="17" t="s">
        <v>973</v>
      </c>
      <c r="B823" s="17" t="s">
        <v>4182</v>
      </c>
      <c r="C823" s="17" t="s">
        <v>1639</v>
      </c>
      <c r="D823" s="17" t="s">
        <v>3722</v>
      </c>
      <c r="E823" s="2" t="str">
        <f t="shared" si="59"/>
        <v>m</v>
      </c>
      <c r="F823" s="2">
        <f t="shared" si="60"/>
        <v>13</v>
      </c>
      <c r="G823" s="2">
        <v>2013</v>
      </c>
      <c r="H823" s="2" t="str">
        <f t="shared" si="63"/>
        <v>mlssupcd</v>
      </c>
      <c r="I823" s="2" t="s">
        <v>3723</v>
      </c>
      <c r="J823" s="34" t="s">
        <v>3455</v>
      </c>
      <c r="K823" s="2" t="s">
        <v>398</v>
      </c>
      <c r="L823" s="2" t="s">
        <v>8</v>
      </c>
      <c r="M823" s="2">
        <v>1</v>
      </c>
      <c r="N823" s="2">
        <v>7</v>
      </c>
      <c r="O823" s="2" t="s">
        <v>1527</v>
      </c>
      <c r="P823" s="2" t="s">
        <v>3462</v>
      </c>
    </row>
    <row r="824" spans="1:16" ht="17.25" customHeight="1" x14ac:dyDescent="0.2">
      <c r="A824" s="17" t="s">
        <v>973</v>
      </c>
      <c r="B824" s="17" t="s">
        <v>4182</v>
      </c>
      <c r="C824" s="17" t="s">
        <v>1639</v>
      </c>
      <c r="D824" s="17" t="s">
        <v>3722</v>
      </c>
      <c r="E824" s="2" t="str">
        <f t="shared" si="59"/>
        <v>n</v>
      </c>
      <c r="F824" s="2">
        <f t="shared" si="60"/>
        <v>14</v>
      </c>
      <c r="G824" s="2">
        <v>2014</v>
      </c>
      <c r="H824" s="2" t="str">
        <f t="shared" si="63"/>
        <v>nlssupcd</v>
      </c>
      <c r="I824" s="2" t="s">
        <v>3723</v>
      </c>
      <c r="J824" s="34" t="s">
        <v>3455</v>
      </c>
      <c r="K824" s="2" t="s">
        <v>398</v>
      </c>
      <c r="L824" s="2" t="s">
        <v>8</v>
      </c>
      <c r="M824" s="2">
        <v>1</v>
      </c>
      <c r="N824" s="2">
        <v>7</v>
      </c>
      <c r="O824" s="2" t="s">
        <v>1527</v>
      </c>
      <c r="P824" s="2" t="s">
        <v>3462</v>
      </c>
    </row>
    <row r="825" spans="1:16" ht="17.25" customHeight="1" x14ac:dyDescent="0.2">
      <c r="A825" s="17" t="s">
        <v>973</v>
      </c>
      <c r="B825" s="17" t="s">
        <v>4182</v>
      </c>
      <c r="C825" s="17" t="s">
        <v>1639</v>
      </c>
      <c r="D825" s="17" t="s">
        <v>3722</v>
      </c>
      <c r="E825" s="2" t="str">
        <f t="shared" si="59"/>
        <v>o</v>
      </c>
      <c r="F825" s="2">
        <f t="shared" si="60"/>
        <v>15</v>
      </c>
      <c r="G825" s="2">
        <v>2015</v>
      </c>
      <c r="H825" s="2" t="str">
        <f t="shared" si="63"/>
        <v>olssupcd</v>
      </c>
      <c r="I825" s="2" t="s">
        <v>3723</v>
      </c>
      <c r="J825" s="34" t="s">
        <v>3455</v>
      </c>
      <c r="K825" s="2" t="s">
        <v>398</v>
      </c>
      <c r="L825" s="2" t="s">
        <v>8</v>
      </c>
      <c r="M825" s="2">
        <v>1</v>
      </c>
      <c r="N825" s="2">
        <v>7</v>
      </c>
      <c r="O825" s="2" t="s">
        <v>1527</v>
      </c>
      <c r="P825" s="2" t="s">
        <v>3462</v>
      </c>
    </row>
    <row r="826" spans="1:16" ht="17.25" customHeight="1" x14ac:dyDescent="0.2">
      <c r="A826" s="17" t="s">
        <v>973</v>
      </c>
      <c r="B826" s="17" t="s">
        <v>4182</v>
      </c>
      <c r="C826" s="17" t="s">
        <v>1639</v>
      </c>
      <c r="D826" s="17" t="s">
        <v>3722</v>
      </c>
      <c r="E826" s="2" t="str">
        <f t="shared" si="59"/>
        <v>p</v>
      </c>
      <c r="F826" s="2">
        <f t="shared" si="60"/>
        <v>16</v>
      </c>
      <c r="G826" s="2">
        <v>2016</v>
      </c>
      <c r="H826" s="2" t="str">
        <f t="shared" si="63"/>
        <v>plssupcd</v>
      </c>
      <c r="I826" s="2" t="s">
        <v>3723</v>
      </c>
      <c r="J826" s="34" t="s">
        <v>3455</v>
      </c>
      <c r="K826" s="2" t="s">
        <v>398</v>
      </c>
      <c r="L826" s="2" t="s">
        <v>8</v>
      </c>
      <c r="M826" s="2">
        <v>1</v>
      </c>
      <c r="N826" s="2">
        <v>7</v>
      </c>
      <c r="O826" s="2" t="s">
        <v>1527</v>
      </c>
      <c r="P826" s="2" t="s">
        <v>3462</v>
      </c>
    </row>
    <row r="827" spans="1:16" ht="17.25" customHeight="1" x14ac:dyDescent="0.2">
      <c r="A827" s="17" t="s">
        <v>973</v>
      </c>
      <c r="B827" s="17" t="s">
        <v>4182</v>
      </c>
      <c r="C827" s="17" t="s">
        <v>1639</v>
      </c>
      <c r="D827" s="17" t="s">
        <v>3722</v>
      </c>
      <c r="E827" s="2" t="str">
        <f t="shared" si="59"/>
        <v>q</v>
      </c>
      <c r="F827" s="2">
        <f t="shared" si="60"/>
        <v>17</v>
      </c>
      <c r="G827" s="2">
        <v>2017</v>
      </c>
      <c r="H827" s="2" t="str">
        <f t="shared" ref="H827" si="64">_xlfn.CONCAT(E827,"lssupcd")</f>
        <v>qlssupcd</v>
      </c>
      <c r="I827" s="2" t="s">
        <v>3723</v>
      </c>
      <c r="J827" s="34" t="s">
        <v>3455</v>
      </c>
      <c r="K827" s="2" t="s">
        <v>398</v>
      </c>
      <c r="L827" s="2" t="s">
        <v>8</v>
      </c>
      <c r="M827" s="2">
        <v>1</v>
      </c>
      <c r="N827" s="2">
        <v>7</v>
      </c>
      <c r="O827" s="2" t="s">
        <v>1527</v>
      </c>
      <c r="P827" s="2" t="s">
        <v>3462</v>
      </c>
    </row>
    <row r="828" spans="1:16" ht="17.25" customHeight="1" x14ac:dyDescent="0.2">
      <c r="A828" s="17" t="s">
        <v>973</v>
      </c>
      <c r="B828" s="17" t="s">
        <v>4182</v>
      </c>
      <c r="C828" s="17" t="s">
        <v>1639</v>
      </c>
      <c r="D828" s="17" t="s">
        <v>3722</v>
      </c>
      <c r="E828" s="2" t="str">
        <f t="shared" si="59"/>
        <v>r</v>
      </c>
      <c r="F828" s="2">
        <f t="shared" si="60"/>
        <v>18</v>
      </c>
      <c r="G828" s="2">
        <v>2018</v>
      </c>
      <c r="H828" s="2" t="str">
        <f t="shared" si="63"/>
        <v>rlssupcd</v>
      </c>
      <c r="I828" s="2" t="s">
        <v>3723</v>
      </c>
      <c r="J828" s="34" t="s">
        <v>3455</v>
      </c>
      <c r="K828" s="2" t="s">
        <v>398</v>
      </c>
      <c r="L828" s="2" t="s">
        <v>8</v>
      </c>
      <c r="M828" s="2">
        <v>1</v>
      </c>
      <c r="N828" s="2">
        <v>7</v>
      </c>
      <c r="O828" s="2" t="s">
        <v>1527</v>
      </c>
      <c r="P828" s="2" t="s">
        <v>3462</v>
      </c>
    </row>
    <row r="829" spans="1:16" ht="17.25" customHeight="1" x14ac:dyDescent="0.2">
      <c r="A829" s="17" t="s">
        <v>973</v>
      </c>
      <c r="B829" s="17" t="s">
        <v>4182</v>
      </c>
      <c r="C829" s="17" t="s">
        <v>1639</v>
      </c>
      <c r="D829" s="17" t="s">
        <v>3724</v>
      </c>
      <c r="E829" s="2" t="str">
        <f t="shared" si="59"/>
        <v>a</v>
      </c>
      <c r="F829" s="2">
        <f t="shared" si="60"/>
        <v>1</v>
      </c>
      <c r="G829" s="2">
        <v>2001</v>
      </c>
      <c r="H829" s="2" t="str">
        <f t="shared" ref="H829:H844" si="65">_xlfn.CONCAT(E829,"lssuplt")</f>
        <v>alssuplt</v>
      </c>
      <c r="I829" s="2" t="s">
        <v>3725</v>
      </c>
      <c r="J829" s="34" t="s">
        <v>3455</v>
      </c>
      <c r="K829" s="2" t="s">
        <v>1520</v>
      </c>
      <c r="L829" s="2" t="s">
        <v>8</v>
      </c>
      <c r="M829" s="2">
        <v>1</v>
      </c>
      <c r="N829" s="2">
        <v>7</v>
      </c>
      <c r="O829" s="2" t="s">
        <v>1527</v>
      </c>
      <c r="P829" s="2" t="s">
        <v>3462</v>
      </c>
    </row>
    <row r="830" spans="1:16" ht="17.25" customHeight="1" x14ac:dyDescent="0.2">
      <c r="A830" s="17" t="s">
        <v>973</v>
      </c>
      <c r="B830" s="17" t="s">
        <v>4182</v>
      </c>
      <c r="C830" s="17" t="s">
        <v>1639</v>
      </c>
      <c r="D830" s="17" t="s">
        <v>3724</v>
      </c>
      <c r="E830" s="2" t="str">
        <f t="shared" si="59"/>
        <v>b</v>
      </c>
      <c r="F830" s="2">
        <f t="shared" si="60"/>
        <v>2</v>
      </c>
      <c r="G830" s="2">
        <v>2002</v>
      </c>
      <c r="H830" s="2" t="str">
        <f t="shared" si="65"/>
        <v>blssuplt</v>
      </c>
      <c r="I830" s="2" t="s">
        <v>3725</v>
      </c>
      <c r="J830" s="34" t="s">
        <v>3455</v>
      </c>
      <c r="K830" s="2" t="s">
        <v>1520</v>
      </c>
      <c r="L830" s="2" t="s">
        <v>8</v>
      </c>
      <c r="M830" s="2">
        <v>1</v>
      </c>
      <c r="N830" s="2">
        <v>7</v>
      </c>
      <c r="O830" s="2" t="s">
        <v>1527</v>
      </c>
      <c r="P830" s="2" t="s">
        <v>3462</v>
      </c>
    </row>
    <row r="831" spans="1:16" ht="17.25" customHeight="1" x14ac:dyDescent="0.2">
      <c r="A831" s="17" t="s">
        <v>973</v>
      </c>
      <c r="B831" s="17" t="s">
        <v>4182</v>
      </c>
      <c r="C831" s="17" t="s">
        <v>1639</v>
      </c>
      <c r="D831" s="17" t="s">
        <v>3724</v>
      </c>
      <c r="E831" s="2" t="str">
        <f t="shared" si="59"/>
        <v>c</v>
      </c>
      <c r="F831" s="2">
        <f t="shared" si="60"/>
        <v>3</v>
      </c>
      <c r="G831" s="2">
        <v>2003</v>
      </c>
      <c r="H831" s="2" t="str">
        <f t="shared" si="65"/>
        <v>clssuplt</v>
      </c>
      <c r="I831" s="2" t="s">
        <v>3725</v>
      </c>
      <c r="J831" s="34" t="s">
        <v>3455</v>
      </c>
      <c r="K831" s="2" t="s">
        <v>1520</v>
      </c>
      <c r="L831" s="2" t="s">
        <v>8</v>
      </c>
      <c r="M831" s="2">
        <v>1</v>
      </c>
      <c r="N831" s="2">
        <v>7</v>
      </c>
      <c r="O831" s="2" t="s">
        <v>1527</v>
      </c>
      <c r="P831" s="2" t="s">
        <v>3462</v>
      </c>
    </row>
    <row r="832" spans="1:16" ht="17.25" customHeight="1" x14ac:dyDescent="0.2">
      <c r="A832" s="17" t="s">
        <v>973</v>
      </c>
      <c r="B832" s="17" t="s">
        <v>4182</v>
      </c>
      <c r="C832" s="17" t="s">
        <v>1639</v>
      </c>
      <c r="D832" s="17" t="s">
        <v>3724</v>
      </c>
      <c r="E832" s="2" t="str">
        <f t="shared" si="59"/>
        <v>d</v>
      </c>
      <c r="F832" s="2">
        <f t="shared" si="60"/>
        <v>4</v>
      </c>
      <c r="G832" s="2">
        <v>2004</v>
      </c>
      <c r="H832" s="2" t="str">
        <f t="shared" si="65"/>
        <v>dlssuplt</v>
      </c>
      <c r="I832" s="2" t="s">
        <v>3725</v>
      </c>
      <c r="J832" s="34" t="s">
        <v>3455</v>
      </c>
      <c r="K832" s="2" t="s">
        <v>1520</v>
      </c>
      <c r="L832" s="2" t="s">
        <v>8</v>
      </c>
      <c r="M832" s="2">
        <v>1</v>
      </c>
      <c r="N832" s="2">
        <v>7</v>
      </c>
      <c r="O832" s="2" t="s">
        <v>1527</v>
      </c>
      <c r="P832" s="2" t="s">
        <v>3462</v>
      </c>
    </row>
    <row r="833" spans="1:16" ht="17.25" customHeight="1" x14ac:dyDescent="0.2">
      <c r="A833" s="17" t="s">
        <v>973</v>
      </c>
      <c r="B833" s="17" t="s">
        <v>4182</v>
      </c>
      <c r="C833" s="17" t="s">
        <v>1639</v>
      </c>
      <c r="D833" s="17" t="s">
        <v>3724</v>
      </c>
      <c r="E833" s="2" t="str">
        <f t="shared" si="59"/>
        <v>e</v>
      </c>
      <c r="F833" s="2">
        <f t="shared" si="60"/>
        <v>5</v>
      </c>
      <c r="G833" s="2">
        <v>2005</v>
      </c>
      <c r="H833" s="2" t="str">
        <f t="shared" si="65"/>
        <v>elssuplt</v>
      </c>
      <c r="I833" s="2" t="s">
        <v>3725</v>
      </c>
      <c r="J833" s="34" t="s">
        <v>3455</v>
      </c>
      <c r="K833" s="2" t="s">
        <v>1520</v>
      </c>
      <c r="L833" s="2" t="s">
        <v>8</v>
      </c>
      <c r="M833" s="2">
        <v>1</v>
      </c>
      <c r="N833" s="2">
        <v>7</v>
      </c>
      <c r="O833" s="2" t="s">
        <v>1527</v>
      </c>
      <c r="P833" s="2" t="s">
        <v>3462</v>
      </c>
    </row>
    <row r="834" spans="1:16" ht="17.25" customHeight="1" x14ac:dyDescent="0.2">
      <c r="A834" s="17" t="s">
        <v>973</v>
      </c>
      <c r="B834" s="17" t="s">
        <v>4182</v>
      </c>
      <c r="C834" s="17" t="s">
        <v>1639</v>
      </c>
      <c r="D834" s="17" t="s">
        <v>3724</v>
      </c>
      <c r="E834" s="2" t="str">
        <f t="shared" si="59"/>
        <v>f</v>
      </c>
      <c r="F834" s="2">
        <f t="shared" si="60"/>
        <v>6</v>
      </c>
      <c r="G834" s="2">
        <v>2006</v>
      </c>
      <c r="H834" s="2" t="str">
        <f t="shared" si="65"/>
        <v>flssuplt</v>
      </c>
      <c r="I834" s="2" t="s">
        <v>3725</v>
      </c>
      <c r="J834" s="34" t="s">
        <v>3455</v>
      </c>
      <c r="K834" s="2" t="s">
        <v>1520</v>
      </c>
      <c r="L834" s="2" t="s">
        <v>8</v>
      </c>
      <c r="M834" s="2">
        <v>1</v>
      </c>
      <c r="N834" s="2">
        <v>7</v>
      </c>
      <c r="O834" s="2" t="s">
        <v>1527</v>
      </c>
      <c r="P834" s="2" t="s">
        <v>3462</v>
      </c>
    </row>
    <row r="835" spans="1:16" ht="17.25" customHeight="1" x14ac:dyDescent="0.2">
      <c r="A835" s="17" t="s">
        <v>973</v>
      </c>
      <c r="B835" s="17" t="s">
        <v>4182</v>
      </c>
      <c r="C835" s="17" t="s">
        <v>1639</v>
      </c>
      <c r="D835" s="17" t="s">
        <v>3724</v>
      </c>
      <c r="E835" s="2" t="str">
        <f t="shared" si="59"/>
        <v>g</v>
      </c>
      <c r="F835" s="2">
        <f t="shared" si="60"/>
        <v>7</v>
      </c>
      <c r="G835" s="2">
        <v>2007</v>
      </c>
      <c r="H835" s="2" t="str">
        <f t="shared" si="65"/>
        <v>glssuplt</v>
      </c>
      <c r="I835" s="2" t="s">
        <v>3725</v>
      </c>
      <c r="J835" s="34" t="s">
        <v>3455</v>
      </c>
      <c r="K835" s="2" t="s">
        <v>1520</v>
      </c>
      <c r="L835" s="2" t="s">
        <v>8</v>
      </c>
      <c r="M835" s="2">
        <v>1</v>
      </c>
      <c r="N835" s="2">
        <v>7</v>
      </c>
      <c r="O835" s="2" t="s">
        <v>1527</v>
      </c>
      <c r="P835" s="2" t="s">
        <v>3462</v>
      </c>
    </row>
    <row r="836" spans="1:16" ht="17.25" customHeight="1" x14ac:dyDescent="0.2">
      <c r="A836" s="17" t="s">
        <v>973</v>
      </c>
      <c r="B836" s="17" t="s">
        <v>4182</v>
      </c>
      <c r="C836" s="17" t="s">
        <v>1639</v>
      </c>
      <c r="D836" s="17" t="s">
        <v>3724</v>
      </c>
      <c r="E836" s="2" t="str">
        <f t="shared" si="59"/>
        <v>h</v>
      </c>
      <c r="F836" s="2">
        <f t="shared" si="60"/>
        <v>8</v>
      </c>
      <c r="G836" s="2">
        <v>2008</v>
      </c>
      <c r="H836" s="2" t="str">
        <f t="shared" si="65"/>
        <v>hlssuplt</v>
      </c>
      <c r="I836" s="2" t="s">
        <v>3725</v>
      </c>
      <c r="J836" s="34" t="s">
        <v>3455</v>
      </c>
      <c r="K836" s="2" t="s">
        <v>1520</v>
      </c>
      <c r="L836" s="2" t="s">
        <v>8</v>
      </c>
      <c r="M836" s="2">
        <v>1</v>
      </c>
      <c r="N836" s="2">
        <v>7</v>
      </c>
      <c r="O836" s="2" t="s">
        <v>1527</v>
      </c>
      <c r="P836" s="2" t="s">
        <v>3462</v>
      </c>
    </row>
    <row r="837" spans="1:16" ht="17.25" customHeight="1" x14ac:dyDescent="0.2">
      <c r="A837" s="17" t="s">
        <v>973</v>
      </c>
      <c r="B837" s="17" t="s">
        <v>4182</v>
      </c>
      <c r="C837" s="17" t="s">
        <v>1639</v>
      </c>
      <c r="D837" s="17" t="s">
        <v>3724</v>
      </c>
      <c r="E837" s="2" t="str">
        <f t="shared" si="59"/>
        <v>i</v>
      </c>
      <c r="F837" s="2">
        <f t="shared" si="60"/>
        <v>9</v>
      </c>
      <c r="G837" s="2">
        <v>2009</v>
      </c>
      <c r="H837" s="2" t="str">
        <f t="shared" si="65"/>
        <v>ilssuplt</v>
      </c>
      <c r="I837" s="2" t="s">
        <v>3725</v>
      </c>
      <c r="J837" s="34" t="s">
        <v>3455</v>
      </c>
      <c r="K837" s="2" t="s">
        <v>1520</v>
      </c>
      <c r="L837" s="2" t="s">
        <v>8</v>
      </c>
      <c r="M837" s="2">
        <v>1</v>
      </c>
      <c r="N837" s="2">
        <v>7</v>
      </c>
      <c r="O837" s="2" t="s">
        <v>1527</v>
      </c>
      <c r="P837" s="2" t="s">
        <v>3462</v>
      </c>
    </row>
    <row r="838" spans="1:16" ht="17.25" customHeight="1" x14ac:dyDescent="0.2">
      <c r="A838" s="17" t="s">
        <v>973</v>
      </c>
      <c r="B838" s="17" t="s">
        <v>4182</v>
      </c>
      <c r="C838" s="17" t="s">
        <v>1639</v>
      </c>
      <c r="D838" s="17" t="s">
        <v>3724</v>
      </c>
      <c r="E838" s="2" t="str">
        <f t="shared" si="59"/>
        <v>j</v>
      </c>
      <c r="F838" s="2">
        <f t="shared" si="60"/>
        <v>10</v>
      </c>
      <c r="G838" s="2">
        <v>2010</v>
      </c>
      <c r="H838" s="2" t="str">
        <f t="shared" si="65"/>
        <v>jlssuplt</v>
      </c>
      <c r="I838" s="2" t="s">
        <v>3725</v>
      </c>
      <c r="J838" s="34" t="s">
        <v>3455</v>
      </c>
      <c r="K838" s="2" t="s">
        <v>1520</v>
      </c>
      <c r="L838" s="2" t="s">
        <v>8</v>
      </c>
      <c r="M838" s="2">
        <v>1</v>
      </c>
      <c r="N838" s="2">
        <v>7</v>
      </c>
      <c r="O838" s="2" t="s">
        <v>1527</v>
      </c>
      <c r="P838" s="2" t="s">
        <v>3462</v>
      </c>
    </row>
    <row r="839" spans="1:16" ht="17.25" customHeight="1" x14ac:dyDescent="0.2">
      <c r="A839" s="17" t="s">
        <v>973</v>
      </c>
      <c r="B839" s="17" t="s">
        <v>4182</v>
      </c>
      <c r="C839" s="17" t="s">
        <v>1639</v>
      </c>
      <c r="D839" s="17" t="s">
        <v>3724</v>
      </c>
      <c r="E839" s="2" t="str">
        <f t="shared" si="59"/>
        <v>k</v>
      </c>
      <c r="F839" s="2">
        <f t="shared" si="60"/>
        <v>11</v>
      </c>
      <c r="G839" s="2">
        <v>2011</v>
      </c>
      <c r="H839" s="2" t="str">
        <f t="shared" si="65"/>
        <v>klssuplt</v>
      </c>
      <c r="I839" s="2" t="s">
        <v>3725</v>
      </c>
      <c r="J839" s="34" t="s">
        <v>3455</v>
      </c>
      <c r="K839" s="2" t="s">
        <v>1520</v>
      </c>
      <c r="L839" s="2" t="s">
        <v>8</v>
      </c>
      <c r="M839" s="2">
        <v>1</v>
      </c>
      <c r="N839" s="2">
        <v>7</v>
      </c>
      <c r="O839" s="2" t="s">
        <v>1527</v>
      </c>
      <c r="P839" s="2" t="s">
        <v>3462</v>
      </c>
    </row>
    <row r="840" spans="1:16" ht="17.25" customHeight="1" x14ac:dyDescent="0.2">
      <c r="A840" s="17" t="s">
        <v>973</v>
      </c>
      <c r="B840" s="17" t="s">
        <v>4182</v>
      </c>
      <c r="C840" s="17" t="s">
        <v>1639</v>
      </c>
      <c r="D840" s="17" t="s">
        <v>3724</v>
      </c>
      <c r="E840" s="2" t="str">
        <f t="shared" si="59"/>
        <v>l</v>
      </c>
      <c r="F840" s="2">
        <f t="shared" si="60"/>
        <v>12</v>
      </c>
      <c r="G840" s="2">
        <v>2012</v>
      </c>
      <c r="H840" s="2" t="str">
        <f t="shared" si="65"/>
        <v>llssuplt</v>
      </c>
      <c r="I840" s="2" t="s">
        <v>3725</v>
      </c>
      <c r="J840" s="34" t="s">
        <v>3455</v>
      </c>
      <c r="K840" s="2" t="s">
        <v>1520</v>
      </c>
      <c r="L840" s="2" t="s">
        <v>8</v>
      </c>
      <c r="M840" s="2">
        <v>1</v>
      </c>
      <c r="N840" s="2">
        <v>7</v>
      </c>
      <c r="O840" s="2" t="s">
        <v>1527</v>
      </c>
      <c r="P840" s="2" t="s">
        <v>3462</v>
      </c>
    </row>
    <row r="841" spans="1:16" ht="17.25" customHeight="1" x14ac:dyDescent="0.2">
      <c r="A841" s="17" t="s">
        <v>973</v>
      </c>
      <c r="B841" s="17" t="s">
        <v>4182</v>
      </c>
      <c r="C841" s="17" t="s">
        <v>1639</v>
      </c>
      <c r="D841" s="17" t="s">
        <v>3724</v>
      </c>
      <c r="E841" s="2" t="str">
        <f t="shared" si="59"/>
        <v>m</v>
      </c>
      <c r="F841" s="2">
        <f t="shared" si="60"/>
        <v>13</v>
      </c>
      <c r="G841" s="2">
        <v>2013</v>
      </c>
      <c r="H841" s="2" t="str">
        <f t="shared" si="65"/>
        <v>mlssuplt</v>
      </c>
      <c r="I841" s="2" t="s">
        <v>3725</v>
      </c>
      <c r="J841" s="34" t="s">
        <v>3455</v>
      </c>
      <c r="K841" s="2" t="s">
        <v>1520</v>
      </c>
      <c r="L841" s="2" t="s">
        <v>8</v>
      </c>
      <c r="M841" s="2">
        <v>1</v>
      </c>
      <c r="N841" s="2">
        <v>7</v>
      </c>
      <c r="O841" s="2" t="s">
        <v>1527</v>
      </c>
      <c r="P841" s="2" t="s">
        <v>3462</v>
      </c>
    </row>
    <row r="842" spans="1:16" ht="17.25" customHeight="1" x14ac:dyDescent="0.2">
      <c r="A842" s="17" t="s">
        <v>973</v>
      </c>
      <c r="B842" s="17" t="s">
        <v>4182</v>
      </c>
      <c r="C842" s="17" t="s">
        <v>1639</v>
      </c>
      <c r="D842" s="17" t="s">
        <v>3724</v>
      </c>
      <c r="E842" s="2" t="str">
        <f t="shared" si="59"/>
        <v>n</v>
      </c>
      <c r="F842" s="2">
        <f t="shared" si="60"/>
        <v>14</v>
      </c>
      <c r="G842" s="2">
        <v>2014</v>
      </c>
      <c r="H842" s="2" t="str">
        <f t="shared" si="65"/>
        <v>nlssuplt</v>
      </c>
      <c r="I842" s="2" t="s">
        <v>3725</v>
      </c>
      <c r="J842" s="34" t="s">
        <v>3455</v>
      </c>
      <c r="K842" s="2" t="s">
        <v>1520</v>
      </c>
      <c r="L842" s="2" t="s">
        <v>8</v>
      </c>
      <c r="M842" s="2">
        <v>1</v>
      </c>
      <c r="N842" s="2">
        <v>7</v>
      </c>
      <c r="O842" s="2" t="s">
        <v>1527</v>
      </c>
      <c r="P842" s="2" t="s">
        <v>3462</v>
      </c>
    </row>
    <row r="843" spans="1:16" ht="17.25" customHeight="1" x14ac:dyDescent="0.2">
      <c r="A843" s="17" t="s">
        <v>973</v>
      </c>
      <c r="B843" s="17" t="s">
        <v>4182</v>
      </c>
      <c r="C843" s="17" t="s">
        <v>1639</v>
      </c>
      <c r="D843" s="17" t="s">
        <v>3724</v>
      </c>
      <c r="E843" s="2" t="str">
        <f t="shared" si="59"/>
        <v>o</v>
      </c>
      <c r="F843" s="2">
        <f t="shared" si="60"/>
        <v>15</v>
      </c>
      <c r="G843" s="2">
        <v>2015</v>
      </c>
      <c r="H843" s="2" t="str">
        <f t="shared" si="65"/>
        <v>olssuplt</v>
      </c>
      <c r="I843" s="2" t="s">
        <v>3725</v>
      </c>
      <c r="J843" s="34" t="s">
        <v>3455</v>
      </c>
      <c r="K843" s="2" t="s">
        <v>1520</v>
      </c>
      <c r="L843" s="2" t="s">
        <v>8</v>
      </c>
      <c r="M843" s="2">
        <v>1</v>
      </c>
      <c r="N843" s="2">
        <v>7</v>
      </c>
      <c r="O843" s="2" t="s">
        <v>1527</v>
      </c>
      <c r="P843" s="2" t="s">
        <v>3462</v>
      </c>
    </row>
    <row r="844" spans="1:16" ht="17.25" customHeight="1" x14ac:dyDescent="0.2">
      <c r="A844" s="17" t="s">
        <v>973</v>
      </c>
      <c r="B844" s="17" t="s">
        <v>4182</v>
      </c>
      <c r="C844" s="17" t="s">
        <v>1639</v>
      </c>
      <c r="D844" s="17" t="s">
        <v>3724</v>
      </c>
      <c r="E844" s="2" t="str">
        <f t="shared" si="59"/>
        <v>p</v>
      </c>
      <c r="F844" s="2">
        <f t="shared" si="60"/>
        <v>16</v>
      </c>
      <c r="G844" s="2">
        <v>2016</v>
      </c>
      <c r="H844" s="2" t="str">
        <f t="shared" si="65"/>
        <v>plssuplt</v>
      </c>
      <c r="I844" s="2" t="s">
        <v>3725</v>
      </c>
      <c r="J844" s="34" t="s">
        <v>3455</v>
      </c>
      <c r="K844" s="2" t="s">
        <v>1520</v>
      </c>
      <c r="L844" s="2" t="s">
        <v>8</v>
      </c>
      <c r="M844" s="2">
        <v>1</v>
      </c>
      <c r="N844" s="2">
        <v>7</v>
      </c>
      <c r="O844" s="2" t="s">
        <v>1527</v>
      </c>
      <c r="P844" s="2" t="s">
        <v>3462</v>
      </c>
    </row>
    <row r="845" spans="1:16" ht="17.25" customHeight="1" x14ac:dyDescent="0.2">
      <c r="A845" s="17" t="s">
        <v>973</v>
      </c>
      <c r="B845" s="17" t="s">
        <v>4182</v>
      </c>
      <c r="C845" s="17" t="s">
        <v>1639</v>
      </c>
      <c r="D845" s="17" t="s">
        <v>3724</v>
      </c>
      <c r="E845" s="2" t="str">
        <f t="shared" si="59"/>
        <v>q</v>
      </c>
      <c r="F845" s="2">
        <f t="shared" si="60"/>
        <v>17</v>
      </c>
      <c r="G845" s="2">
        <v>2017</v>
      </c>
      <c r="H845" s="2" t="str">
        <f>_xlfn.CONCAT(E845,"lssuplt")</f>
        <v>qlssuplt</v>
      </c>
      <c r="I845" s="2" t="s">
        <v>3725</v>
      </c>
      <c r="J845" s="34" t="s">
        <v>3455</v>
      </c>
      <c r="K845" s="2" t="s">
        <v>1520</v>
      </c>
      <c r="L845" s="2" t="s">
        <v>8</v>
      </c>
      <c r="M845" s="2">
        <v>1</v>
      </c>
      <c r="N845" s="2">
        <v>7</v>
      </c>
      <c r="O845" s="2" t="s">
        <v>1527</v>
      </c>
      <c r="P845" s="2" t="s">
        <v>3462</v>
      </c>
    </row>
    <row r="846" spans="1:16" ht="17.25" customHeight="1" x14ac:dyDescent="0.2">
      <c r="A846" s="17" t="s">
        <v>973</v>
      </c>
      <c r="B846" s="17" t="s">
        <v>4182</v>
      </c>
      <c r="C846" s="17" t="s">
        <v>1639</v>
      </c>
      <c r="D846" s="17" t="s">
        <v>3724</v>
      </c>
      <c r="E846" s="2" t="str">
        <f t="shared" si="59"/>
        <v>r</v>
      </c>
      <c r="F846" s="2">
        <f t="shared" si="60"/>
        <v>18</v>
      </c>
      <c r="G846" s="2">
        <v>2018</v>
      </c>
      <c r="H846" s="2" t="str">
        <f>_xlfn.CONCAT(E846,"lssuplt")</f>
        <v>rlssuplt</v>
      </c>
      <c r="I846" s="2" t="s">
        <v>3725</v>
      </c>
      <c r="J846" s="34" t="s">
        <v>3455</v>
      </c>
      <c r="K846" s="2" t="s">
        <v>1520</v>
      </c>
      <c r="L846" s="2" t="s">
        <v>8</v>
      </c>
      <c r="M846" s="2">
        <v>1</v>
      </c>
      <c r="N846" s="2">
        <v>7</v>
      </c>
      <c r="O846" s="2" t="s">
        <v>1527</v>
      </c>
      <c r="P846" s="2" t="s">
        <v>3462</v>
      </c>
    </row>
    <row r="847" spans="1:16" ht="17.25" customHeight="1" x14ac:dyDescent="0.2">
      <c r="A847" s="17" t="s">
        <v>973</v>
      </c>
      <c r="B847" s="17" t="s">
        <v>4182</v>
      </c>
      <c r="C847" s="17" t="s">
        <v>1639</v>
      </c>
      <c r="D847" s="17" t="s">
        <v>3726</v>
      </c>
      <c r="E847" s="2" t="str">
        <f t="shared" si="59"/>
        <v>a</v>
      </c>
      <c r="F847" s="2">
        <f t="shared" si="60"/>
        <v>1</v>
      </c>
      <c r="G847" s="2">
        <v>2001</v>
      </c>
      <c r="H847" s="2" t="str">
        <f t="shared" ref="H847:H862" si="66">_xlfn.CONCAT(E847,"lssuplf")</f>
        <v>alssuplf</v>
      </c>
      <c r="I847" s="2" t="s">
        <v>3727</v>
      </c>
      <c r="J847" s="34" t="s">
        <v>3455</v>
      </c>
      <c r="K847" s="2" t="s">
        <v>398</v>
      </c>
      <c r="L847" s="2" t="s">
        <v>8</v>
      </c>
      <c r="M847" s="2">
        <v>1</v>
      </c>
      <c r="N847" s="2">
        <v>7</v>
      </c>
      <c r="O847" s="2" t="s">
        <v>1527</v>
      </c>
      <c r="P847" s="2" t="s">
        <v>3462</v>
      </c>
    </row>
    <row r="848" spans="1:16" ht="17.25" customHeight="1" x14ac:dyDescent="0.2">
      <c r="A848" s="17" t="s">
        <v>973</v>
      </c>
      <c r="B848" s="17" t="s">
        <v>4182</v>
      </c>
      <c r="C848" s="17" t="s">
        <v>1639</v>
      </c>
      <c r="D848" s="17" t="s">
        <v>3726</v>
      </c>
      <c r="E848" s="2" t="str">
        <f t="shared" si="59"/>
        <v>b</v>
      </c>
      <c r="F848" s="2">
        <f t="shared" si="60"/>
        <v>2</v>
      </c>
      <c r="G848" s="2">
        <v>2002</v>
      </c>
      <c r="H848" s="2" t="str">
        <f t="shared" si="66"/>
        <v>blssuplf</v>
      </c>
      <c r="I848" s="2" t="s">
        <v>3727</v>
      </c>
      <c r="J848" s="34" t="s">
        <v>3455</v>
      </c>
      <c r="K848" s="2" t="s">
        <v>398</v>
      </c>
      <c r="L848" s="2" t="s">
        <v>8</v>
      </c>
      <c r="M848" s="2">
        <v>1</v>
      </c>
      <c r="N848" s="2">
        <v>7</v>
      </c>
      <c r="O848" s="2" t="s">
        <v>1527</v>
      </c>
      <c r="P848" s="2" t="s">
        <v>3462</v>
      </c>
    </row>
    <row r="849" spans="1:16" ht="17.25" customHeight="1" x14ac:dyDescent="0.2">
      <c r="A849" s="17" t="s">
        <v>973</v>
      </c>
      <c r="B849" s="17" t="s">
        <v>4182</v>
      </c>
      <c r="C849" s="17" t="s">
        <v>1639</v>
      </c>
      <c r="D849" s="17" t="s">
        <v>3726</v>
      </c>
      <c r="E849" s="2" t="str">
        <f t="shared" si="59"/>
        <v>c</v>
      </c>
      <c r="F849" s="2">
        <f t="shared" si="60"/>
        <v>3</v>
      </c>
      <c r="G849" s="2">
        <v>2003</v>
      </c>
      <c r="H849" s="2" t="str">
        <f t="shared" si="66"/>
        <v>clssuplf</v>
      </c>
      <c r="I849" s="2" t="s">
        <v>3727</v>
      </c>
      <c r="J849" s="34" t="s">
        <v>3455</v>
      </c>
      <c r="K849" s="2" t="s">
        <v>398</v>
      </c>
      <c r="L849" s="2" t="s">
        <v>8</v>
      </c>
      <c r="M849" s="2">
        <v>1</v>
      </c>
      <c r="N849" s="2">
        <v>7</v>
      </c>
      <c r="O849" s="2" t="s">
        <v>1527</v>
      </c>
      <c r="P849" s="2" t="s">
        <v>3462</v>
      </c>
    </row>
    <row r="850" spans="1:16" ht="17.25" customHeight="1" x14ac:dyDescent="0.2">
      <c r="A850" s="17" t="s">
        <v>973</v>
      </c>
      <c r="B850" s="17" t="s">
        <v>4182</v>
      </c>
      <c r="C850" s="17" t="s">
        <v>1639</v>
      </c>
      <c r="D850" s="17" t="s">
        <v>3726</v>
      </c>
      <c r="E850" s="2" t="str">
        <f t="shared" si="59"/>
        <v>d</v>
      </c>
      <c r="F850" s="2">
        <f t="shared" si="60"/>
        <v>4</v>
      </c>
      <c r="G850" s="2">
        <v>2004</v>
      </c>
      <c r="H850" s="2" t="str">
        <f t="shared" si="66"/>
        <v>dlssuplf</v>
      </c>
      <c r="I850" s="2" t="s">
        <v>3727</v>
      </c>
      <c r="J850" s="34" t="s">
        <v>3455</v>
      </c>
      <c r="K850" s="2" t="s">
        <v>398</v>
      </c>
      <c r="L850" s="2" t="s">
        <v>8</v>
      </c>
      <c r="M850" s="2">
        <v>1</v>
      </c>
      <c r="N850" s="2">
        <v>7</v>
      </c>
      <c r="O850" s="2" t="s">
        <v>1527</v>
      </c>
      <c r="P850" s="2" t="s">
        <v>3462</v>
      </c>
    </row>
    <row r="851" spans="1:16" ht="17.25" customHeight="1" x14ac:dyDescent="0.2">
      <c r="A851" s="17" t="s">
        <v>973</v>
      </c>
      <c r="B851" s="17" t="s">
        <v>4182</v>
      </c>
      <c r="C851" s="17" t="s">
        <v>1639</v>
      </c>
      <c r="D851" s="17" t="s">
        <v>3726</v>
      </c>
      <c r="E851" s="2" t="str">
        <f t="shared" si="59"/>
        <v>e</v>
      </c>
      <c r="F851" s="2">
        <f t="shared" si="60"/>
        <v>5</v>
      </c>
      <c r="G851" s="2">
        <v>2005</v>
      </c>
      <c r="H851" s="2" t="str">
        <f t="shared" si="66"/>
        <v>elssuplf</v>
      </c>
      <c r="I851" s="2" t="s">
        <v>3727</v>
      </c>
      <c r="J851" s="34" t="s">
        <v>3455</v>
      </c>
      <c r="K851" s="2" t="s">
        <v>398</v>
      </c>
      <c r="L851" s="2" t="s">
        <v>8</v>
      </c>
      <c r="M851" s="2">
        <v>1</v>
      </c>
      <c r="N851" s="2">
        <v>7</v>
      </c>
      <c r="O851" s="2" t="s">
        <v>1527</v>
      </c>
      <c r="P851" s="2" t="s">
        <v>3462</v>
      </c>
    </row>
    <row r="852" spans="1:16" ht="17.25" customHeight="1" x14ac:dyDescent="0.2">
      <c r="A852" s="17" t="s">
        <v>973</v>
      </c>
      <c r="B852" s="17" t="s">
        <v>4182</v>
      </c>
      <c r="C852" s="17" t="s">
        <v>1639</v>
      </c>
      <c r="D852" s="17" t="s">
        <v>3726</v>
      </c>
      <c r="E852" s="2" t="str">
        <f t="shared" ref="E852:E915" si="67">MID("abcdefghijklmnopqrstuvwxyz",F852,1)</f>
        <v>f</v>
      </c>
      <c r="F852" s="2">
        <f t="shared" ref="F852:F915" si="68">G852-2000</f>
        <v>6</v>
      </c>
      <c r="G852" s="2">
        <v>2006</v>
      </c>
      <c r="H852" s="2" t="str">
        <f t="shared" si="66"/>
        <v>flssuplf</v>
      </c>
      <c r="I852" s="2" t="s">
        <v>3727</v>
      </c>
      <c r="J852" s="34" t="s">
        <v>3455</v>
      </c>
      <c r="K852" s="2" t="s">
        <v>398</v>
      </c>
      <c r="L852" s="2" t="s">
        <v>8</v>
      </c>
      <c r="M852" s="2">
        <v>1</v>
      </c>
      <c r="N852" s="2">
        <v>7</v>
      </c>
      <c r="O852" s="2" t="s">
        <v>1527</v>
      </c>
      <c r="P852" s="2" t="s">
        <v>3462</v>
      </c>
    </row>
    <row r="853" spans="1:16" ht="17.25" customHeight="1" x14ac:dyDescent="0.2">
      <c r="A853" s="17" t="s">
        <v>973</v>
      </c>
      <c r="B853" s="17" t="s">
        <v>4182</v>
      </c>
      <c r="C853" s="17" t="s">
        <v>1639</v>
      </c>
      <c r="D853" s="17" t="s">
        <v>3726</v>
      </c>
      <c r="E853" s="2" t="str">
        <f t="shared" si="67"/>
        <v>g</v>
      </c>
      <c r="F853" s="2">
        <f t="shared" si="68"/>
        <v>7</v>
      </c>
      <c r="G853" s="2">
        <v>2007</v>
      </c>
      <c r="H853" s="2" t="str">
        <f t="shared" si="66"/>
        <v>glssuplf</v>
      </c>
      <c r="I853" s="2" t="s">
        <v>3727</v>
      </c>
      <c r="J853" s="34" t="s">
        <v>3455</v>
      </c>
      <c r="K853" s="2" t="s">
        <v>398</v>
      </c>
      <c r="L853" s="2" t="s">
        <v>8</v>
      </c>
      <c r="M853" s="2">
        <v>1</v>
      </c>
      <c r="N853" s="2">
        <v>7</v>
      </c>
      <c r="O853" s="2" t="s">
        <v>1527</v>
      </c>
      <c r="P853" s="2" t="s">
        <v>3462</v>
      </c>
    </row>
    <row r="854" spans="1:16" ht="17.25" customHeight="1" x14ac:dyDescent="0.2">
      <c r="A854" s="17" t="s">
        <v>973</v>
      </c>
      <c r="B854" s="17" t="s">
        <v>4182</v>
      </c>
      <c r="C854" s="17" t="s">
        <v>1639</v>
      </c>
      <c r="D854" s="17" t="s">
        <v>3726</v>
      </c>
      <c r="E854" s="2" t="str">
        <f t="shared" si="67"/>
        <v>h</v>
      </c>
      <c r="F854" s="2">
        <f t="shared" si="68"/>
        <v>8</v>
      </c>
      <c r="G854" s="2">
        <v>2008</v>
      </c>
      <c r="H854" s="2" t="str">
        <f t="shared" si="66"/>
        <v>hlssuplf</v>
      </c>
      <c r="I854" s="2" t="s">
        <v>3727</v>
      </c>
      <c r="J854" s="34" t="s">
        <v>3455</v>
      </c>
      <c r="K854" s="2" t="s">
        <v>398</v>
      </c>
      <c r="L854" s="2" t="s">
        <v>8</v>
      </c>
      <c r="M854" s="2">
        <v>1</v>
      </c>
      <c r="N854" s="2">
        <v>7</v>
      </c>
      <c r="O854" s="2" t="s">
        <v>1527</v>
      </c>
      <c r="P854" s="2" t="s">
        <v>3462</v>
      </c>
    </row>
    <row r="855" spans="1:16" ht="17.25" customHeight="1" x14ac:dyDescent="0.2">
      <c r="A855" s="17" t="s">
        <v>973</v>
      </c>
      <c r="B855" s="17" t="s">
        <v>4182</v>
      </c>
      <c r="C855" s="17" t="s">
        <v>1639</v>
      </c>
      <c r="D855" s="17" t="s">
        <v>3726</v>
      </c>
      <c r="E855" s="2" t="str">
        <f t="shared" si="67"/>
        <v>i</v>
      </c>
      <c r="F855" s="2">
        <f t="shared" si="68"/>
        <v>9</v>
      </c>
      <c r="G855" s="2">
        <v>2009</v>
      </c>
      <c r="H855" s="2" t="str">
        <f t="shared" si="66"/>
        <v>ilssuplf</v>
      </c>
      <c r="I855" s="2" t="s">
        <v>3727</v>
      </c>
      <c r="J855" s="34" t="s">
        <v>3455</v>
      </c>
      <c r="K855" s="2" t="s">
        <v>398</v>
      </c>
      <c r="L855" s="2" t="s">
        <v>8</v>
      </c>
      <c r="M855" s="2">
        <v>1</v>
      </c>
      <c r="N855" s="2">
        <v>7</v>
      </c>
      <c r="O855" s="2" t="s">
        <v>1527</v>
      </c>
      <c r="P855" s="2" t="s">
        <v>3462</v>
      </c>
    </row>
    <row r="856" spans="1:16" ht="17.25" customHeight="1" x14ac:dyDescent="0.2">
      <c r="A856" s="17" t="s">
        <v>973</v>
      </c>
      <c r="B856" s="17" t="s">
        <v>4182</v>
      </c>
      <c r="C856" s="17" t="s">
        <v>1639</v>
      </c>
      <c r="D856" s="17" t="s">
        <v>3726</v>
      </c>
      <c r="E856" s="2" t="str">
        <f t="shared" si="67"/>
        <v>j</v>
      </c>
      <c r="F856" s="2">
        <f t="shared" si="68"/>
        <v>10</v>
      </c>
      <c r="G856" s="2">
        <v>2010</v>
      </c>
      <c r="H856" s="2" t="str">
        <f t="shared" si="66"/>
        <v>jlssuplf</v>
      </c>
      <c r="I856" s="2" t="s">
        <v>3727</v>
      </c>
      <c r="J856" s="34" t="s">
        <v>3455</v>
      </c>
      <c r="K856" s="2" t="s">
        <v>398</v>
      </c>
      <c r="L856" s="2" t="s">
        <v>8</v>
      </c>
      <c r="M856" s="2">
        <v>1</v>
      </c>
      <c r="N856" s="2">
        <v>7</v>
      </c>
      <c r="O856" s="2" t="s">
        <v>1527</v>
      </c>
      <c r="P856" s="2" t="s">
        <v>3462</v>
      </c>
    </row>
    <row r="857" spans="1:16" ht="17.25" customHeight="1" x14ac:dyDescent="0.2">
      <c r="A857" s="17" t="s">
        <v>973</v>
      </c>
      <c r="B857" s="17" t="s">
        <v>4182</v>
      </c>
      <c r="C857" s="17" t="s">
        <v>1639</v>
      </c>
      <c r="D857" s="17" t="s">
        <v>3726</v>
      </c>
      <c r="E857" s="2" t="str">
        <f t="shared" si="67"/>
        <v>k</v>
      </c>
      <c r="F857" s="2">
        <f t="shared" si="68"/>
        <v>11</v>
      </c>
      <c r="G857" s="2">
        <v>2011</v>
      </c>
      <c r="H857" s="2" t="str">
        <f t="shared" si="66"/>
        <v>klssuplf</v>
      </c>
      <c r="I857" s="2" t="s">
        <v>3727</v>
      </c>
      <c r="J857" s="34" t="s">
        <v>3455</v>
      </c>
      <c r="K857" s="2" t="s">
        <v>398</v>
      </c>
      <c r="L857" s="2" t="s">
        <v>8</v>
      </c>
      <c r="M857" s="2">
        <v>1</v>
      </c>
      <c r="N857" s="2">
        <v>7</v>
      </c>
      <c r="O857" s="2" t="s">
        <v>1527</v>
      </c>
      <c r="P857" s="2" t="s">
        <v>3462</v>
      </c>
    </row>
    <row r="858" spans="1:16" ht="17.25" customHeight="1" x14ac:dyDescent="0.2">
      <c r="A858" s="17" t="s">
        <v>973</v>
      </c>
      <c r="B858" s="17" t="s">
        <v>4182</v>
      </c>
      <c r="C858" s="17" t="s">
        <v>1639</v>
      </c>
      <c r="D858" s="17" t="s">
        <v>3726</v>
      </c>
      <c r="E858" s="2" t="str">
        <f t="shared" si="67"/>
        <v>l</v>
      </c>
      <c r="F858" s="2">
        <f t="shared" si="68"/>
        <v>12</v>
      </c>
      <c r="G858" s="2">
        <v>2012</v>
      </c>
      <c r="H858" s="2" t="str">
        <f t="shared" si="66"/>
        <v>llssuplf</v>
      </c>
      <c r="I858" s="2" t="s">
        <v>3727</v>
      </c>
      <c r="J858" s="34" t="s">
        <v>3455</v>
      </c>
      <c r="K858" s="2" t="s">
        <v>398</v>
      </c>
      <c r="L858" s="2" t="s">
        <v>8</v>
      </c>
      <c r="M858" s="2">
        <v>1</v>
      </c>
      <c r="N858" s="2">
        <v>7</v>
      </c>
      <c r="O858" s="2" t="s">
        <v>1527</v>
      </c>
      <c r="P858" s="2" t="s">
        <v>3462</v>
      </c>
    </row>
    <row r="859" spans="1:16" ht="17.25" customHeight="1" x14ac:dyDescent="0.2">
      <c r="A859" s="17" t="s">
        <v>973</v>
      </c>
      <c r="B859" s="17" t="s">
        <v>4182</v>
      </c>
      <c r="C859" s="17" t="s">
        <v>1639</v>
      </c>
      <c r="D859" s="17" t="s">
        <v>3726</v>
      </c>
      <c r="E859" s="2" t="str">
        <f t="shared" si="67"/>
        <v>m</v>
      </c>
      <c r="F859" s="2">
        <f t="shared" si="68"/>
        <v>13</v>
      </c>
      <c r="G859" s="2">
        <v>2013</v>
      </c>
      <c r="H859" s="2" t="str">
        <f t="shared" si="66"/>
        <v>mlssuplf</v>
      </c>
      <c r="I859" s="2" t="s">
        <v>3727</v>
      </c>
      <c r="J859" s="34" t="s">
        <v>3455</v>
      </c>
      <c r="K859" s="2" t="s">
        <v>398</v>
      </c>
      <c r="L859" s="2" t="s">
        <v>8</v>
      </c>
      <c r="M859" s="2">
        <v>1</v>
      </c>
      <c r="N859" s="2">
        <v>7</v>
      </c>
      <c r="O859" s="2" t="s">
        <v>1527</v>
      </c>
      <c r="P859" s="2" t="s">
        <v>3462</v>
      </c>
    </row>
    <row r="860" spans="1:16" ht="17.25" customHeight="1" x14ac:dyDescent="0.2">
      <c r="A860" s="17" t="s">
        <v>973</v>
      </c>
      <c r="B860" s="17" t="s">
        <v>4182</v>
      </c>
      <c r="C860" s="17" t="s">
        <v>1639</v>
      </c>
      <c r="D860" s="17" t="s">
        <v>3726</v>
      </c>
      <c r="E860" s="2" t="str">
        <f t="shared" si="67"/>
        <v>n</v>
      </c>
      <c r="F860" s="2">
        <f t="shared" si="68"/>
        <v>14</v>
      </c>
      <c r="G860" s="2">
        <v>2014</v>
      </c>
      <c r="H860" s="2" t="str">
        <f t="shared" si="66"/>
        <v>nlssuplf</v>
      </c>
      <c r="I860" s="2" t="s">
        <v>3727</v>
      </c>
      <c r="J860" s="34" t="s">
        <v>3455</v>
      </c>
      <c r="K860" s="2" t="s">
        <v>398</v>
      </c>
      <c r="L860" s="2" t="s">
        <v>8</v>
      </c>
      <c r="M860" s="2">
        <v>1</v>
      </c>
      <c r="N860" s="2">
        <v>7</v>
      </c>
      <c r="O860" s="2" t="s">
        <v>1527</v>
      </c>
      <c r="P860" s="2" t="s">
        <v>3462</v>
      </c>
    </row>
    <row r="861" spans="1:16" ht="17.25" customHeight="1" x14ac:dyDescent="0.2">
      <c r="A861" s="17" t="s">
        <v>973</v>
      </c>
      <c r="B861" s="17" t="s">
        <v>4182</v>
      </c>
      <c r="C861" s="17" t="s">
        <v>1639</v>
      </c>
      <c r="D861" s="17" t="s">
        <v>3726</v>
      </c>
      <c r="E861" s="2" t="str">
        <f t="shared" si="67"/>
        <v>o</v>
      </c>
      <c r="F861" s="2">
        <f t="shared" si="68"/>
        <v>15</v>
      </c>
      <c r="G861" s="2">
        <v>2015</v>
      </c>
      <c r="H861" s="2" t="str">
        <f t="shared" si="66"/>
        <v>olssuplf</v>
      </c>
      <c r="I861" s="2" t="s">
        <v>3727</v>
      </c>
      <c r="J861" s="34" t="s">
        <v>3455</v>
      </c>
      <c r="K861" s="2" t="s">
        <v>398</v>
      </c>
      <c r="L861" s="2" t="s">
        <v>8</v>
      </c>
      <c r="M861" s="2">
        <v>1</v>
      </c>
      <c r="N861" s="2">
        <v>7</v>
      </c>
      <c r="O861" s="2" t="s">
        <v>1527</v>
      </c>
      <c r="P861" s="2" t="s">
        <v>3462</v>
      </c>
    </row>
    <row r="862" spans="1:16" ht="17.25" customHeight="1" x14ac:dyDescent="0.2">
      <c r="A862" s="17" t="s">
        <v>973</v>
      </c>
      <c r="B862" s="17" t="s">
        <v>4182</v>
      </c>
      <c r="C862" s="17" t="s">
        <v>1639</v>
      </c>
      <c r="D862" s="17" t="s">
        <v>3726</v>
      </c>
      <c r="E862" s="2" t="str">
        <f t="shared" si="67"/>
        <v>p</v>
      </c>
      <c r="F862" s="2">
        <f t="shared" si="68"/>
        <v>16</v>
      </c>
      <c r="G862" s="2">
        <v>2016</v>
      </c>
      <c r="H862" s="2" t="str">
        <f t="shared" si="66"/>
        <v>plssuplf</v>
      </c>
      <c r="I862" s="2" t="s">
        <v>3727</v>
      </c>
      <c r="J862" s="34" t="s">
        <v>3455</v>
      </c>
      <c r="K862" s="2" t="s">
        <v>398</v>
      </c>
      <c r="L862" s="2" t="s">
        <v>8</v>
      </c>
      <c r="M862" s="2">
        <v>1</v>
      </c>
      <c r="N862" s="2">
        <v>7</v>
      </c>
      <c r="O862" s="2" t="s">
        <v>1527</v>
      </c>
      <c r="P862" s="2" t="s">
        <v>3462</v>
      </c>
    </row>
    <row r="863" spans="1:16" ht="17.25" customHeight="1" x14ac:dyDescent="0.2">
      <c r="A863" s="17" t="s">
        <v>973</v>
      </c>
      <c r="B863" s="17" t="s">
        <v>4182</v>
      </c>
      <c r="C863" s="17" t="s">
        <v>1639</v>
      </c>
      <c r="D863" s="17" t="s">
        <v>3726</v>
      </c>
      <c r="E863" s="2" t="str">
        <f t="shared" si="67"/>
        <v>q</v>
      </c>
      <c r="F863" s="2">
        <f t="shared" si="68"/>
        <v>17</v>
      </c>
      <c r="G863" s="2">
        <v>2017</v>
      </c>
      <c r="H863" s="2" t="str">
        <f>_xlfn.CONCAT(E863,"lssuplf")</f>
        <v>qlssuplf</v>
      </c>
      <c r="I863" s="2" t="s">
        <v>3727</v>
      </c>
      <c r="J863" s="34" t="s">
        <v>3455</v>
      </c>
      <c r="K863" s="2" t="s">
        <v>398</v>
      </c>
      <c r="L863" s="2" t="s">
        <v>8</v>
      </c>
      <c r="M863" s="2">
        <v>1</v>
      </c>
      <c r="N863" s="2">
        <v>7</v>
      </c>
      <c r="O863" s="2" t="s">
        <v>1527</v>
      </c>
      <c r="P863" s="2" t="s">
        <v>3462</v>
      </c>
    </row>
    <row r="864" spans="1:16" ht="17.25" customHeight="1" x14ac:dyDescent="0.2">
      <c r="A864" s="17" t="s">
        <v>973</v>
      </c>
      <c r="B864" s="17" t="s">
        <v>4182</v>
      </c>
      <c r="C864" s="17" t="s">
        <v>1639</v>
      </c>
      <c r="D864" s="17" t="s">
        <v>3726</v>
      </c>
      <c r="E864" s="2" t="str">
        <f t="shared" si="67"/>
        <v>r</v>
      </c>
      <c r="F864" s="2">
        <f t="shared" si="68"/>
        <v>18</v>
      </c>
      <c r="G864" s="2">
        <v>2018</v>
      </c>
      <c r="H864" s="2" t="str">
        <f>_xlfn.CONCAT(E864,"lssuplf")</f>
        <v>rlssuplf</v>
      </c>
      <c r="I864" s="2" t="s">
        <v>3727</v>
      </c>
      <c r="J864" s="34" t="s">
        <v>3455</v>
      </c>
      <c r="K864" s="2" t="s">
        <v>398</v>
      </c>
      <c r="L864" s="2" t="s">
        <v>8</v>
      </c>
      <c r="M864" s="2">
        <v>1</v>
      </c>
      <c r="N864" s="2">
        <v>7</v>
      </c>
      <c r="O864" s="2" t="s">
        <v>1527</v>
      </c>
      <c r="P864" s="2" t="s">
        <v>3462</v>
      </c>
    </row>
    <row r="865" spans="1:16" ht="17.25" customHeight="1" x14ac:dyDescent="0.2">
      <c r="A865" s="17" t="s">
        <v>973</v>
      </c>
      <c r="B865" s="17" t="s">
        <v>4182</v>
      </c>
      <c r="C865" s="17" t="s">
        <v>1639</v>
      </c>
      <c r="D865" s="17" t="s">
        <v>3728</v>
      </c>
      <c r="E865" s="2" t="str">
        <f t="shared" si="67"/>
        <v>a</v>
      </c>
      <c r="F865" s="2">
        <f t="shared" si="68"/>
        <v>1</v>
      </c>
      <c r="G865" s="2">
        <v>2001</v>
      </c>
      <c r="H865" s="2" t="str">
        <f>_xlfn.CONCAT(E865,"lssupnh")</f>
        <v>alssupnh</v>
      </c>
      <c r="I865" s="2" t="s">
        <v>3729</v>
      </c>
      <c r="J865" s="34" t="s">
        <v>3455</v>
      </c>
      <c r="K865" s="2" t="s">
        <v>1520</v>
      </c>
      <c r="L865" s="2" t="s">
        <v>8</v>
      </c>
      <c r="M865" s="2">
        <v>1</v>
      </c>
      <c r="N865" s="2">
        <v>7</v>
      </c>
      <c r="O865" s="2" t="s">
        <v>1527</v>
      </c>
      <c r="P865" s="2" t="s">
        <v>3462</v>
      </c>
    </row>
    <row r="866" spans="1:16" ht="17.25" customHeight="1" x14ac:dyDescent="0.2">
      <c r="A866" s="17" t="s">
        <v>973</v>
      </c>
      <c r="B866" s="17" t="s">
        <v>4182</v>
      </c>
      <c r="C866" s="17" t="s">
        <v>1639</v>
      </c>
      <c r="D866" s="17" t="s">
        <v>3728</v>
      </c>
      <c r="E866" s="2" t="str">
        <f t="shared" si="67"/>
        <v>b</v>
      </c>
      <c r="F866" s="2">
        <f t="shared" si="68"/>
        <v>2</v>
      </c>
      <c r="G866" s="2">
        <v>2002</v>
      </c>
      <c r="H866" s="2" t="str">
        <f t="shared" ref="H866:H882" si="69">_xlfn.CONCAT(E866,"lssupnh")</f>
        <v>blssupnh</v>
      </c>
      <c r="I866" s="2" t="s">
        <v>3729</v>
      </c>
      <c r="J866" s="34" t="s">
        <v>3455</v>
      </c>
      <c r="K866" s="2" t="s">
        <v>1520</v>
      </c>
      <c r="L866" s="2" t="s">
        <v>8</v>
      </c>
      <c r="M866" s="2">
        <v>1</v>
      </c>
      <c r="N866" s="2">
        <v>7</v>
      </c>
      <c r="O866" s="2" t="s">
        <v>1527</v>
      </c>
      <c r="P866" s="2" t="s">
        <v>3462</v>
      </c>
    </row>
    <row r="867" spans="1:16" ht="17.25" customHeight="1" x14ac:dyDescent="0.2">
      <c r="A867" s="17" t="s">
        <v>973</v>
      </c>
      <c r="B867" s="17" t="s">
        <v>4182</v>
      </c>
      <c r="C867" s="17" t="s">
        <v>1639</v>
      </c>
      <c r="D867" s="17" t="s">
        <v>3728</v>
      </c>
      <c r="E867" s="2" t="str">
        <f t="shared" si="67"/>
        <v>c</v>
      </c>
      <c r="F867" s="2">
        <f t="shared" si="68"/>
        <v>3</v>
      </c>
      <c r="G867" s="2">
        <v>2003</v>
      </c>
      <c r="H867" s="2" t="str">
        <f t="shared" si="69"/>
        <v>clssupnh</v>
      </c>
      <c r="I867" s="2" t="s">
        <v>3729</v>
      </c>
      <c r="J867" s="34" t="s">
        <v>3455</v>
      </c>
      <c r="K867" s="2" t="s">
        <v>1520</v>
      </c>
      <c r="L867" s="2" t="s">
        <v>8</v>
      </c>
      <c r="M867" s="2">
        <v>1</v>
      </c>
      <c r="N867" s="2">
        <v>7</v>
      </c>
      <c r="O867" s="2" t="s">
        <v>1527</v>
      </c>
      <c r="P867" s="2" t="s">
        <v>3462</v>
      </c>
    </row>
    <row r="868" spans="1:16" ht="17.25" customHeight="1" x14ac:dyDescent="0.2">
      <c r="A868" s="17" t="s">
        <v>973</v>
      </c>
      <c r="B868" s="17" t="s">
        <v>4182</v>
      </c>
      <c r="C868" s="17" t="s">
        <v>1639</v>
      </c>
      <c r="D868" s="17" t="s">
        <v>3728</v>
      </c>
      <c r="E868" s="2" t="str">
        <f t="shared" si="67"/>
        <v>d</v>
      </c>
      <c r="F868" s="2">
        <f t="shared" si="68"/>
        <v>4</v>
      </c>
      <c r="G868" s="2">
        <v>2004</v>
      </c>
      <c r="H868" s="2" t="str">
        <f t="shared" si="69"/>
        <v>dlssupnh</v>
      </c>
      <c r="I868" s="2" t="s">
        <v>3729</v>
      </c>
      <c r="J868" s="34" t="s">
        <v>3455</v>
      </c>
      <c r="K868" s="2" t="s">
        <v>1520</v>
      </c>
      <c r="L868" s="2" t="s">
        <v>8</v>
      </c>
      <c r="M868" s="2">
        <v>1</v>
      </c>
      <c r="N868" s="2">
        <v>7</v>
      </c>
      <c r="O868" s="2" t="s">
        <v>1527</v>
      </c>
      <c r="P868" s="2" t="s">
        <v>3462</v>
      </c>
    </row>
    <row r="869" spans="1:16" ht="17.25" customHeight="1" x14ac:dyDescent="0.2">
      <c r="A869" s="17" t="s">
        <v>973</v>
      </c>
      <c r="B869" s="17" t="s">
        <v>4182</v>
      </c>
      <c r="C869" s="17" t="s">
        <v>1639</v>
      </c>
      <c r="D869" s="17" t="s">
        <v>3728</v>
      </c>
      <c r="E869" s="2" t="str">
        <f t="shared" si="67"/>
        <v>e</v>
      </c>
      <c r="F869" s="2">
        <f t="shared" si="68"/>
        <v>5</v>
      </c>
      <c r="G869" s="2">
        <v>2005</v>
      </c>
      <c r="H869" s="2" t="str">
        <f t="shared" si="69"/>
        <v>elssupnh</v>
      </c>
      <c r="I869" s="2" t="s">
        <v>3729</v>
      </c>
      <c r="J869" s="34" t="s">
        <v>3455</v>
      </c>
      <c r="K869" s="2" t="s">
        <v>1520</v>
      </c>
      <c r="L869" s="2" t="s">
        <v>8</v>
      </c>
      <c r="M869" s="2">
        <v>1</v>
      </c>
      <c r="N869" s="2">
        <v>7</v>
      </c>
      <c r="O869" s="2" t="s">
        <v>1527</v>
      </c>
      <c r="P869" s="2" t="s">
        <v>3462</v>
      </c>
    </row>
    <row r="870" spans="1:16" ht="17.25" customHeight="1" x14ac:dyDescent="0.2">
      <c r="A870" s="17" t="s">
        <v>973</v>
      </c>
      <c r="B870" s="17" t="s">
        <v>4182</v>
      </c>
      <c r="C870" s="17" t="s">
        <v>1639</v>
      </c>
      <c r="D870" s="17" t="s">
        <v>3728</v>
      </c>
      <c r="E870" s="2" t="str">
        <f t="shared" si="67"/>
        <v>f</v>
      </c>
      <c r="F870" s="2">
        <f t="shared" si="68"/>
        <v>6</v>
      </c>
      <c r="G870" s="2">
        <v>2006</v>
      </c>
      <c r="H870" s="2" t="str">
        <f t="shared" si="69"/>
        <v>flssupnh</v>
      </c>
      <c r="I870" s="2" t="s">
        <v>3729</v>
      </c>
      <c r="J870" s="34" t="s">
        <v>3455</v>
      </c>
      <c r="K870" s="2" t="s">
        <v>1520</v>
      </c>
      <c r="L870" s="2" t="s">
        <v>8</v>
      </c>
      <c r="M870" s="2">
        <v>1</v>
      </c>
      <c r="N870" s="2">
        <v>7</v>
      </c>
      <c r="O870" s="2" t="s">
        <v>1527</v>
      </c>
      <c r="P870" s="2" t="s">
        <v>3462</v>
      </c>
    </row>
    <row r="871" spans="1:16" ht="17.25" customHeight="1" x14ac:dyDescent="0.2">
      <c r="A871" s="17" t="s">
        <v>973</v>
      </c>
      <c r="B871" s="17" t="s">
        <v>4182</v>
      </c>
      <c r="C871" s="17" t="s">
        <v>1639</v>
      </c>
      <c r="D871" s="17" t="s">
        <v>3728</v>
      </c>
      <c r="E871" s="2" t="str">
        <f t="shared" si="67"/>
        <v>g</v>
      </c>
      <c r="F871" s="2">
        <f t="shared" si="68"/>
        <v>7</v>
      </c>
      <c r="G871" s="2">
        <v>2007</v>
      </c>
      <c r="H871" s="2" t="str">
        <f t="shared" si="69"/>
        <v>glssupnh</v>
      </c>
      <c r="I871" s="2" t="s">
        <v>3729</v>
      </c>
      <c r="J871" s="34" t="s">
        <v>3455</v>
      </c>
      <c r="K871" s="2" t="s">
        <v>1520</v>
      </c>
      <c r="L871" s="2" t="s">
        <v>8</v>
      </c>
      <c r="M871" s="2">
        <v>1</v>
      </c>
      <c r="N871" s="2">
        <v>7</v>
      </c>
      <c r="O871" s="2" t="s">
        <v>1527</v>
      </c>
      <c r="P871" s="2" t="s">
        <v>3462</v>
      </c>
    </row>
    <row r="872" spans="1:16" ht="17.25" customHeight="1" x14ac:dyDescent="0.2">
      <c r="A872" s="17" t="s">
        <v>973</v>
      </c>
      <c r="B872" s="17" t="s">
        <v>4182</v>
      </c>
      <c r="C872" s="17" t="s">
        <v>1639</v>
      </c>
      <c r="D872" s="17" t="s">
        <v>3728</v>
      </c>
      <c r="E872" s="2" t="str">
        <f t="shared" si="67"/>
        <v>h</v>
      </c>
      <c r="F872" s="2">
        <f t="shared" si="68"/>
        <v>8</v>
      </c>
      <c r="G872" s="2">
        <v>2008</v>
      </c>
      <c r="H872" s="2" t="str">
        <f t="shared" si="69"/>
        <v>hlssupnh</v>
      </c>
      <c r="I872" s="2" t="s">
        <v>3729</v>
      </c>
      <c r="J872" s="34" t="s">
        <v>3455</v>
      </c>
      <c r="K872" s="2" t="s">
        <v>1520</v>
      </c>
      <c r="L872" s="2" t="s">
        <v>8</v>
      </c>
      <c r="M872" s="2">
        <v>1</v>
      </c>
      <c r="N872" s="2">
        <v>7</v>
      </c>
      <c r="O872" s="2" t="s">
        <v>1527</v>
      </c>
      <c r="P872" s="2" t="s">
        <v>3462</v>
      </c>
    </row>
    <row r="873" spans="1:16" ht="17.25" customHeight="1" x14ac:dyDescent="0.2">
      <c r="A873" s="17" t="s">
        <v>973</v>
      </c>
      <c r="B873" s="17" t="s">
        <v>4182</v>
      </c>
      <c r="C873" s="17" t="s">
        <v>1639</v>
      </c>
      <c r="D873" s="17" t="s">
        <v>3728</v>
      </c>
      <c r="E873" s="2" t="str">
        <f t="shared" si="67"/>
        <v>i</v>
      </c>
      <c r="F873" s="2">
        <f t="shared" si="68"/>
        <v>9</v>
      </c>
      <c r="G873" s="2">
        <v>2009</v>
      </c>
      <c r="H873" s="2" t="str">
        <f t="shared" si="69"/>
        <v>ilssupnh</v>
      </c>
      <c r="I873" s="2" t="s">
        <v>3729</v>
      </c>
      <c r="J873" s="34" t="s">
        <v>3455</v>
      </c>
      <c r="K873" s="2" t="s">
        <v>1520</v>
      </c>
      <c r="L873" s="2" t="s">
        <v>8</v>
      </c>
      <c r="M873" s="2">
        <v>1</v>
      </c>
      <c r="N873" s="2">
        <v>7</v>
      </c>
      <c r="O873" s="2" t="s">
        <v>1527</v>
      </c>
      <c r="P873" s="2" t="s">
        <v>3462</v>
      </c>
    </row>
    <row r="874" spans="1:16" ht="17.25" customHeight="1" x14ac:dyDescent="0.2">
      <c r="A874" s="17" t="s">
        <v>973</v>
      </c>
      <c r="B874" s="17" t="s">
        <v>4182</v>
      </c>
      <c r="C874" s="17" t="s">
        <v>1639</v>
      </c>
      <c r="D874" s="17" t="s">
        <v>3728</v>
      </c>
      <c r="E874" s="2" t="str">
        <f t="shared" si="67"/>
        <v>j</v>
      </c>
      <c r="F874" s="2">
        <f t="shared" si="68"/>
        <v>10</v>
      </c>
      <c r="G874" s="2">
        <v>2010</v>
      </c>
      <c r="H874" s="2" t="str">
        <f t="shared" si="69"/>
        <v>jlssupnh</v>
      </c>
      <c r="I874" s="2" t="s">
        <v>3729</v>
      </c>
      <c r="J874" s="34" t="s">
        <v>3455</v>
      </c>
      <c r="K874" s="2" t="s">
        <v>1520</v>
      </c>
      <c r="L874" s="2" t="s">
        <v>8</v>
      </c>
      <c r="M874" s="2">
        <v>1</v>
      </c>
      <c r="N874" s="2">
        <v>7</v>
      </c>
      <c r="O874" s="2" t="s">
        <v>1527</v>
      </c>
      <c r="P874" s="2" t="s">
        <v>3462</v>
      </c>
    </row>
    <row r="875" spans="1:16" ht="17.25" customHeight="1" x14ac:dyDescent="0.2">
      <c r="A875" s="17" t="s">
        <v>973</v>
      </c>
      <c r="B875" s="17" t="s">
        <v>4182</v>
      </c>
      <c r="C875" s="17" t="s">
        <v>1639</v>
      </c>
      <c r="D875" s="17" t="s">
        <v>3728</v>
      </c>
      <c r="E875" s="2" t="str">
        <f t="shared" si="67"/>
        <v>k</v>
      </c>
      <c r="F875" s="2">
        <f t="shared" si="68"/>
        <v>11</v>
      </c>
      <c r="G875" s="2">
        <v>2011</v>
      </c>
      <c r="H875" s="2" t="str">
        <f t="shared" si="69"/>
        <v>klssupnh</v>
      </c>
      <c r="I875" s="2" t="s">
        <v>3729</v>
      </c>
      <c r="J875" s="34" t="s">
        <v>3455</v>
      </c>
      <c r="K875" s="2" t="s">
        <v>1520</v>
      </c>
      <c r="L875" s="2" t="s">
        <v>8</v>
      </c>
      <c r="M875" s="2">
        <v>1</v>
      </c>
      <c r="N875" s="2">
        <v>7</v>
      </c>
      <c r="O875" s="2" t="s">
        <v>1527</v>
      </c>
      <c r="P875" s="2" t="s">
        <v>3462</v>
      </c>
    </row>
    <row r="876" spans="1:16" ht="17.25" customHeight="1" x14ac:dyDescent="0.2">
      <c r="A876" s="17" t="s">
        <v>973</v>
      </c>
      <c r="B876" s="17" t="s">
        <v>4182</v>
      </c>
      <c r="C876" s="17" t="s">
        <v>1639</v>
      </c>
      <c r="D876" s="17" t="s">
        <v>3728</v>
      </c>
      <c r="E876" s="2" t="str">
        <f t="shared" si="67"/>
        <v>l</v>
      </c>
      <c r="F876" s="2">
        <f t="shared" si="68"/>
        <v>12</v>
      </c>
      <c r="G876" s="2">
        <v>2012</v>
      </c>
      <c r="H876" s="2" t="str">
        <f t="shared" si="69"/>
        <v>llssupnh</v>
      </c>
      <c r="I876" s="2" t="s">
        <v>3729</v>
      </c>
      <c r="J876" s="34" t="s">
        <v>3455</v>
      </c>
      <c r="K876" s="2" t="s">
        <v>1520</v>
      </c>
      <c r="L876" s="2" t="s">
        <v>8</v>
      </c>
      <c r="M876" s="2">
        <v>1</v>
      </c>
      <c r="N876" s="2">
        <v>7</v>
      </c>
      <c r="O876" s="2" t="s">
        <v>1527</v>
      </c>
      <c r="P876" s="2" t="s">
        <v>3462</v>
      </c>
    </row>
    <row r="877" spans="1:16" ht="17.25" customHeight="1" x14ac:dyDescent="0.2">
      <c r="A877" s="17" t="s">
        <v>973</v>
      </c>
      <c r="B877" s="17" t="s">
        <v>4182</v>
      </c>
      <c r="C877" s="17" t="s">
        <v>1639</v>
      </c>
      <c r="D877" s="17" t="s">
        <v>3728</v>
      </c>
      <c r="E877" s="2" t="str">
        <f t="shared" si="67"/>
        <v>m</v>
      </c>
      <c r="F877" s="2">
        <f t="shared" si="68"/>
        <v>13</v>
      </c>
      <c r="G877" s="2">
        <v>2013</v>
      </c>
      <c r="H877" s="2" t="str">
        <f t="shared" si="69"/>
        <v>mlssupnh</v>
      </c>
      <c r="I877" s="2" t="s">
        <v>3729</v>
      </c>
      <c r="J877" s="34" t="s">
        <v>3455</v>
      </c>
      <c r="K877" s="2" t="s">
        <v>1520</v>
      </c>
      <c r="L877" s="2" t="s">
        <v>8</v>
      </c>
      <c r="M877" s="2">
        <v>1</v>
      </c>
      <c r="N877" s="2">
        <v>7</v>
      </c>
      <c r="O877" s="2" t="s">
        <v>1527</v>
      </c>
      <c r="P877" s="2" t="s">
        <v>3462</v>
      </c>
    </row>
    <row r="878" spans="1:16" ht="17.25" customHeight="1" x14ac:dyDescent="0.2">
      <c r="A878" s="17" t="s">
        <v>973</v>
      </c>
      <c r="B878" s="17" t="s">
        <v>4182</v>
      </c>
      <c r="C878" s="17" t="s">
        <v>1639</v>
      </c>
      <c r="D878" s="17" t="s">
        <v>3728</v>
      </c>
      <c r="E878" s="2" t="str">
        <f t="shared" si="67"/>
        <v>n</v>
      </c>
      <c r="F878" s="2">
        <f t="shared" si="68"/>
        <v>14</v>
      </c>
      <c r="G878" s="2">
        <v>2014</v>
      </c>
      <c r="H878" s="2" t="str">
        <f t="shared" si="69"/>
        <v>nlssupnh</v>
      </c>
      <c r="I878" s="2" t="s">
        <v>3729</v>
      </c>
      <c r="J878" s="34" t="s">
        <v>3455</v>
      </c>
      <c r="K878" s="2" t="s">
        <v>1520</v>
      </c>
      <c r="L878" s="2" t="s">
        <v>8</v>
      </c>
      <c r="M878" s="2">
        <v>1</v>
      </c>
      <c r="N878" s="2">
        <v>7</v>
      </c>
      <c r="O878" s="2" t="s">
        <v>1527</v>
      </c>
      <c r="P878" s="2" t="s">
        <v>3462</v>
      </c>
    </row>
    <row r="879" spans="1:16" ht="17.25" customHeight="1" x14ac:dyDescent="0.2">
      <c r="A879" s="17" t="s">
        <v>973</v>
      </c>
      <c r="B879" s="17" t="s">
        <v>4182</v>
      </c>
      <c r="C879" s="17" t="s">
        <v>1639</v>
      </c>
      <c r="D879" s="17" t="s">
        <v>3728</v>
      </c>
      <c r="E879" s="2" t="str">
        <f t="shared" si="67"/>
        <v>o</v>
      </c>
      <c r="F879" s="2">
        <f t="shared" si="68"/>
        <v>15</v>
      </c>
      <c r="G879" s="2">
        <v>2015</v>
      </c>
      <c r="H879" s="2" t="str">
        <f t="shared" si="69"/>
        <v>olssupnh</v>
      </c>
      <c r="I879" s="2" t="s">
        <v>3729</v>
      </c>
      <c r="J879" s="34" t="s">
        <v>3455</v>
      </c>
      <c r="K879" s="2" t="s">
        <v>1520</v>
      </c>
      <c r="L879" s="2" t="s">
        <v>8</v>
      </c>
      <c r="M879" s="2">
        <v>1</v>
      </c>
      <c r="N879" s="2">
        <v>7</v>
      </c>
      <c r="O879" s="2" t="s">
        <v>1527</v>
      </c>
      <c r="P879" s="2" t="s">
        <v>3462</v>
      </c>
    </row>
    <row r="880" spans="1:16" ht="17.25" customHeight="1" x14ac:dyDescent="0.2">
      <c r="A880" s="17" t="s">
        <v>973</v>
      </c>
      <c r="B880" s="17" t="s">
        <v>4182</v>
      </c>
      <c r="C880" s="17" t="s">
        <v>1639</v>
      </c>
      <c r="D880" s="17" t="s">
        <v>3728</v>
      </c>
      <c r="E880" s="2" t="str">
        <f t="shared" si="67"/>
        <v>p</v>
      </c>
      <c r="F880" s="2">
        <f t="shared" si="68"/>
        <v>16</v>
      </c>
      <c r="G880" s="2">
        <v>2016</v>
      </c>
      <c r="H880" s="2" t="str">
        <f t="shared" si="69"/>
        <v>plssupnh</v>
      </c>
      <c r="I880" s="2" t="s">
        <v>3729</v>
      </c>
      <c r="J880" s="34" t="s">
        <v>3455</v>
      </c>
      <c r="K880" s="2" t="s">
        <v>1520</v>
      </c>
      <c r="L880" s="2" t="s">
        <v>8</v>
      </c>
      <c r="M880" s="2">
        <v>1</v>
      </c>
      <c r="N880" s="2">
        <v>7</v>
      </c>
      <c r="O880" s="2" t="s">
        <v>1527</v>
      </c>
      <c r="P880" s="2" t="s">
        <v>3462</v>
      </c>
    </row>
    <row r="881" spans="1:16" ht="17.25" customHeight="1" x14ac:dyDescent="0.2">
      <c r="A881" s="17" t="s">
        <v>973</v>
      </c>
      <c r="B881" s="17" t="s">
        <v>4182</v>
      </c>
      <c r="C881" s="17" t="s">
        <v>1639</v>
      </c>
      <c r="D881" s="17" t="s">
        <v>3728</v>
      </c>
      <c r="E881" s="2" t="str">
        <f t="shared" si="67"/>
        <v>q</v>
      </c>
      <c r="F881" s="2">
        <f t="shared" si="68"/>
        <v>17</v>
      </c>
      <c r="G881" s="2">
        <v>2017</v>
      </c>
      <c r="H881" s="2" t="str">
        <f t="shared" ref="H881" si="70">_xlfn.CONCAT(E881,"lssupnh")</f>
        <v>qlssupnh</v>
      </c>
      <c r="I881" s="2" t="s">
        <v>3729</v>
      </c>
      <c r="J881" s="34" t="s">
        <v>3455</v>
      </c>
      <c r="K881" s="2" t="s">
        <v>1520</v>
      </c>
      <c r="L881" s="2" t="s">
        <v>8</v>
      </c>
      <c r="M881" s="2">
        <v>1</v>
      </c>
      <c r="N881" s="2">
        <v>7</v>
      </c>
      <c r="O881" s="2" t="s">
        <v>1527</v>
      </c>
      <c r="P881" s="2" t="s">
        <v>3462</v>
      </c>
    </row>
    <row r="882" spans="1:16" ht="17.25" customHeight="1" x14ac:dyDescent="0.2">
      <c r="A882" s="17" t="s">
        <v>973</v>
      </c>
      <c r="B882" s="17" t="s">
        <v>4182</v>
      </c>
      <c r="C882" s="17" t="s">
        <v>1639</v>
      </c>
      <c r="D882" s="17" t="s">
        <v>3728</v>
      </c>
      <c r="E882" s="2" t="str">
        <f t="shared" si="67"/>
        <v>r</v>
      </c>
      <c r="F882" s="2">
        <f t="shared" si="68"/>
        <v>18</v>
      </c>
      <c r="G882" s="2">
        <v>2018</v>
      </c>
      <c r="H882" s="2" t="str">
        <f t="shared" si="69"/>
        <v>rlssupnh</v>
      </c>
      <c r="I882" s="2" t="s">
        <v>3729</v>
      </c>
      <c r="J882" s="34" t="s">
        <v>3455</v>
      </c>
      <c r="K882" s="2" t="s">
        <v>1520</v>
      </c>
      <c r="L882" s="2" t="s">
        <v>8</v>
      </c>
      <c r="M882" s="2">
        <v>1</v>
      </c>
      <c r="N882" s="2">
        <v>7</v>
      </c>
      <c r="O882" s="2" t="s">
        <v>1527</v>
      </c>
      <c r="P882" s="2" t="s">
        <v>3462</v>
      </c>
    </row>
    <row r="883" spans="1:16" ht="17.25" customHeight="1" x14ac:dyDescent="0.2">
      <c r="A883" s="17" t="s">
        <v>973</v>
      </c>
      <c r="B883" s="17" t="s">
        <v>4182</v>
      </c>
      <c r="C883" s="17" t="s">
        <v>1639</v>
      </c>
      <c r="D883" s="17" t="s">
        <v>3730</v>
      </c>
      <c r="E883" s="2" t="str">
        <f t="shared" si="67"/>
        <v>a</v>
      </c>
      <c r="F883" s="2">
        <f t="shared" si="68"/>
        <v>1</v>
      </c>
      <c r="G883" s="2">
        <v>2001</v>
      </c>
      <c r="H883" s="2" t="str">
        <f>_xlfn.CONCAT(E883,"lssuppi")</f>
        <v>alssuppi</v>
      </c>
      <c r="I883" s="2" t="s">
        <v>3731</v>
      </c>
      <c r="J883" s="34" t="s">
        <v>3455</v>
      </c>
      <c r="K883" s="2" t="s">
        <v>398</v>
      </c>
      <c r="L883" s="2" t="s">
        <v>8</v>
      </c>
      <c r="M883" s="2">
        <v>1</v>
      </c>
      <c r="N883" s="2">
        <v>7</v>
      </c>
      <c r="O883" s="2" t="s">
        <v>1527</v>
      </c>
      <c r="P883" s="2" t="s">
        <v>3462</v>
      </c>
    </row>
    <row r="884" spans="1:16" ht="17.25" customHeight="1" x14ac:dyDescent="0.2">
      <c r="A884" s="17" t="s">
        <v>973</v>
      </c>
      <c r="B884" s="17" t="s">
        <v>4182</v>
      </c>
      <c r="C884" s="17" t="s">
        <v>1639</v>
      </c>
      <c r="D884" s="17" t="s">
        <v>3730</v>
      </c>
      <c r="E884" s="2" t="str">
        <f t="shared" si="67"/>
        <v>b</v>
      </c>
      <c r="F884" s="2">
        <f t="shared" si="68"/>
        <v>2</v>
      </c>
      <c r="G884" s="2">
        <v>2002</v>
      </c>
      <c r="H884" s="2" t="str">
        <f t="shared" ref="H884:H900" si="71">_xlfn.CONCAT(E884,"lssuppi")</f>
        <v>blssuppi</v>
      </c>
      <c r="I884" s="2" t="s">
        <v>3731</v>
      </c>
      <c r="J884" s="34" t="s">
        <v>3455</v>
      </c>
      <c r="K884" s="2" t="s">
        <v>398</v>
      </c>
      <c r="L884" s="2" t="s">
        <v>8</v>
      </c>
      <c r="M884" s="2">
        <v>1</v>
      </c>
      <c r="N884" s="2">
        <v>7</v>
      </c>
      <c r="O884" s="2" t="s">
        <v>1527</v>
      </c>
      <c r="P884" s="2" t="s">
        <v>3462</v>
      </c>
    </row>
    <row r="885" spans="1:16" ht="17.25" customHeight="1" x14ac:dyDescent="0.2">
      <c r="A885" s="17" t="s">
        <v>973</v>
      </c>
      <c r="B885" s="17" t="s">
        <v>4182</v>
      </c>
      <c r="C885" s="17" t="s">
        <v>1639</v>
      </c>
      <c r="D885" s="17" t="s">
        <v>3730</v>
      </c>
      <c r="E885" s="2" t="str">
        <f t="shared" si="67"/>
        <v>c</v>
      </c>
      <c r="F885" s="2">
        <f t="shared" si="68"/>
        <v>3</v>
      </c>
      <c r="G885" s="2">
        <v>2003</v>
      </c>
      <c r="H885" s="2" t="str">
        <f t="shared" si="71"/>
        <v>clssuppi</v>
      </c>
      <c r="I885" s="2" t="s">
        <v>3731</v>
      </c>
      <c r="J885" s="34" t="s">
        <v>3455</v>
      </c>
      <c r="K885" s="2" t="s">
        <v>398</v>
      </c>
      <c r="L885" s="2" t="s">
        <v>8</v>
      </c>
      <c r="M885" s="2">
        <v>1</v>
      </c>
      <c r="N885" s="2">
        <v>7</v>
      </c>
      <c r="O885" s="2" t="s">
        <v>1527</v>
      </c>
      <c r="P885" s="2" t="s">
        <v>3462</v>
      </c>
    </row>
    <row r="886" spans="1:16" ht="17.25" customHeight="1" x14ac:dyDescent="0.2">
      <c r="A886" s="17" t="s">
        <v>973</v>
      </c>
      <c r="B886" s="17" t="s">
        <v>4182</v>
      </c>
      <c r="C886" s="17" t="s">
        <v>1639</v>
      </c>
      <c r="D886" s="17" t="s">
        <v>3730</v>
      </c>
      <c r="E886" s="2" t="str">
        <f t="shared" si="67"/>
        <v>d</v>
      </c>
      <c r="F886" s="2">
        <f t="shared" si="68"/>
        <v>4</v>
      </c>
      <c r="G886" s="2">
        <v>2004</v>
      </c>
      <c r="H886" s="2" t="str">
        <f t="shared" si="71"/>
        <v>dlssuppi</v>
      </c>
      <c r="I886" s="2" t="s">
        <v>3731</v>
      </c>
      <c r="J886" s="34" t="s">
        <v>3455</v>
      </c>
      <c r="K886" s="2" t="s">
        <v>398</v>
      </c>
      <c r="L886" s="2" t="s">
        <v>8</v>
      </c>
      <c r="M886" s="2">
        <v>1</v>
      </c>
      <c r="N886" s="2">
        <v>7</v>
      </c>
      <c r="O886" s="2" t="s">
        <v>1527</v>
      </c>
      <c r="P886" s="2" t="s">
        <v>3462</v>
      </c>
    </row>
    <row r="887" spans="1:16" ht="17.25" customHeight="1" x14ac:dyDescent="0.2">
      <c r="A887" s="17" t="s">
        <v>973</v>
      </c>
      <c r="B887" s="17" t="s">
        <v>4182</v>
      </c>
      <c r="C887" s="17" t="s">
        <v>1639</v>
      </c>
      <c r="D887" s="17" t="s">
        <v>3730</v>
      </c>
      <c r="E887" s="2" t="str">
        <f t="shared" si="67"/>
        <v>e</v>
      </c>
      <c r="F887" s="2">
        <f t="shared" si="68"/>
        <v>5</v>
      </c>
      <c r="G887" s="2">
        <v>2005</v>
      </c>
      <c r="H887" s="2" t="str">
        <f t="shared" si="71"/>
        <v>elssuppi</v>
      </c>
      <c r="I887" s="2" t="s">
        <v>3731</v>
      </c>
      <c r="J887" s="34" t="s">
        <v>3455</v>
      </c>
      <c r="K887" s="2" t="s">
        <v>398</v>
      </c>
      <c r="L887" s="2" t="s">
        <v>8</v>
      </c>
      <c r="M887" s="2">
        <v>1</v>
      </c>
      <c r="N887" s="2">
        <v>7</v>
      </c>
      <c r="O887" s="2" t="s">
        <v>1527</v>
      </c>
      <c r="P887" s="2" t="s">
        <v>3462</v>
      </c>
    </row>
    <row r="888" spans="1:16" ht="17.25" customHeight="1" x14ac:dyDescent="0.2">
      <c r="A888" s="17" t="s">
        <v>973</v>
      </c>
      <c r="B888" s="17" t="s">
        <v>4182</v>
      </c>
      <c r="C888" s="17" t="s">
        <v>1639</v>
      </c>
      <c r="D888" s="17" t="s">
        <v>3730</v>
      </c>
      <c r="E888" s="2" t="str">
        <f t="shared" si="67"/>
        <v>f</v>
      </c>
      <c r="F888" s="2">
        <f t="shared" si="68"/>
        <v>6</v>
      </c>
      <c r="G888" s="2">
        <v>2006</v>
      </c>
      <c r="H888" s="2" t="str">
        <f t="shared" si="71"/>
        <v>flssuppi</v>
      </c>
      <c r="I888" s="2" t="s">
        <v>3731</v>
      </c>
      <c r="J888" s="34" t="s">
        <v>3455</v>
      </c>
      <c r="K888" s="2" t="s">
        <v>398</v>
      </c>
      <c r="L888" s="2" t="s">
        <v>8</v>
      </c>
      <c r="M888" s="2">
        <v>1</v>
      </c>
      <c r="N888" s="2">
        <v>7</v>
      </c>
      <c r="O888" s="2" t="s">
        <v>1527</v>
      </c>
      <c r="P888" s="2" t="s">
        <v>3462</v>
      </c>
    </row>
    <row r="889" spans="1:16" ht="17.25" customHeight="1" x14ac:dyDescent="0.2">
      <c r="A889" s="17" t="s">
        <v>973</v>
      </c>
      <c r="B889" s="17" t="s">
        <v>4182</v>
      </c>
      <c r="C889" s="17" t="s">
        <v>1639</v>
      </c>
      <c r="D889" s="17" t="s">
        <v>3730</v>
      </c>
      <c r="E889" s="2" t="str">
        <f t="shared" si="67"/>
        <v>g</v>
      </c>
      <c r="F889" s="2">
        <f t="shared" si="68"/>
        <v>7</v>
      </c>
      <c r="G889" s="2">
        <v>2007</v>
      </c>
      <c r="H889" s="2" t="str">
        <f t="shared" si="71"/>
        <v>glssuppi</v>
      </c>
      <c r="I889" s="2" t="s">
        <v>3731</v>
      </c>
      <c r="J889" s="34" t="s">
        <v>3455</v>
      </c>
      <c r="K889" s="2" t="s">
        <v>398</v>
      </c>
      <c r="L889" s="2" t="s">
        <v>8</v>
      </c>
      <c r="M889" s="2">
        <v>1</v>
      </c>
      <c r="N889" s="2">
        <v>7</v>
      </c>
      <c r="O889" s="2" t="s">
        <v>1527</v>
      </c>
      <c r="P889" s="2" t="s">
        <v>3462</v>
      </c>
    </row>
    <row r="890" spans="1:16" ht="17.25" customHeight="1" x14ac:dyDescent="0.2">
      <c r="A890" s="17" t="s">
        <v>973</v>
      </c>
      <c r="B890" s="17" t="s">
        <v>4182</v>
      </c>
      <c r="C890" s="17" t="s">
        <v>1639</v>
      </c>
      <c r="D890" s="17" t="s">
        <v>3730</v>
      </c>
      <c r="E890" s="2" t="str">
        <f t="shared" si="67"/>
        <v>h</v>
      </c>
      <c r="F890" s="2">
        <f t="shared" si="68"/>
        <v>8</v>
      </c>
      <c r="G890" s="2">
        <v>2008</v>
      </c>
      <c r="H890" s="2" t="str">
        <f t="shared" si="71"/>
        <v>hlssuppi</v>
      </c>
      <c r="I890" s="2" t="s">
        <v>3731</v>
      </c>
      <c r="J890" s="34" t="s">
        <v>3455</v>
      </c>
      <c r="K890" s="2" t="s">
        <v>398</v>
      </c>
      <c r="L890" s="2" t="s">
        <v>8</v>
      </c>
      <c r="M890" s="2">
        <v>1</v>
      </c>
      <c r="N890" s="2">
        <v>7</v>
      </c>
      <c r="O890" s="2" t="s">
        <v>1527</v>
      </c>
      <c r="P890" s="2" t="s">
        <v>3462</v>
      </c>
    </row>
    <row r="891" spans="1:16" ht="17.25" customHeight="1" x14ac:dyDescent="0.2">
      <c r="A891" s="17" t="s">
        <v>973</v>
      </c>
      <c r="B891" s="17" t="s">
        <v>4182</v>
      </c>
      <c r="C891" s="17" t="s">
        <v>1639</v>
      </c>
      <c r="D891" s="17" t="s">
        <v>3730</v>
      </c>
      <c r="E891" s="2" t="str">
        <f t="shared" si="67"/>
        <v>i</v>
      </c>
      <c r="F891" s="2">
        <f t="shared" si="68"/>
        <v>9</v>
      </c>
      <c r="G891" s="2">
        <v>2009</v>
      </c>
      <c r="H891" s="2" t="str">
        <f t="shared" si="71"/>
        <v>ilssuppi</v>
      </c>
      <c r="I891" s="2" t="s">
        <v>3731</v>
      </c>
      <c r="J891" s="34" t="s">
        <v>3455</v>
      </c>
      <c r="K891" s="2" t="s">
        <v>398</v>
      </c>
      <c r="L891" s="2" t="s">
        <v>8</v>
      </c>
      <c r="M891" s="2">
        <v>1</v>
      </c>
      <c r="N891" s="2">
        <v>7</v>
      </c>
      <c r="O891" s="2" t="s">
        <v>1527</v>
      </c>
      <c r="P891" s="2" t="s">
        <v>3462</v>
      </c>
    </row>
    <row r="892" spans="1:16" ht="17.25" customHeight="1" x14ac:dyDescent="0.2">
      <c r="A892" s="17" t="s">
        <v>973</v>
      </c>
      <c r="B892" s="17" t="s">
        <v>4182</v>
      </c>
      <c r="C892" s="17" t="s">
        <v>1639</v>
      </c>
      <c r="D892" s="17" t="s">
        <v>3730</v>
      </c>
      <c r="E892" s="2" t="str">
        <f t="shared" si="67"/>
        <v>j</v>
      </c>
      <c r="F892" s="2">
        <f t="shared" si="68"/>
        <v>10</v>
      </c>
      <c r="G892" s="2">
        <v>2010</v>
      </c>
      <c r="H892" s="2" t="str">
        <f t="shared" si="71"/>
        <v>jlssuppi</v>
      </c>
      <c r="I892" s="2" t="s">
        <v>3731</v>
      </c>
      <c r="J892" s="34" t="s">
        <v>3455</v>
      </c>
      <c r="K892" s="2" t="s">
        <v>398</v>
      </c>
      <c r="L892" s="2" t="s">
        <v>8</v>
      </c>
      <c r="M892" s="2">
        <v>1</v>
      </c>
      <c r="N892" s="2">
        <v>7</v>
      </c>
      <c r="O892" s="2" t="s">
        <v>1527</v>
      </c>
      <c r="P892" s="2" t="s">
        <v>3462</v>
      </c>
    </row>
    <row r="893" spans="1:16" ht="17.25" customHeight="1" x14ac:dyDescent="0.2">
      <c r="A893" s="17" t="s">
        <v>973</v>
      </c>
      <c r="B893" s="17" t="s">
        <v>4182</v>
      </c>
      <c r="C893" s="17" t="s">
        <v>1639</v>
      </c>
      <c r="D893" s="17" t="s">
        <v>3730</v>
      </c>
      <c r="E893" s="2" t="str">
        <f t="shared" si="67"/>
        <v>k</v>
      </c>
      <c r="F893" s="2">
        <f t="shared" si="68"/>
        <v>11</v>
      </c>
      <c r="G893" s="2">
        <v>2011</v>
      </c>
      <c r="H893" s="2" t="str">
        <f t="shared" si="71"/>
        <v>klssuppi</v>
      </c>
      <c r="I893" s="2" t="s">
        <v>3731</v>
      </c>
      <c r="J893" s="34" t="s">
        <v>3455</v>
      </c>
      <c r="K893" s="2" t="s">
        <v>398</v>
      </c>
      <c r="L893" s="2" t="s">
        <v>8</v>
      </c>
      <c r="M893" s="2">
        <v>1</v>
      </c>
      <c r="N893" s="2">
        <v>7</v>
      </c>
      <c r="O893" s="2" t="s">
        <v>1527</v>
      </c>
      <c r="P893" s="2" t="s">
        <v>3462</v>
      </c>
    </row>
    <row r="894" spans="1:16" ht="17.25" customHeight="1" x14ac:dyDescent="0.2">
      <c r="A894" s="17" t="s">
        <v>973</v>
      </c>
      <c r="B894" s="17" t="s">
        <v>4182</v>
      </c>
      <c r="C894" s="17" t="s">
        <v>1639</v>
      </c>
      <c r="D894" s="17" t="s">
        <v>3730</v>
      </c>
      <c r="E894" s="2" t="str">
        <f t="shared" si="67"/>
        <v>l</v>
      </c>
      <c r="F894" s="2">
        <f t="shared" si="68"/>
        <v>12</v>
      </c>
      <c r="G894" s="2">
        <v>2012</v>
      </c>
      <c r="H894" s="2" t="str">
        <f t="shared" si="71"/>
        <v>llssuppi</v>
      </c>
      <c r="I894" s="2" t="s">
        <v>3731</v>
      </c>
      <c r="J894" s="34" t="s">
        <v>3455</v>
      </c>
      <c r="K894" s="2" t="s">
        <v>398</v>
      </c>
      <c r="L894" s="2" t="s">
        <v>8</v>
      </c>
      <c r="M894" s="2">
        <v>1</v>
      </c>
      <c r="N894" s="2">
        <v>7</v>
      </c>
      <c r="O894" s="2" t="s">
        <v>1527</v>
      </c>
      <c r="P894" s="2" t="s">
        <v>3462</v>
      </c>
    </row>
    <row r="895" spans="1:16" ht="17.25" customHeight="1" x14ac:dyDescent="0.2">
      <c r="A895" s="17" t="s">
        <v>973</v>
      </c>
      <c r="B895" s="17" t="s">
        <v>4182</v>
      </c>
      <c r="C895" s="17" t="s">
        <v>1639</v>
      </c>
      <c r="D895" s="17" t="s">
        <v>3730</v>
      </c>
      <c r="E895" s="2" t="str">
        <f t="shared" si="67"/>
        <v>m</v>
      </c>
      <c r="F895" s="2">
        <f t="shared" si="68"/>
        <v>13</v>
      </c>
      <c r="G895" s="2">
        <v>2013</v>
      </c>
      <c r="H895" s="2" t="str">
        <f t="shared" si="71"/>
        <v>mlssuppi</v>
      </c>
      <c r="I895" s="2" t="s">
        <v>3731</v>
      </c>
      <c r="J895" s="34" t="s">
        <v>3455</v>
      </c>
      <c r="K895" s="2" t="s">
        <v>398</v>
      </c>
      <c r="L895" s="2" t="s">
        <v>8</v>
      </c>
      <c r="M895" s="2">
        <v>1</v>
      </c>
      <c r="N895" s="2">
        <v>7</v>
      </c>
      <c r="O895" s="2" t="s">
        <v>1527</v>
      </c>
      <c r="P895" s="2" t="s">
        <v>3462</v>
      </c>
    </row>
    <row r="896" spans="1:16" ht="17.25" customHeight="1" x14ac:dyDescent="0.2">
      <c r="A896" s="17" t="s">
        <v>973</v>
      </c>
      <c r="B896" s="17" t="s">
        <v>4182</v>
      </c>
      <c r="C896" s="17" t="s">
        <v>1639</v>
      </c>
      <c r="D896" s="17" t="s">
        <v>3730</v>
      </c>
      <c r="E896" s="2" t="str">
        <f t="shared" si="67"/>
        <v>n</v>
      </c>
      <c r="F896" s="2">
        <f t="shared" si="68"/>
        <v>14</v>
      </c>
      <c r="G896" s="2">
        <v>2014</v>
      </c>
      <c r="H896" s="2" t="str">
        <f t="shared" si="71"/>
        <v>nlssuppi</v>
      </c>
      <c r="I896" s="2" t="s">
        <v>3731</v>
      </c>
      <c r="J896" s="34" t="s">
        <v>3455</v>
      </c>
      <c r="K896" s="2" t="s">
        <v>398</v>
      </c>
      <c r="L896" s="2" t="s">
        <v>8</v>
      </c>
      <c r="M896" s="2">
        <v>1</v>
      </c>
      <c r="N896" s="2">
        <v>7</v>
      </c>
      <c r="O896" s="2" t="s">
        <v>1527</v>
      </c>
      <c r="P896" s="2" t="s">
        <v>3462</v>
      </c>
    </row>
    <row r="897" spans="1:16" ht="17.25" customHeight="1" x14ac:dyDescent="0.2">
      <c r="A897" s="17" t="s">
        <v>973</v>
      </c>
      <c r="B897" s="17" t="s">
        <v>4182</v>
      </c>
      <c r="C897" s="17" t="s">
        <v>1639</v>
      </c>
      <c r="D897" s="17" t="s">
        <v>3730</v>
      </c>
      <c r="E897" s="2" t="str">
        <f t="shared" si="67"/>
        <v>o</v>
      </c>
      <c r="F897" s="2">
        <f t="shared" si="68"/>
        <v>15</v>
      </c>
      <c r="G897" s="2">
        <v>2015</v>
      </c>
      <c r="H897" s="2" t="str">
        <f t="shared" si="71"/>
        <v>olssuppi</v>
      </c>
      <c r="I897" s="2" t="s">
        <v>3731</v>
      </c>
      <c r="J897" s="34" t="s">
        <v>3455</v>
      </c>
      <c r="K897" s="2" t="s">
        <v>398</v>
      </c>
      <c r="L897" s="2" t="s">
        <v>8</v>
      </c>
      <c r="M897" s="2">
        <v>1</v>
      </c>
      <c r="N897" s="2">
        <v>7</v>
      </c>
      <c r="O897" s="2" t="s">
        <v>1527</v>
      </c>
      <c r="P897" s="2" t="s">
        <v>3462</v>
      </c>
    </row>
    <row r="898" spans="1:16" ht="17.25" customHeight="1" x14ac:dyDescent="0.2">
      <c r="A898" s="17" t="s">
        <v>973</v>
      </c>
      <c r="B898" s="17" t="s">
        <v>4182</v>
      </c>
      <c r="C898" s="17" t="s">
        <v>1639</v>
      </c>
      <c r="D898" s="17" t="s">
        <v>3730</v>
      </c>
      <c r="E898" s="2" t="str">
        <f t="shared" si="67"/>
        <v>p</v>
      </c>
      <c r="F898" s="2">
        <f t="shared" si="68"/>
        <v>16</v>
      </c>
      <c r="G898" s="2">
        <v>2016</v>
      </c>
      <c r="H898" s="2" t="str">
        <f t="shared" si="71"/>
        <v>plssuppi</v>
      </c>
      <c r="I898" s="2" t="s">
        <v>3731</v>
      </c>
      <c r="J898" s="34" t="s">
        <v>3455</v>
      </c>
      <c r="K898" s="2" t="s">
        <v>398</v>
      </c>
      <c r="L898" s="2" t="s">
        <v>8</v>
      </c>
      <c r="M898" s="2">
        <v>1</v>
      </c>
      <c r="N898" s="2">
        <v>7</v>
      </c>
      <c r="O898" s="2" t="s">
        <v>1527</v>
      </c>
      <c r="P898" s="2" t="s">
        <v>3462</v>
      </c>
    </row>
    <row r="899" spans="1:16" ht="17.25" customHeight="1" x14ac:dyDescent="0.2">
      <c r="A899" s="17" t="s">
        <v>973</v>
      </c>
      <c r="B899" s="17" t="s">
        <v>4182</v>
      </c>
      <c r="C899" s="17" t="s">
        <v>1639</v>
      </c>
      <c r="D899" s="17" t="s">
        <v>3730</v>
      </c>
      <c r="E899" s="2" t="str">
        <f t="shared" si="67"/>
        <v>q</v>
      </c>
      <c r="F899" s="2">
        <f t="shared" si="68"/>
        <v>17</v>
      </c>
      <c r="G899" s="2">
        <v>2017</v>
      </c>
      <c r="H899" s="2" t="str">
        <f t="shared" ref="H899" si="72">_xlfn.CONCAT(E899,"lssuppi")</f>
        <v>qlssuppi</v>
      </c>
      <c r="I899" s="2" t="s">
        <v>3731</v>
      </c>
      <c r="J899" s="34" t="s">
        <v>3455</v>
      </c>
      <c r="K899" s="2" t="s">
        <v>398</v>
      </c>
      <c r="L899" s="2" t="s">
        <v>8</v>
      </c>
      <c r="M899" s="2">
        <v>1</v>
      </c>
      <c r="N899" s="2">
        <v>7</v>
      </c>
      <c r="O899" s="2" t="s">
        <v>1527</v>
      </c>
      <c r="P899" s="2" t="s">
        <v>3462</v>
      </c>
    </row>
    <row r="900" spans="1:16" ht="17.25" customHeight="1" x14ac:dyDescent="0.2">
      <c r="A900" s="17" t="s">
        <v>973</v>
      </c>
      <c r="B900" s="17" t="s">
        <v>4182</v>
      </c>
      <c r="C900" s="17" t="s">
        <v>1639</v>
      </c>
      <c r="D900" s="17" t="s">
        <v>3730</v>
      </c>
      <c r="E900" s="2" t="str">
        <f t="shared" si="67"/>
        <v>r</v>
      </c>
      <c r="F900" s="2">
        <f t="shared" si="68"/>
        <v>18</v>
      </c>
      <c r="G900" s="2">
        <v>2018</v>
      </c>
      <c r="H900" s="2" t="str">
        <f t="shared" si="71"/>
        <v>rlssuppi</v>
      </c>
      <c r="I900" s="2" t="s">
        <v>3731</v>
      </c>
      <c r="J900" s="34" t="s">
        <v>3455</v>
      </c>
      <c r="K900" s="2" t="s">
        <v>398</v>
      </c>
      <c r="L900" s="2" t="s">
        <v>8</v>
      </c>
      <c r="M900" s="2">
        <v>1</v>
      </c>
      <c r="N900" s="2">
        <v>7</v>
      </c>
      <c r="O900" s="2" t="s">
        <v>1527</v>
      </c>
      <c r="P900" s="2" t="s">
        <v>3462</v>
      </c>
    </row>
    <row r="901" spans="1:16" ht="17.25" customHeight="1" x14ac:dyDescent="0.2">
      <c r="A901" s="17" t="s">
        <v>973</v>
      </c>
      <c r="B901" s="17" t="s">
        <v>4182</v>
      </c>
      <c r="C901" s="17" t="s">
        <v>1639</v>
      </c>
      <c r="D901" s="17" t="s">
        <v>3732</v>
      </c>
      <c r="E901" s="2" t="str">
        <f t="shared" si="67"/>
        <v>a</v>
      </c>
      <c r="F901" s="2">
        <f t="shared" si="68"/>
        <v>1</v>
      </c>
      <c r="G901" s="2">
        <v>2001</v>
      </c>
      <c r="H901" s="2" t="str">
        <f>_xlfn.CONCAT(E901,"lssuppv")</f>
        <v>alssuppv</v>
      </c>
      <c r="I901" s="2" t="s">
        <v>3733</v>
      </c>
      <c r="J901" s="34" t="s">
        <v>3455</v>
      </c>
      <c r="K901" s="2" t="s">
        <v>1520</v>
      </c>
      <c r="L901" s="2" t="s">
        <v>8</v>
      </c>
      <c r="M901" s="2">
        <v>1</v>
      </c>
      <c r="N901" s="2">
        <v>7</v>
      </c>
      <c r="O901" s="2" t="s">
        <v>1527</v>
      </c>
      <c r="P901" s="2" t="s">
        <v>3462</v>
      </c>
    </row>
    <row r="902" spans="1:16" ht="17.25" customHeight="1" x14ac:dyDescent="0.2">
      <c r="A902" s="17" t="s">
        <v>973</v>
      </c>
      <c r="B902" s="17" t="s">
        <v>4182</v>
      </c>
      <c r="C902" s="17" t="s">
        <v>1639</v>
      </c>
      <c r="D902" s="17" t="s">
        <v>3732</v>
      </c>
      <c r="E902" s="2" t="str">
        <f t="shared" si="67"/>
        <v>b</v>
      </c>
      <c r="F902" s="2">
        <f t="shared" si="68"/>
        <v>2</v>
      </c>
      <c r="G902" s="2">
        <v>2002</v>
      </c>
      <c r="H902" s="2" t="str">
        <f t="shared" ref="H902:H918" si="73">_xlfn.CONCAT(E902,"lssuppv")</f>
        <v>blssuppv</v>
      </c>
      <c r="I902" s="2" t="s">
        <v>3733</v>
      </c>
      <c r="J902" s="34" t="s">
        <v>3455</v>
      </c>
      <c r="K902" s="2" t="s">
        <v>1520</v>
      </c>
      <c r="L902" s="2" t="s">
        <v>8</v>
      </c>
      <c r="M902" s="2">
        <v>1</v>
      </c>
      <c r="N902" s="2">
        <v>7</v>
      </c>
      <c r="O902" s="2" t="s">
        <v>1527</v>
      </c>
      <c r="P902" s="2" t="s">
        <v>3462</v>
      </c>
    </row>
    <row r="903" spans="1:16" ht="17.25" customHeight="1" x14ac:dyDescent="0.2">
      <c r="A903" s="17" t="s">
        <v>973</v>
      </c>
      <c r="B903" s="17" t="s">
        <v>4182</v>
      </c>
      <c r="C903" s="17" t="s">
        <v>1639</v>
      </c>
      <c r="D903" s="17" t="s">
        <v>3732</v>
      </c>
      <c r="E903" s="2" t="str">
        <f t="shared" si="67"/>
        <v>c</v>
      </c>
      <c r="F903" s="2">
        <f t="shared" si="68"/>
        <v>3</v>
      </c>
      <c r="G903" s="2">
        <v>2003</v>
      </c>
      <c r="H903" s="2" t="str">
        <f t="shared" si="73"/>
        <v>clssuppv</v>
      </c>
      <c r="I903" s="2" t="s">
        <v>3733</v>
      </c>
      <c r="J903" s="34" t="s">
        <v>3455</v>
      </c>
      <c r="K903" s="2" t="s">
        <v>1520</v>
      </c>
      <c r="L903" s="2" t="s">
        <v>8</v>
      </c>
      <c r="M903" s="2">
        <v>1</v>
      </c>
      <c r="N903" s="2">
        <v>7</v>
      </c>
      <c r="O903" s="2" t="s">
        <v>1527</v>
      </c>
      <c r="P903" s="2" t="s">
        <v>3462</v>
      </c>
    </row>
    <row r="904" spans="1:16" ht="17.25" customHeight="1" x14ac:dyDescent="0.2">
      <c r="A904" s="17" t="s">
        <v>973</v>
      </c>
      <c r="B904" s="17" t="s">
        <v>4182</v>
      </c>
      <c r="C904" s="17" t="s">
        <v>1639</v>
      </c>
      <c r="D904" s="17" t="s">
        <v>3732</v>
      </c>
      <c r="E904" s="2" t="str">
        <f t="shared" si="67"/>
        <v>d</v>
      </c>
      <c r="F904" s="2">
        <f t="shared" si="68"/>
        <v>4</v>
      </c>
      <c r="G904" s="2">
        <v>2004</v>
      </c>
      <c r="H904" s="2" t="str">
        <f t="shared" si="73"/>
        <v>dlssuppv</v>
      </c>
      <c r="I904" s="2" t="s">
        <v>3733</v>
      </c>
      <c r="J904" s="34" t="s">
        <v>3455</v>
      </c>
      <c r="K904" s="2" t="s">
        <v>1520</v>
      </c>
      <c r="L904" s="2" t="s">
        <v>8</v>
      </c>
      <c r="M904" s="2">
        <v>1</v>
      </c>
      <c r="N904" s="2">
        <v>7</v>
      </c>
      <c r="O904" s="2" t="s">
        <v>1527</v>
      </c>
      <c r="P904" s="2" t="s">
        <v>3462</v>
      </c>
    </row>
    <row r="905" spans="1:16" ht="17.25" customHeight="1" x14ac:dyDescent="0.2">
      <c r="A905" s="17" t="s">
        <v>973</v>
      </c>
      <c r="B905" s="17" t="s">
        <v>4182</v>
      </c>
      <c r="C905" s="17" t="s">
        <v>1639</v>
      </c>
      <c r="D905" s="17" t="s">
        <v>3732</v>
      </c>
      <c r="E905" s="2" t="str">
        <f t="shared" si="67"/>
        <v>e</v>
      </c>
      <c r="F905" s="2">
        <f t="shared" si="68"/>
        <v>5</v>
      </c>
      <c r="G905" s="2">
        <v>2005</v>
      </c>
      <c r="H905" s="2" t="str">
        <f t="shared" si="73"/>
        <v>elssuppv</v>
      </c>
      <c r="I905" s="2" t="s">
        <v>3733</v>
      </c>
      <c r="J905" s="34" t="s">
        <v>3455</v>
      </c>
      <c r="K905" s="2" t="s">
        <v>1520</v>
      </c>
      <c r="L905" s="2" t="s">
        <v>8</v>
      </c>
      <c r="M905" s="2">
        <v>1</v>
      </c>
      <c r="N905" s="2">
        <v>7</v>
      </c>
      <c r="O905" s="2" t="s">
        <v>1527</v>
      </c>
      <c r="P905" s="2" t="s">
        <v>3462</v>
      </c>
    </row>
    <row r="906" spans="1:16" ht="17.25" customHeight="1" x14ac:dyDescent="0.2">
      <c r="A906" s="17" t="s">
        <v>973</v>
      </c>
      <c r="B906" s="17" t="s">
        <v>4182</v>
      </c>
      <c r="C906" s="17" t="s">
        <v>1639</v>
      </c>
      <c r="D906" s="17" t="s">
        <v>3732</v>
      </c>
      <c r="E906" s="2" t="str">
        <f t="shared" si="67"/>
        <v>f</v>
      </c>
      <c r="F906" s="2">
        <f t="shared" si="68"/>
        <v>6</v>
      </c>
      <c r="G906" s="2">
        <v>2006</v>
      </c>
      <c r="H906" s="2" t="str">
        <f t="shared" si="73"/>
        <v>flssuppv</v>
      </c>
      <c r="I906" s="2" t="s">
        <v>3733</v>
      </c>
      <c r="J906" s="34" t="s">
        <v>3455</v>
      </c>
      <c r="K906" s="2" t="s">
        <v>1520</v>
      </c>
      <c r="L906" s="2" t="s">
        <v>8</v>
      </c>
      <c r="M906" s="2">
        <v>1</v>
      </c>
      <c r="N906" s="2">
        <v>7</v>
      </c>
      <c r="O906" s="2" t="s">
        <v>1527</v>
      </c>
      <c r="P906" s="2" t="s">
        <v>3462</v>
      </c>
    </row>
    <row r="907" spans="1:16" ht="17.25" customHeight="1" x14ac:dyDescent="0.2">
      <c r="A907" s="17" t="s">
        <v>973</v>
      </c>
      <c r="B907" s="17" t="s">
        <v>4182</v>
      </c>
      <c r="C907" s="17" t="s">
        <v>1639</v>
      </c>
      <c r="D907" s="17" t="s">
        <v>3732</v>
      </c>
      <c r="E907" s="2" t="str">
        <f t="shared" si="67"/>
        <v>g</v>
      </c>
      <c r="F907" s="2">
        <f t="shared" si="68"/>
        <v>7</v>
      </c>
      <c r="G907" s="2">
        <v>2007</v>
      </c>
      <c r="H907" s="2" t="str">
        <f t="shared" si="73"/>
        <v>glssuppv</v>
      </c>
      <c r="I907" s="2" t="s">
        <v>3733</v>
      </c>
      <c r="J907" s="34" t="s">
        <v>3455</v>
      </c>
      <c r="K907" s="2" t="s">
        <v>1520</v>
      </c>
      <c r="L907" s="2" t="s">
        <v>8</v>
      </c>
      <c r="M907" s="2">
        <v>1</v>
      </c>
      <c r="N907" s="2">
        <v>7</v>
      </c>
      <c r="O907" s="2" t="s">
        <v>1527</v>
      </c>
      <c r="P907" s="2" t="s">
        <v>3462</v>
      </c>
    </row>
    <row r="908" spans="1:16" ht="17.25" customHeight="1" x14ac:dyDescent="0.2">
      <c r="A908" s="17" t="s">
        <v>973</v>
      </c>
      <c r="B908" s="17" t="s">
        <v>4182</v>
      </c>
      <c r="C908" s="17" t="s">
        <v>1639</v>
      </c>
      <c r="D908" s="17" t="s">
        <v>3732</v>
      </c>
      <c r="E908" s="2" t="str">
        <f t="shared" si="67"/>
        <v>h</v>
      </c>
      <c r="F908" s="2">
        <f t="shared" si="68"/>
        <v>8</v>
      </c>
      <c r="G908" s="2">
        <v>2008</v>
      </c>
      <c r="H908" s="2" t="str">
        <f t="shared" si="73"/>
        <v>hlssuppv</v>
      </c>
      <c r="I908" s="2" t="s">
        <v>3733</v>
      </c>
      <c r="J908" s="34" t="s">
        <v>3455</v>
      </c>
      <c r="K908" s="2" t="s">
        <v>1520</v>
      </c>
      <c r="L908" s="2" t="s">
        <v>8</v>
      </c>
      <c r="M908" s="2">
        <v>1</v>
      </c>
      <c r="N908" s="2">
        <v>7</v>
      </c>
      <c r="O908" s="2" t="s">
        <v>1527</v>
      </c>
      <c r="P908" s="2" t="s">
        <v>3462</v>
      </c>
    </row>
    <row r="909" spans="1:16" ht="17.25" customHeight="1" x14ac:dyDescent="0.2">
      <c r="A909" s="17" t="s">
        <v>973</v>
      </c>
      <c r="B909" s="17" t="s">
        <v>4182</v>
      </c>
      <c r="C909" s="17" t="s">
        <v>1639</v>
      </c>
      <c r="D909" s="17" t="s">
        <v>3732</v>
      </c>
      <c r="E909" s="2" t="str">
        <f t="shared" si="67"/>
        <v>i</v>
      </c>
      <c r="F909" s="2">
        <f t="shared" si="68"/>
        <v>9</v>
      </c>
      <c r="G909" s="2">
        <v>2009</v>
      </c>
      <c r="H909" s="2" t="str">
        <f t="shared" si="73"/>
        <v>ilssuppv</v>
      </c>
      <c r="I909" s="2" t="s">
        <v>3733</v>
      </c>
      <c r="J909" s="34" t="s">
        <v>3455</v>
      </c>
      <c r="K909" s="2" t="s">
        <v>1520</v>
      </c>
      <c r="L909" s="2" t="s">
        <v>8</v>
      </c>
      <c r="M909" s="2">
        <v>1</v>
      </c>
      <c r="N909" s="2">
        <v>7</v>
      </c>
      <c r="O909" s="2" t="s">
        <v>1527</v>
      </c>
      <c r="P909" s="2" t="s">
        <v>3462</v>
      </c>
    </row>
    <row r="910" spans="1:16" ht="17.25" customHeight="1" x14ac:dyDescent="0.2">
      <c r="A910" s="17" t="s">
        <v>973</v>
      </c>
      <c r="B910" s="17" t="s">
        <v>4182</v>
      </c>
      <c r="C910" s="17" t="s">
        <v>1639</v>
      </c>
      <c r="D910" s="17" t="s">
        <v>3732</v>
      </c>
      <c r="E910" s="2" t="str">
        <f t="shared" si="67"/>
        <v>j</v>
      </c>
      <c r="F910" s="2">
        <f t="shared" si="68"/>
        <v>10</v>
      </c>
      <c r="G910" s="2">
        <v>2010</v>
      </c>
      <c r="H910" s="2" t="str">
        <f t="shared" si="73"/>
        <v>jlssuppv</v>
      </c>
      <c r="I910" s="2" t="s">
        <v>3733</v>
      </c>
      <c r="J910" s="34" t="s">
        <v>3455</v>
      </c>
      <c r="K910" s="2" t="s">
        <v>1520</v>
      </c>
      <c r="L910" s="2" t="s">
        <v>8</v>
      </c>
      <c r="M910" s="2">
        <v>1</v>
      </c>
      <c r="N910" s="2">
        <v>7</v>
      </c>
      <c r="O910" s="2" t="s">
        <v>1527</v>
      </c>
      <c r="P910" s="2" t="s">
        <v>3462</v>
      </c>
    </row>
    <row r="911" spans="1:16" ht="17.25" customHeight="1" x14ac:dyDescent="0.2">
      <c r="A911" s="17" t="s">
        <v>973</v>
      </c>
      <c r="B911" s="17" t="s">
        <v>4182</v>
      </c>
      <c r="C911" s="17" t="s">
        <v>1639</v>
      </c>
      <c r="D911" s="17" t="s">
        <v>3732</v>
      </c>
      <c r="E911" s="2" t="str">
        <f t="shared" si="67"/>
        <v>k</v>
      </c>
      <c r="F911" s="2">
        <f t="shared" si="68"/>
        <v>11</v>
      </c>
      <c r="G911" s="2">
        <v>2011</v>
      </c>
      <c r="H911" s="2" t="str">
        <f t="shared" si="73"/>
        <v>klssuppv</v>
      </c>
      <c r="I911" s="2" t="s">
        <v>3733</v>
      </c>
      <c r="J911" s="34" t="s">
        <v>3455</v>
      </c>
      <c r="K911" s="2" t="s">
        <v>1520</v>
      </c>
      <c r="L911" s="2" t="s">
        <v>8</v>
      </c>
      <c r="M911" s="2">
        <v>1</v>
      </c>
      <c r="N911" s="2">
        <v>7</v>
      </c>
      <c r="O911" s="2" t="s">
        <v>1527</v>
      </c>
      <c r="P911" s="2" t="s">
        <v>3462</v>
      </c>
    </row>
    <row r="912" spans="1:16" ht="17.25" customHeight="1" x14ac:dyDescent="0.2">
      <c r="A912" s="17" t="s">
        <v>973</v>
      </c>
      <c r="B912" s="17" t="s">
        <v>4182</v>
      </c>
      <c r="C912" s="17" t="s">
        <v>1639</v>
      </c>
      <c r="D912" s="17" t="s">
        <v>3732</v>
      </c>
      <c r="E912" s="2" t="str">
        <f t="shared" si="67"/>
        <v>l</v>
      </c>
      <c r="F912" s="2">
        <f t="shared" si="68"/>
        <v>12</v>
      </c>
      <c r="G912" s="2">
        <v>2012</v>
      </c>
      <c r="H912" s="2" t="str">
        <f t="shared" si="73"/>
        <v>llssuppv</v>
      </c>
      <c r="I912" s="2" t="s">
        <v>3733</v>
      </c>
      <c r="J912" s="34" t="s">
        <v>3455</v>
      </c>
      <c r="K912" s="2" t="s">
        <v>1520</v>
      </c>
      <c r="L912" s="2" t="s">
        <v>8</v>
      </c>
      <c r="M912" s="2">
        <v>1</v>
      </c>
      <c r="N912" s="2">
        <v>7</v>
      </c>
      <c r="O912" s="2" t="s">
        <v>1527</v>
      </c>
      <c r="P912" s="2" t="s">
        <v>3462</v>
      </c>
    </row>
    <row r="913" spans="1:16" ht="17.25" customHeight="1" x14ac:dyDescent="0.2">
      <c r="A913" s="17" t="s">
        <v>973</v>
      </c>
      <c r="B913" s="17" t="s">
        <v>4182</v>
      </c>
      <c r="C913" s="17" t="s">
        <v>1639</v>
      </c>
      <c r="D913" s="17" t="s">
        <v>3732</v>
      </c>
      <c r="E913" s="2" t="str">
        <f t="shared" si="67"/>
        <v>m</v>
      </c>
      <c r="F913" s="2">
        <f t="shared" si="68"/>
        <v>13</v>
      </c>
      <c r="G913" s="2">
        <v>2013</v>
      </c>
      <c r="H913" s="2" t="str">
        <f t="shared" si="73"/>
        <v>mlssuppv</v>
      </c>
      <c r="I913" s="2" t="s">
        <v>3733</v>
      </c>
      <c r="J913" s="34" t="s">
        <v>3455</v>
      </c>
      <c r="K913" s="2" t="s">
        <v>1520</v>
      </c>
      <c r="L913" s="2" t="s">
        <v>8</v>
      </c>
      <c r="M913" s="2">
        <v>1</v>
      </c>
      <c r="N913" s="2">
        <v>7</v>
      </c>
      <c r="O913" s="2" t="s">
        <v>1527</v>
      </c>
      <c r="P913" s="2" t="s">
        <v>3462</v>
      </c>
    </row>
    <row r="914" spans="1:16" ht="17.25" customHeight="1" x14ac:dyDescent="0.2">
      <c r="A914" s="17" t="s">
        <v>973</v>
      </c>
      <c r="B914" s="17" t="s">
        <v>4182</v>
      </c>
      <c r="C914" s="17" t="s">
        <v>1639</v>
      </c>
      <c r="D914" s="17" t="s">
        <v>3732</v>
      </c>
      <c r="E914" s="2" t="str">
        <f t="shared" si="67"/>
        <v>n</v>
      </c>
      <c r="F914" s="2">
        <f t="shared" si="68"/>
        <v>14</v>
      </c>
      <c r="G914" s="2">
        <v>2014</v>
      </c>
      <c r="H914" s="2" t="str">
        <f t="shared" si="73"/>
        <v>nlssuppv</v>
      </c>
      <c r="I914" s="2" t="s">
        <v>3733</v>
      </c>
      <c r="J914" s="34" t="s">
        <v>3455</v>
      </c>
      <c r="K914" s="2" t="s">
        <v>1520</v>
      </c>
      <c r="L914" s="2" t="s">
        <v>8</v>
      </c>
      <c r="M914" s="2">
        <v>1</v>
      </c>
      <c r="N914" s="2">
        <v>7</v>
      </c>
      <c r="O914" s="2" t="s">
        <v>1527</v>
      </c>
      <c r="P914" s="2" t="s">
        <v>3462</v>
      </c>
    </row>
    <row r="915" spans="1:16" ht="17.25" customHeight="1" x14ac:dyDescent="0.2">
      <c r="A915" s="17" t="s">
        <v>973</v>
      </c>
      <c r="B915" s="17" t="s">
        <v>4182</v>
      </c>
      <c r="C915" s="17" t="s">
        <v>1639</v>
      </c>
      <c r="D915" s="17" t="s">
        <v>3732</v>
      </c>
      <c r="E915" s="2" t="str">
        <f t="shared" si="67"/>
        <v>o</v>
      </c>
      <c r="F915" s="2">
        <f t="shared" si="68"/>
        <v>15</v>
      </c>
      <c r="G915" s="2">
        <v>2015</v>
      </c>
      <c r="H915" s="2" t="str">
        <f t="shared" si="73"/>
        <v>olssuppv</v>
      </c>
      <c r="I915" s="2" t="s">
        <v>3733</v>
      </c>
      <c r="J915" s="34" t="s">
        <v>3455</v>
      </c>
      <c r="K915" s="2" t="s">
        <v>1520</v>
      </c>
      <c r="L915" s="2" t="s">
        <v>8</v>
      </c>
      <c r="M915" s="2">
        <v>1</v>
      </c>
      <c r="N915" s="2">
        <v>7</v>
      </c>
      <c r="O915" s="2" t="s">
        <v>1527</v>
      </c>
      <c r="P915" s="2" t="s">
        <v>3462</v>
      </c>
    </row>
    <row r="916" spans="1:16" ht="17.25" customHeight="1" x14ac:dyDescent="0.2">
      <c r="A916" s="17" t="s">
        <v>973</v>
      </c>
      <c r="B916" s="17" t="s">
        <v>4182</v>
      </c>
      <c r="C916" s="17" t="s">
        <v>1639</v>
      </c>
      <c r="D916" s="17" t="s">
        <v>3732</v>
      </c>
      <c r="E916" s="2" t="str">
        <f t="shared" ref="E916:E945" si="74">MID("abcdefghijklmnopqrstuvwxyz",F916,1)</f>
        <v>p</v>
      </c>
      <c r="F916" s="2">
        <f t="shared" ref="F916:F945" si="75">G916-2000</f>
        <v>16</v>
      </c>
      <c r="G916" s="2">
        <v>2016</v>
      </c>
      <c r="H916" s="2" t="str">
        <f t="shared" si="73"/>
        <v>plssuppv</v>
      </c>
      <c r="I916" s="2" t="s">
        <v>3733</v>
      </c>
      <c r="J916" s="34" t="s">
        <v>3455</v>
      </c>
      <c r="K916" s="2" t="s">
        <v>1520</v>
      </c>
      <c r="L916" s="2" t="s">
        <v>8</v>
      </c>
      <c r="M916" s="2">
        <v>1</v>
      </c>
      <c r="N916" s="2">
        <v>7</v>
      </c>
      <c r="O916" s="2" t="s">
        <v>1527</v>
      </c>
      <c r="P916" s="2" t="s">
        <v>3462</v>
      </c>
    </row>
    <row r="917" spans="1:16" ht="17.25" customHeight="1" x14ac:dyDescent="0.2">
      <c r="A917" s="17" t="s">
        <v>973</v>
      </c>
      <c r="B917" s="17" t="s">
        <v>4182</v>
      </c>
      <c r="C917" s="17" t="s">
        <v>1639</v>
      </c>
      <c r="D917" s="17" t="s">
        <v>3732</v>
      </c>
      <c r="E917" s="2" t="str">
        <f t="shared" si="74"/>
        <v>q</v>
      </c>
      <c r="F917" s="2">
        <f t="shared" si="75"/>
        <v>17</v>
      </c>
      <c r="G917" s="2">
        <v>2017</v>
      </c>
      <c r="H917" s="2" t="str">
        <f t="shared" ref="H917" si="76">_xlfn.CONCAT(E917,"lssuppv")</f>
        <v>qlssuppv</v>
      </c>
      <c r="I917" s="2" t="s">
        <v>3733</v>
      </c>
      <c r="J917" s="34" t="s">
        <v>3455</v>
      </c>
      <c r="K917" s="2" t="s">
        <v>1520</v>
      </c>
      <c r="L917" s="2" t="s">
        <v>8</v>
      </c>
      <c r="M917" s="2">
        <v>1</v>
      </c>
      <c r="N917" s="2">
        <v>7</v>
      </c>
      <c r="O917" s="2" t="s">
        <v>1527</v>
      </c>
      <c r="P917" s="2" t="s">
        <v>3462</v>
      </c>
    </row>
    <row r="918" spans="1:16" ht="17.25" customHeight="1" x14ac:dyDescent="0.2">
      <c r="A918" s="17" t="s">
        <v>973</v>
      </c>
      <c r="B918" s="17" t="s">
        <v>4182</v>
      </c>
      <c r="C918" s="17" t="s">
        <v>1639</v>
      </c>
      <c r="D918" s="17" t="s">
        <v>3732</v>
      </c>
      <c r="E918" s="2" t="str">
        <f t="shared" si="74"/>
        <v>r</v>
      </c>
      <c r="F918" s="2">
        <f t="shared" si="75"/>
        <v>18</v>
      </c>
      <c r="G918" s="2">
        <v>2018</v>
      </c>
      <c r="H918" s="2" t="str">
        <f t="shared" si="73"/>
        <v>rlssuppv</v>
      </c>
      <c r="I918" s="2" t="s">
        <v>3733</v>
      </c>
      <c r="J918" s="34" t="s">
        <v>3455</v>
      </c>
      <c r="K918" s="2" t="s">
        <v>1520</v>
      </c>
      <c r="L918" s="2" t="s">
        <v>8</v>
      </c>
      <c r="M918" s="2">
        <v>1</v>
      </c>
      <c r="N918" s="2">
        <v>7</v>
      </c>
      <c r="O918" s="2" t="s">
        <v>1527</v>
      </c>
      <c r="P918" s="2" t="s">
        <v>3462</v>
      </c>
    </row>
    <row r="919" spans="1:16" ht="17.25" customHeight="1" x14ac:dyDescent="0.2">
      <c r="A919" s="17" t="s">
        <v>973</v>
      </c>
      <c r="B919" s="17" t="s">
        <v>4182</v>
      </c>
      <c r="C919" s="17" t="s">
        <v>1639</v>
      </c>
      <c r="D919" s="17" t="s">
        <v>3453</v>
      </c>
      <c r="E919" s="2" t="str">
        <f t="shared" si="74"/>
        <v>a</v>
      </c>
      <c r="F919" s="2">
        <f t="shared" si="75"/>
        <v>1</v>
      </c>
      <c r="G919" s="2">
        <v>2001</v>
      </c>
      <c r="H919" s="2" t="str">
        <f>_xlfn.CONCAT(E919,"lssupvl")</f>
        <v>alssupvl</v>
      </c>
      <c r="I919" s="2" t="s">
        <v>3454</v>
      </c>
      <c r="J919" s="34" t="s">
        <v>3455</v>
      </c>
      <c r="K919" s="2" t="s">
        <v>1520</v>
      </c>
      <c r="L919" s="2" t="s">
        <v>8</v>
      </c>
      <c r="M919" s="2">
        <v>1</v>
      </c>
      <c r="N919" s="2">
        <v>7</v>
      </c>
      <c r="O919" s="2" t="s">
        <v>1527</v>
      </c>
      <c r="P919" s="2" t="s">
        <v>3462</v>
      </c>
    </row>
    <row r="920" spans="1:16" ht="17.25" customHeight="1" x14ac:dyDescent="0.2">
      <c r="A920" s="17" t="s">
        <v>973</v>
      </c>
      <c r="B920" s="17" t="s">
        <v>4182</v>
      </c>
      <c r="C920" s="17" t="s">
        <v>1639</v>
      </c>
      <c r="D920" s="17" t="s">
        <v>3453</v>
      </c>
      <c r="E920" s="2" t="str">
        <f t="shared" si="74"/>
        <v>b</v>
      </c>
      <c r="F920" s="2">
        <f t="shared" si="75"/>
        <v>2</v>
      </c>
      <c r="G920" s="2">
        <v>2002</v>
      </c>
      <c r="H920" s="2" t="str">
        <f t="shared" ref="H920:H936" si="77">_xlfn.CONCAT(E920,"lssupvl")</f>
        <v>blssupvl</v>
      </c>
      <c r="I920" s="2" t="s">
        <v>3454</v>
      </c>
      <c r="J920" s="34" t="s">
        <v>3455</v>
      </c>
      <c r="K920" s="2" t="s">
        <v>1520</v>
      </c>
      <c r="L920" s="2" t="s">
        <v>8</v>
      </c>
      <c r="M920" s="2">
        <v>1</v>
      </c>
      <c r="N920" s="2">
        <v>7</v>
      </c>
      <c r="O920" s="2" t="s">
        <v>1527</v>
      </c>
      <c r="P920" s="2" t="s">
        <v>3462</v>
      </c>
    </row>
    <row r="921" spans="1:16" ht="17.25" customHeight="1" x14ac:dyDescent="0.2">
      <c r="A921" s="17" t="s">
        <v>973</v>
      </c>
      <c r="B921" s="17" t="s">
        <v>4182</v>
      </c>
      <c r="C921" s="17" t="s">
        <v>1639</v>
      </c>
      <c r="D921" s="17" t="s">
        <v>3453</v>
      </c>
      <c r="E921" s="2" t="str">
        <f t="shared" si="74"/>
        <v>c</v>
      </c>
      <c r="F921" s="2">
        <f t="shared" si="75"/>
        <v>3</v>
      </c>
      <c r="G921" s="2">
        <v>2003</v>
      </c>
      <c r="H921" s="2" t="str">
        <f t="shared" si="77"/>
        <v>clssupvl</v>
      </c>
      <c r="I921" s="2" t="s">
        <v>3454</v>
      </c>
      <c r="J921" s="34" t="s">
        <v>3455</v>
      </c>
      <c r="K921" s="2" t="s">
        <v>1520</v>
      </c>
      <c r="L921" s="2" t="s">
        <v>8</v>
      </c>
      <c r="M921" s="2">
        <v>1</v>
      </c>
      <c r="N921" s="2">
        <v>7</v>
      </c>
      <c r="O921" s="2" t="s">
        <v>1527</v>
      </c>
      <c r="P921" s="2" t="s">
        <v>3462</v>
      </c>
    </row>
    <row r="922" spans="1:16" ht="17.25" customHeight="1" x14ac:dyDescent="0.2">
      <c r="A922" s="17" t="s">
        <v>973</v>
      </c>
      <c r="B922" s="17" t="s">
        <v>4182</v>
      </c>
      <c r="C922" s="17" t="s">
        <v>1639</v>
      </c>
      <c r="D922" s="17" t="s">
        <v>3453</v>
      </c>
      <c r="E922" s="2" t="str">
        <f t="shared" si="74"/>
        <v>d</v>
      </c>
      <c r="F922" s="2">
        <f t="shared" si="75"/>
        <v>4</v>
      </c>
      <c r="G922" s="2">
        <v>2004</v>
      </c>
      <c r="H922" s="2" t="str">
        <f t="shared" si="77"/>
        <v>dlssupvl</v>
      </c>
      <c r="I922" s="2" t="s">
        <v>3454</v>
      </c>
      <c r="J922" s="34" t="s">
        <v>3455</v>
      </c>
      <c r="K922" s="2" t="s">
        <v>1520</v>
      </c>
      <c r="L922" s="2" t="s">
        <v>8</v>
      </c>
      <c r="M922" s="2">
        <v>1</v>
      </c>
      <c r="N922" s="2">
        <v>7</v>
      </c>
      <c r="O922" s="2" t="s">
        <v>1527</v>
      </c>
      <c r="P922" s="2" t="s">
        <v>3462</v>
      </c>
    </row>
    <row r="923" spans="1:16" ht="17.25" customHeight="1" x14ac:dyDescent="0.2">
      <c r="A923" s="17" t="s">
        <v>973</v>
      </c>
      <c r="B923" s="17" t="s">
        <v>4182</v>
      </c>
      <c r="C923" s="17" t="s">
        <v>1639</v>
      </c>
      <c r="D923" s="17" t="s">
        <v>3453</v>
      </c>
      <c r="E923" s="2" t="str">
        <f t="shared" si="74"/>
        <v>e</v>
      </c>
      <c r="F923" s="2">
        <f t="shared" si="75"/>
        <v>5</v>
      </c>
      <c r="G923" s="2">
        <v>2005</v>
      </c>
      <c r="H923" s="2" t="str">
        <f t="shared" si="77"/>
        <v>elssupvl</v>
      </c>
      <c r="I923" s="2" t="s">
        <v>3454</v>
      </c>
      <c r="J923" s="34" t="s">
        <v>3455</v>
      </c>
      <c r="K923" s="2" t="s">
        <v>1520</v>
      </c>
      <c r="L923" s="2" t="s">
        <v>8</v>
      </c>
      <c r="M923" s="2">
        <v>1</v>
      </c>
      <c r="N923" s="2">
        <v>7</v>
      </c>
      <c r="O923" s="2" t="s">
        <v>1527</v>
      </c>
      <c r="P923" s="2" t="s">
        <v>3462</v>
      </c>
    </row>
    <row r="924" spans="1:16" ht="17.25" customHeight="1" x14ac:dyDescent="0.2">
      <c r="A924" s="17" t="s">
        <v>973</v>
      </c>
      <c r="B924" s="17" t="s">
        <v>4182</v>
      </c>
      <c r="C924" s="17" t="s">
        <v>1639</v>
      </c>
      <c r="D924" s="17" t="s">
        <v>3453</v>
      </c>
      <c r="E924" s="2" t="str">
        <f t="shared" si="74"/>
        <v>f</v>
      </c>
      <c r="F924" s="2">
        <f t="shared" si="75"/>
        <v>6</v>
      </c>
      <c r="G924" s="2">
        <v>2006</v>
      </c>
      <c r="H924" s="2" t="str">
        <f t="shared" si="77"/>
        <v>flssupvl</v>
      </c>
      <c r="I924" s="2" t="s">
        <v>3454</v>
      </c>
      <c r="J924" s="34" t="s">
        <v>3455</v>
      </c>
      <c r="K924" s="2" t="s">
        <v>1520</v>
      </c>
      <c r="L924" s="2" t="s">
        <v>8</v>
      </c>
      <c r="M924" s="2">
        <v>1</v>
      </c>
      <c r="N924" s="2">
        <v>7</v>
      </c>
      <c r="O924" s="2" t="s">
        <v>1527</v>
      </c>
      <c r="P924" s="2" t="s">
        <v>3462</v>
      </c>
    </row>
    <row r="925" spans="1:16" ht="17.25" customHeight="1" x14ac:dyDescent="0.2">
      <c r="A925" s="17" t="s">
        <v>973</v>
      </c>
      <c r="B925" s="17" t="s">
        <v>4182</v>
      </c>
      <c r="C925" s="17" t="s">
        <v>1639</v>
      </c>
      <c r="D925" s="17" t="s">
        <v>3453</v>
      </c>
      <c r="E925" s="2" t="str">
        <f t="shared" si="74"/>
        <v>g</v>
      </c>
      <c r="F925" s="2">
        <f t="shared" si="75"/>
        <v>7</v>
      </c>
      <c r="G925" s="2">
        <v>2007</v>
      </c>
      <c r="H925" s="2" t="str">
        <f t="shared" si="77"/>
        <v>glssupvl</v>
      </c>
      <c r="I925" s="2" t="s">
        <v>3454</v>
      </c>
      <c r="J925" s="34" t="s">
        <v>3455</v>
      </c>
      <c r="K925" s="2" t="s">
        <v>1520</v>
      </c>
      <c r="L925" s="2" t="s">
        <v>8</v>
      </c>
      <c r="M925" s="2">
        <v>1</v>
      </c>
      <c r="N925" s="2">
        <v>7</v>
      </c>
      <c r="O925" s="2" t="s">
        <v>1527</v>
      </c>
      <c r="P925" s="2" t="s">
        <v>3462</v>
      </c>
    </row>
    <row r="926" spans="1:16" ht="17.25" customHeight="1" x14ac:dyDescent="0.2">
      <c r="A926" s="17" t="s">
        <v>973</v>
      </c>
      <c r="B926" s="17" t="s">
        <v>4182</v>
      </c>
      <c r="C926" s="17" t="s">
        <v>1639</v>
      </c>
      <c r="D926" s="17" t="s">
        <v>3453</v>
      </c>
      <c r="E926" s="2" t="str">
        <f t="shared" si="74"/>
        <v>h</v>
      </c>
      <c r="F926" s="2">
        <f t="shared" si="75"/>
        <v>8</v>
      </c>
      <c r="G926" s="2">
        <v>2008</v>
      </c>
      <c r="H926" s="2" t="str">
        <f t="shared" si="77"/>
        <v>hlssupvl</v>
      </c>
      <c r="I926" s="2" t="s">
        <v>3454</v>
      </c>
      <c r="J926" s="34" t="s">
        <v>3455</v>
      </c>
      <c r="K926" s="2" t="s">
        <v>1520</v>
      </c>
      <c r="L926" s="2" t="s">
        <v>8</v>
      </c>
      <c r="M926" s="2">
        <v>1</v>
      </c>
      <c r="N926" s="2">
        <v>7</v>
      </c>
      <c r="O926" s="2" t="s">
        <v>1527</v>
      </c>
      <c r="P926" s="2" t="s">
        <v>3462</v>
      </c>
    </row>
    <row r="927" spans="1:16" ht="17.25" customHeight="1" x14ac:dyDescent="0.2">
      <c r="A927" s="17" t="s">
        <v>973</v>
      </c>
      <c r="B927" s="17" t="s">
        <v>4182</v>
      </c>
      <c r="C927" s="17" t="s">
        <v>1639</v>
      </c>
      <c r="D927" s="17" t="s">
        <v>3453</v>
      </c>
      <c r="E927" s="2" t="str">
        <f t="shared" si="74"/>
        <v>i</v>
      </c>
      <c r="F927" s="2">
        <f t="shared" si="75"/>
        <v>9</v>
      </c>
      <c r="G927" s="2">
        <v>2009</v>
      </c>
      <c r="H927" s="2" t="str">
        <f t="shared" si="77"/>
        <v>ilssupvl</v>
      </c>
      <c r="I927" s="2" t="s">
        <v>3454</v>
      </c>
      <c r="J927" s="34" t="s">
        <v>3455</v>
      </c>
      <c r="K927" s="2" t="s">
        <v>1520</v>
      </c>
      <c r="L927" s="2" t="s">
        <v>8</v>
      </c>
      <c r="M927" s="2">
        <v>1</v>
      </c>
      <c r="N927" s="2">
        <v>7</v>
      </c>
      <c r="O927" s="2" t="s">
        <v>1527</v>
      </c>
      <c r="P927" s="2" t="s">
        <v>3462</v>
      </c>
    </row>
    <row r="928" spans="1:16" ht="17.25" customHeight="1" x14ac:dyDescent="0.2">
      <c r="A928" s="17" t="s">
        <v>973</v>
      </c>
      <c r="B928" s="17" t="s">
        <v>4182</v>
      </c>
      <c r="C928" s="17" t="s">
        <v>1639</v>
      </c>
      <c r="D928" s="17" t="s">
        <v>3453</v>
      </c>
      <c r="E928" s="2" t="str">
        <f t="shared" si="74"/>
        <v>j</v>
      </c>
      <c r="F928" s="2">
        <f t="shared" si="75"/>
        <v>10</v>
      </c>
      <c r="G928" s="2">
        <v>2010</v>
      </c>
      <c r="H928" s="2" t="str">
        <f t="shared" si="77"/>
        <v>jlssupvl</v>
      </c>
      <c r="I928" s="2" t="s">
        <v>3454</v>
      </c>
      <c r="J928" s="34" t="s">
        <v>3455</v>
      </c>
      <c r="K928" s="2" t="s">
        <v>1520</v>
      </c>
      <c r="L928" s="2" t="s">
        <v>8</v>
      </c>
      <c r="M928" s="2">
        <v>1</v>
      </c>
      <c r="N928" s="2">
        <v>7</v>
      </c>
      <c r="O928" s="2" t="s">
        <v>1527</v>
      </c>
      <c r="P928" s="2" t="s">
        <v>3462</v>
      </c>
    </row>
    <row r="929" spans="1:16" ht="17.25" customHeight="1" x14ac:dyDescent="0.2">
      <c r="A929" s="17" t="s">
        <v>973</v>
      </c>
      <c r="B929" s="17" t="s">
        <v>4182</v>
      </c>
      <c r="C929" s="17" t="s">
        <v>1639</v>
      </c>
      <c r="D929" s="17" t="s">
        <v>3453</v>
      </c>
      <c r="E929" s="2" t="str">
        <f t="shared" si="74"/>
        <v>k</v>
      </c>
      <c r="F929" s="2">
        <f t="shared" si="75"/>
        <v>11</v>
      </c>
      <c r="G929" s="2">
        <v>2011</v>
      </c>
      <c r="H929" s="2" t="str">
        <f t="shared" si="77"/>
        <v>klssupvl</v>
      </c>
      <c r="I929" s="2" t="s">
        <v>3454</v>
      </c>
      <c r="J929" s="34" t="s">
        <v>3455</v>
      </c>
      <c r="K929" s="2" t="s">
        <v>1520</v>
      </c>
      <c r="L929" s="2" t="s">
        <v>8</v>
      </c>
      <c r="M929" s="2">
        <v>1</v>
      </c>
      <c r="N929" s="2">
        <v>7</v>
      </c>
      <c r="O929" s="2" t="s">
        <v>1527</v>
      </c>
      <c r="P929" s="2" t="s">
        <v>3462</v>
      </c>
    </row>
    <row r="930" spans="1:16" ht="17.25" customHeight="1" x14ac:dyDescent="0.2">
      <c r="A930" s="17" t="s">
        <v>973</v>
      </c>
      <c r="B930" s="17" t="s">
        <v>4182</v>
      </c>
      <c r="C930" s="17" t="s">
        <v>1639</v>
      </c>
      <c r="D930" s="17" t="s">
        <v>3453</v>
      </c>
      <c r="E930" s="2" t="str">
        <f t="shared" si="74"/>
        <v>l</v>
      </c>
      <c r="F930" s="2">
        <f t="shared" si="75"/>
        <v>12</v>
      </c>
      <c r="G930" s="2">
        <v>2012</v>
      </c>
      <c r="H930" s="2" t="str">
        <f t="shared" si="77"/>
        <v>llssupvl</v>
      </c>
      <c r="I930" s="2" t="s">
        <v>3454</v>
      </c>
      <c r="J930" s="34" t="s">
        <v>3455</v>
      </c>
      <c r="K930" s="2" t="s">
        <v>1520</v>
      </c>
      <c r="L930" s="2" t="s">
        <v>8</v>
      </c>
      <c r="M930" s="2">
        <v>1</v>
      </c>
      <c r="N930" s="2">
        <v>7</v>
      </c>
      <c r="O930" s="2" t="s">
        <v>1527</v>
      </c>
      <c r="P930" s="2" t="s">
        <v>3462</v>
      </c>
    </row>
    <row r="931" spans="1:16" ht="17.25" customHeight="1" x14ac:dyDescent="0.2">
      <c r="A931" s="17" t="s">
        <v>973</v>
      </c>
      <c r="B931" s="17" t="s">
        <v>4182</v>
      </c>
      <c r="C931" s="17" t="s">
        <v>1639</v>
      </c>
      <c r="D931" s="17" t="s">
        <v>3453</v>
      </c>
      <c r="E931" s="2" t="str">
        <f t="shared" si="74"/>
        <v>m</v>
      </c>
      <c r="F931" s="2">
        <f t="shared" si="75"/>
        <v>13</v>
      </c>
      <c r="G931" s="2">
        <v>2013</v>
      </c>
      <c r="H931" s="2" t="str">
        <f t="shared" si="77"/>
        <v>mlssupvl</v>
      </c>
      <c r="I931" s="2" t="s">
        <v>3454</v>
      </c>
      <c r="J931" s="34" t="s">
        <v>3455</v>
      </c>
      <c r="K931" s="2" t="s">
        <v>1520</v>
      </c>
      <c r="L931" s="2" t="s">
        <v>8</v>
      </c>
      <c r="M931" s="2">
        <v>1</v>
      </c>
      <c r="N931" s="2">
        <v>7</v>
      </c>
      <c r="O931" s="2" t="s">
        <v>1527</v>
      </c>
      <c r="P931" s="2" t="s">
        <v>3462</v>
      </c>
    </row>
    <row r="932" spans="1:16" ht="17.25" customHeight="1" x14ac:dyDescent="0.2">
      <c r="A932" s="17" t="s">
        <v>973</v>
      </c>
      <c r="B932" s="17" t="s">
        <v>4182</v>
      </c>
      <c r="C932" s="17" t="s">
        <v>1639</v>
      </c>
      <c r="D932" s="17" t="s">
        <v>3453</v>
      </c>
      <c r="E932" s="2" t="str">
        <f t="shared" si="74"/>
        <v>n</v>
      </c>
      <c r="F932" s="2">
        <f t="shared" si="75"/>
        <v>14</v>
      </c>
      <c r="G932" s="2">
        <v>2014</v>
      </c>
      <c r="H932" s="2" t="str">
        <f t="shared" si="77"/>
        <v>nlssupvl</v>
      </c>
      <c r="I932" s="2" t="s">
        <v>3454</v>
      </c>
      <c r="J932" s="34" t="s">
        <v>3455</v>
      </c>
      <c r="K932" s="2" t="s">
        <v>1520</v>
      </c>
      <c r="L932" s="2" t="s">
        <v>8</v>
      </c>
      <c r="M932" s="2">
        <v>1</v>
      </c>
      <c r="N932" s="2">
        <v>7</v>
      </c>
      <c r="O932" s="2" t="s">
        <v>1527</v>
      </c>
      <c r="P932" s="2" t="s">
        <v>3462</v>
      </c>
    </row>
    <row r="933" spans="1:16" ht="17.25" customHeight="1" x14ac:dyDescent="0.2">
      <c r="A933" s="17" t="s">
        <v>973</v>
      </c>
      <c r="B933" s="17" t="s">
        <v>4182</v>
      </c>
      <c r="C933" s="17" t="s">
        <v>1639</v>
      </c>
      <c r="D933" s="17" t="s">
        <v>3453</v>
      </c>
      <c r="E933" s="2" t="str">
        <f t="shared" si="74"/>
        <v>o</v>
      </c>
      <c r="F933" s="2">
        <f t="shared" si="75"/>
        <v>15</v>
      </c>
      <c r="G933" s="2">
        <v>2015</v>
      </c>
      <c r="H933" s="2" t="str">
        <f t="shared" si="77"/>
        <v>olssupvl</v>
      </c>
      <c r="I933" s="2" t="s">
        <v>3454</v>
      </c>
      <c r="J933" s="34" t="s">
        <v>3455</v>
      </c>
      <c r="K933" s="2" t="s">
        <v>1520</v>
      </c>
      <c r="L933" s="2" t="s">
        <v>8</v>
      </c>
      <c r="M933" s="2">
        <v>1</v>
      </c>
      <c r="N933" s="2">
        <v>7</v>
      </c>
      <c r="O933" s="2" t="s">
        <v>1527</v>
      </c>
      <c r="P933" s="2" t="s">
        <v>3462</v>
      </c>
    </row>
    <row r="934" spans="1:16" ht="17.25" customHeight="1" x14ac:dyDescent="0.2">
      <c r="A934" s="17" t="s">
        <v>973</v>
      </c>
      <c r="B934" s="17" t="s">
        <v>4182</v>
      </c>
      <c r="C934" s="17" t="s">
        <v>1639</v>
      </c>
      <c r="D934" s="17" t="s">
        <v>3453</v>
      </c>
      <c r="E934" s="2" t="str">
        <f t="shared" si="74"/>
        <v>p</v>
      </c>
      <c r="F934" s="2">
        <f t="shared" si="75"/>
        <v>16</v>
      </c>
      <c r="G934" s="2">
        <v>2016</v>
      </c>
      <c r="H934" s="2" t="str">
        <f t="shared" si="77"/>
        <v>plssupvl</v>
      </c>
      <c r="I934" s="2" t="s">
        <v>3454</v>
      </c>
      <c r="J934" s="34" t="s">
        <v>3455</v>
      </c>
      <c r="K934" s="2" t="s">
        <v>1520</v>
      </c>
      <c r="L934" s="2" t="s">
        <v>8</v>
      </c>
      <c r="M934" s="2">
        <v>1</v>
      </c>
      <c r="N934" s="2">
        <v>7</v>
      </c>
      <c r="O934" s="2" t="s">
        <v>1527</v>
      </c>
      <c r="P934" s="2" t="s">
        <v>3462</v>
      </c>
    </row>
    <row r="935" spans="1:16" ht="17.25" customHeight="1" x14ac:dyDescent="0.2">
      <c r="A935" s="17" t="s">
        <v>973</v>
      </c>
      <c r="B935" s="17" t="s">
        <v>4182</v>
      </c>
      <c r="C935" s="17" t="s">
        <v>1639</v>
      </c>
      <c r="D935" s="17" t="s">
        <v>3453</v>
      </c>
      <c r="E935" s="2" t="str">
        <f t="shared" si="74"/>
        <v>q</v>
      </c>
      <c r="F935" s="2">
        <f t="shared" si="75"/>
        <v>17</v>
      </c>
      <c r="G935" s="2">
        <v>2017</v>
      </c>
      <c r="H935" s="2" t="str">
        <f t="shared" ref="H935" si="78">_xlfn.CONCAT(E935,"lssupvl")</f>
        <v>qlssupvl</v>
      </c>
      <c r="I935" s="2" t="s">
        <v>3454</v>
      </c>
      <c r="J935" s="34" t="s">
        <v>3455</v>
      </c>
      <c r="K935" s="2" t="s">
        <v>1520</v>
      </c>
      <c r="L935" s="2" t="s">
        <v>8</v>
      </c>
      <c r="M935" s="2">
        <v>1</v>
      </c>
      <c r="N935" s="2">
        <v>7</v>
      </c>
      <c r="O935" s="2" t="s">
        <v>1527</v>
      </c>
      <c r="P935" s="2" t="s">
        <v>3462</v>
      </c>
    </row>
    <row r="936" spans="1:16" ht="17.25" customHeight="1" x14ac:dyDescent="0.2">
      <c r="A936" s="17" t="s">
        <v>973</v>
      </c>
      <c r="B936" s="17" t="s">
        <v>4182</v>
      </c>
      <c r="C936" s="17" t="s">
        <v>1639</v>
      </c>
      <c r="D936" s="17" t="s">
        <v>3453</v>
      </c>
      <c r="E936" s="2" t="str">
        <f t="shared" si="74"/>
        <v>r</v>
      </c>
      <c r="F936" s="2">
        <f t="shared" si="75"/>
        <v>18</v>
      </c>
      <c r="G936" s="2">
        <v>2018</v>
      </c>
      <c r="H936" s="2" t="str">
        <f t="shared" si="77"/>
        <v>rlssupvl</v>
      </c>
      <c r="I936" s="2" t="s">
        <v>3454</v>
      </c>
      <c r="J936" s="34" t="s">
        <v>3455</v>
      </c>
      <c r="K936" s="2" t="s">
        <v>1520</v>
      </c>
      <c r="L936" s="2" t="s">
        <v>8</v>
      </c>
      <c r="M936" s="2">
        <v>1</v>
      </c>
      <c r="N936" s="2">
        <v>7</v>
      </c>
      <c r="O936" s="2" t="s">
        <v>1527</v>
      </c>
      <c r="P936" s="2" t="s">
        <v>3462</v>
      </c>
    </row>
    <row r="937" spans="1:16" ht="17.25" customHeight="1" x14ac:dyDescent="0.2">
      <c r="A937" s="17" t="s">
        <v>973</v>
      </c>
      <c r="B937" s="17" t="s">
        <v>4182</v>
      </c>
      <c r="C937" s="17" t="s">
        <v>1639</v>
      </c>
      <c r="D937" s="17" t="s">
        <v>3734</v>
      </c>
      <c r="E937" s="2" t="str">
        <f t="shared" si="74"/>
        <v>a</v>
      </c>
      <c r="F937" s="2">
        <f t="shared" si="75"/>
        <v>1</v>
      </c>
      <c r="G937" s="2">
        <v>2001</v>
      </c>
      <c r="H937" s="2" t="str">
        <f>_xlfn.CONCAT(E937,"lssupsh")</f>
        <v>alssupsh</v>
      </c>
      <c r="I937" s="2" t="s">
        <v>3735</v>
      </c>
      <c r="J937" s="34" t="s">
        <v>3455</v>
      </c>
      <c r="K937" s="2" t="s">
        <v>398</v>
      </c>
      <c r="L937" s="2" t="s">
        <v>8</v>
      </c>
      <c r="M937" s="2">
        <v>1</v>
      </c>
      <c r="N937" s="2">
        <v>7</v>
      </c>
      <c r="O937" s="2" t="s">
        <v>1527</v>
      </c>
      <c r="P937" s="2" t="s">
        <v>3462</v>
      </c>
    </row>
    <row r="938" spans="1:16" ht="17.25" customHeight="1" x14ac:dyDescent="0.2">
      <c r="A938" s="17" t="s">
        <v>973</v>
      </c>
      <c r="B938" s="17" t="s">
        <v>4182</v>
      </c>
      <c r="C938" s="17" t="s">
        <v>1639</v>
      </c>
      <c r="D938" s="17" t="s">
        <v>3734</v>
      </c>
      <c r="E938" s="2" t="str">
        <f t="shared" si="74"/>
        <v>b</v>
      </c>
      <c r="F938" s="2">
        <f t="shared" si="75"/>
        <v>2</v>
      </c>
      <c r="G938" s="2">
        <v>2002</v>
      </c>
      <c r="H938" s="2" t="str">
        <f t="shared" ref="H938:H954" si="79">_xlfn.CONCAT(E938,"lssupsh")</f>
        <v>blssupsh</v>
      </c>
      <c r="I938" s="2" t="s">
        <v>3735</v>
      </c>
      <c r="J938" s="34" t="s">
        <v>3455</v>
      </c>
      <c r="K938" s="2" t="s">
        <v>398</v>
      </c>
      <c r="L938" s="2" t="s">
        <v>8</v>
      </c>
      <c r="M938" s="2">
        <v>1</v>
      </c>
      <c r="N938" s="2">
        <v>7</v>
      </c>
      <c r="O938" s="2" t="s">
        <v>1527</v>
      </c>
      <c r="P938" s="2" t="s">
        <v>3462</v>
      </c>
    </row>
    <row r="939" spans="1:16" ht="17.25" customHeight="1" x14ac:dyDescent="0.2">
      <c r="A939" s="17" t="s">
        <v>973</v>
      </c>
      <c r="B939" s="17" t="s">
        <v>4182</v>
      </c>
      <c r="C939" s="17" t="s">
        <v>1639</v>
      </c>
      <c r="D939" s="17" t="s">
        <v>3734</v>
      </c>
      <c r="E939" s="2" t="str">
        <f t="shared" si="74"/>
        <v>c</v>
      </c>
      <c r="F939" s="2">
        <f t="shared" si="75"/>
        <v>3</v>
      </c>
      <c r="G939" s="2">
        <v>2003</v>
      </c>
      <c r="H939" s="2" t="str">
        <f t="shared" si="79"/>
        <v>clssupsh</v>
      </c>
      <c r="I939" s="2" t="s">
        <v>3735</v>
      </c>
      <c r="J939" s="34" t="s">
        <v>3455</v>
      </c>
      <c r="K939" s="2" t="s">
        <v>398</v>
      </c>
      <c r="L939" s="2" t="s">
        <v>8</v>
      </c>
      <c r="M939" s="2">
        <v>1</v>
      </c>
      <c r="N939" s="2">
        <v>7</v>
      </c>
      <c r="O939" s="2" t="s">
        <v>1527</v>
      </c>
      <c r="P939" s="2" t="s">
        <v>3462</v>
      </c>
    </row>
    <row r="940" spans="1:16" ht="17.25" customHeight="1" x14ac:dyDescent="0.2">
      <c r="A940" s="17" t="s">
        <v>973</v>
      </c>
      <c r="B940" s="17" t="s">
        <v>4182</v>
      </c>
      <c r="C940" s="17" t="s">
        <v>1639</v>
      </c>
      <c r="D940" s="17" t="s">
        <v>3734</v>
      </c>
      <c r="E940" s="2" t="str">
        <f t="shared" si="74"/>
        <v>d</v>
      </c>
      <c r="F940" s="2">
        <f t="shared" si="75"/>
        <v>4</v>
      </c>
      <c r="G940" s="2">
        <v>2004</v>
      </c>
      <c r="H940" s="2" t="str">
        <f t="shared" si="79"/>
        <v>dlssupsh</v>
      </c>
      <c r="I940" s="2" t="s">
        <v>3735</v>
      </c>
      <c r="J940" s="34" t="s">
        <v>3455</v>
      </c>
      <c r="K940" s="2" t="s">
        <v>398</v>
      </c>
      <c r="L940" s="2" t="s">
        <v>8</v>
      </c>
      <c r="M940" s="2">
        <v>1</v>
      </c>
      <c r="N940" s="2">
        <v>7</v>
      </c>
      <c r="O940" s="2" t="s">
        <v>1527</v>
      </c>
      <c r="P940" s="2" t="s">
        <v>3462</v>
      </c>
    </row>
    <row r="941" spans="1:16" ht="17.25" customHeight="1" x14ac:dyDescent="0.2">
      <c r="A941" s="17" t="s">
        <v>973</v>
      </c>
      <c r="B941" s="17" t="s">
        <v>4182</v>
      </c>
      <c r="C941" s="17" t="s">
        <v>1639</v>
      </c>
      <c r="D941" s="17" t="s">
        <v>3734</v>
      </c>
      <c r="E941" s="2" t="str">
        <f t="shared" si="74"/>
        <v>e</v>
      </c>
      <c r="F941" s="2">
        <f t="shared" si="75"/>
        <v>5</v>
      </c>
      <c r="G941" s="2">
        <v>2005</v>
      </c>
      <c r="H941" s="2" t="str">
        <f t="shared" si="79"/>
        <v>elssupsh</v>
      </c>
      <c r="I941" s="2" t="s">
        <v>3735</v>
      </c>
      <c r="J941" s="34" t="s">
        <v>3455</v>
      </c>
      <c r="K941" s="2" t="s">
        <v>398</v>
      </c>
      <c r="L941" s="2" t="s">
        <v>8</v>
      </c>
      <c r="M941" s="2">
        <v>1</v>
      </c>
      <c r="N941" s="2">
        <v>7</v>
      </c>
      <c r="O941" s="2" t="s">
        <v>1527</v>
      </c>
      <c r="P941" s="2" t="s">
        <v>3462</v>
      </c>
    </row>
    <row r="942" spans="1:16" ht="17.25" customHeight="1" x14ac:dyDescent="0.2">
      <c r="A942" s="17" t="s">
        <v>973</v>
      </c>
      <c r="B942" s="17" t="s">
        <v>4182</v>
      </c>
      <c r="C942" s="17" t="s">
        <v>1639</v>
      </c>
      <c r="D942" s="17" t="s">
        <v>3734</v>
      </c>
      <c r="E942" s="2" t="str">
        <f t="shared" si="74"/>
        <v>f</v>
      </c>
      <c r="F942" s="2">
        <f t="shared" si="75"/>
        <v>6</v>
      </c>
      <c r="G942" s="2">
        <v>2006</v>
      </c>
      <c r="H942" s="2" t="str">
        <f t="shared" si="79"/>
        <v>flssupsh</v>
      </c>
      <c r="I942" s="2" t="s">
        <v>3735</v>
      </c>
      <c r="J942" s="34" t="s">
        <v>3455</v>
      </c>
      <c r="K942" s="2" t="s">
        <v>398</v>
      </c>
      <c r="L942" s="2" t="s">
        <v>8</v>
      </c>
      <c r="M942" s="2">
        <v>1</v>
      </c>
      <c r="N942" s="2">
        <v>7</v>
      </c>
      <c r="O942" s="2" t="s">
        <v>1527</v>
      </c>
      <c r="P942" s="2" t="s">
        <v>3462</v>
      </c>
    </row>
    <row r="943" spans="1:16" ht="17.25" customHeight="1" x14ac:dyDescent="0.2">
      <c r="A943" s="17" t="s">
        <v>973</v>
      </c>
      <c r="B943" s="17" t="s">
        <v>4182</v>
      </c>
      <c r="C943" s="17" t="s">
        <v>1639</v>
      </c>
      <c r="D943" s="17" t="s">
        <v>3734</v>
      </c>
      <c r="E943" s="2" t="str">
        <f t="shared" si="74"/>
        <v>g</v>
      </c>
      <c r="F943" s="2">
        <f t="shared" si="75"/>
        <v>7</v>
      </c>
      <c r="G943" s="2">
        <v>2007</v>
      </c>
      <c r="H943" s="2" t="str">
        <f t="shared" si="79"/>
        <v>glssupsh</v>
      </c>
      <c r="I943" s="2" t="s">
        <v>3735</v>
      </c>
      <c r="J943" s="34" t="s">
        <v>3455</v>
      </c>
      <c r="K943" s="2" t="s">
        <v>398</v>
      </c>
      <c r="L943" s="2" t="s">
        <v>8</v>
      </c>
      <c r="M943" s="2">
        <v>1</v>
      </c>
      <c r="N943" s="2">
        <v>7</v>
      </c>
      <c r="O943" s="2" t="s">
        <v>1527</v>
      </c>
      <c r="P943" s="2" t="s">
        <v>3462</v>
      </c>
    </row>
    <row r="944" spans="1:16" ht="17.25" customHeight="1" x14ac:dyDescent="0.2">
      <c r="A944" s="17" t="s">
        <v>973</v>
      </c>
      <c r="B944" s="17" t="s">
        <v>4182</v>
      </c>
      <c r="C944" s="17" t="s">
        <v>1639</v>
      </c>
      <c r="D944" s="17" t="s">
        <v>3734</v>
      </c>
      <c r="E944" s="2" t="str">
        <f t="shared" si="74"/>
        <v>h</v>
      </c>
      <c r="F944" s="2">
        <f t="shared" si="75"/>
        <v>8</v>
      </c>
      <c r="G944" s="2">
        <v>2008</v>
      </c>
      <c r="H944" s="2" t="str">
        <f t="shared" si="79"/>
        <v>hlssupsh</v>
      </c>
      <c r="I944" s="2" t="s">
        <v>3735</v>
      </c>
      <c r="J944" s="34" t="s">
        <v>3455</v>
      </c>
      <c r="K944" s="2" t="s">
        <v>398</v>
      </c>
      <c r="L944" s="2" t="s">
        <v>8</v>
      </c>
      <c r="M944" s="2">
        <v>1</v>
      </c>
      <c r="N944" s="2">
        <v>7</v>
      </c>
      <c r="O944" s="2" t="s">
        <v>1527</v>
      </c>
      <c r="P944" s="2" t="s">
        <v>3462</v>
      </c>
    </row>
    <row r="945" spans="1:16" ht="17.25" customHeight="1" x14ac:dyDescent="0.2">
      <c r="A945" s="17" t="s">
        <v>973</v>
      </c>
      <c r="B945" s="17" t="s">
        <v>4182</v>
      </c>
      <c r="C945" s="17" t="s">
        <v>1639</v>
      </c>
      <c r="D945" s="17" t="s">
        <v>3734</v>
      </c>
      <c r="E945" s="2" t="str">
        <f t="shared" si="74"/>
        <v>i</v>
      </c>
      <c r="F945" s="2">
        <f t="shared" si="75"/>
        <v>9</v>
      </c>
      <c r="G945" s="2">
        <v>2009</v>
      </c>
      <c r="H945" s="2" t="str">
        <f t="shared" si="79"/>
        <v>ilssupsh</v>
      </c>
      <c r="I945" s="2" t="s">
        <v>3735</v>
      </c>
      <c r="J945" s="34" t="s">
        <v>3455</v>
      </c>
      <c r="K945" s="2" t="s">
        <v>398</v>
      </c>
      <c r="L945" s="2" t="s">
        <v>8</v>
      </c>
      <c r="M945" s="2">
        <v>1</v>
      </c>
      <c r="N945" s="2">
        <v>7</v>
      </c>
      <c r="O945" s="2" t="s">
        <v>1527</v>
      </c>
      <c r="P945" s="2" t="s">
        <v>3462</v>
      </c>
    </row>
    <row r="946" spans="1:16" ht="17.25" customHeight="1" x14ac:dyDescent="0.2">
      <c r="A946" s="17" t="s">
        <v>973</v>
      </c>
      <c r="B946" s="17" t="s">
        <v>4182</v>
      </c>
      <c r="C946" s="17" t="s">
        <v>1639</v>
      </c>
      <c r="D946" s="17" t="s">
        <v>3734</v>
      </c>
      <c r="E946" s="2" t="str">
        <f t="shared" ref="E946:E971" si="80">MID("abcdefghijklmnopqrstuvwxyz",F946,1)</f>
        <v>j</v>
      </c>
      <c r="F946" s="2">
        <f t="shared" ref="F946:F991" si="81">G946-2000</f>
        <v>10</v>
      </c>
      <c r="G946" s="2">
        <v>2010</v>
      </c>
      <c r="H946" s="2" t="str">
        <f t="shared" si="79"/>
        <v>jlssupsh</v>
      </c>
      <c r="I946" s="2" t="s">
        <v>3735</v>
      </c>
      <c r="J946" s="34" t="s">
        <v>3455</v>
      </c>
      <c r="K946" s="2" t="s">
        <v>398</v>
      </c>
      <c r="L946" s="2" t="s">
        <v>8</v>
      </c>
      <c r="M946" s="2">
        <v>1</v>
      </c>
      <c r="N946" s="2">
        <v>7</v>
      </c>
      <c r="O946" s="2" t="s">
        <v>1527</v>
      </c>
      <c r="P946" s="2" t="s">
        <v>3462</v>
      </c>
    </row>
    <row r="947" spans="1:16" ht="17.25" customHeight="1" x14ac:dyDescent="0.2">
      <c r="A947" s="17" t="s">
        <v>973</v>
      </c>
      <c r="B947" s="17" t="s">
        <v>4182</v>
      </c>
      <c r="C947" s="17" t="s">
        <v>1639</v>
      </c>
      <c r="D947" s="17" t="s">
        <v>3734</v>
      </c>
      <c r="E947" s="2" t="str">
        <f t="shared" si="80"/>
        <v>k</v>
      </c>
      <c r="F947" s="2">
        <f t="shared" si="81"/>
        <v>11</v>
      </c>
      <c r="G947" s="2">
        <v>2011</v>
      </c>
      <c r="H947" s="2" t="str">
        <f t="shared" si="79"/>
        <v>klssupsh</v>
      </c>
      <c r="I947" s="2" t="s">
        <v>3735</v>
      </c>
      <c r="J947" s="34" t="s">
        <v>3455</v>
      </c>
      <c r="K947" s="2" t="s">
        <v>398</v>
      </c>
      <c r="L947" s="2" t="s">
        <v>8</v>
      </c>
      <c r="M947" s="2">
        <v>1</v>
      </c>
      <c r="N947" s="2">
        <v>7</v>
      </c>
      <c r="O947" s="2" t="s">
        <v>1527</v>
      </c>
      <c r="P947" s="2" t="s">
        <v>3462</v>
      </c>
    </row>
    <row r="948" spans="1:16" ht="17.25" customHeight="1" x14ac:dyDescent="0.2">
      <c r="A948" s="17" t="s">
        <v>973</v>
      </c>
      <c r="B948" s="17" t="s">
        <v>4182</v>
      </c>
      <c r="C948" s="17" t="s">
        <v>1639</v>
      </c>
      <c r="D948" s="17" t="s">
        <v>3734</v>
      </c>
      <c r="E948" s="2" t="str">
        <f t="shared" si="80"/>
        <v>l</v>
      </c>
      <c r="F948" s="2">
        <f t="shared" si="81"/>
        <v>12</v>
      </c>
      <c r="G948" s="2">
        <v>2012</v>
      </c>
      <c r="H948" s="2" t="str">
        <f t="shared" si="79"/>
        <v>llssupsh</v>
      </c>
      <c r="I948" s="2" t="s">
        <v>3735</v>
      </c>
      <c r="J948" s="34" t="s">
        <v>3455</v>
      </c>
      <c r="K948" s="2" t="s">
        <v>398</v>
      </c>
      <c r="L948" s="2" t="s">
        <v>8</v>
      </c>
      <c r="M948" s="2">
        <v>1</v>
      </c>
      <c r="N948" s="2">
        <v>7</v>
      </c>
      <c r="O948" s="2" t="s">
        <v>1527</v>
      </c>
      <c r="P948" s="2" t="s">
        <v>3462</v>
      </c>
    </row>
    <row r="949" spans="1:16" ht="17.25" customHeight="1" x14ac:dyDescent="0.2">
      <c r="A949" s="17" t="s">
        <v>973</v>
      </c>
      <c r="B949" s="17" t="s">
        <v>4182</v>
      </c>
      <c r="C949" s="17" t="s">
        <v>1639</v>
      </c>
      <c r="D949" s="17" t="s">
        <v>3734</v>
      </c>
      <c r="E949" s="2" t="str">
        <f t="shared" si="80"/>
        <v>m</v>
      </c>
      <c r="F949" s="2">
        <f t="shared" si="81"/>
        <v>13</v>
      </c>
      <c r="G949" s="2">
        <v>2013</v>
      </c>
      <c r="H949" s="2" t="str">
        <f t="shared" si="79"/>
        <v>mlssupsh</v>
      </c>
      <c r="I949" s="2" t="s">
        <v>3735</v>
      </c>
      <c r="J949" s="34" t="s">
        <v>3455</v>
      </c>
      <c r="K949" s="2" t="s">
        <v>398</v>
      </c>
      <c r="L949" s="2" t="s">
        <v>8</v>
      </c>
      <c r="M949" s="2">
        <v>1</v>
      </c>
      <c r="N949" s="2">
        <v>7</v>
      </c>
      <c r="O949" s="2" t="s">
        <v>1527</v>
      </c>
      <c r="P949" s="2" t="s">
        <v>3462</v>
      </c>
    </row>
    <row r="950" spans="1:16" ht="17.25" customHeight="1" x14ac:dyDescent="0.2">
      <c r="A950" s="17" t="s">
        <v>973</v>
      </c>
      <c r="B950" s="17" t="s">
        <v>4182</v>
      </c>
      <c r="C950" s="17" t="s">
        <v>1639</v>
      </c>
      <c r="D950" s="17" t="s">
        <v>3734</v>
      </c>
      <c r="E950" s="2" t="str">
        <f t="shared" si="80"/>
        <v>n</v>
      </c>
      <c r="F950" s="2">
        <f t="shared" si="81"/>
        <v>14</v>
      </c>
      <c r="G950" s="2">
        <v>2014</v>
      </c>
      <c r="H950" s="2" t="str">
        <f t="shared" si="79"/>
        <v>nlssupsh</v>
      </c>
      <c r="I950" s="2" t="s">
        <v>3735</v>
      </c>
      <c r="J950" s="34" t="s">
        <v>3455</v>
      </c>
      <c r="K950" s="2" t="s">
        <v>398</v>
      </c>
      <c r="L950" s="2" t="s">
        <v>8</v>
      </c>
      <c r="M950" s="2">
        <v>1</v>
      </c>
      <c r="N950" s="2">
        <v>7</v>
      </c>
      <c r="O950" s="2" t="s">
        <v>1527</v>
      </c>
      <c r="P950" s="2" t="s">
        <v>3462</v>
      </c>
    </row>
    <row r="951" spans="1:16" ht="17.25" customHeight="1" x14ac:dyDescent="0.2">
      <c r="A951" s="17" t="s">
        <v>973</v>
      </c>
      <c r="B951" s="17" t="s">
        <v>4182</v>
      </c>
      <c r="C951" s="17" t="s">
        <v>1639</v>
      </c>
      <c r="D951" s="17" t="s">
        <v>3734</v>
      </c>
      <c r="E951" s="2" t="str">
        <f t="shared" si="80"/>
        <v>o</v>
      </c>
      <c r="F951" s="2">
        <f t="shared" si="81"/>
        <v>15</v>
      </c>
      <c r="G951" s="2">
        <v>2015</v>
      </c>
      <c r="H951" s="2" t="str">
        <f t="shared" si="79"/>
        <v>olssupsh</v>
      </c>
      <c r="I951" s="2" t="s">
        <v>3735</v>
      </c>
      <c r="J951" s="34" t="s">
        <v>3455</v>
      </c>
      <c r="K951" s="2" t="s">
        <v>398</v>
      </c>
      <c r="L951" s="2" t="s">
        <v>8</v>
      </c>
      <c r="M951" s="2">
        <v>1</v>
      </c>
      <c r="N951" s="2">
        <v>7</v>
      </c>
      <c r="O951" s="2" t="s">
        <v>1527</v>
      </c>
      <c r="P951" s="2" t="s">
        <v>3462</v>
      </c>
    </row>
    <row r="952" spans="1:16" ht="17.25" customHeight="1" x14ac:dyDescent="0.2">
      <c r="A952" s="17" t="s">
        <v>973</v>
      </c>
      <c r="B952" s="17" t="s">
        <v>4182</v>
      </c>
      <c r="C952" s="17" t="s">
        <v>1639</v>
      </c>
      <c r="D952" s="17" t="s">
        <v>3734</v>
      </c>
      <c r="E952" s="2" t="str">
        <f t="shared" si="80"/>
        <v>p</v>
      </c>
      <c r="F952" s="2">
        <f t="shared" si="81"/>
        <v>16</v>
      </c>
      <c r="G952" s="2">
        <v>2016</v>
      </c>
      <c r="H952" s="2" t="str">
        <f t="shared" si="79"/>
        <v>plssupsh</v>
      </c>
      <c r="I952" s="2" t="s">
        <v>3735</v>
      </c>
      <c r="J952" s="34" t="s">
        <v>3455</v>
      </c>
      <c r="K952" s="2" t="s">
        <v>398</v>
      </c>
      <c r="L952" s="2" t="s">
        <v>8</v>
      </c>
      <c r="M952" s="2">
        <v>1</v>
      </c>
      <c r="N952" s="2">
        <v>7</v>
      </c>
      <c r="O952" s="2" t="s">
        <v>1527</v>
      </c>
      <c r="P952" s="2" t="s">
        <v>3462</v>
      </c>
    </row>
    <row r="953" spans="1:16" ht="17.25" customHeight="1" x14ac:dyDescent="0.2">
      <c r="A953" s="17" t="s">
        <v>973</v>
      </c>
      <c r="B953" s="17" t="s">
        <v>4182</v>
      </c>
      <c r="C953" s="17" t="s">
        <v>1639</v>
      </c>
      <c r="D953" s="17" t="s">
        <v>3734</v>
      </c>
      <c r="E953" s="2" t="str">
        <f t="shared" ref="E953" si="82">MID("abcdefghijklmnopqrstuvwxyz",F953,1)</f>
        <v>q</v>
      </c>
      <c r="F953" s="2">
        <f t="shared" si="81"/>
        <v>17</v>
      </c>
      <c r="G953" s="2">
        <v>2017</v>
      </c>
      <c r="H953" s="2" t="str">
        <f t="shared" ref="H953" si="83">_xlfn.CONCAT(E953,"lssupsh")</f>
        <v>qlssupsh</v>
      </c>
      <c r="I953" s="2" t="s">
        <v>3735</v>
      </c>
      <c r="J953" s="34" t="s">
        <v>3455</v>
      </c>
      <c r="K953" s="2" t="s">
        <v>398</v>
      </c>
      <c r="L953" s="2" t="s">
        <v>8</v>
      </c>
      <c r="M953" s="2">
        <v>1</v>
      </c>
      <c r="N953" s="2">
        <v>7</v>
      </c>
      <c r="O953" s="2" t="s">
        <v>1527</v>
      </c>
      <c r="P953" s="2" t="s">
        <v>3462</v>
      </c>
    </row>
    <row r="954" spans="1:16" ht="17.25" customHeight="1" x14ac:dyDescent="0.2">
      <c r="A954" s="17" t="s">
        <v>973</v>
      </c>
      <c r="B954" s="17" t="s">
        <v>4182</v>
      </c>
      <c r="C954" s="17" t="s">
        <v>1639</v>
      </c>
      <c r="D954" s="17" t="s">
        <v>3734</v>
      </c>
      <c r="E954" s="2" t="str">
        <f t="shared" si="80"/>
        <v>r</v>
      </c>
      <c r="F954" s="2">
        <f t="shared" si="81"/>
        <v>18</v>
      </c>
      <c r="G954" s="2">
        <v>2018</v>
      </c>
      <c r="H954" s="2" t="str">
        <f t="shared" si="79"/>
        <v>rlssupsh</v>
      </c>
      <c r="I954" s="2" t="s">
        <v>3735</v>
      </c>
      <c r="J954" s="34" t="s">
        <v>3455</v>
      </c>
      <c r="K954" s="2" t="s">
        <v>398</v>
      </c>
      <c r="L954" s="2" t="s">
        <v>8</v>
      </c>
      <c r="M954" s="2">
        <v>1</v>
      </c>
      <c r="N954" s="2">
        <v>7</v>
      </c>
      <c r="O954" s="2" t="s">
        <v>1527</v>
      </c>
      <c r="P954" s="2" t="s">
        <v>3462</v>
      </c>
    </row>
    <row r="955" spans="1:16" ht="17.25" customHeight="1" x14ac:dyDescent="0.2">
      <c r="A955" s="17" t="s">
        <v>973</v>
      </c>
      <c r="B955" s="17" t="s">
        <v>4182</v>
      </c>
      <c r="C955" s="17" t="s">
        <v>1639</v>
      </c>
      <c r="D955" s="17" t="s">
        <v>3736</v>
      </c>
      <c r="E955" s="2" t="str">
        <f t="shared" si="80"/>
        <v>a</v>
      </c>
      <c r="F955" s="2">
        <f t="shared" si="81"/>
        <v>1</v>
      </c>
      <c r="G955" s="2">
        <v>2001</v>
      </c>
      <c r="H955" s="2" t="str">
        <f>_xlfn.CONCAT(E955,"lssuptp")</f>
        <v>alssuptp</v>
      </c>
      <c r="I955" s="2" t="s">
        <v>3737</v>
      </c>
      <c r="J955" s="34" t="s">
        <v>3455</v>
      </c>
      <c r="K955" s="2" t="s">
        <v>398</v>
      </c>
      <c r="L955" s="2" t="s">
        <v>8</v>
      </c>
      <c r="M955" s="2">
        <v>1</v>
      </c>
      <c r="N955" s="2">
        <v>7</v>
      </c>
      <c r="O955" s="2" t="s">
        <v>1527</v>
      </c>
      <c r="P955" s="2" t="s">
        <v>3462</v>
      </c>
    </row>
    <row r="956" spans="1:16" ht="17.25" customHeight="1" x14ac:dyDescent="0.2">
      <c r="A956" s="17" t="s">
        <v>973</v>
      </c>
      <c r="B956" s="17" t="s">
        <v>4182</v>
      </c>
      <c r="C956" s="17" t="s">
        <v>1639</v>
      </c>
      <c r="D956" s="17" t="s">
        <v>3736</v>
      </c>
      <c r="E956" s="2" t="str">
        <f t="shared" si="80"/>
        <v>b</v>
      </c>
      <c r="F956" s="2">
        <f t="shared" si="81"/>
        <v>2</v>
      </c>
      <c r="G956" s="2">
        <v>2002</v>
      </c>
      <c r="H956" s="2" t="str">
        <f t="shared" ref="H956:H971" si="84">_xlfn.CONCAT(E956,"lssuptp")</f>
        <v>blssuptp</v>
      </c>
      <c r="I956" s="2" t="s">
        <v>3737</v>
      </c>
      <c r="J956" s="34" t="s">
        <v>3455</v>
      </c>
      <c r="K956" s="2" t="s">
        <v>398</v>
      </c>
      <c r="L956" s="2" t="s">
        <v>8</v>
      </c>
      <c r="M956" s="2">
        <v>1</v>
      </c>
      <c r="N956" s="2">
        <v>7</v>
      </c>
      <c r="O956" s="2" t="s">
        <v>1527</v>
      </c>
      <c r="P956" s="2" t="s">
        <v>3462</v>
      </c>
    </row>
    <row r="957" spans="1:16" ht="17.25" customHeight="1" x14ac:dyDescent="0.2">
      <c r="A957" s="17" t="s">
        <v>973</v>
      </c>
      <c r="B957" s="17" t="s">
        <v>4182</v>
      </c>
      <c r="C957" s="17" t="s">
        <v>1639</v>
      </c>
      <c r="D957" s="17" t="s">
        <v>3736</v>
      </c>
      <c r="E957" s="2" t="str">
        <f t="shared" si="80"/>
        <v>c</v>
      </c>
      <c r="F957" s="2">
        <f t="shared" si="81"/>
        <v>3</v>
      </c>
      <c r="G957" s="2">
        <v>2003</v>
      </c>
      <c r="H957" s="2" t="str">
        <f t="shared" si="84"/>
        <v>clssuptp</v>
      </c>
      <c r="I957" s="2" t="s">
        <v>3737</v>
      </c>
      <c r="J957" s="34" t="s">
        <v>3455</v>
      </c>
      <c r="K957" s="2" t="s">
        <v>398</v>
      </c>
      <c r="L957" s="2" t="s">
        <v>8</v>
      </c>
      <c r="M957" s="2">
        <v>1</v>
      </c>
      <c r="N957" s="2">
        <v>7</v>
      </c>
      <c r="O957" s="2" t="s">
        <v>1527</v>
      </c>
      <c r="P957" s="2" t="s">
        <v>3462</v>
      </c>
    </row>
    <row r="958" spans="1:16" ht="17.25" customHeight="1" x14ac:dyDescent="0.2">
      <c r="A958" s="17" t="s">
        <v>973</v>
      </c>
      <c r="B958" s="17" t="s">
        <v>4182</v>
      </c>
      <c r="C958" s="17" t="s">
        <v>1639</v>
      </c>
      <c r="D958" s="17" t="s">
        <v>3736</v>
      </c>
      <c r="E958" s="2" t="str">
        <f t="shared" si="80"/>
        <v>d</v>
      </c>
      <c r="F958" s="2">
        <f t="shared" si="81"/>
        <v>4</v>
      </c>
      <c r="G958" s="2">
        <v>2004</v>
      </c>
      <c r="H958" s="2" t="str">
        <f t="shared" si="84"/>
        <v>dlssuptp</v>
      </c>
      <c r="I958" s="2" t="s">
        <v>3737</v>
      </c>
      <c r="J958" s="34" t="s">
        <v>3455</v>
      </c>
      <c r="K958" s="2" t="s">
        <v>398</v>
      </c>
      <c r="L958" s="2" t="s">
        <v>8</v>
      </c>
      <c r="M958" s="2">
        <v>1</v>
      </c>
      <c r="N958" s="2">
        <v>7</v>
      </c>
      <c r="O958" s="2" t="s">
        <v>1527</v>
      </c>
      <c r="P958" s="2" t="s">
        <v>3462</v>
      </c>
    </row>
    <row r="959" spans="1:16" ht="17.25" customHeight="1" x14ac:dyDescent="0.2">
      <c r="A959" s="17" t="s">
        <v>973</v>
      </c>
      <c r="B959" s="17" t="s">
        <v>4182</v>
      </c>
      <c r="C959" s="17" t="s">
        <v>1639</v>
      </c>
      <c r="D959" s="17" t="s">
        <v>3736</v>
      </c>
      <c r="E959" s="2" t="str">
        <f t="shared" si="80"/>
        <v>e</v>
      </c>
      <c r="F959" s="2">
        <f t="shared" si="81"/>
        <v>5</v>
      </c>
      <c r="G959" s="2">
        <v>2005</v>
      </c>
      <c r="H959" s="2" t="str">
        <f t="shared" si="84"/>
        <v>elssuptp</v>
      </c>
      <c r="I959" s="2" t="s">
        <v>3737</v>
      </c>
      <c r="J959" s="34" t="s">
        <v>3455</v>
      </c>
      <c r="K959" s="2" t="s">
        <v>398</v>
      </c>
      <c r="L959" s="2" t="s">
        <v>8</v>
      </c>
      <c r="M959" s="2">
        <v>1</v>
      </c>
      <c r="N959" s="2">
        <v>7</v>
      </c>
      <c r="O959" s="2" t="s">
        <v>1527</v>
      </c>
      <c r="P959" s="2" t="s">
        <v>3462</v>
      </c>
    </row>
    <row r="960" spans="1:16" ht="17.25" customHeight="1" x14ac:dyDescent="0.2">
      <c r="A960" s="17" t="s">
        <v>973</v>
      </c>
      <c r="B960" s="17" t="s">
        <v>4182</v>
      </c>
      <c r="C960" s="17" t="s">
        <v>1639</v>
      </c>
      <c r="D960" s="17" t="s">
        <v>3736</v>
      </c>
      <c r="E960" s="2" t="str">
        <f t="shared" si="80"/>
        <v>f</v>
      </c>
      <c r="F960" s="2">
        <f t="shared" si="81"/>
        <v>6</v>
      </c>
      <c r="G960" s="2">
        <v>2006</v>
      </c>
      <c r="H960" s="2" t="str">
        <f t="shared" si="84"/>
        <v>flssuptp</v>
      </c>
      <c r="I960" s="2" t="s">
        <v>3737</v>
      </c>
      <c r="J960" s="34" t="s">
        <v>3455</v>
      </c>
      <c r="K960" s="2" t="s">
        <v>398</v>
      </c>
      <c r="L960" s="2" t="s">
        <v>8</v>
      </c>
      <c r="M960" s="2">
        <v>1</v>
      </c>
      <c r="N960" s="2">
        <v>7</v>
      </c>
      <c r="O960" s="2" t="s">
        <v>1527</v>
      </c>
      <c r="P960" s="2" t="s">
        <v>3462</v>
      </c>
    </row>
    <row r="961" spans="1:16" ht="17.25" customHeight="1" x14ac:dyDescent="0.2">
      <c r="A961" s="17" t="s">
        <v>973</v>
      </c>
      <c r="B961" s="17" t="s">
        <v>4182</v>
      </c>
      <c r="C961" s="17" t="s">
        <v>1639</v>
      </c>
      <c r="D961" s="17" t="s">
        <v>3736</v>
      </c>
      <c r="E961" s="2" t="str">
        <f t="shared" si="80"/>
        <v>g</v>
      </c>
      <c r="F961" s="2">
        <f t="shared" si="81"/>
        <v>7</v>
      </c>
      <c r="G961" s="2">
        <v>2007</v>
      </c>
      <c r="H961" s="2" t="str">
        <f t="shared" si="84"/>
        <v>glssuptp</v>
      </c>
      <c r="I961" s="2" t="s">
        <v>3737</v>
      </c>
      <c r="J961" s="34" t="s">
        <v>3455</v>
      </c>
      <c r="K961" s="2" t="s">
        <v>398</v>
      </c>
      <c r="L961" s="2" t="s">
        <v>8</v>
      </c>
      <c r="M961" s="2">
        <v>1</v>
      </c>
      <c r="N961" s="2">
        <v>7</v>
      </c>
      <c r="O961" s="2" t="s">
        <v>1527</v>
      </c>
      <c r="P961" s="2" t="s">
        <v>3462</v>
      </c>
    </row>
    <row r="962" spans="1:16" ht="17.25" customHeight="1" x14ac:dyDescent="0.2">
      <c r="A962" s="17" t="s">
        <v>973</v>
      </c>
      <c r="B962" s="17" t="s">
        <v>4182</v>
      </c>
      <c r="C962" s="17" t="s">
        <v>1639</v>
      </c>
      <c r="D962" s="17" t="s">
        <v>3736</v>
      </c>
      <c r="E962" s="2" t="str">
        <f t="shared" si="80"/>
        <v>h</v>
      </c>
      <c r="F962" s="2">
        <f t="shared" si="81"/>
        <v>8</v>
      </c>
      <c r="G962" s="2">
        <v>2008</v>
      </c>
      <c r="H962" s="2" t="str">
        <f t="shared" si="84"/>
        <v>hlssuptp</v>
      </c>
      <c r="I962" s="2" t="s">
        <v>3737</v>
      </c>
      <c r="J962" s="34" t="s">
        <v>3455</v>
      </c>
      <c r="K962" s="2" t="s">
        <v>398</v>
      </c>
      <c r="L962" s="2" t="s">
        <v>8</v>
      </c>
      <c r="M962" s="2">
        <v>1</v>
      </c>
      <c r="N962" s="2">
        <v>7</v>
      </c>
      <c r="O962" s="2" t="s">
        <v>1527</v>
      </c>
      <c r="P962" s="2" t="s">
        <v>3462</v>
      </c>
    </row>
    <row r="963" spans="1:16" ht="17.25" customHeight="1" x14ac:dyDescent="0.2">
      <c r="A963" s="17" t="s">
        <v>973</v>
      </c>
      <c r="B963" s="17" t="s">
        <v>4182</v>
      </c>
      <c r="C963" s="17" t="s">
        <v>1639</v>
      </c>
      <c r="D963" s="17" t="s">
        <v>3736</v>
      </c>
      <c r="E963" s="2" t="str">
        <f t="shared" si="80"/>
        <v>i</v>
      </c>
      <c r="F963" s="2">
        <f t="shared" si="81"/>
        <v>9</v>
      </c>
      <c r="G963" s="2">
        <v>2009</v>
      </c>
      <c r="H963" s="2" t="str">
        <f t="shared" si="84"/>
        <v>ilssuptp</v>
      </c>
      <c r="I963" s="2" t="s">
        <v>3737</v>
      </c>
      <c r="J963" s="34" t="s">
        <v>3455</v>
      </c>
      <c r="K963" s="2" t="s">
        <v>398</v>
      </c>
      <c r="L963" s="2" t="s">
        <v>8</v>
      </c>
      <c r="M963" s="2">
        <v>1</v>
      </c>
      <c r="N963" s="2">
        <v>7</v>
      </c>
      <c r="O963" s="2" t="s">
        <v>1527</v>
      </c>
      <c r="P963" s="2" t="s">
        <v>3462</v>
      </c>
    </row>
    <row r="964" spans="1:16" ht="17.25" customHeight="1" x14ac:dyDescent="0.2">
      <c r="A964" s="17" t="s">
        <v>973</v>
      </c>
      <c r="B964" s="17" t="s">
        <v>4182</v>
      </c>
      <c r="C964" s="17" t="s">
        <v>1639</v>
      </c>
      <c r="D964" s="17" t="s">
        <v>3736</v>
      </c>
      <c r="E964" s="2" t="str">
        <f t="shared" si="80"/>
        <v>j</v>
      </c>
      <c r="F964" s="2">
        <f t="shared" si="81"/>
        <v>10</v>
      </c>
      <c r="G964" s="2">
        <v>2010</v>
      </c>
      <c r="H964" s="2" t="str">
        <f t="shared" si="84"/>
        <v>jlssuptp</v>
      </c>
      <c r="I964" s="2" t="s">
        <v>3737</v>
      </c>
      <c r="J964" s="34" t="s">
        <v>3455</v>
      </c>
      <c r="K964" s="2" t="s">
        <v>398</v>
      </c>
      <c r="L964" s="2" t="s">
        <v>8</v>
      </c>
      <c r="M964" s="2">
        <v>1</v>
      </c>
      <c r="N964" s="2">
        <v>7</v>
      </c>
      <c r="O964" s="2" t="s">
        <v>1527</v>
      </c>
      <c r="P964" s="2" t="s">
        <v>3462</v>
      </c>
    </row>
    <row r="965" spans="1:16" ht="17.25" customHeight="1" x14ac:dyDescent="0.2">
      <c r="A965" s="17" t="s">
        <v>973</v>
      </c>
      <c r="B965" s="17" t="s">
        <v>4182</v>
      </c>
      <c r="C965" s="17" t="s">
        <v>1639</v>
      </c>
      <c r="D965" s="17" t="s">
        <v>3736</v>
      </c>
      <c r="E965" s="2" t="str">
        <f t="shared" si="80"/>
        <v>k</v>
      </c>
      <c r="F965" s="2">
        <f t="shared" si="81"/>
        <v>11</v>
      </c>
      <c r="G965" s="2">
        <v>2011</v>
      </c>
      <c r="H965" s="2" t="str">
        <f t="shared" si="84"/>
        <v>klssuptp</v>
      </c>
      <c r="I965" s="2" t="s">
        <v>3737</v>
      </c>
      <c r="J965" s="34" t="s">
        <v>3455</v>
      </c>
      <c r="K965" s="2" t="s">
        <v>398</v>
      </c>
      <c r="L965" s="2" t="s">
        <v>8</v>
      </c>
      <c r="M965" s="2">
        <v>1</v>
      </c>
      <c r="N965" s="2">
        <v>7</v>
      </c>
      <c r="O965" s="2" t="s">
        <v>1527</v>
      </c>
      <c r="P965" s="2" t="s">
        <v>3462</v>
      </c>
    </row>
    <row r="966" spans="1:16" ht="17.25" customHeight="1" x14ac:dyDescent="0.2">
      <c r="A966" s="17" t="s">
        <v>973</v>
      </c>
      <c r="B966" s="17" t="s">
        <v>4182</v>
      </c>
      <c r="C966" s="17" t="s">
        <v>1639</v>
      </c>
      <c r="D966" s="17" t="s">
        <v>3736</v>
      </c>
      <c r="E966" s="2" t="str">
        <f t="shared" si="80"/>
        <v>l</v>
      </c>
      <c r="F966" s="2">
        <f t="shared" si="81"/>
        <v>12</v>
      </c>
      <c r="G966" s="2">
        <v>2012</v>
      </c>
      <c r="H966" s="2" t="str">
        <f t="shared" si="84"/>
        <v>llssuptp</v>
      </c>
      <c r="I966" s="2" t="s">
        <v>3737</v>
      </c>
      <c r="J966" s="34" t="s">
        <v>3455</v>
      </c>
      <c r="K966" s="2" t="s">
        <v>398</v>
      </c>
      <c r="L966" s="2" t="s">
        <v>8</v>
      </c>
      <c r="M966" s="2">
        <v>1</v>
      </c>
      <c r="N966" s="2">
        <v>7</v>
      </c>
      <c r="O966" s="2" t="s">
        <v>1527</v>
      </c>
      <c r="P966" s="2" t="s">
        <v>3462</v>
      </c>
    </row>
    <row r="967" spans="1:16" ht="17.25" customHeight="1" x14ac:dyDescent="0.2">
      <c r="A967" s="17" t="s">
        <v>973</v>
      </c>
      <c r="B967" s="17" t="s">
        <v>4182</v>
      </c>
      <c r="C967" s="17" t="s">
        <v>1639</v>
      </c>
      <c r="D967" s="17" t="s">
        <v>3736</v>
      </c>
      <c r="E967" s="2" t="str">
        <f t="shared" si="80"/>
        <v>m</v>
      </c>
      <c r="F967" s="2">
        <f t="shared" si="81"/>
        <v>13</v>
      </c>
      <c r="G967" s="2">
        <v>2013</v>
      </c>
      <c r="H967" s="2" t="str">
        <f t="shared" si="84"/>
        <v>mlssuptp</v>
      </c>
      <c r="I967" s="2" t="s">
        <v>3737</v>
      </c>
      <c r="J967" s="34" t="s">
        <v>3455</v>
      </c>
      <c r="K967" s="2" t="s">
        <v>398</v>
      </c>
      <c r="L967" s="2" t="s">
        <v>8</v>
      </c>
      <c r="M967" s="2">
        <v>1</v>
      </c>
      <c r="N967" s="2">
        <v>7</v>
      </c>
      <c r="O967" s="2" t="s">
        <v>1527</v>
      </c>
      <c r="P967" s="2" t="s">
        <v>3462</v>
      </c>
    </row>
    <row r="968" spans="1:16" ht="17.25" customHeight="1" x14ac:dyDescent="0.2">
      <c r="A968" s="17" t="s">
        <v>973</v>
      </c>
      <c r="B968" s="17" t="s">
        <v>4182</v>
      </c>
      <c r="C968" s="17" t="s">
        <v>1639</v>
      </c>
      <c r="D968" s="17" t="s">
        <v>3736</v>
      </c>
      <c r="E968" s="2" t="str">
        <f t="shared" si="80"/>
        <v>n</v>
      </c>
      <c r="F968" s="2">
        <f t="shared" si="81"/>
        <v>14</v>
      </c>
      <c r="G968" s="2">
        <v>2014</v>
      </c>
      <c r="H968" s="2" t="str">
        <f t="shared" si="84"/>
        <v>nlssuptp</v>
      </c>
      <c r="I968" s="2" t="s">
        <v>3737</v>
      </c>
      <c r="J968" s="34" t="s">
        <v>3455</v>
      </c>
      <c r="K968" s="2" t="s">
        <v>398</v>
      </c>
      <c r="L968" s="2" t="s">
        <v>8</v>
      </c>
      <c r="M968" s="2">
        <v>1</v>
      </c>
      <c r="N968" s="2">
        <v>7</v>
      </c>
      <c r="O968" s="2" t="s">
        <v>1527</v>
      </c>
      <c r="P968" s="2" t="s">
        <v>3462</v>
      </c>
    </row>
    <row r="969" spans="1:16" ht="17.25" customHeight="1" x14ac:dyDescent="0.2">
      <c r="A969" s="17" t="s">
        <v>973</v>
      </c>
      <c r="B969" s="17" t="s">
        <v>4182</v>
      </c>
      <c r="C969" s="17" t="s">
        <v>1639</v>
      </c>
      <c r="D969" s="17" t="s">
        <v>3736</v>
      </c>
      <c r="E969" s="2" t="str">
        <f t="shared" si="80"/>
        <v>o</v>
      </c>
      <c r="F969" s="2">
        <f t="shared" si="81"/>
        <v>15</v>
      </c>
      <c r="G969" s="2">
        <v>2015</v>
      </c>
      <c r="H969" s="2" t="str">
        <f t="shared" si="84"/>
        <v>olssuptp</v>
      </c>
      <c r="I969" s="2" t="s">
        <v>3737</v>
      </c>
      <c r="J969" s="34" t="s">
        <v>3455</v>
      </c>
      <c r="K969" s="2" t="s">
        <v>398</v>
      </c>
      <c r="L969" s="2" t="s">
        <v>8</v>
      </c>
      <c r="M969" s="2">
        <v>1</v>
      </c>
      <c r="N969" s="2">
        <v>7</v>
      </c>
      <c r="O969" s="2" t="s">
        <v>1527</v>
      </c>
      <c r="P969" s="2" t="s">
        <v>3462</v>
      </c>
    </row>
    <row r="970" spans="1:16" ht="17.25" customHeight="1" x14ac:dyDescent="0.2">
      <c r="A970" s="17" t="s">
        <v>973</v>
      </c>
      <c r="B970" s="17" t="s">
        <v>4182</v>
      </c>
      <c r="C970" s="17" t="s">
        <v>1639</v>
      </c>
      <c r="D970" s="17" t="s">
        <v>3736</v>
      </c>
      <c r="E970" s="2" t="str">
        <f t="shared" si="80"/>
        <v>p</v>
      </c>
      <c r="F970" s="2">
        <f t="shared" si="81"/>
        <v>16</v>
      </c>
      <c r="G970" s="2">
        <v>2016</v>
      </c>
      <c r="H970" s="2" t="str">
        <f t="shared" si="84"/>
        <v>plssuptp</v>
      </c>
      <c r="I970" s="2" t="s">
        <v>3737</v>
      </c>
      <c r="J970" s="34" t="s">
        <v>3455</v>
      </c>
      <c r="K970" s="2" t="s">
        <v>398</v>
      </c>
      <c r="L970" s="2" t="s">
        <v>8</v>
      </c>
      <c r="M970" s="2">
        <v>1</v>
      </c>
      <c r="N970" s="2">
        <v>7</v>
      </c>
      <c r="O970" s="2" t="s">
        <v>1527</v>
      </c>
      <c r="P970" s="2" t="s">
        <v>3462</v>
      </c>
    </row>
    <row r="971" spans="1:16" ht="17.25" customHeight="1" x14ac:dyDescent="0.2">
      <c r="A971" s="17" t="s">
        <v>973</v>
      </c>
      <c r="B971" s="17" t="s">
        <v>4182</v>
      </c>
      <c r="C971" s="17" t="s">
        <v>1639</v>
      </c>
      <c r="D971" s="17" t="s">
        <v>3736</v>
      </c>
      <c r="E971" s="2" t="str">
        <f t="shared" si="80"/>
        <v>q</v>
      </c>
      <c r="F971" s="2">
        <f t="shared" si="81"/>
        <v>17</v>
      </c>
      <c r="G971" s="2">
        <v>2017</v>
      </c>
      <c r="H971" s="2" t="str">
        <f t="shared" si="84"/>
        <v>qlssuptp</v>
      </c>
      <c r="I971" s="2" t="s">
        <v>3737</v>
      </c>
      <c r="J971" s="34" t="s">
        <v>3455</v>
      </c>
      <c r="K971" s="2" t="s">
        <v>398</v>
      </c>
      <c r="L971" s="2" t="s">
        <v>8</v>
      </c>
      <c r="M971" s="2">
        <v>1</v>
      </c>
      <c r="N971" s="2">
        <v>7</v>
      </c>
      <c r="O971" s="2" t="s">
        <v>1527</v>
      </c>
      <c r="P971" s="2" t="s">
        <v>3462</v>
      </c>
    </row>
    <row r="972" spans="1:16" ht="17.25" customHeight="1" x14ac:dyDescent="0.2">
      <c r="A972" s="17" t="s">
        <v>973</v>
      </c>
      <c r="B972" s="17" t="s">
        <v>4182</v>
      </c>
      <c r="C972" s="17" t="s">
        <v>1639</v>
      </c>
      <c r="D972" s="17" t="s">
        <v>3736</v>
      </c>
      <c r="E972" s="2" t="str">
        <f t="shared" ref="E972:E990" si="85">MID("abcdefghijklmnopqrstuvwxyz",F972,1)</f>
        <v>r</v>
      </c>
      <c r="F972" s="2">
        <f t="shared" si="81"/>
        <v>18</v>
      </c>
      <c r="G972" s="2">
        <v>2018</v>
      </c>
      <c r="H972" s="2" t="str">
        <f t="shared" ref="H972" si="86">_xlfn.CONCAT(E972,"lssuptp")</f>
        <v>rlssuptp</v>
      </c>
      <c r="I972" s="2" t="s">
        <v>3737</v>
      </c>
      <c r="J972" s="34" t="s">
        <v>3455</v>
      </c>
      <c r="K972" s="2" t="s">
        <v>398</v>
      </c>
      <c r="L972" s="2" t="s">
        <v>8</v>
      </c>
      <c r="M972" s="2">
        <v>1</v>
      </c>
      <c r="N972" s="2">
        <v>7</v>
      </c>
      <c r="O972" s="2" t="s">
        <v>1527</v>
      </c>
      <c r="P972" s="2" t="s">
        <v>3462</v>
      </c>
    </row>
    <row r="973" spans="1:16" x14ac:dyDescent="0.2">
      <c r="A973" s="17" t="s">
        <v>973</v>
      </c>
      <c r="B973" s="17" t="s">
        <v>4182</v>
      </c>
      <c r="C973" s="17" t="s">
        <v>1633</v>
      </c>
      <c r="D973" s="17" t="s">
        <v>1633</v>
      </c>
      <c r="E973" s="2" t="str">
        <f t="shared" si="85"/>
        <v>b</v>
      </c>
      <c r="F973" s="2">
        <f t="shared" si="81"/>
        <v>2</v>
      </c>
      <c r="G973" s="2">
        <v>2002</v>
      </c>
      <c r="H973" s="2" t="str">
        <f>E973&amp;"hstenr"</f>
        <v>bhstenr</v>
      </c>
      <c r="I973" s="2" t="s">
        <v>3739</v>
      </c>
      <c r="J973" s="7" t="s">
        <v>3740</v>
      </c>
      <c r="L973" s="2" t="s">
        <v>3738</v>
      </c>
      <c r="O973" t="s">
        <v>1127</v>
      </c>
      <c r="P973" s="2" t="s">
        <v>3462</v>
      </c>
    </row>
    <row r="974" spans="1:16" x14ac:dyDescent="0.2">
      <c r="A974" s="17" t="s">
        <v>973</v>
      </c>
      <c r="B974" s="17" t="s">
        <v>4182</v>
      </c>
      <c r="C974" s="17" t="s">
        <v>1633</v>
      </c>
      <c r="D974" s="17" t="s">
        <v>1633</v>
      </c>
      <c r="E974" s="2" t="str">
        <f t="shared" si="85"/>
        <v>c</v>
      </c>
      <c r="F974" s="2">
        <f t="shared" si="81"/>
        <v>3</v>
      </c>
      <c r="G974" s="2">
        <v>2003</v>
      </c>
      <c r="H974" s="2" t="str">
        <f t="shared" ref="H974:H989" si="87">E974&amp;"hstenr"</f>
        <v>chstenr</v>
      </c>
      <c r="I974" s="2" t="s">
        <v>3739</v>
      </c>
      <c r="J974" s="7" t="s">
        <v>3740</v>
      </c>
      <c r="L974" s="2" t="s">
        <v>3738</v>
      </c>
      <c r="O974" t="s">
        <v>1127</v>
      </c>
      <c r="P974" s="2" t="s">
        <v>3462</v>
      </c>
    </row>
    <row r="975" spans="1:16" x14ac:dyDescent="0.2">
      <c r="A975" s="17" t="s">
        <v>973</v>
      </c>
      <c r="B975" s="17" t="s">
        <v>4182</v>
      </c>
      <c r="C975" s="17" t="s">
        <v>1633</v>
      </c>
      <c r="D975" s="17" t="s">
        <v>1633</v>
      </c>
      <c r="E975" s="2" t="str">
        <f t="shared" si="85"/>
        <v>d</v>
      </c>
      <c r="F975" s="2">
        <f t="shared" si="81"/>
        <v>4</v>
      </c>
      <c r="G975" s="2">
        <v>2004</v>
      </c>
      <c r="H975" s="2" t="str">
        <f t="shared" si="87"/>
        <v>dhstenr</v>
      </c>
      <c r="I975" s="2" t="s">
        <v>3739</v>
      </c>
      <c r="J975" s="7" t="s">
        <v>3740</v>
      </c>
      <c r="L975" s="2" t="s">
        <v>3738</v>
      </c>
      <c r="O975" t="s">
        <v>1127</v>
      </c>
      <c r="P975" s="2" t="s">
        <v>3462</v>
      </c>
    </row>
    <row r="976" spans="1:16" x14ac:dyDescent="0.2">
      <c r="A976" s="17" t="s">
        <v>973</v>
      </c>
      <c r="B976" s="17" t="s">
        <v>4182</v>
      </c>
      <c r="C976" s="17" t="s">
        <v>1633</v>
      </c>
      <c r="D976" s="17" t="s">
        <v>1633</v>
      </c>
      <c r="E976" s="2" t="str">
        <f t="shared" si="85"/>
        <v>e</v>
      </c>
      <c r="F976" s="2">
        <f t="shared" si="81"/>
        <v>5</v>
      </c>
      <c r="G976" s="2">
        <v>2005</v>
      </c>
      <c r="H976" s="2" t="str">
        <f t="shared" si="87"/>
        <v>ehstenr</v>
      </c>
      <c r="I976" s="2" t="s">
        <v>3739</v>
      </c>
      <c r="J976" s="7" t="s">
        <v>3740</v>
      </c>
      <c r="L976" s="2" t="s">
        <v>3738</v>
      </c>
      <c r="O976" t="s">
        <v>1127</v>
      </c>
      <c r="P976" s="2" t="s">
        <v>3462</v>
      </c>
    </row>
    <row r="977" spans="1:16" x14ac:dyDescent="0.2">
      <c r="A977" s="17" t="s">
        <v>973</v>
      </c>
      <c r="B977" s="17" t="s">
        <v>4182</v>
      </c>
      <c r="C977" s="17" t="s">
        <v>1633</v>
      </c>
      <c r="D977" s="17" t="s">
        <v>1633</v>
      </c>
      <c r="E977" s="2" t="str">
        <f t="shared" si="85"/>
        <v>f</v>
      </c>
      <c r="F977" s="2">
        <f t="shared" si="81"/>
        <v>6</v>
      </c>
      <c r="G977" s="2">
        <v>2006</v>
      </c>
      <c r="H977" s="2" t="str">
        <f t="shared" si="87"/>
        <v>fhstenr</v>
      </c>
      <c r="I977" s="2" t="s">
        <v>3739</v>
      </c>
      <c r="J977" s="7" t="s">
        <v>3740</v>
      </c>
      <c r="L977" s="2" t="s">
        <v>3738</v>
      </c>
      <c r="O977" t="s">
        <v>1127</v>
      </c>
      <c r="P977" s="2" t="s">
        <v>3462</v>
      </c>
    </row>
    <row r="978" spans="1:16" x14ac:dyDescent="0.2">
      <c r="A978" s="17" t="s">
        <v>973</v>
      </c>
      <c r="B978" s="17" t="s">
        <v>4182</v>
      </c>
      <c r="C978" s="17" t="s">
        <v>1633</v>
      </c>
      <c r="D978" s="17" t="s">
        <v>1633</v>
      </c>
      <c r="E978" s="2" t="str">
        <f t="shared" si="85"/>
        <v>g</v>
      </c>
      <c r="F978" s="2">
        <f t="shared" si="81"/>
        <v>7</v>
      </c>
      <c r="G978" s="2">
        <v>2007</v>
      </c>
      <c r="H978" s="2" t="str">
        <f t="shared" si="87"/>
        <v>ghstenr</v>
      </c>
      <c r="I978" s="2" t="s">
        <v>3739</v>
      </c>
      <c r="J978" s="7" t="s">
        <v>3740</v>
      </c>
      <c r="L978" s="2" t="s">
        <v>3738</v>
      </c>
      <c r="O978" t="s">
        <v>1127</v>
      </c>
      <c r="P978" s="2" t="s">
        <v>3462</v>
      </c>
    </row>
    <row r="979" spans="1:16" x14ac:dyDescent="0.2">
      <c r="A979" s="17" t="s">
        <v>973</v>
      </c>
      <c r="B979" s="17" t="s">
        <v>4182</v>
      </c>
      <c r="C979" s="17" t="s">
        <v>1633</v>
      </c>
      <c r="D979" s="17" t="s">
        <v>1633</v>
      </c>
      <c r="E979" s="2" t="str">
        <f t="shared" si="85"/>
        <v>h</v>
      </c>
      <c r="F979" s="2">
        <f t="shared" si="81"/>
        <v>8</v>
      </c>
      <c r="G979" s="2">
        <v>2008</v>
      </c>
      <c r="H979" s="2" t="str">
        <f t="shared" si="87"/>
        <v>hhstenr</v>
      </c>
      <c r="I979" s="2" t="s">
        <v>3739</v>
      </c>
      <c r="J979" s="7" t="s">
        <v>3740</v>
      </c>
      <c r="L979" s="2" t="s">
        <v>3738</v>
      </c>
      <c r="O979" t="s">
        <v>1127</v>
      </c>
      <c r="P979" s="2" t="s">
        <v>3462</v>
      </c>
    </row>
    <row r="980" spans="1:16" x14ac:dyDescent="0.2">
      <c r="A980" s="17" t="s">
        <v>973</v>
      </c>
      <c r="B980" s="17" t="s">
        <v>4182</v>
      </c>
      <c r="C980" s="17" t="s">
        <v>1633</v>
      </c>
      <c r="D980" s="17" t="s">
        <v>1633</v>
      </c>
      <c r="E980" s="2" t="str">
        <f t="shared" si="85"/>
        <v>i</v>
      </c>
      <c r="F980" s="2">
        <f t="shared" si="81"/>
        <v>9</v>
      </c>
      <c r="G980" s="2">
        <v>2009</v>
      </c>
      <c r="H980" s="2" t="str">
        <f t="shared" si="87"/>
        <v>ihstenr</v>
      </c>
      <c r="I980" s="2" t="s">
        <v>3739</v>
      </c>
      <c r="J980" s="7" t="s">
        <v>3740</v>
      </c>
      <c r="L980" s="2" t="s">
        <v>3738</v>
      </c>
      <c r="O980" t="s">
        <v>1127</v>
      </c>
      <c r="P980" s="2" t="s">
        <v>3462</v>
      </c>
    </row>
    <row r="981" spans="1:16" x14ac:dyDescent="0.2">
      <c r="A981" s="17" t="s">
        <v>973</v>
      </c>
      <c r="B981" s="17" t="s">
        <v>4182</v>
      </c>
      <c r="C981" s="17" t="s">
        <v>1633</v>
      </c>
      <c r="D981" s="17" t="s">
        <v>1633</v>
      </c>
      <c r="E981" s="2" t="str">
        <f t="shared" si="85"/>
        <v>j</v>
      </c>
      <c r="F981" s="2">
        <f t="shared" si="81"/>
        <v>10</v>
      </c>
      <c r="G981" s="2">
        <v>2010</v>
      </c>
      <c r="H981" s="2" t="str">
        <f t="shared" si="87"/>
        <v>jhstenr</v>
      </c>
      <c r="I981" s="2" t="s">
        <v>3739</v>
      </c>
      <c r="J981" s="7" t="s">
        <v>3740</v>
      </c>
      <c r="L981" s="2" t="s">
        <v>3738</v>
      </c>
      <c r="O981" t="s">
        <v>1127</v>
      </c>
      <c r="P981" s="2" t="s">
        <v>3462</v>
      </c>
    </row>
    <row r="982" spans="1:16" x14ac:dyDescent="0.2">
      <c r="A982" s="17" t="s">
        <v>973</v>
      </c>
      <c r="B982" s="17" t="s">
        <v>4182</v>
      </c>
      <c r="C982" s="17" t="s">
        <v>1633</v>
      </c>
      <c r="D982" s="17" t="s">
        <v>1633</v>
      </c>
      <c r="E982" s="2" t="str">
        <f t="shared" si="85"/>
        <v>k</v>
      </c>
      <c r="F982" s="2">
        <f t="shared" si="81"/>
        <v>11</v>
      </c>
      <c r="G982" s="2">
        <v>2011</v>
      </c>
      <c r="H982" s="2" t="str">
        <f t="shared" si="87"/>
        <v>khstenr</v>
      </c>
      <c r="I982" s="2" t="s">
        <v>3739</v>
      </c>
      <c r="J982" s="7" t="s">
        <v>3740</v>
      </c>
      <c r="L982" s="2" t="s">
        <v>3738</v>
      </c>
      <c r="O982" t="s">
        <v>1127</v>
      </c>
      <c r="P982" s="2" t="s">
        <v>3462</v>
      </c>
    </row>
    <row r="983" spans="1:16" x14ac:dyDescent="0.2">
      <c r="A983" s="17" t="s">
        <v>973</v>
      </c>
      <c r="B983" s="17" t="s">
        <v>4182</v>
      </c>
      <c r="C983" s="17" t="s">
        <v>1633</v>
      </c>
      <c r="D983" s="17" t="s">
        <v>1633</v>
      </c>
      <c r="E983" s="2" t="str">
        <f t="shared" si="85"/>
        <v>l</v>
      </c>
      <c r="F983" s="2">
        <f t="shared" si="81"/>
        <v>12</v>
      </c>
      <c r="G983" s="2">
        <v>2012</v>
      </c>
      <c r="H983" s="2" t="str">
        <f t="shared" si="87"/>
        <v>lhstenr</v>
      </c>
      <c r="I983" s="2" t="s">
        <v>3739</v>
      </c>
      <c r="J983" s="7" t="s">
        <v>3740</v>
      </c>
      <c r="L983" s="2" t="s">
        <v>3738</v>
      </c>
      <c r="O983" t="s">
        <v>1127</v>
      </c>
      <c r="P983" s="2" t="s">
        <v>3462</v>
      </c>
    </row>
    <row r="984" spans="1:16" x14ac:dyDescent="0.2">
      <c r="A984" s="17" t="s">
        <v>973</v>
      </c>
      <c r="B984" s="17" t="s">
        <v>4182</v>
      </c>
      <c r="C984" s="17" t="s">
        <v>1633</v>
      </c>
      <c r="D984" s="17" t="s">
        <v>1633</v>
      </c>
      <c r="E984" s="2" t="str">
        <f t="shared" si="85"/>
        <v>m</v>
      </c>
      <c r="F984" s="2">
        <f t="shared" si="81"/>
        <v>13</v>
      </c>
      <c r="G984" s="2">
        <v>2013</v>
      </c>
      <c r="H984" s="2" t="str">
        <f t="shared" si="87"/>
        <v>mhstenr</v>
      </c>
      <c r="I984" s="2" t="s">
        <v>3739</v>
      </c>
      <c r="J984" s="7" t="s">
        <v>3740</v>
      </c>
      <c r="L984" s="2" t="s">
        <v>3738</v>
      </c>
      <c r="O984" t="s">
        <v>1127</v>
      </c>
      <c r="P984" s="2" t="s">
        <v>3462</v>
      </c>
    </row>
    <row r="985" spans="1:16" x14ac:dyDescent="0.2">
      <c r="A985" s="17" t="s">
        <v>973</v>
      </c>
      <c r="B985" s="17" t="s">
        <v>4182</v>
      </c>
      <c r="C985" s="17" t="s">
        <v>1633</v>
      </c>
      <c r="D985" s="17" t="s">
        <v>1633</v>
      </c>
      <c r="E985" s="2" t="str">
        <f t="shared" si="85"/>
        <v>n</v>
      </c>
      <c r="F985" s="2">
        <f t="shared" si="81"/>
        <v>14</v>
      </c>
      <c r="G985" s="2">
        <v>2014</v>
      </c>
      <c r="H985" s="2" t="str">
        <f t="shared" si="87"/>
        <v>nhstenr</v>
      </c>
      <c r="I985" s="2" t="s">
        <v>3739</v>
      </c>
      <c r="J985" s="7" t="s">
        <v>3740</v>
      </c>
      <c r="L985" s="2" t="s">
        <v>3738</v>
      </c>
      <c r="O985" t="s">
        <v>1127</v>
      </c>
      <c r="P985" s="2" t="s">
        <v>3462</v>
      </c>
    </row>
    <row r="986" spans="1:16" x14ac:dyDescent="0.2">
      <c r="A986" s="17" t="s">
        <v>973</v>
      </c>
      <c r="B986" s="17" t="s">
        <v>4182</v>
      </c>
      <c r="C986" s="17" t="s">
        <v>1633</v>
      </c>
      <c r="D986" s="17" t="s">
        <v>1633</v>
      </c>
      <c r="E986" s="2" t="str">
        <f t="shared" si="85"/>
        <v>o</v>
      </c>
      <c r="F986" s="2">
        <f t="shared" si="81"/>
        <v>15</v>
      </c>
      <c r="G986" s="2">
        <v>2015</v>
      </c>
      <c r="H986" s="2" t="str">
        <f t="shared" si="87"/>
        <v>ohstenr</v>
      </c>
      <c r="I986" s="2" t="s">
        <v>3739</v>
      </c>
      <c r="J986" s="7" t="s">
        <v>3740</v>
      </c>
      <c r="L986" s="2" t="s">
        <v>3738</v>
      </c>
      <c r="O986" t="s">
        <v>1127</v>
      </c>
      <c r="P986" s="2" t="s">
        <v>3462</v>
      </c>
    </row>
    <row r="987" spans="1:16" x14ac:dyDescent="0.2">
      <c r="A987" s="17" t="s">
        <v>973</v>
      </c>
      <c r="B987" s="17" t="s">
        <v>4182</v>
      </c>
      <c r="C987" s="17" t="s">
        <v>1633</v>
      </c>
      <c r="D987" s="17" t="s">
        <v>1633</v>
      </c>
      <c r="E987" s="2" t="str">
        <f t="shared" si="85"/>
        <v>p</v>
      </c>
      <c r="F987" s="2">
        <f t="shared" si="81"/>
        <v>16</v>
      </c>
      <c r="G987" s="2">
        <v>2016</v>
      </c>
      <c r="H987" s="2" t="str">
        <f t="shared" si="87"/>
        <v>phstenr</v>
      </c>
      <c r="I987" s="2" t="s">
        <v>3739</v>
      </c>
      <c r="J987" s="7" t="s">
        <v>3740</v>
      </c>
      <c r="L987" s="2" t="s">
        <v>3738</v>
      </c>
      <c r="O987" t="s">
        <v>1127</v>
      </c>
      <c r="P987" s="2" t="s">
        <v>3462</v>
      </c>
    </row>
    <row r="988" spans="1:16" x14ac:dyDescent="0.2">
      <c r="A988" s="17" t="s">
        <v>973</v>
      </c>
      <c r="B988" s="17" t="s">
        <v>4182</v>
      </c>
      <c r="C988" s="17" t="s">
        <v>1633</v>
      </c>
      <c r="D988" s="17" t="s">
        <v>1633</v>
      </c>
      <c r="E988" s="2" t="str">
        <f t="shared" si="85"/>
        <v>q</v>
      </c>
      <c r="F988" s="2">
        <f t="shared" si="81"/>
        <v>17</v>
      </c>
      <c r="G988" s="2">
        <v>2017</v>
      </c>
      <c r="H988" s="2" t="str">
        <f t="shared" si="87"/>
        <v>qhstenr</v>
      </c>
      <c r="I988" s="2" t="s">
        <v>3739</v>
      </c>
      <c r="J988" s="7" t="s">
        <v>3740</v>
      </c>
      <c r="L988" s="2" t="s">
        <v>3738</v>
      </c>
      <c r="O988" t="s">
        <v>1127</v>
      </c>
      <c r="P988" s="2" t="s">
        <v>3462</v>
      </c>
    </row>
    <row r="989" spans="1:16" x14ac:dyDescent="0.2">
      <c r="A989" s="17" t="s">
        <v>973</v>
      </c>
      <c r="B989" s="17" t="s">
        <v>4182</v>
      </c>
      <c r="C989" s="17" t="s">
        <v>1633</v>
      </c>
      <c r="D989" s="17" t="s">
        <v>1633</v>
      </c>
      <c r="E989" s="2" t="str">
        <f t="shared" si="85"/>
        <v>r</v>
      </c>
      <c r="F989" s="2">
        <f t="shared" si="81"/>
        <v>18</v>
      </c>
      <c r="G989" s="2">
        <v>2018</v>
      </c>
      <c r="H989" s="2" t="str">
        <f t="shared" si="87"/>
        <v>rhstenr</v>
      </c>
      <c r="I989" s="2" t="s">
        <v>3739</v>
      </c>
      <c r="J989" s="7" t="s">
        <v>3740</v>
      </c>
      <c r="L989" s="2" t="s">
        <v>3738</v>
      </c>
      <c r="O989" t="s">
        <v>1127</v>
      </c>
      <c r="P989" s="2" t="s">
        <v>3462</v>
      </c>
    </row>
    <row r="990" spans="1:16" x14ac:dyDescent="0.2">
      <c r="A990" s="17" t="s">
        <v>973</v>
      </c>
      <c r="B990" s="17" t="s">
        <v>4182</v>
      </c>
      <c r="C990" s="17" t="s">
        <v>1633</v>
      </c>
      <c r="D990" s="17" t="s">
        <v>1633</v>
      </c>
      <c r="E990" s="2" t="str">
        <f t="shared" si="85"/>
        <v>a</v>
      </c>
      <c r="F990" s="2">
        <f t="shared" si="81"/>
        <v>1</v>
      </c>
      <c r="G990" s="2">
        <v>2001</v>
      </c>
      <c r="H990" t="s">
        <v>3741</v>
      </c>
      <c r="I990" s="2" t="s">
        <v>3739</v>
      </c>
      <c r="J990" s="7" t="s">
        <v>3743</v>
      </c>
      <c r="L990" s="2" t="s">
        <v>3742</v>
      </c>
      <c r="O990" t="s">
        <v>1127</v>
      </c>
      <c r="P990" s="2" t="s">
        <v>3462</v>
      </c>
    </row>
    <row r="991" spans="1:16" x14ac:dyDescent="0.2">
      <c r="A991" s="17" t="s">
        <v>973</v>
      </c>
      <c r="B991" s="17" t="s">
        <v>4182</v>
      </c>
      <c r="C991" s="17" t="s">
        <v>1632</v>
      </c>
      <c r="D991" s="17" t="s">
        <v>1632</v>
      </c>
      <c r="E991" s="2" t="str">
        <f t="shared" ref="E991:E1007" si="88">MID("abcdefghijklmnopqrstuvwxyz",F991,1)</f>
        <v>b</v>
      </c>
      <c r="F991" s="2">
        <f t="shared" si="81"/>
        <v>2</v>
      </c>
      <c r="G991" s="2">
        <v>2002</v>
      </c>
      <c r="H991" t="str">
        <f>E991&amp;"mhli"</f>
        <v>bmhli</v>
      </c>
      <c r="I991" s="2" t="s">
        <v>3744</v>
      </c>
      <c r="J991" s="2" t="s">
        <v>3458</v>
      </c>
      <c r="L991" s="2" t="s">
        <v>3459</v>
      </c>
      <c r="O991" t="s">
        <v>1127</v>
      </c>
      <c r="P991" s="2" t="s">
        <v>1127</v>
      </c>
    </row>
    <row r="992" spans="1:16" x14ac:dyDescent="0.2">
      <c r="A992" s="17" t="s">
        <v>973</v>
      </c>
      <c r="B992" s="17" t="s">
        <v>4182</v>
      </c>
      <c r="C992" s="17" t="s">
        <v>1632</v>
      </c>
      <c r="D992" s="17" t="s">
        <v>1632</v>
      </c>
      <c r="E992" s="2" t="str">
        <f t="shared" si="88"/>
        <v>c</v>
      </c>
      <c r="F992" s="2">
        <f t="shared" ref="F992:F1007" si="89">G992-2000</f>
        <v>3</v>
      </c>
      <c r="G992" s="2">
        <v>2003</v>
      </c>
      <c r="H992" t="str">
        <f t="shared" ref="H992:H1007" si="90">E992&amp;"mhli"</f>
        <v>cmhli</v>
      </c>
      <c r="I992" s="2" t="s">
        <v>3744</v>
      </c>
      <c r="J992" s="2" t="s">
        <v>3458</v>
      </c>
      <c r="L992" s="2" t="s">
        <v>3459</v>
      </c>
      <c r="O992" t="s">
        <v>1127</v>
      </c>
      <c r="P992" s="2" t="s">
        <v>1127</v>
      </c>
    </row>
    <row r="993" spans="1:16" x14ac:dyDescent="0.2">
      <c r="A993" s="17" t="s">
        <v>973</v>
      </c>
      <c r="B993" s="17" t="s">
        <v>4182</v>
      </c>
      <c r="C993" s="17" t="s">
        <v>1632</v>
      </c>
      <c r="D993" s="17" t="s">
        <v>1632</v>
      </c>
      <c r="E993" s="2" t="str">
        <f t="shared" si="88"/>
        <v>d</v>
      </c>
      <c r="F993" s="2">
        <f t="shared" si="89"/>
        <v>4</v>
      </c>
      <c r="G993" s="2">
        <v>2004</v>
      </c>
      <c r="H993" t="str">
        <f t="shared" si="90"/>
        <v>dmhli</v>
      </c>
      <c r="I993" s="2" t="s">
        <v>3744</v>
      </c>
      <c r="J993" s="2" t="s">
        <v>3458</v>
      </c>
      <c r="L993" s="2" t="s">
        <v>3459</v>
      </c>
      <c r="O993" t="s">
        <v>1127</v>
      </c>
      <c r="P993" s="2" t="s">
        <v>1127</v>
      </c>
    </row>
    <row r="994" spans="1:16" x14ac:dyDescent="0.2">
      <c r="A994" s="17" t="s">
        <v>973</v>
      </c>
      <c r="B994" s="17" t="s">
        <v>4182</v>
      </c>
      <c r="C994" s="17" t="s">
        <v>1632</v>
      </c>
      <c r="D994" s="17" t="s">
        <v>1632</v>
      </c>
      <c r="E994" s="2" t="str">
        <f t="shared" si="88"/>
        <v>e</v>
      </c>
      <c r="F994" s="2">
        <f t="shared" si="89"/>
        <v>5</v>
      </c>
      <c r="G994" s="2">
        <v>2005</v>
      </c>
      <c r="H994" t="str">
        <f t="shared" si="90"/>
        <v>emhli</v>
      </c>
      <c r="I994" s="2" t="s">
        <v>3744</v>
      </c>
      <c r="J994" s="2" t="s">
        <v>3458</v>
      </c>
      <c r="L994" s="2" t="s">
        <v>3459</v>
      </c>
      <c r="O994" t="s">
        <v>1127</v>
      </c>
      <c r="P994" s="2" t="s">
        <v>1127</v>
      </c>
    </row>
    <row r="995" spans="1:16" x14ac:dyDescent="0.2">
      <c r="A995" s="17" t="s">
        <v>973</v>
      </c>
      <c r="B995" s="17" t="s">
        <v>4182</v>
      </c>
      <c r="C995" s="17" t="s">
        <v>1632</v>
      </c>
      <c r="D995" s="17" t="s">
        <v>1632</v>
      </c>
      <c r="E995" s="2" t="str">
        <f t="shared" si="88"/>
        <v>f</v>
      </c>
      <c r="F995" s="2">
        <f t="shared" si="89"/>
        <v>6</v>
      </c>
      <c r="G995" s="2">
        <v>2006</v>
      </c>
      <c r="H995" t="str">
        <f t="shared" si="90"/>
        <v>fmhli</v>
      </c>
      <c r="I995" s="2" t="s">
        <v>3744</v>
      </c>
      <c r="J995" s="2" t="s">
        <v>3458</v>
      </c>
      <c r="L995" s="2" t="s">
        <v>3459</v>
      </c>
      <c r="O995" t="s">
        <v>1127</v>
      </c>
      <c r="P995" s="2" t="s">
        <v>1127</v>
      </c>
    </row>
    <row r="996" spans="1:16" x14ac:dyDescent="0.2">
      <c r="A996" s="17" t="s">
        <v>973</v>
      </c>
      <c r="B996" s="17" t="s">
        <v>4182</v>
      </c>
      <c r="C996" s="17" t="s">
        <v>1632</v>
      </c>
      <c r="D996" s="17" t="s">
        <v>1632</v>
      </c>
      <c r="E996" s="2" t="str">
        <f t="shared" si="88"/>
        <v>g</v>
      </c>
      <c r="F996" s="2">
        <f t="shared" si="89"/>
        <v>7</v>
      </c>
      <c r="G996" s="2">
        <v>2007</v>
      </c>
      <c r="H996" t="str">
        <f t="shared" si="90"/>
        <v>gmhli</v>
      </c>
      <c r="I996" s="2" t="s">
        <v>3744</v>
      </c>
      <c r="J996" s="2" t="s">
        <v>3458</v>
      </c>
      <c r="L996" s="2" t="s">
        <v>3459</v>
      </c>
      <c r="O996" t="s">
        <v>1127</v>
      </c>
      <c r="P996" s="2" t="s">
        <v>1127</v>
      </c>
    </row>
    <row r="997" spans="1:16" x14ac:dyDescent="0.2">
      <c r="A997" s="17" t="s">
        <v>973</v>
      </c>
      <c r="B997" s="17" t="s">
        <v>4182</v>
      </c>
      <c r="C997" s="17" t="s">
        <v>1632</v>
      </c>
      <c r="D997" s="17" t="s">
        <v>1632</v>
      </c>
      <c r="E997" s="2" t="str">
        <f t="shared" si="88"/>
        <v>h</v>
      </c>
      <c r="F997" s="2">
        <f t="shared" si="89"/>
        <v>8</v>
      </c>
      <c r="G997" s="2">
        <v>2008</v>
      </c>
      <c r="H997" t="str">
        <f t="shared" si="90"/>
        <v>hmhli</v>
      </c>
      <c r="I997" s="2" t="s">
        <v>3744</v>
      </c>
      <c r="J997" s="2" t="s">
        <v>3458</v>
      </c>
      <c r="L997" s="2" t="s">
        <v>3459</v>
      </c>
      <c r="O997" t="s">
        <v>1127</v>
      </c>
      <c r="P997" s="2" t="s">
        <v>1127</v>
      </c>
    </row>
    <row r="998" spans="1:16" x14ac:dyDescent="0.2">
      <c r="A998" s="17" t="s">
        <v>973</v>
      </c>
      <c r="B998" s="17" t="s">
        <v>4182</v>
      </c>
      <c r="C998" s="17" t="s">
        <v>1632</v>
      </c>
      <c r="D998" s="17" t="s">
        <v>1632</v>
      </c>
      <c r="E998" s="2" t="str">
        <f t="shared" si="88"/>
        <v>i</v>
      </c>
      <c r="F998" s="2">
        <f t="shared" si="89"/>
        <v>9</v>
      </c>
      <c r="G998" s="2">
        <v>2009</v>
      </c>
      <c r="H998" t="str">
        <f t="shared" si="90"/>
        <v>imhli</v>
      </c>
      <c r="I998" s="2" t="s">
        <v>3744</v>
      </c>
      <c r="J998" s="2" t="s">
        <v>3458</v>
      </c>
      <c r="L998" s="2" t="s">
        <v>3459</v>
      </c>
      <c r="O998" t="s">
        <v>1127</v>
      </c>
      <c r="P998" s="2" t="s">
        <v>1127</v>
      </c>
    </row>
    <row r="999" spans="1:16" x14ac:dyDescent="0.2">
      <c r="A999" s="17" t="s">
        <v>973</v>
      </c>
      <c r="B999" s="17" t="s">
        <v>4182</v>
      </c>
      <c r="C999" s="17" t="s">
        <v>1632</v>
      </c>
      <c r="D999" s="17" t="s">
        <v>1632</v>
      </c>
      <c r="E999" s="2" t="str">
        <f t="shared" si="88"/>
        <v>j</v>
      </c>
      <c r="F999" s="2">
        <f t="shared" si="89"/>
        <v>10</v>
      </c>
      <c r="G999" s="2">
        <v>2010</v>
      </c>
      <c r="H999" t="str">
        <f t="shared" si="90"/>
        <v>jmhli</v>
      </c>
      <c r="I999" s="2" t="s">
        <v>3744</v>
      </c>
      <c r="J999" s="2" t="s">
        <v>3458</v>
      </c>
      <c r="L999" s="2" t="s">
        <v>3459</v>
      </c>
      <c r="O999" t="s">
        <v>1127</v>
      </c>
      <c r="P999" s="2" t="s">
        <v>1127</v>
      </c>
    </row>
    <row r="1000" spans="1:16" x14ac:dyDescent="0.2">
      <c r="A1000" s="17" t="s">
        <v>973</v>
      </c>
      <c r="B1000" s="17" t="s">
        <v>4182</v>
      </c>
      <c r="C1000" s="17" t="s">
        <v>1632</v>
      </c>
      <c r="D1000" s="17" t="s">
        <v>1632</v>
      </c>
      <c r="E1000" s="2" t="str">
        <f t="shared" si="88"/>
        <v>k</v>
      </c>
      <c r="F1000" s="2">
        <f t="shared" si="89"/>
        <v>11</v>
      </c>
      <c r="G1000" s="2">
        <v>2011</v>
      </c>
      <c r="H1000" t="str">
        <f t="shared" si="90"/>
        <v>kmhli</v>
      </c>
      <c r="I1000" s="2" t="s">
        <v>3744</v>
      </c>
      <c r="J1000" s="2" t="s">
        <v>3458</v>
      </c>
      <c r="L1000" s="2" t="s">
        <v>3459</v>
      </c>
      <c r="O1000" t="s">
        <v>1127</v>
      </c>
      <c r="P1000" s="2" t="s">
        <v>1127</v>
      </c>
    </row>
    <row r="1001" spans="1:16" x14ac:dyDescent="0.2">
      <c r="A1001" s="17" t="s">
        <v>973</v>
      </c>
      <c r="B1001" s="17" t="s">
        <v>4182</v>
      </c>
      <c r="C1001" s="17" t="s">
        <v>1632</v>
      </c>
      <c r="D1001" s="17" t="s">
        <v>1632</v>
      </c>
      <c r="E1001" s="2" t="str">
        <f t="shared" si="88"/>
        <v>l</v>
      </c>
      <c r="F1001" s="2">
        <f t="shared" si="89"/>
        <v>12</v>
      </c>
      <c r="G1001" s="2">
        <v>2012</v>
      </c>
      <c r="H1001" t="str">
        <f t="shared" si="90"/>
        <v>lmhli</v>
      </c>
      <c r="I1001" s="2" t="s">
        <v>3744</v>
      </c>
      <c r="J1001" s="2" t="s">
        <v>3458</v>
      </c>
      <c r="L1001" s="2" t="s">
        <v>3459</v>
      </c>
      <c r="O1001" t="s">
        <v>1127</v>
      </c>
      <c r="P1001" s="2" t="s">
        <v>1127</v>
      </c>
    </row>
    <row r="1002" spans="1:16" x14ac:dyDescent="0.2">
      <c r="A1002" s="17" t="s">
        <v>973</v>
      </c>
      <c r="B1002" s="17" t="s">
        <v>4182</v>
      </c>
      <c r="C1002" s="17" t="s">
        <v>1632</v>
      </c>
      <c r="D1002" s="17" t="s">
        <v>1632</v>
      </c>
      <c r="E1002" s="2" t="str">
        <f t="shared" si="88"/>
        <v>m</v>
      </c>
      <c r="F1002" s="2">
        <f t="shared" si="89"/>
        <v>13</v>
      </c>
      <c r="G1002" s="2">
        <v>2013</v>
      </c>
      <c r="H1002" t="str">
        <f t="shared" si="90"/>
        <v>mmhli</v>
      </c>
      <c r="I1002" s="2" t="s">
        <v>3744</v>
      </c>
      <c r="J1002" s="2" t="s">
        <v>3458</v>
      </c>
      <c r="L1002" s="2" t="s">
        <v>3459</v>
      </c>
      <c r="O1002" t="s">
        <v>1127</v>
      </c>
      <c r="P1002" s="2" t="s">
        <v>1127</v>
      </c>
    </row>
    <row r="1003" spans="1:16" x14ac:dyDescent="0.2">
      <c r="A1003" s="17" t="s">
        <v>973</v>
      </c>
      <c r="B1003" s="17" t="s">
        <v>4182</v>
      </c>
      <c r="C1003" s="17" t="s">
        <v>1632</v>
      </c>
      <c r="D1003" s="17" t="s">
        <v>1632</v>
      </c>
      <c r="E1003" s="2" t="str">
        <f t="shared" si="88"/>
        <v>n</v>
      </c>
      <c r="F1003" s="2">
        <f t="shared" si="89"/>
        <v>14</v>
      </c>
      <c r="G1003" s="2">
        <v>2014</v>
      </c>
      <c r="H1003" t="str">
        <f t="shared" si="90"/>
        <v>nmhli</v>
      </c>
      <c r="I1003" s="2" t="s">
        <v>3744</v>
      </c>
      <c r="J1003" s="2" t="s">
        <v>3458</v>
      </c>
      <c r="L1003" s="2" t="s">
        <v>3459</v>
      </c>
      <c r="O1003" t="s">
        <v>1127</v>
      </c>
      <c r="P1003" s="2" t="s">
        <v>1127</v>
      </c>
    </row>
    <row r="1004" spans="1:16" x14ac:dyDescent="0.2">
      <c r="A1004" s="17" t="s">
        <v>973</v>
      </c>
      <c r="B1004" s="17" t="s">
        <v>4182</v>
      </c>
      <c r="C1004" s="17" t="s">
        <v>1632</v>
      </c>
      <c r="D1004" s="17" t="s">
        <v>1632</v>
      </c>
      <c r="E1004" s="2" t="str">
        <f t="shared" si="88"/>
        <v>o</v>
      </c>
      <c r="F1004" s="2">
        <f t="shared" si="89"/>
        <v>15</v>
      </c>
      <c r="G1004" s="2">
        <v>2015</v>
      </c>
      <c r="H1004" t="str">
        <f t="shared" si="90"/>
        <v>omhli</v>
      </c>
      <c r="I1004" s="2" t="s">
        <v>3744</v>
      </c>
      <c r="J1004" s="2" t="s">
        <v>3458</v>
      </c>
      <c r="L1004" s="2" t="s">
        <v>3459</v>
      </c>
      <c r="O1004" t="s">
        <v>1127</v>
      </c>
      <c r="P1004" s="2" t="s">
        <v>1127</v>
      </c>
    </row>
    <row r="1005" spans="1:16" x14ac:dyDescent="0.2">
      <c r="A1005" s="17" t="s">
        <v>973</v>
      </c>
      <c r="B1005" s="17" t="s">
        <v>4182</v>
      </c>
      <c r="C1005" s="17" t="s">
        <v>1632</v>
      </c>
      <c r="D1005" s="17" t="s">
        <v>1632</v>
      </c>
      <c r="E1005" s="2" t="str">
        <f t="shared" si="88"/>
        <v>p</v>
      </c>
      <c r="F1005" s="2">
        <f t="shared" si="89"/>
        <v>16</v>
      </c>
      <c r="G1005" s="2">
        <v>2016</v>
      </c>
      <c r="H1005" t="str">
        <f t="shared" si="90"/>
        <v>pmhli</v>
      </c>
      <c r="I1005" s="2" t="s">
        <v>3744</v>
      </c>
      <c r="J1005" s="2" t="s">
        <v>3458</v>
      </c>
      <c r="L1005" s="2" t="s">
        <v>3459</v>
      </c>
      <c r="O1005" t="s">
        <v>1127</v>
      </c>
      <c r="P1005" s="2" t="s">
        <v>1127</v>
      </c>
    </row>
    <row r="1006" spans="1:16" x14ac:dyDescent="0.2">
      <c r="A1006" s="17" t="s">
        <v>973</v>
      </c>
      <c r="B1006" s="17" t="s">
        <v>4182</v>
      </c>
      <c r="C1006" s="17" t="s">
        <v>1632</v>
      </c>
      <c r="D1006" s="17" t="s">
        <v>1632</v>
      </c>
      <c r="E1006" s="2" t="str">
        <f t="shared" si="88"/>
        <v>q</v>
      </c>
      <c r="F1006" s="2">
        <f t="shared" si="89"/>
        <v>17</v>
      </c>
      <c r="G1006" s="2">
        <v>2017</v>
      </c>
      <c r="H1006" t="str">
        <f t="shared" si="90"/>
        <v>qmhli</v>
      </c>
      <c r="I1006" s="2" t="s">
        <v>3744</v>
      </c>
      <c r="J1006" s="2" t="s">
        <v>3458</v>
      </c>
      <c r="L1006" s="2" t="s">
        <v>3459</v>
      </c>
      <c r="O1006" t="s">
        <v>1127</v>
      </c>
      <c r="P1006" s="2" t="s">
        <v>1127</v>
      </c>
    </row>
    <row r="1007" spans="1:16" x14ac:dyDescent="0.2">
      <c r="A1007" s="17" t="s">
        <v>973</v>
      </c>
      <c r="B1007" s="17" t="s">
        <v>4182</v>
      </c>
      <c r="C1007" s="17" t="s">
        <v>1632</v>
      </c>
      <c r="D1007" s="17" t="s">
        <v>1632</v>
      </c>
      <c r="E1007" s="2" t="str">
        <f t="shared" si="88"/>
        <v>r</v>
      </c>
      <c r="F1007" s="2">
        <f t="shared" si="89"/>
        <v>18</v>
      </c>
      <c r="G1007" s="2">
        <v>2018</v>
      </c>
      <c r="H1007" t="str">
        <f t="shared" si="90"/>
        <v>rmhli</v>
      </c>
      <c r="I1007" s="2" t="s">
        <v>3744</v>
      </c>
      <c r="J1007" s="2" t="s">
        <v>3458</v>
      </c>
      <c r="L1007" s="2" t="s">
        <v>3459</v>
      </c>
      <c r="O1007" t="s">
        <v>1127</v>
      </c>
      <c r="P1007" s="2" t="s">
        <v>1127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7DB5D-EADF-DD47-9A0C-7F5969D8F4AB}">
  <dimension ref="A1:H14"/>
  <sheetViews>
    <sheetView workbookViewId="0">
      <selection activeCell="A16" sqref="A16"/>
    </sheetView>
  </sheetViews>
  <sheetFormatPr baseColWidth="10" defaultRowHeight="16" x14ac:dyDescent="0.2"/>
  <cols>
    <col min="1" max="1" width="13.1640625" bestFit="1" customWidth="1"/>
    <col min="2" max="2" width="10" bestFit="1" customWidth="1"/>
    <col min="3" max="3" width="35.83203125" bestFit="1" customWidth="1"/>
  </cols>
  <sheetData>
    <row r="1" spans="1:8" x14ac:dyDescent="0.2">
      <c r="A1" s="42" t="s">
        <v>756</v>
      </c>
      <c r="B1" s="42" t="s">
        <v>755</v>
      </c>
      <c r="C1" s="42" t="s">
        <v>757</v>
      </c>
      <c r="D1" s="43" t="s">
        <v>765</v>
      </c>
      <c r="E1" s="43" t="s">
        <v>766</v>
      </c>
      <c r="F1" s="43" t="s">
        <v>767</v>
      </c>
      <c r="G1" s="43" t="s">
        <v>768</v>
      </c>
      <c r="H1" s="43" t="s">
        <v>770</v>
      </c>
    </row>
    <row r="2" spans="1:8" x14ac:dyDescent="0.2">
      <c r="A2" s="36" t="s">
        <v>754</v>
      </c>
      <c r="B2" s="37" t="s">
        <v>675</v>
      </c>
      <c r="C2" s="36" t="s">
        <v>762</v>
      </c>
      <c r="D2" s="41" t="s">
        <v>769</v>
      </c>
      <c r="E2" s="41" t="s">
        <v>769</v>
      </c>
      <c r="F2" s="41" t="s">
        <v>769</v>
      </c>
      <c r="G2" s="41" t="s">
        <v>769</v>
      </c>
      <c r="H2" s="41" t="s">
        <v>769</v>
      </c>
    </row>
    <row r="3" spans="1:8" x14ac:dyDescent="0.2">
      <c r="A3" s="36" t="s">
        <v>754</v>
      </c>
      <c r="B3" s="37" t="s">
        <v>238</v>
      </c>
      <c r="C3" s="36" t="s">
        <v>760</v>
      </c>
      <c r="D3" s="41" t="s">
        <v>769</v>
      </c>
      <c r="E3" s="41" t="s">
        <v>769</v>
      </c>
      <c r="F3" s="41" t="s">
        <v>769</v>
      </c>
      <c r="G3" s="41" t="s">
        <v>769</v>
      </c>
      <c r="H3" s="41" t="s">
        <v>769</v>
      </c>
    </row>
    <row r="4" spans="1:8" x14ac:dyDescent="0.2">
      <c r="A4" s="36" t="s">
        <v>754</v>
      </c>
      <c r="B4" s="37" t="s">
        <v>240</v>
      </c>
      <c r="C4" s="36" t="s">
        <v>206</v>
      </c>
      <c r="D4" s="41" t="s">
        <v>769</v>
      </c>
      <c r="E4" s="41" t="s">
        <v>769</v>
      </c>
      <c r="F4" s="41" t="s">
        <v>769</v>
      </c>
      <c r="G4" s="41" t="s">
        <v>769</v>
      </c>
      <c r="H4" s="41"/>
    </row>
    <row r="5" spans="1:8" x14ac:dyDescent="0.2">
      <c r="A5" s="36" t="s">
        <v>754</v>
      </c>
      <c r="B5" s="38" t="s">
        <v>454</v>
      </c>
      <c r="C5" s="36" t="s">
        <v>758</v>
      </c>
      <c r="D5" s="41" t="s">
        <v>769</v>
      </c>
      <c r="E5" s="41" t="s">
        <v>769</v>
      </c>
      <c r="F5" s="41" t="s">
        <v>769</v>
      </c>
      <c r="G5" s="41" t="s">
        <v>769</v>
      </c>
      <c r="H5" s="41" t="s">
        <v>769</v>
      </c>
    </row>
    <row r="6" spans="1:8" x14ac:dyDescent="0.2">
      <c r="A6" s="36" t="s">
        <v>754</v>
      </c>
      <c r="B6" s="37" t="s">
        <v>447</v>
      </c>
      <c r="C6" s="36" t="s">
        <v>763</v>
      </c>
      <c r="D6" s="41" t="s">
        <v>769</v>
      </c>
      <c r="E6" s="41" t="s">
        <v>769</v>
      </c>
      <c r="F6" s="41" t="s">
        <v>769</v>
      </c>
      <c r="G6" s="41" t="s">
        <v>769</v>
      </c>
      <c r="H6" s="41" t="s">
        <v>769</v>
      </c>
    </row>
    <row r="7" spans="1:8" x14ac:dyDescent="0.2">
      <c r="A7" s="36" t="s">
        <v>754</v>
      </c>
      <c r="B7" s="39" t="s">
        <v>326</v>
      </c>
      <c r="C7" s="36" t="s">
        <v>764</v>
      </c>
      <c r="D7" s="41" t="s">
        <v>769</v>
      </c>
      <c r="E7" s="41" t="s">
        <v>769</v>
      </c>
      <c r="F7" s="41" t="s">
        <v>769</v>
      </c>
      <c r="G7" s="41" t="s">
        <v>769</v>
      </c>
      <c r="H7" s="40"/>
    </row>
    <row r="8" spans="1:8" x14ac:dyDescent="0.2">
      <c r="A8" s="36" t="s">
        <v>754</v>
      </c>
      <c r="B8" s="37" t="s">
        <v>362</v>
      </c>
      <c r="C8" s="36" t="s">
        <v>361</v>
      </c>
      <c r="D8" s="41" t="s">
        <v>769</v>
      </c>
      <c r="E8" s="41" t="s">
        <v>769</v>
      </c>
      <c r="F8" s="41" t="s">
        <v>769</v>
      </c>
      <c r="G8" s="41" t="s">
        <v>769</v>
      </c>
      <c r="H8" s="41" t="s">
        <v>769</v>
      </c>
    </row>
    <row r="9" spans="1:8" x14ac:dyDescent="0.2">
      <c r="A9" s="36" t="s">
        <v>759</v>
      </c>
      <c r="B9" s="37" t="s">
        <v>239</v>
      </c>
      <c r="C9" s="36" t="s">
        <v>761</v>
      </c>
      <c r="D9" s="41" t="s">
        <v>769</v>
      </c>
      <c r="E9" s="40"/>
      <c r="F9" s="40"/>
      <c r="G9" s="41" t="s">
        <v>769</v>
      </c>
      <c r="H9" s="41" t="s">
        <v>769</v>
      </c>
    </row>
    <row r="10" spans="1:8" x14ac:dyDescent="0.2">
      <c r="A10" s="36" t="s">
        <v>759</v>
      </c>
      <c r="B10" s="37" t="s">
        <v>444</v>
      </c>
      <c r="C10" s="36" t="s">
        <v>772</v>
      </c>
      <c r="D10" s="40"/>
      <c r="E10" s="40"/>
      <c r="F10" s="41" t="s">
        <v>769</v>
      </c>
      <c r="G10" s="41" t="s">
        <v>769</v>
      </c>
      <c r="H10" s="41" t="s">
        <v>769</v>
      </c>
    </row>
    <row r="11" spans="1:8" x14ac:dyDescent="0.2">
      <c r="A11" s="36" t="s">
        <v>759</v>
      </c>
      <c r="B11" s="37" t="s">
        <v>450</v>
      </c>
      <c r="C11" s="36" t="s">
        <v>773</v>
      </c>
      <c r="D11" s="40"/>
      <c r="E11" s="40"/>
      <c r="F11" s="41" t="s">
        <v>769</v>
      </c>
      <c r="G11" s="40"/>
      <c r="H11" s="41" t="s">
        <v>769</v>
      </c>
    </row>
    <row r="12" spans="1:8" x14ac:dyDescent="0.2">
      <c r="A12" s="36" t="s">
        <v>759</v>
      </c>
      <c r="B12" s="37" t="s">
        <v>457</v>
      </c>
      <c r="C12" s="36" t="s">
        <v>774</v>
      </c>
      <c r="D12" s="40"/>
      <c r="E12" s="40"/>
      <c r="F12" s="41" t="s">
        <v>769</v>
      </c>
      <c r="G12" s="40"/>
      <c r="H12" s="40"/>
    </row>
    <row r="13" spans="1:8" x14ac:dyDescent="0.2">
      <c r="A13" s="36" t="s">
        <v>759</v>
      </c>
      <c r="B13" s="37" t="s">
        <v>771</v>
      </c>
      <c r="C13" s="36" t="s">
        <v>775</v>
      </c>
      <c r="D13" s="40"/>
      <c r="E13" s="41" t="s">
        <v>769</v>
      </c>
      <c r="F13" s="40"/>
      <c r="G13" s="40"/>
      <c r="H13" s="41" t="s">
        <v>769</v>
      </c>
    </row>
    <row r="14" spans="1:8" x14ac:dyDescent="0.2">
      <c r="A14" s="36" t="s">
        <v>759</v>
      </c>
      <c r="B14" s="37" t="s">
        <v>553</v>
      </c>
      <c r="C14" s="36" t="s">
        <v>776</v>
      </c>
      <c r="D14" s="40"/>
      <c r="E14" s="40" t="s">
        <v>769</v>
      </c>
      <c r="F14" s="40"/>
      <c r="G14" s="41" t="s">
        <v>769</v>
      </c>
      <c r="H14" s="41" t="s">
        <v>769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D8FF4-9A88-AB4E-BFF8-4F3A9FCBE8E3}">
  <dimension ref="A1:H22"/>
  <sheetViews>
    <sheetView workbookViewId="0">
      <selection activeCell="C21" sqref="C21"/>
    </sheetView>
  </sheetViews>
  <sheetFormatPr baseColWidth="10" defaultRowHeight="16" x14ac:dyDescent="0.2"/>
  <cols>
    <col min="3" max="3" width="18.33203125" bestFit="1" customWidth="1"/>
  </cols>
  <sheetData>
    <row r="1" spans="1:8" x14ac:dyDescent="0.2">
      <c r="A1" s="58" t="s">
        <v>111</v>
      </c>
      <c r="B1" s="58" t="s">
        <v>112</v>
      </c>
      <c r="C1" s="58" t="s">
        <v>119</v>
      </c>
      <c r="D1" s="58" t="s">
        <v>765</v>
      </c>
      <c r="E1" s="58" t="s">
        <v>767</v>
      </c>
      <c r="F1" s="58" t="s">
        <v>766</v>
      </c>
      <c r="G1" s="58" t="s">
        <v>770</v>
      </c>
      <c r="H1" s="58" t="s">
        <v>768</v>
      </c>
    </row>
    <row r="2" spans="1:8" x14ac:dyDescent="0.2">
      <c r="A2" t="s">
        <v>1628</v>
      </c>
      <c r="B2" t="s">
        <v>1624</v>
      </c>
      <c r="C2" t="s">
        <v>2712</v>
      </c>
      <c r="D2" s="57" t="s">
        <v>769</v>
      </c>
      <c r="E2" s="57" t="s">
        <v>769</v>
      </c>
      <c r="F2" s="57" t="s">
        <v>769</v>
      </c>
      <c r="G2" s="57" t="s">
        <v>769</v>
      </c>
      <c r="H2" s="57" t="s">
        <v>769</v>
      </c>
    </row>
    <row r="3" spans="1:8" x14ac:dyDescent="0.2">
      <c r="A3" t="s">
        <v>1628</v>
      </c>
      <c r="B3" t="s">
        <v>602</v>
      </c>
      <c r="C3" t="s">
        <v>4176</v>
      </c>
      <c r="D3" s="57" t="s">
        <v>769</v>
      </c>
      <c r="E3" s="57" t="s">
        <v>769</v>
      </c>
      <c r="F3" s="57" t="s">
        <v>769</v>
      </c>
      <c r="G3" s="57" t="s">
        <v>769</v>
      </c>
      <c r="H3" s="57" t="s">
        <v>769</v>
      </c>
    </row>
    <row r="4" spans="1:8" x14ac:dyDescent="0.2">
      <c r="A4" t="s">
        <v>1627</v>
      </c>
      <c r="B4" t="s">
        <v>1625</v>
      </c>
      <c r="C4" t="s">
        <v>2712</v>
      </c>
      <c r="D4" s="57" t="s">
        <v>769</v>
      </c>
      <c r="E4" s="57" t="s">
        <v>769</v>
      </c>
      <c r="F4" s="57" t="s">
        <v>769</v>
      </c>
      <c r="G4" s="57" t="s">
        <v>769</v>
      </c>
      <c r="H4" s="57" t="s">
        <v>769</v>
      </c>
    </row>
    <row r="5" spans="1:8" x14ac:dyDescent="0.2">
      <c r="A5" t="s">
        <v>1627</v>
      </c>
      <c r="B5" t="s">
        <v>1482</v>
      </c>
      <c r="C5" t="s">
        <v>2712</v>
      </c>
      <c r="D5" s="57" t="s">
        <v>769</v>
      </c>
      <c r="E5" s="57" t="s">
        <v>769</v>
      </c>
      <c r="F5" s="57" t="s">
        <v>769</v>
      </c>
      <c r="G5" s="57" t="s">
        <v>769</v>
      </c>
      <c r="H5" s="57" t="s">
        <v>769</v>
      </c>
    </row>
    <row r="6" spans="1:8" x14ac:dyDescent="0.2">
      <c r="A6" t="s">
        <v>1627</v>
      </c>
      <c r="B6" t="s">
        <v>1626</v>
      </c>
      <c r="C6" t="s">
        <v>2712</v>
      </c>
      <c r="D6" s="57" t="s">
        <v>769</v>
      </c>
      <c r="E6" s="57" t="s">
        <v>769</v>
      </c>
      <c r="F6" s="57" t="s">
        <v>769</v>
      </c>
      <c r="G6" s="57"/>
      <c r="H6" s="57" t="s">
        <v>769</v>
      </c>
    </row>
    <row r="7" spans="1:8" x14ac:dyDescent="0.2">
      <c r="A7" t="s">
        <v>1627</v>
      </c>
      <c r="B7" t="s">
        <v>1524</v>
      </c>
      <c r="C7" t="s">
        <v>642</v>
      </c>
      <c r="D7" s="57" t="s">
        <v>769</v>
      </c>
      <c r="E7" s="57" t="s">
        <v>769</v>
      </c>
      <c r="F7" s="57" t="s">
        <v>769</v>
      </c>
      <c r="G7" s="57" t="s">
        <v>769</v>
      </c>
      <c r="H7" s="57" t="s">
        <v>769</v>
      </c>
    </row>
    <row r="8" spans="1:8" x14ac:dyDescent="0.2">
      <c r="A8" t="s">
        <v>362</v>
      </c>
      <c r="B8" t="s">
        <v>1641</v>
      </c>
      <c r="C8" t="s">
        <v>4177</v>
      </c>
      <c r="D8" s="57" t="s">
        <v>769</v>
      </c>
      <c r="E8" s="57" t="s">
        <v>769</v>
      </c>
      <c r="F8" s="57" t="s">
        <v>769</v>
      </c>
      <c r="G8" s="57" t="s">
        <v>769</v>
      </c>
      <c r="H8" s="57" t="s">
        <v>769</v>
      </c>
    </row>
    <row r="9" spans="1:8" x14ac:dyDescent="0.2">
      <c r="A9" t="s">
        <v>362</v>
      </c>
      <c r="B9" t="s">
        <v>1410</v>
      </c>
      <c r="C9" t="s">
        <v>4177</v>
      </c>
      <c r="D9" s="57" t="s">
        <v>769</v>
      </c>
      <c r="E9" s="57" t="s">
        <v>769</v>
      </c>
      <c r="F9" s="57" t="s">
        <v>769</v>
      </c>
      <c r="G9" s="57" t="s">
        <v>769</v>
      </c>
      <c r="H9" s="57" t="s">
        <v>769</v>
      </c>
    </row>
    <row r="10" spans="1:8" x14ac:dyDescent="0.2">
      <c r="A10" t="s">
        <v>457</v>
      </c>
      <c r="B10" t="s">
        <v>1629</v>
      </c>
      <c r="C10" t="s">
        <v>4177</v>
      </c>
      <c r="D10" s="57" t="s">
        <v>769</v>
      </c>
      <c r="E10" s="57" t="s">
        <v>769</v>
      </c>
      <c r="F10" s="57" t="s">
        <v>769</v>
      </c>
      <c r="G10" s="57" t="s">
        <v>769</v>
      </c>
      <c r="H10" s="57" t="s">
        <v>769</v>
      </c>
    </row>
    <row r="11" spans="1:8" x14ac:dyDescent="0.2">
      <c r="A11" t="s">
        <v>457</v>
      </c>
      <c r="B11" t="s">
        <v>1389</v>
      </c>
      <c r="C11" t="s">
        <v>4177</v>
      </c>
      <c r="D11" s="57" t="s">
        <v>769</v>
      </c>
      <c r="E11" s="57" t="s">
        <v>769</v>
      </c>
      <c r="F11" s="57" t="s">
        <v>769</v>
      </c>
      <c r="G11" s="57" t="s">
        <v>769</v>
      </c>
      <c r="H11" s="57" t="s">
        <v>769</v>
      </c>
    </row>
    <row r="12" spans="1:8" x14ac:dyDescent="0.2">
      <c r="A12" t="s">
        <v>457</v>
      </c>
      <c r="B12" t="s">
        <v>1630</v>
      </c>
      <c r="C12" t="s">
        <v>2712</v>
      </c>
      <c r="D12" s="57" t="s">
        <v>769</v>
      </c>
      <c r="E12" s="57" t="s">
        <v>769</v>
      </c>
      <c r="F12" s="57" t="s">
        <v>769</v>
      </c>
      <c r="G12" s="57" t="s">
        <v>769</v>
      </c>
      <c r="H12" s="57" t="s">
        <v>769</v>
      </c>
    </row>
    <row r="13" spans="1:8" x14ac:dyDescent="0.2">
      <c r="A13" t="s">
        <v>457</v>
      </c>
      <c r="B13" t="s">
        <v>1631</v>
      </c>
      <c r="C13" t="s">
        <v>642</v>
      </c>
      <c r="D13" s="57" t="s">
        <v>769</v>
      </c>
      <c r="E13" s="57"/>
      <c r="F13" s="57" t="s">
        <v>769</v>
      </c>
      <c r="G13" s="57" t="s">
        <v>769</v>
      </c>
      <c r="H13" s="57" t="s">
        <v>769</v>
      </c>
    </row>
    <row r="14" spans="1:8" x14ac:dyDescent="0.2">
      <c r="A14" t="s">
        <v>1634</v>
      </c>
      <c r="B14" t="s">
        <v>1632</v>
      </c>
      <c r="C14" t="s">
        <v>4177</v>
      </c>
      <c r="D14" s="57" t="s">
        <v>769</v>
      </c>
      <c r="E14" s="57" t="s">
        <v>769</v>
      </c>
      <c r="F14" s="57" t="s">
        <v>769</v>
      </c>
      <c r="G14" s="57" t="s">
        <v>769</v>
      </c>
      <c r="H14" s="57"/>
    </row>
    <row r="15" spans="1:8" x14ac:dyDescent="0.2">
      <c r="A15" t="s">
        <v>1634</v>
      </c>
      <c r="B15" t="s">
        <v>1633</v>
      </c>
      <c r="C15" t="s">
        <v>4178</v>
      </c>
      <c r="D15" s="57" t="s">
        <v>769</v>
      </c>
      <c r="E15" s="57" t="s">
        <v>769</v>
      </c>
      <c r="F15" s="57" t="s">
        <v>769</v>
      </c>
      <c r="G15" s="57" t="s">
        <v>769</v>
      </c>
      <c r="H15" s="57" t="s">
        <v>769</v>
      </c>
    </row>
    <row r="16" spans="1:8" x14ac:dyDescent="0.2">
      <c r="A16" t="s">
        <v>240</v>
      </c>
      <c r="B16" t="s">
        <v>1128</v>
      </c>
      <c r="C16" t="s">
        <v>4177</v>
      </c>
      <c r="D16" s="57" t="s">
        <v>769</v>
      </c>
      <c r="E16" s="57" t="s">
        <v>769</v>
      </c>
      <c r="F16" s="57" t="s">
        <v>769</v>
      </c>
      <c r="G16" s="57" t="s">
        <v>769</v>
      </c>
      <c r="H16" s="57" t="s">
        <v>769</v>
      </c>
    </row>
    <row r="17" spans="1:8" x14ac:dyDescent="0.2">
      <c r="A17" t="s">
        <v>240</v>
      </c>
      <c r="B17" t="s">
        <v>1353</v>
      </c>
      <c r="C17" t="s">
        <v>4177</v>
      </c>
      <c r="D17" s="57" t="s">
        <v>769</v>
      </c>
      <c r="E17" s="57" t="s">
        <v>769</v>
      </c>
      <c r="F17" s="57" t="s">
        <v>769</v>
      </c>
      <c r="G17" s="57" t="s">
        <v>769</v>
      </c>
      <c r="H17" s="57" t="s">
        <v>769</v>
      </c>
    </row>
    <row r="18" spans="1:8" x14ac:dyDescent="0.2">
      <c r="A18" t="s">
        <v>240</v>
      </c>
      <c r="B18" t="s">
        <v>1635</v>
      </c>
      <c r="C18" s="25" t="s">
        <v>642</v>
      </c>
      <c r="D18" s="57" t="s">
        <v>769</v>
      </c>
      <c r="E18" s="57" t="s">
        <v>769</v>
      </c>
      <c r="F18" s="57" t="s">
        <v>769</v>
      </c>
      <c r="G18" s="57" t="s">
        <v>769</v>
      </c>
      <c r="H18" s="57" t="s">
        <v>769</v>
      </c>
    </row>
    <row r="19" spans="1:8" x14ac:dyDescent="0.2">
      <c r="A19" t="s">
        <v>240</v>
      </c>
      <c r="B19" t="s">
        <v>1636</v>
      </c>
      <c r="C19" t="s">
        <v>2712</v>
      </c>
      <c r="D19" s="57" t="s">
        <v>769</v>
      </c>
      <c r="E19" s="57" t="s">
        <v>769</v>
      </c>
      <c r="F19" s="57"/>
      <c r="G19" s="57" t="s">
        <v>769</v>
      </c>
      <c r="H19" s="57" t="s">
        <v>769</v>
      </c>
    </row>
    <row r="20" spans="1:8" x14ac:dyDescent="0.2">
      <c r="A20" t="s">
        <v>240</v>
      </c>
      <c r="B20" t="s">
        <v>1637</v>
      </c>
      <c r="C20" t="s">
        <v>642</v>
      </c>
      <c r="D20" s="57" t="s">
        <v>769</v>
      </c>
      <c r="E20" s="57" t="s">
        <v>769</v>
      </c>
      <c r="F20" s="57" t="s">
        <v>769</v>
      </c>
      <c r="G20" s="57" t="s">
        <v>769</v>
      </c>
      <c r="H20" s="57" t="s">
        <v>769</v>
      </c>
    </row>
    <row r="21" spans="1:8" x14ac:dyDescent="0.2">
      <c r="A21" t="s">
        <v>240</v>
      </c>
      <c r="B21" t="s">
        <v>1638</v>
      </c>
      <c r="C21" t="s">
        <v>642</v>
      </c>
      <c r="D21" s="57" t="s">
        <v>769</v>
      </c>
      <c r="E21" s="57" t="s">
        <v>769</v>
      </c>
      <c r="F21" s="57" t="s">
        <v>769</v>
      </c>
      <c r="G21" s="57" t="s">
        <v>769</v>
      </c>
      <c r="H21" s="57" t="s">
        <v>769</v>
      </c>
    </row>
    <row r="22" spans="1:8" x14ac:dyDescent="0.2">
      <c r="A22" t="s">
        <v>1640</v>
      </c>
      <c r="B22" t="s">
        <v>1639</v>
      </c>
      <c r="C22" t="s">
        <v>642</v>
      </c>
      <c r="D22" s="57" t="s">
        <v>769</v>
      </c>
      <c r="E22" s="57" t="s">
        <v>769</v>
      </c>
      <c r="F22" s="57" t="s">
        <v>769</v>
      </c>
      <c r="G22" s="57" t="s">
        <v>769</v>
      </c>
      <c r="H22" s="57" t="s">
        <v>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gsoep</vt:lpstr>
      <vt:lpstr>bhps</vt:lpstr>
      <vt:lpstr>shp</vt:lpstr>
      <vt:lpstr>liss</vt:lpstr>
      <vt:lpstr>hilda</vt:lpstr>
      <vt:lpstr>key</vt:lpstr>
      <vt:lpstr>correlates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Beck, Emorie</dc:creator>
  <cp:lastModifiedBy>Microsoft Office User</cp:lastModifiedBy>
  <dcterms:created xsi:type="dcterms:W3CDTF">2021-03-17T19:59:37Z</dcterms:created>
  <dcterms:modified xsi:type="dcterms:W3CDTF">2021-06-22T21:47:25Z</dcterms:modified>
</cp:coreProperties>
</file>